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90" yWindow="120" windowWidth="15255" windowHeight="8160" tabRatio="837"/>
  </bookViews>
  <sheets>
    <sheet name="11.10" sheetId="7" r:id="rId1"/>
  </sheets>
  <definedNames>
    <definedName name="_xlnm.Print_Area" localSheetId="0">'11.10'!$A$1:$M$62</definedName>
  </definedNames>
  <calcPr calcId="144525"/>
</workbook>
</file>

<file path=xl/calcChain.xml><?xml version="1.0" encoding="utf-8"?>
<calcChain xmlns="http://schemas.openxmlformats.org/spreadsheetml/2006/main">
  <c r="E9" i="7" l="1"/>
  <c r="E8" i="7" s="1"/>
  <c r="L54" i="7"/>
  <c r="K54" i="7"/>
  <c r="I54" i="7"/>
  <c r="H54" i="7"/>
  <c r="G54" i="7"/>
  <c r="E54" i="7"/>
  <c r="D54" i="7"/>
  <c r="C54" i="7"/>
  <c r="B54" i="7"/>
  <c r="L51" i="7"/>
  <c r="K51" i="7"/>
  <c r="I51" i="7"/>
  <c r="H51" i="7"/>
  <c r="G51" i="7"/>
  <c r="E51" i="7"/>
  <c r="D51" i="7"/>
  <c r="C51" i="7"/>
  <c r="B51" i="7"/>
  <c r="L9" i="7"/>
  <c r="K9" i="7"/>
  <c r="I9" i="7"/>
  <c r="H9" i="7"/>
  <c r="G9" i="7"/>
  <c r="D9" i="7"/>
  <c r="C9" i="7"/>
  <c r="C8" i="7" s="1"/>
  <c r="C7" i="7" s="1"/>
  <c r="B9" i="7"/>
  <c r="B8" i="7" s="1"/>
  <c r="B7" i="7" l="1"/>
  <c r="H8" i="7"/>
  <c r="H7" i="7" s="1"/>
  <c r="D8" i="7"/>
  <c r="D7" i="7" s="1"/>
  <c r="L8" i="7"/>
  <c r="L7" i="7" s="1"/>
  <c r="E7" i="7"/>
  <c r="G8" i="7"/>
  <c r="G7" i="7" s="1"/>
  <c r="K8" i="7"/>
  <c r="K7" i="7" s="1"/>
  <c r="I8" i="7"/>
  <c r="I7" i="7" s="1"/>
</calcChain>
</file>

<file path=xl/sharedStrings.xml><?xml version="1.0" encoding="utf-8"?>
<sst xmlns="http://schemas.openxmlformats.org/spreadsheetml/2006/main" count="158" uniqueCount="124">
  <si>
    <t>wlcmuj</t>
  </si>
  <si>
    <t>Total</t>
  </si>
  <si>
    <t>2015 ,cliaem iaWlwdum unulufua iaWncnurwjcniswf irukurutwfurutwd cnurwhwfuTOb egukwtcniawlrwaea ikeaikea cSwrwdnwbegiawv ImWvcqwaclwniawb  : 11.10 ulwvWt</t>
  </si>
  <si>
    <t>Table 11.10 :  AIR TRANSPORT MOVEMENTS AT IBRAHIM NASIR INTERNATIONAL AIRPORT BY AIRLINE, CROSS-CLASSIFIED BY PASSENGER, CARGO AND MAIL, 2015</t>
  </si>
  <si>
    <t>Passengers</t>
  </si>
  <si>
    <t>cnurwjcniswf</t>
  </si>
  <si>
    <t>Cargo (kg)</t>
  </si>
  <si>
    <t>(Olik) Wdum</t>
  </si>
  <si>
    <t>Mail (kg)</t>
  </si>
  <si>
    <t>(Olik) cliaem</t>
  </si>
  <si>
    <t>Airline</t>
  </si>
  <si>
    <t>cawtcTiawlcf</t>
  </si>
  <si>
    <t>iawa</t>
  </si>
  <si>
    <t>iruf</t>
  </si>
  <si>
    <t>irukuDwm iawgItwmurutwd</t>
  </si>
  <si>
    <t>irukeretea</t>
  </si>
  <si>
    <t>irukurEb</t>
  </si>
  <si>
    <t>cniawlrwaea</t>
  </si>
  <si>
    <t>Flight Movements</t>
  </si>
  <si>
    <t>In</t>
  </si>
  <si>
    <t>Out</t>
  </si>
  <si>
    <t>Transit</t>
  </si>
  <si>
    <t>International Flights</t>
  </si>
  <si>
    <t xml:space="preserve">     cawtcTiawlcf ImWvcqwaclwniawb</t>
  </si>
  <si>
    <t>International Scheduled</t>
  </si>
  <si>
    <t>Wviawfihejwmwh cnutogImiaWd ImWvcqwaclwniawb</t>
  </si>
  <si>
    <t>Srilankan Airlines</t>
  </si>
  <si>
    <t xml:space="preserve"> cscniawlrwaea cnwkcnwlIrcs</t>
  </si>
  <si>
    <t>Singapore Airlines</t>
  </si>
  <si>
    <t>cscniawlrwaea rOpwgcnis</t>
  </si>
  <si>
    <t>Emirates</t>
  </si>
  <si>
    <t>cscTErimea</t>
  </si>
  <si>
    <t>Indian Airlines</t>
  </si>
  <si>
    <t>cscniawlrwaea cnwaiDcnia</t>
  </si>
  <si>
    <t>Qatar Airways</t>
  </si>
  <si>
    <t>csEvrwaea rwtwq</t>
  </si>
  <si>
    <t>China Eastern</t>
  </si>
  <si>
    <t xml:space="preserve"> cnrwTcsIa WniawC</t>
  </si>
  <si>
    <t>Condor</t>
  </si>
  <si>
    <t>ODcnok</t>
  </si>
  <si>
    <t>British Airways</t>
  </si>
  <si>
    <t>czEvrwaea cxiTircb</t>
  </si>
  <si>
    <t>Oman Air</t>
  </si>
  <si>
    <t>rwaea cnWmOa</t>
  </si>
  <si>
    <t>Fly Dubai</t>
  </si>
  <si>
    <t>ފްލަދުބައި</t>
  </si>
  <si>
    <t>Aeroflot</t>
  </si>
  <si>
    <t>cTolcfOriaea</t>
  </si>
  <si>
    <t>Mega Maldives</t>
  </si>
  <si>
    <t xml:space="preserve"> cscviDclOm Wgem</t>
  </si>
  <si>
    <t>Austrian Airlines</t>
  </si>
  <si>
    <t>cscniawlrwaea cnwaircTcsoa</t>
  </si>
  <si>
    <t>Malaysia Airlines</t>
  </si>
  <si>
    <t>cscniawlrwaea cnwaixElem</t>
  </si>
  <si>
    <t>Spice jet</t>
  </si>
  <si>
    <t>ސްޕައިސްޖެޓް</t>
  </si>
  <si>
    <t>Meridiana Fly</t>
  </si>
  <si>
    <t xml:space="preserve"> iawlcf WnWaiDirem</t>
  </si>
  <si>
    <t>Bangkok Airways</t>
  </si>
  <si>
    <t>czEvrwaea ckokcneb</t>
  </si>
  <si>
    <t>Turkish Airlines</t>
  </si>
  <si>
    <t>ޓޭރކިޝް އެއަރލައިންސް</t>
  </si>
  <si>
    <t xml:space="preserve">Maldivian </t>
  </si>
  <si>
    <t>cnwaiviDclOm</t>
  </si>
  <si>
    <t>Hong Kong  Airlines</t>
  </si>
  <si>
    <t>ހޮންގް ކޮންގް އެއަރލައިންސް</t>
  </si>
  <si>
    <t>Cathay Pacific</t>
  </si>
  <si>
    <t>ކެތީ ޕެސަފިކް</t>
  </si>
  <si>
    <t>Hainan Airlines</t>
  </si>
  <si>
    <t>ހައިނާން އެއަރލައިންސް</t>
  </si>
  <si>
    <t>Air Asia</t>
  </si>
  <si>
    <t>އެއަރ އޭޝިޔާ</t>
  </si>
  <si>
    <t>China Southern Airlines</t>
  </si>
  <si>
    <t>cscniawlrwaea cnwdws WniawC</t>
  </si>
  <si>
    <t>Transaero Airlines</t>
  </si>
  <si>
    <t>cscniawlrwaea OriaeacscnWrcT</t>
  </si>
  <si>
    <t>Etihad Airways</t>
  </si>
  <si>
    <t>އެއްތިހާދު އެއަރވޭޒް</t>
  </si>
  <si>
    <t>Edelweiss</t>
  </si>
  <si>
    <t>cziawvcleDea</t>
  </si>
  <si>
    <t>Korean Air</t>
  </si>
  <si>
    <t>ކޮރިއަން އެއަރ</t>
  </si>
  <si>
    <t>Tiger Airways</t>
  </si>
  <si>
    <t>ޓައިގާ އެއރްވޭސް</t>
  </si>
  <si>
    <t xml:space="preserve">Neos </t>
  </si>
  <si>
    <t>ނިއޯސް</t>
  </si>
  <si>
    <t>Beijing Capital Airlines</t>
  </si>
  <si>
    <t>ބެއިޖިންގް ކެޕިޓަލް</t>
  </si>
  <si>
    <t>Silk Air</t>
  </si>
  <si>
    <t>ސިލްކް އެއަރ</t>
  </si>
  <si>
    <t>Mihin Lanka</t>
  </si>
  <si>
    <t>މިހިން ލަންކާ</t>
  </si>
  <si>
    <t>Shanghai Airlines</t>
  </si>
  <si>
    <t>ޝަންގްހައި އެއަރލައިންސް</t>
  </si>
  <si>
    <t>Mahan Air</t>
  </si>
  <si>
    <t>މަހަން އެއަރލއިންސް</t>
  </si>
  <si>
    <t>Lufthansa</t>
  </si>
  <si>
    <t>ލުފްތަންސާ</t>
  </si>
  <si>
    <t>Fits Aviation (Cargo)</t>
  </si>
  <si>
    <t>Table 11.10 (continued)</t>
  </si>
  <si>
    <t>(ELug Wairuk) 11.1 clwvWt</t>
  </si>
  <si>
    <t>International Charter</t>
  </si>
  <si>
    <t xml:space="preserve"> cawtuTiawlcf rWTrWC ImWvcqwlwniawb</t>
  </si>
  <si>
    <t>Sichuan Airlines</t>
  </si>
  <si>
    <t>ސިޗުއަން އެއަރލައިންސް</t>
  </si>
  <si>
    <t>International Non-Scheduled</t>
  </si>
  <si>
    <t xml:space="preserve">     cawtcTiawlcf Wvuniawfihejwmwh cnutogImiaWd</t>
  </si>
  <si>
    <t>Domestic flights</t>
  </si>
  <si>
    <t xml:space="preserve">           cawtcTiawlcf egEjcaWr</t>
  </si>
  <si>
    <t>Island Aviation</t>
  </si>
  <si>
    <t>cnwxEaivEacDcneliawa</t>
  </si>
  <si>
    <t>Flyme</t>
  </si>
  <si>
    <t>ފްލައިމީ</t>
  </si>
  <si>
    <t xml:space="preserve">Trans Maldivian Airways </t>
  </si>
  <si>
    <t xml:space="preserve">   csEvrwaea cnwaiviDclOm  cscnWrcT</t>
  </si>
  <si>
    <t>Maldivian Air Taxi</t>
  </si>
  <si>
    <t>Other Domestic 1_/</t>
  </si>
  <si>
    <t>1_/ cawtcTiawlcf egEjcaWr cnehinehea</t>
  </si>
  <si>
    <t>1_/  Includes movements by photo, training, technical and surveillance flights</t>
  </si>
  <si>
    <t>.evekwtcTiawlcf WviretctWkwrwH iawgukwtcscnwlEvrws idwa Wmwkcnwk clwkinckeT ,gcninErcT ,cnugenOTof Inenemih iawgiawbim 1_/</t>
  </si>
  <si>
    <t>Source: Civil Aviation Authority</t>
  </si>
  <si>
    <t>މައުލޫމާތު ދެއްވީ: ސިވިލް އޭވިއޭޝަން އޮތޯރިޓީ</t>
  </si>
  <si>
    <t>(OgWk) cnwxEaivEa cscTif</t>
  </si>
  <si>
    <t>IsckeT rwaea cnwaiviDclOm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</si>
</sst>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General_)"/>
    <numFmt numFmtId="165" formatCode="0.0"/>
    <numFmt numFmtId="166" formatCode="_(* #,##0_);_(* \(#,##0\);_(* &quot;-&quot;??_);_(@_)"/>
    <numFmt numFmtId="167" formatCode="[$-409]mmmm\ d\,\ yyyy;@"/>
  </numFmts>
  <fonts count="3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u/>
      <sz val="10"/>
      <color indexed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9"/>
      <name val="Calibri"/>
      <family val="2"/>
      <scheme val="minor"/>
    </font>
    <font>
      <sz val="10"/>
      <name val="Faruma"/>
    </font>
    <font>
      <sz val="10"/>
      <name val="Courier"/>
      <family val="3"/>
    </font>
    <font>
      <b/>
      <sz val="9"/>
      <name val="A_Randhoo"/>
    </font>
    <font>
      <sz val="9"/>
      <name val="A_Randhoo"/>
    </font>
    <font>
      <sz val="9"/>
      <name val="Arial"/>
      <family val="2"/>
    </font>
    <font>
      <sz val="10"/>
      <name val="MS Sans Serif"/>
      <family val="2"/>
    </font>
    <font>
      <sz val="11"/>
      <color theme="1"/>
      <name val="Calibri"/>
      <family val="2"/>
      <charset val="1"/>
      <scheme val="minor"/>
    </font>
    <font>
      <b/>
      <sz val="12"/>
      <name val="A_Randhoo"/>
    </font>
    <font>
      <b/>
      <sz val="9"/>
      <name val="Akuru"/>
      <family val="2"/>
      <charset val="2"/>
    </font>
    <font>
      <sz val="9"/>
      <name val="Akuru"/>
      <family val="2"/>
      <charset val="2"/>
    </font>
    <font>
      <b/>
      <sz val="10"/>
      <name val="A_Randhoo"/>
    </font>
    <font>
      <b/>
      <sz val="11"/>
      <color rgb="FFFF0000"/>
      <name val="Calibri"/>
      <family val="2"/>
      <scheme val="minor"/>
    </font>
    <font>
      <sz val="10"/>
      <name val="A_Randhoo"/>
    </font>
    <font>
      <sz val="10"/>
      <name val="A_Reethi"/>
    </font>
    <font>
      <sz val="10"/>
      <name val="Aammu HimaThedhu"/>
    </font>
    <font>
      <sz val="9"/>
      <name val="Aammu HimaThedhu"/>
    </font>
    <font>
      <sz val="9"/>
      <name val="Courier"/>
      <family val="3"/>
    </font>
    <font>
      <sz val="10"/>
      <name val="A_Haleem Sameydhaan Rasmee"/>
      <family val="2"/>
      <charset val="2"/>
    </font>
    <font>
      <sz val="9"/>
      <name val="A_Reethi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1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hair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hair">
        <color theme="1"/>
      </bottom>
      <diagonal/>
    </border>
    <border>
      <left style="thin">
        <color theme="0"/>
      </left>
      <right/>
      <top/>
      <bottom style="thin">
        <color theme="1"/>
      </bottom>
      <diagonal/>
    </border>
  </borders>
  <cellStyleXfs count="1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6" fillId="0" borderId="0"/>
    <xf numFmtId="0" fontId="6" fillId="0" borderId="0"/>
    <xf numFmtId="164" fontId="12" fillId="0" borderId="0"/>
    <xf numFmtId="40" fontId="16" fillId="0" borderId="0" applyFont="0" applyFill="0" applyBorder="0" applyAlignment="0" applyProtection="0"/>
    <xf numFmtId="166" fontId="12" fillId="0" borderId="0"/>
    <xf numFmtId="166" fontId="12" fillId="0" borderId="0"/>
    <xf numFmtId="165" fontId="12" fillId="0" borderId="0" applyFont="0" applyFill="0" applyBorder="0" applyAlignment="0" applyProtection="0"/>
    <xf numFmtId="0" fontId="17" fillId="0" borderId="0"/>
    <xf numFmtId="164" fontId="12" fillId="0" borderId="0"/>
    <xf numFmtId="167" fontId="12" fillId="0" borderId="0" applyFont="0" applyFill="0" applyBorder="0" applyAlignment="0" applyProtection="0"/>
    <xf numFmtId="0" fontId="6" fillId="0" borderId="0"/>
    <xf numFmtId="0" fontId="6" fillId="0" borderId="0"/>
  </cellStyleXfs>
  <cellXfs count="113">
    <xf numFmtId="0" fontId="0" fillId="0" borderId="0" xfId="0"/>
    <xf numFmtId="164" fontId="0" fillId="2" borderId="0" xfId="0" applyNumberFormat="1" applyFill="1"/>
    <xf numFmtId="164" fontId="19" fillId="2" borderId="0" xfId="5" applyNumberFormat="1" applyFont="1" applyFill="1" applyBorder="1" applyAlignment="1" applyProtection="1">
      <alignment horizontal="left" vertical="center"/>
    </xf>
    <xf numFmtId="0" fontId="7" fillId="2" borderId="0" xfId="13" applyFont="1" applyFill="1" applyAlignment="1">
      <alignment vertical="center"/>
    </xf>
    <xf numFmtId="164" fontId="3" fillId="2" borderId="7" xfId="5" applyNumberFormat="1" applyFont="1" applyFill="1" applyBorder="1" applyAlignment="1" applyProtection="1">
      <alignment horizontal="left" vertical="center"/>
    </xf>
    <xf numFmtId="164" fontId="20" fillId="2" borderId="7" xfId="5" applyNumberFormat="1" applyFont="1" applyFill="1" applyBorder="1" applyAlignment="1">
      <alignment horizontal="right" vertical="center"/>
    </xf>
    <xf numFmtId="164" fontId="21" fillId="2" borderId="7" xfId="5" applyNumberFormat="1" applyFont="1" applyFill="1" applyBorder="1" applyAlignment="1">
      <alignment horizontal="right" vertical="center"/>
    </xf>
    <xf numFmtId="164" fontId="13" fillId="2" borderId="0" xfId="5" applyNumberFormat="1" applyFont="1" applyFill="1" applyBorder="1" applyAlignment="1">
      <alignment horizontal="right" vertical="center"/>
    </xf>
    <xf numFmtId="164" fontId="3" fillId="2" borderId="7" xfId="5" applyNumberFormat="1" applyFont="1" applyFill="1" applyBorder="1" applyAlignment="1" applyProtection="1">
      <alignment horizontal="center" vertical="center"/>
    </xf>
    <xf numFmtId="164" fontId="21" fillId="2" borderId="7" xfId="5" applyNumberFormat="1" applyFont="1" applyFill="1" applyBorder="1" applyAlignment="1">
      <alignment horizontal="center" vertical="center"/>
    </xf>
    <xf numFmtId="0" fontId="15" fillId="2" borderId="0" xfId="13" applyFont="1" applyFill="1" applyBorder="1" applyAlignment="1">
      <alignment vertical="center"/>
    </xf>
    <xf numFmtId="164" fontId="3" fillId="2" borderId="0" xfId="5" applyNumberFormat="1" applyFont="1" applyFill="1" applyBorder="1" applyAlignment="1" applyProtection="1">
      <alignment horizontal="left" vertical="center"/>
    </xf>
    <xf numFmtId="164" fontId="21" fillId="2" borderId="0" xfId="5" applyNumberFormat="1" applyFont="1" applyFill="1" applyBorder="1" applyAlignment="1">
      <alignment horizontal="right" vertical="center"/>
    </xf>
    <xf numFmtId="164" fontId="21" fillId="2" borderId="0" xfId="5" applyNumberFormat="1" applyFont="1" applyFill="1" applyAlignment="1">
      <alignment horizontal="right" vertical="center"/>
    </xf>
    <xf numFmtId="164" fontId="21" fillId="2" borderId="0" xfId="5" applyNumberFormat="1" applyFont="1" applyFill="1" applyBorder="1" applyAlignment="1">
      <alignment horizontal="right" vertical="center" wrapText="1"/>
    </xf>
    <xf numFmtId="0" fontId="21" fillId="2" borderId="0" xfId="13" applyFont="1" applyFill="1" applyBorder="1" applyAlignment="1">
      <alignment horizontal="right"/>
    </xf>
    <xf numFmtId="164" fontId="22" fillId="2" borderId="0" xfId="0" applyNumberFormat="1" applyFont="1" applyFill="1"/>
    <xf numFmtId="164" fontId="3" fillId="2" borderId="7" xfId="5" applyNumberFormat="1" applyFont="1" applyFill="1" applyBorder="1" applyAlignment="1">
      <alignment vertical="center"/>
    </xf>
    <xf numFmtId="164" fontId="3" fillId="2" borderId="7" xfId="5" applyNumberFormat="1" applyFont="1" applyFill="1" applyBorder="1" applyAlignment="1" applyProtection="1">
      <alignment horizontal="right" vertical="center"/>
    </xf>
    <xf numFmtId="0" fontId="8" fillId="2" borderId="7" xfId="13" applyFont="1" applyFill="1" applyBorder="1" applyAlignment="1"/>
    <xf numFmtId="164" fontId="8" fillId="2" borderId="0" xfId="5" applyNumberFormat="1" applyFont="1" applyFill="1" applyBorder="1" applyAlignment="1">
      <alignment vertical="center"/>
    </xf>
    <xf numFmtId="38" fontId="8" fillId="2" borderId="0" xfId="6" applyNumberFormat="1" applyFont="1" applyFill="1" applyBorder="1" applyAlignment="1">
      <alignment horizontal="right" vertical="center" wrapText="1"/>
    </xf>
    <xf numFmtId="0" fontId="21" fillId="2" borderId="0" xfId="13" applyFont="1" applyFill="1" applyAlignment="1">
      <alignment horizontal="right"/>
    </xf>
    <xf numFmtId="38" fontId="8" fillId="2" borderId="0" xfId="6" applyNumberFormat="1" applyFont="1" applyFill="1" applyBorder="1" applyAlignment="1">
      <alignment horizontal="right" vertical="top" wrapText="1"/>
    </xf>
    <xf numFmtId="164" fontId="8" fillId="2" borderId="0" xfId="5" applyNumberFormat="1" applyFont="1" applyFill="1" applyAlignment="1" applyProtection="1">
      <alignment horizontal="left" vertical="center"/>
    </xf>
    <xf numFmtId="0" fontId="21" fillId="2" borderId="0" xfId="13" applyFont="1" applyFill="1" applyAlignment="1">
      <alignment horizontal="right" wrapText="1"/>
    </xf>
    <xf numFmtId="164" fontId="9" fillId="2" borderId="0" xfId="0" applyNumberFormat="1" applyFont="1" applyFill="1" applyAlignment="1" applyProtection="1">
      <alignment horizontal="left" vertical="center"/>
    </xf>
    <xf numFmtId="0" fontId="23" fillId="2" borderId="0" xfId="13" applyFont="1" applyFill="1" applyAlignment="1">
      <alignment horizontal="right"/>
    </xf>
    <xf numFmtId="0" fontId="23" fillId="2" borderId="0" xfId="13" applyFont="1" applyFill="1" applyBorder="1" applyAlignment="1">
      <alignment horizontal="right"/>
    </xf>
    <xf numFmtId="0" fontId="24" fillId="2" borderId="0" xfId="13" applyFont="1" applyFill="1" applyBorder="1" applyAlignment="1">
      <alignment horizontal="right"/>
    </xf>
    <xf numFmtId="164" fontId="9" fillId="2" borderId="0" xfId="0" applyNumberFormat="1" applyFont="1" applyFill="1" applyBorder="1" applyAlignment="1" applyProtection="1">
      <alignment horizontal="left" vertical="center"/>
    </xf>
    <xf numFmtId="164" fontId="9" fillId="2" borderId="0" xfId="0" applyNumberFormat="1" applyFont="1" applyFill="1" applyAlignment="1">
      <alignment horizontal="left" vertical="center"/>
    </xf>
    <xf numFmtId="164" fontId="9" fillId="2" borderId="0" xfId="5" applyNumberFormat="1" applyFont="1" applyFill="1" applyAlignment="1" applyProtection="1">
      <alignment horizontal="left" vertical="center"/>
    </xf>
    <xf numFmtId="0" fontId="11" fillId="2" borderId="0" xfId="13" applyFont="1" applyFill="1" applyAlignment="1">
      <alignment horizontal="right"/>
    </xf>
    <xf numFmtId="0" fontId="24" fillId="2" borderId="0" xfId="0" applyNumberFormat="1" applyFont="1" applyFill="1" applyAlignment="1">
      <alignment horizontal="right"/>
    </xf>
    <xf numFmtId="0" fontId="23" fillId="2" borderId="0" xfId="0" applyNumberFormat="1" applyFont="1" applyFill="1" applyAlignment="1">
      <alignment horizontal="right"/>
    </xf>
    <xf numFmtId="164" fontId="9" fillId="2" borderId="0" xfId="0" applyNumberFormat="1" applyFont="1" applyFill="1" applyAlignment="1" applyProtection="1">
      <alignment vertical="center"/>
    </xf>
    <xf numFmtId="0" fontId="24" fillId="2" borderId="0" xfId="0" applyNumberFormat="1" applyFont="1" applyFill="1" applyAlignment="1">
      <alignment horizontal="right" vertical="center"/>
    </xf>
    <xf numFmtId="0" fontId="23" fillId="2" borderId="0" xfId="0" applyNumberFormat="1" applyFont="1" applyFill="1" applyAlignment="1">
      <alignment horizontal="right" vertical="center"/>
    </xf>
    <xf numFmtId="164" fontId="9" fillId="2" borderId="0" xfId="5" applyNumberFormat="1" applyFont="1" applyFill="1" applyAlignment="1" applyProtection="1">
      <alignment vertical="center"/>
    </xf>
    <xf numFmtId="164" fontId="9" fillId="2" borderId="7" xfId="0" applyNumberFormat="1" applyFont="1" applyFill="1" applyBorder="1" applyAlignment="1" applyProtection="1">
      <alignment horizontal="left" vertical="center"/>
    </xf>
    <xf numFmtId="3" fontId="15" fillId="2" borderId="7" xfId="5" applyNumberFormat="1" applyFont="1" applyFill="1" applyBorder="1" applyAlignment="1" applyProtection="1">
      <alignment horizontal="right" vertical="center"/>
    </xf>
    <xf numFmtId="3" fontId="15" fillId="2" borderId="7" xfId="6" applyNumberFormat="1" applyFont="1" applyFill="1" applyBorder="1" applyAlignment="1" applyProtection="1">
      <alignment vertical="center"/>
    </xf>
    <xf numFmtId="3" fontId="15" fillId="2" borderId="7" xfId="6" applyNumberFormat="1" applyFont="1" applyFill="1" applyBorder="1" applyAlignment="1" applyProtection="1">
      <alignment horizontal="right" vertical="center"/>
    </xf>
    <xf numFmtId="0" fontId="21" fillId="2" borderId="7" xfId="13" applyFont="1" applyFill="1" applyBorder="1" applyAlignment="1">
      <alignment horizontal="right"/>
    </xf>
    <xf numFmtId="164" fontId="19" fillId="2" borderId="6" xfId="5" applyNumberFormat="1" applyFont="1" applyFill="1" applyBorder="1" applyAlignment="1" applyProtection="1">
      <alignment horizontal="left" vertical="center"/>
    </xf>
    <xf numFmtId="164" fontId="20" fillId="2" borderId="11" xfId="5" applyNumberFormat="1" applyFont="1" applyFill="1" applyBorder="1" applyAlignment="1">
      <alignment horizontal="right" vertical="center"/>
    </xf>
    <xf numFmtId="164" fontId="13" fillId="2" borderId="11" xfId="5" applyNumberFormat="1" applyFont="1" applyFill="1" applyBorder="1" applyAlignment="1">
      <alignment horizontal="right" vertical="center"/>
    </xf>
    <xf numFmtId="164" fontId="13" fillId="2" borderId="6" xfId="5" applyNumberFormat="1" applyFont="1" applyFill="1" applyBorder="1" applyAlignment="1">
      <alignment horizontal="right" vertical="center"/>
    </xf>
    <xf numFmtId="164" fontId="3" fillId="2" borderId="11" xfId="5" applyNumberFormat="1" applyFont="1" applyFill="1" applyBorder="1" applyAlignment="1" applyProtection="1">
      <alignment horizontal="center" vertical="center"/>
    </xf>
    <xf numFmtId="164" fontId="13" fillId="2" borderId="11" xfId="5" applyNumberFormat="1" applyFont="1" applyFill="1" applyBorder="1" applyAlignment="1">
      <alignment horizontal="center" vertical="center"/>
    </xf>
    <xf numFmtId="0" fontId="25" fillId="2" borderId="6" xfId="13" applyFont="1" applyFill="1" applyBorder="1" applyAlignment="1">
      <alignment horizontal="right"/>
    </xf>
    <xf numFmtId="164" fontId="13" fillId="2" borderId="0" xfId="5" applyNumberFormat="1" applyFont="1" applyFill="1" applyAlignment="1">
      <alignment horizontal="right" vertical="center"/>
    </xf>
    <xf numFmtId="0" fontId="8" fillId="2" borderId="7" xfId="13" applyFont="1" applyFill="1" applyBorder="1" applyAlignment="1">
      <alignment horizontal="right"/>
    </xf>
    <xf numFmtId="0" fontId="21" fillId="2" borderId="14" xfId="13" applyFont="1" applyFill="1" applyBorder="1" applyAlignment="1">
      <alignment horizontal="right"/>
    </xf>
    <xf numFmtId="0" fontId="24" fillId="2" borderId="9" xfId="13" applyFont="1" applyFill="1" applyBorder="1" applyAlignment="1">
      <alignment horizontal="right"/>
    </xf>
    <xf numFmtId="0" fontId="23" fillId="2" borderId="9" xfId="13" applyFont="1" applyFill="1" applyBorder="1" applyAlignment="1">
      <alignment horizontal="right"/>
    </xf>
    <xf numFmtId="38" fontId="23" fillId="2" borderId="9" xfId="6" applyNumberFormat="1" applyFont="1" applyFill="1" applyBorder="1" applyAlignment="1">
      <alignment horizontal="right"/>
    </xf>
    <xf numFmtId="38" fontId="23" fillId="2" borderId="13" xfId="6" applyNumberFormat="1" applyFont="1" applyFill="1" applyBorder="1" applyAlignment="1">
      <alignment horizontal="right"/>
    </xf>
    <xf numFmtId="38" fontId="23" fillId="2" borderId="12" xfId="6" applyNumberFormat="1" applyFont="1" applyFill="1" applyBorder="1" applyAlignment="1">
      <alignment horizontal="right"/>
    </xf>
    <xf numFmtId="38" fontId="26" fillId="2" borderId="0" xfId="6" applyNumberFormat="1" applyFont="1" applyFill="1" applyAlignment="1">
      <alignment vertical="center"/>
    </xf>
    <xf numFmtId="38" fontId="15" fillId="2" borderId="0" xfId="6" applyNumberFormat="1" applyFont="1" applyFill="1" applyAlignment="1">
      <alignment vertical="center"/>
    </xf>
    <xf numFmtId="38" fontId="27" fillId="2" borderId="0" xfId="6" applyNumberFormat="1" applyFont="1" applyFill="1"/>
    <xf numFmtId="164" fontId="10" fillId="2" borderId="0" xfId="5" applyNumberFormat="1" applyFont="1" applyFill="1" applyBorder="1" applyAlignment="1" applyProtection="1">
      <alignment horizontal="left" vertical="center"/>
    </xf>
    <xf numFmtId="164" fontId="4" fillId="2" borderId="0" xfId="5" applyNumberFormat="1" applyFont="1" applyFill="1" applyBorder="1" applyAlignment="1" applyProtection="1">
      <alignment horizontal="right" vertical="center"/>
    </xf>
    <xf numFmtId="37" fontId="4" fillId="2" borderId="0" xfId="5" applyNumberFormat="1" applyFont="1" applyFill="1" applyBorder="1" applyAlignment="1" applyProtection="1">
      <alignment horizontal="right" vertical="center"/>
    </xf>
    <xf numFmtId="37" fontId="15" fillId="2" borderId="0" xfId="5" applyNumberFormat="1" applyFont="1" applyFill="1" applyBorder="1" applyAlignment="1" applyProtection="1">
      <alignment horizontal="right" vertical="center"/>
    </xf>
    <xf numFmtId="37" fontId="14" fillId="2" borderId="0" xfId="5" applyNumberFormat="1" applyFont="1" applyFill="1" applyBorder="1" applyAlignment="1" applyProtection="1">
      <alignment horizontal="right" vertical="center"/>
    </xf>
    <xf numFmtId="0" fontId="14" fillId="2" borderId="0" xfId="13" applyFont="1" applyFill="1" applyAlignment="1">
      <alignment vertical="center"/>
    </xf>
    <xf numFmtId="164" fontId="23" fillId="2" borderId="0" xfId="5" applyNumberFormat="1" applyFont="1" applyFill="1" applyBorder="1" applyAlignment="1">
      <alignment horizontal="right"/>
    </xf>
    <xf numFmtId="164" fontId="10" fillId="2" borderId="0" xfId="5" applyNumberFormat="1" applyFont="1" applyFill="1" applyAlignment="1" applyProtection="1">
      <alignment horizontal="left" vertical="center"/>
    </xf>
    <xf numFmtId="37" fontId="4" fillId="2" borderId="0" xfId="5" applyNumberFormat="1" applyFont="1" applyFill="1" applyAlignment="1" applyProtection="1">
      <alignment vertical="center"/>
    </xf>
    <xf numFmtId="37" fontId="15" fillId="2" borderId="0" xfId="5" applyNumberFormat="1" applyFont="1" applyFill="1" applyAlignment="1" applyProtection="1">
      <alignment vertical="center"/>
    </xf>
    <xf numFmtId="0" fontId="14" fillId="2" borderId="0" xfId="14" applyFont="1" applyFill="1" applyAlignment="1">
      <alignment vertical="center"/>
    </xf>
    <xf numFmtId="0" fontId="11" fillId="2" borderId="4" xfId="0" applyNumberFormat="1" applyFont="1" applyFill="1" applyBorder="1" applyAlignment="1">
      <alignment horizontal="right" vertical="center"/>
    </xf>
    <xf numFmtId="164" fontId="15" fillId="2" borderId="0" xfId="5" applyNumberFormat="1" applyFont="1" applyFill="1" applyAlignment="1">
      <alignment vertical="center"/>
    </xf>
    <xf numFmtId="164" fontId="15" fillId="2" borderId="0" xfId="5" applyNumberFormat="1" applyFont="1" applyFill="1" applyBorder="1" applyAlignment="1">
      <alignment vertical="center"/>
    </xf>
    <xf numFmtId="0" fontId="15" fillId="2" borderId="0" xfId="13" applyFont="1" applyFill="1" applyAlignment="1">
      <alignment vertical="center"/>
    </xf>
    <xf numFmtId="164" fontId="0" fillId="2" borderId="0" xfId="0" applyNumberFormat="1" applyFill="1" applyBorder="1"/>
    <xf numFmtId="38" fontId="8" fillId="2" borderId="1" xfId="6" applyNumberFormat="1" applyFont="1" applyFill="1" applyBorder="1" applyAlignment="1" applyProtection="1">
      <alignment horizontal="right" vertical="center" wrapText="1"/>
    </xf>
    <xf numFmtId="38" fontId="9" fillId="2" borderId="1" xfId="6" applyNumberFormat="1" applyFont="1" applyFill="1" applyBorder="1" applyAlignment="1">
      <alignment horizontal="right" vertical="center" wrapText="1"/>
    </xf>
    <xf numFmtId="38" fontId="9" fillId="2" borderId="1" xfId="6" applyNumberFormat="1" applyFont="1" applyFill="1" applyBorder="1" applyAlignment="1">
      <alignment horizontal="right" vertical="center"/>
    </xf>
    <xf numFmtId="38" fontId="9" fillId="2" borderId="1" xfId="6" applyNumberFormat="1" applyFont="1" applyFill="1" applyBorder="1" applyAlignment="1" applyProtection="1">
      <alignment horizontal="right" vertical="center" wrapText="1"/>
    </xf>
    <xf numFmtId="38" fontId="9" fillId="2" borderId="1" xfId="6" applyNumberFormat="1" applyFont="1" applyFill="1" applyBorder="1" applyAlignment="1" applyProtection="1">
      <alignment horizontal="right" vertical="center"/>
    </xf>
    <xf numFmtId="38" fontId="9" fillId="2" borderId="2" xfId="6" applyNumberFormat="1" applyFont="1" applyFill="1" applyBorder="1" applyAlignment="1">
      <alignment horizontal="right" vertical="center"/>
    </xf>
    <xf numFmtId="38" fontId="9" fillId="2" borderId="2" xfId="6" applyNumberFormat="1" applyFont="1" applyFill="1" applyBorder="1" applyAlignment="1">
      <alignment horizontal="right" vertical="center" wrapText="1"/>
    </xf>
    <xf numFmtId="38" fontId="9" fillId="2" borderId="5" xfId="6" applyNumberFormat="1" applyFont="1" applyFill="1" applyBorder="1" applyAlignment="1">
      <alignment horizontal="right" vertical="center" wrapText="1"/>
    </xf>
    <xf numFmtId="38" fontId="9" fillId="2" borderId="5" xfId="6" applyNumberFormat="1" applyFont="1" applyFill="1" applyBorder="1" applyAlignment="1" applyProtection="1">
      <alignment horizontal="right" vertical="center" wrapText="1"/>
    </xf>
    <xf numFmtId="38" fontId="9" fillId="2" borderId="5" xfId="6" applyNumberFormat="1" applyFont="1" applyFill="1" applyBorder="1" applyAlignment="1" applyProtection="1">
      <alignment horizontal="right" vertical="center"/>
    </xf>
    <xf numFmtId="164" fontId="8" fillId="2" borderId="8" xfId="5" applyNumberFormat="1" applyFont="1" applyFill="1" applyBorder="1" applyAlignment="1" applyProtection="1">
      <alignment horizontal="left" vertical="center"/>
    </xf>
    <xf numFmtId="38" fontId="8" fillId="2" borderId="8" xfId="6" applyNumberFormat="1" applyFont="1" applyFill="1" applyBorder="1" applyAlignment="1" applyProtection="1">
      <alignment horizontal="right" vertical="center"/>
    </xf>
    <xf numFmtId="164" fontId="9" fillId="2" borderId="1" xfId="0" applyNumberFormat="1" applyFont="1" applyFill="1" applyBorder="1" applyAlignment="1" applyProtection="1">
      <alignment horizontal="left" vertical="center" indent="1"/>
    </xf>
    <xf numFmtId="38" fontId="9" fillId="2" borderId="1" xfId="6" applyNumberFormat="1" applyFont="1" applyFill="1" applyBorder="1" applyAlignment="1" applyProtection="1">
      <alignment horizontal="left" vertical="center" indent="1"/>
    </xf>
    <xf numFmtId="38" fontId="9" fillId="2" borderId="2" xfId="6" applyNumberFormat="1" applyFont="1" applyFill="1" applyBorder="1" applyAlignment="1" applyProtection="1">
      <alignment horizontal="left" vertical="center" indent="1"/>
    </xf>
    <xf numFmtId="38" fontId="9" fillId="2" borderId="5" xfId="6" applyNumberFormat="1" applyFont="1" applyFill="1" applyBorder="1" applyAlignment="1" applyProtection="1">
      <alignment horizontal="left" vertical="center" indent="1"/>
    </xf>
    <xf numFmtId="38" fontId="9" fillId="2" borderId="5" xfId="6" applyNumberFormat="1" applyFont="1" applyFill="1" applyBorder="1" applyAlignment="1" applyProtection="1">
      <alignment horizontal="right" vertical="center" wrapText="1"/>
      <protection locked="0"/>
    </xf>
    <xf numFmtId="164" fontId="2" fillId="2" borderId="7" xfId="5" applyNumberFormat="1" applyFont="1" applyFill="1" applyBorder="1" applyAlignment="1" applyProtection="1">
      <alignment horizontal="center" vertical="center"/>
    </xf>
    <xf numFmtId="164" fontId="8" fillId="2" borderId="4" xfId="5" applyNumberFormat="1" applyFont="1" applyFill="1" applyBorder="1" applyAlignment="1" applyProtection="1">
      <alignment horizontal="left" vertical="center"/>
    </xf>
    <xf numFmtId="164" fontId="9" fillId="2" borderId="2" xfId="5" applyNumberFormat="1" applyFont="1" applyFill="1" applyBorder="1" applyAlignment="1" applyProtection="1">
      <alignment horizontal="left" vertical="center"/>
    </xf>
    <xf numFmtId="38" fontId="9" fillId="2" borderId="2" xfId="6" applyNumberFormat="1" applyFont="1" applyFill="1" applyBorder="1" applyAlignment="1" applyProtection="1">
      <alignment horizontal="right" vertical="center"/>
    </xf>
    <xf numFmtId="0" fontId="24" fillId="2" borderId="13" xfId="13" applyFont="1" applyFill="1" applyBorder="1" applyAlignment="1">
      <alignment horizontal="right"/>
    </xf>
    <xf numFmtId="38" fontId="8" fillId="2" borderId="4" xfId="6" applyNumberFormat="1" applyFont="1" applyFill="1" applyBorder="1" applyAlignment="1" applyProtection="1">
      <alignment horizontal="right" vertical="center"/>
    </xf>
    <xf numFmtId="164" fontId="21" fillId="2" borderId="10" xfId="5" applyNumberFormat="1" applyFont="1" applyFill="1" applyBorder="1" applyAlignment="1">
      <alignment horizontal="right"/>
    </xf>
    <xf numFmtId="164" fontId="8" fillId="2" borderId="16" xfId="5" applyNumberFormat="1" applyFont="1" applyFill="1" applyBorder="1" applyAlignment="1" applyProtection="1">
      <alignment horizontal="left" vertical="center"/>
    </xf>
    <xf numFmtId="38" fontId="8" fillId="2" borderId="16" xfId="6" applyNumberFormat="1" applyFont="1" applyFill="1" applyBorder="1" applyAlignment="1">
      <alignment horizontal="right" vertical="center"/>
    </xf>
    <xf numFmtId="38" fontId="8" fillId="2" borderId="16" xfId="6" applyNumberFormat="1" applyFont="1" applyFill="1" applyBorder="1" applyAlignment="1">
      <alignment horizontal="right" vertical="center" wrapText="1"/>
    </xf>
    <xf numFmtId="164" fontId="21" fillId="2" borderId="15" xfId="5" applyNumberFormat="1" applyFont="1" applyFill="1" applyBorder="1" applyAlignment="1" applyProtection="1">
      <alignment horizontal="right"/>
    </xf>
    <xf numFmtId="0" fontId="28" fillId="2" borderId="0" xfId="13" applyFont="1" applyFill="1" applyAlignment="1">
      <alignment horizontal="right"/>
    </xf>
    <xf numFmtId="38" fontId="9" fillId="2" borderId="3" xfId="6" applyNumberFormat="1" applyFont="1" applyFill="1" applyBorder="1" applyAlignment="1" applyProtection="1">
      <alignment horizontal="right" vertical="center" wrapText="1"/>
    </xf>
    <xf numFmtId="0" fontId="28" fillId="2" borderId="17" xfId="13" applyFont="1" applyFill="1" applyBorder="1" applyAlignment="1">
      <alignment horizontal="right"/>
    </xf>
    <xf numFmtId="0" fontId="29" fillId="2" borderId="0" xfId="13" applyFont="1" applyFill="1" applyAlignment="1">
      <alignment horizontal="right"/>
    </xf>
    <xf numFmtId="164" fontId="18" fillId="2" borderId="0" xfId="5" applyNumberFormat="1" applyFont="1" applyFill="1" applyAlignment="1">
      <alignment horizontal="center" vertical="center"/>
    </xf>
    <xf numFmtId="164" fontId="2" fillId="2" borderId="0" xfId="5" applyNumberFormat="1" applyFont="1" applyFill="1" applyBorder="1" applyAlignment="1" applyProtection="1">
      <alignment horizontal="center" vertical="center"/>
    </xf>
  </cellXfs>
  <cellStyles count="15">
    <cellStyle name="Comma 2" xfId="6"/>
    <cellStyle name="Comma 4" xfId="9"/>
    <cellStyle name="Comma 4 2" xfId="12"/>
    <cellStyle name="Hyperlink 2" xfId="1"/>
    <cellStyle name="Normal" xfId="0" builtinId="0"/>
    <cellStyle name="Normal 2" xfId="5"/>
    <cellStyle name="Normal 2 2" xfId="11"/>
    <cellStyle name="Normal 2 3" xfId="3"/>
    <cellStyle name="Normal 3" xfId="7"/>
    <cellStyle name="Normal 3 2" xfId="4"/>
    <cellStyle name="Normal 4" xfId="8"/>
    <cellStyle name="Normal 5" xfId="2"/>
    <cellStyle name="Normal 6" xfId="10"/>
    <cellStyle name="Normal_IX-6(Trans &amp; Comm)" xfId="14"/>
    <cellStyle name="Normal_IX-9(Trans &amp; Comm)" xfId="13"/>
  </cellStyles>
  <dxfs count="0"/>
  <tableStyles count="0" defaultTableStyle="TableStyleMedium9" defaultPivotStyle="PivotStyleLight16"/>
  <colors>
    <mruColors>
      <color rgb="FFB5EEED"/>
      <color rgb="FF1C706E"/>
      <color rgb="FF33CCCC"/>
      <color rgb="FF31C5C1"/>
      <color rgb="FF2CB1AE"/>
      <color rgb="FF11FFFF"/>
      <color rgb="FF75DFDD"/>
      <color rgb="FFB888DC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BF62"/>
  <sheetViews>
    <sheetView tabSelected="1" zoomScaleNormal="100" zoomScaleSheetLayoutView="148" workbookViewId="0">
      <selection activeCell="O26" sqref="O26"/>
    </sheetView>
  </sheetViews>
  <sheetFormatPr defaultColWidth="9.140625" defaultRowHeight="15"/>
  <cols>
    <col min="1" max="1" width="31.42578125" style="1" customWidth="1"/>
    <col min="2" max="2" width="12.7109375" style="1" customWidth="1"/>
    <col min="3" max="4" width="11.85546875" style="1" customWidth="1"/>
    <col min="5" max="5" width="14.85546875" style="1" customWidth="1"/>
    <col min="6" max="6" width="1.85546875" style="1" customWidth="1"/>
    <col min="7" max="8" width="12.42578125" style="1" customWidth="1"/>
    <col min="9" max="9" width="18" style="1" customWidth="1"/>
    <col min="10" max="10" width="3" style="1" customWidth="1"/>
    <col min="11" max="12" width="11.5703125" style="1" customWidth="1"/>
    <col min="13" max="13" width="39.7109375" style="1" customWidth="1"/>
    <col min="14" max="14" width="9.140625" style="1"/>
    <col min="15" max="15" width="18.140625" style="1" bestFit="1" customWidth="1"/>
    <col min="16" max="16384" width="9.140625" style="1"/>
  </cols>
  <sheetData>
    <row r="1" spans="1:15" ht="19.5">
      <c r="A1" s="111" t="s">
        <v>2</v>
      </c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</row>
    <row r="2" spans="1:15" ht="15.75">
      <c r="A2" s="112" t="s">
        <v>3</v>
      </c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</row>
    <row r="3" spans="1:15" s="78" customFormat="1" ht="9.75" customHeight="1">
      <c r="A3" s="96"/>
      <c r="B3" s="96"/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</row>
    <row r="4" spans="1:15" ht="15.75">
      <c r="A4" s="2"/>
      <c r="B4" s="3"/>
      <c r="C4" s="4" t="s">
        <v>4</v>
      </c>
      <c r="D4" s="5"/>
      <c r="E4" s="6" t="s">
        <v>5</v>
      </c>
      <c r="F4" s="7"/>
      <c r="G4" s="4" t="s">
        <v>6</v>
      </c>
      <c r="H4" s="5"/>
      <c r="I4" s="6" t="s">
        <v>7</v>
      </c>
      <c r="J4" s="7"/>
      <c r="K4" s="8" t="s">
        <v>8</v>
      </c>
      <c r="L4" s="9" t="s">
        <v>9</v>
      </c>
      <c r="M4" s="10"/>
    </row>
    <row r="5" spans="1:15" ht="31.5">
      <c r="A5" s="11" t="s">
        <v>10</v>
      </c>
      <c r="B5" s="12" t="s">
        <v>11</v>
      </c>
      <c r="C5" s="12" t="s">
        <v>12</v>
      </c>
      <c r="D5" s="13" t="s">
        <v>13</v>
      </c>
      <c r="E5" s="14" t="s">
        <v>14</v>
      </c>
      <c r="F5" s="12"/>
      <c r="G5" s="12" t="s">
        <v>15</v>
      </c>
      <c r="H5" s="12" t="s">
        <v>16</v>
      </c>
      <c r="I5" s="12" t="s">
        <v>14</v>
      </c>
      <c r="J5" s="12"/>
      <c r="K5" s="12" t="s">
        <v>15</v>
      </c>
      <c r="L5" s="13" t="s">
        <v>16</v>
      </c>
      <c r="M5" s="15" t="s">
        <v>17</v>
      </c>
      <c r="O5" s="16"/>
    </row>
    <row r="6" spans="1:15">
      <c r="A6" s="17"/>
      <c r="B6" s="18" t="s">
        <v>18</v>
      </c>
      <c r="C6" s="18" t="s">
        <v>19</v>
      </c>
      <c r="D6" s="18" t="s">
        <v>20</v>
      </c>
      <c r="E6" s="18" t="s">
        <v>21</v>
      </c>
      <c r="F6" s="18"/>
      <c r="G6" s="18" t="s">
        <v>19</v>
      </c>
      <c r="H6" s="18" t="s">
        <v>20</v>
      </c>
      <c r="I6" s="18" t="s">
        <v>21</v>
      </c>
      <c r="J6" s="18"/>
      <c r="K6" s="18" t="s">
        <v>19</v>
      </c>
      <c r="L6" s="18" t="s">
        <v>20</v>
      </c>
      <c r="M6" s="19"/>
    </row>
    <row r="7" spans="1:15" ht="17.25">
      <c r="A7" s="20" t="s">
        <v>1</v>
      </c>
      <c r="B7" s="21">
        <f>SUM(B8+B54)</f>
        <v>95836</v>
      </c>
      <c r="C7" s="21">
        <f>SUM(C8+C54)</f>
        <v>2285200</v>
      </c>
      <c r="D7" s="21">
        <f>SUM(D8+D54)</f>
        <v>2412007</v>
      </c>
      <c r="E7" s="21">
        <f>SUM(E8+E54)</f>
        <v>119448</v>
      </c>
      <c r="F7" s="21"/>
      <c r="G7" s="21">
        <f>SUM(G8+G54)</f>
        <v>32758397.090000004</v>
      </c>
      <c r="H7" s="21">
        <f>SUM(H8+H54)</f>
        <v>16323393.280000003</v>
      </c>
      <c r="I7" s="21">
        <f>SUM(I8+I54)</f>
        <v>9897363.3199999984</v>
      </c>
      <c r="J7" s="21"/>
      <c r="K7" s="21">
        <f>SUM(K8+K54)</f>
        <v>227637.77999999997</v>
      </c>
      <c r="L7" s="21">
        <f>SUM(L8+L54)</f>
        <v>64751.85</v>
      </c>
      <c r="M7" s="22" t="s">
        <v>0</v>
      </c>
    </row>
    <row r="8" spans="1:15" ht="17.25">
      <c r="A8" s="20" t="s">
        <v>22</v>
      </c>
      <c r="B8" s="23">
        <f>SUM(B9+B51+B53)</f>
        <v>23488</v>
      </c>
      <c r="C8" s="21">
        <f>SUM(C9+C51+C53)</f>
        <v>1533318</v>
      </c>
      <c r="D8" s="21">
        <f>SUM(D9+D51+D53)</f>
        <v>1521251</v>
      </c>
      <c r="E8" s="21">
        <f>SUM(E9+E51+E53)</f>
        <v>119448</v>
      </c>
      <c r="F8" s="21"/>
      <c r="G8" s="21">
        <f>SUM(G9+G51+G53)</f>
        <v>32431204.220000003</v>
      </c>
      <c r="H8" s="21">
        <f>SUM(H9+H51+H53)</f>
        <v>15771471.970000003</v>
      </c>
      <c r="I8" s="21">
        <f>SUM(I9+I51+I53)</f>
        <v>9666061.1999999993</v>
      </c>
      <c r="J8" s="21"/>
      <c r="K8" s="21">
        <f>SUM(K9+K51+K53)</f>
        <v>222448.10999999996</v>
      </c>
      <c r="L8" s="21">
        <f>SUM(L9+L51+L53)</f>
        <v>29094.309999999998</v>
      </c>
      <c r="M8" s="22" t="s">
        <v>23</v>
      </c>
    </row>
    <row r="9" spans="1:15" ht="17.25">
      <c r="A9" s="24" t="s">
        <v>24</v>
      </c>
      <c r="B9" s="79">
        <f>SUM(B10:B46)</f>
        <v>21376</v>
      </c>
      <c r="C9" s="79">
        <f>SUM(C10:C46)</f>
        <v>1504143</v>
      </c>
      <c r="D9" s="79">
        <f>SUM(D10:D46)</f>
        <v>1490728</v>
      </c>
      <c r="E9" s="79">
        <f>SUM(E10:E46)</f>
        <v>119441</v>
      </c>
      <c r="F9" s="79"/>
      <c r="G9" s="79">
        <f>SUM(G10:G46)</f>
        <v>32242382.920000002</v>
      </c>
      <c r="H9" s="79">
        <f>SUM(H10:H46)</f>
        <v>15770918.970000003</v>
      </c>
      <c r="I9" s="79">
        <f>SUM(I10:I46)</f>
        <v>9659489.1999999993</v>
      </c>
      <c r="J9" s="79"/>
      <c r="K9" s="79">
        <f>SUM(K10:K46)</f>
        <v>222448.10999999996</v>
      </c>
      <c r="L9" s="79">
        <f>SUM(L10:L46)</f>
        <v>29094.309999999998</v>
      </c>
      <c r="M9" s="25" t="s">
        <v>25</v>
      </c>
    </row>
    <row r="10" spans="1:15" ht="17.25">
      <c r="A10" s="26" t="s">
        <v>26</v>
      </c>
      <c r="B10" s="80">
        <v>3132</v>
      </c>
      <c r="C10" s="80">
        <v>272782</v>
      </c>
      <c r="D10" s="80">
        <v>247711</v>
      </c>
      <c r="E10" s="80">
        <v>0</v>
      </c>
      <c r="F10" s="81"/>
      <c r="G10" s="80">
        <v>7560038.3400000008</v>
      </c>
      <c r="H10" s="81">
        <v>4151841.0600000005</v>
      </c>
      <c r="I10" s="80">
        <v>3422666.85</v>
      </c>
      <c r="J10" s="81"/>
      <c r="K10" s="80">
        <v>23785.200000000001</v>
      </c>
      <c r="L10" s="80">
        <v>1165.5000000000002</v>
      </c>
      <c r="M10" s="27" t="s">
        <v>27</v>
      </c>
    </row>
    <row r="11" spans="1:15" ht="17.25">
      <c r="A11" s="26" t="s">
        <v>28</v>
      </c>
      <c r="B11" s="80">
        <v>1310</v>
      </c>
      <c r="C11" s="80">
        <v>132883</v>
      </c>
      <c r="D11" s="80">
        <v>135555</v>
      </c>
      <c r="E11" s="82">
        <v>190</v>
      </c>
      <c r="F11" s="83"/>
      <c r="G11" s="80">
        <v>4952860.33</v>
      </c>
      <c r="H11" s="80">
        <v>1179435.33</v>
      </c>
      <c r="I11" s="80">
        <v>11465.2</v>
      </c>
      <c r="J11" s="83"/>
      <c r="K11" s="80">
        <v>89758.28</v>
      </c>
      <c r="L11" s="80">
        <v>2383.2699999999995</v>
      </c>
      <c r="M11" s="27" t="s">
        <v>29</v>
      </c>
    </row>
    <row r="12" spans="1:15" ht="17.25">
      <c r="A12" s="26" t="s">
        <v>30</v>
      </c>
      <c r="B12" s="80">
        <v>2918</v>
      </c>
      <c r="C12" s="80">
        <v>280201</v>
      </c>
      <c r="D12" s="80">
        <v>292133</v>
      </c>
      <c r="E12" s="80">
        <v>40953</v>
      </c>
      <c r="F12" s="83"/>
      <c r="G12" s="80">
        <v>9583930.209999999</v>
      </c>
      <c r="H12" s="80">
        <v>2710384.4699999997</v>
      </c>
      <c r="I12" s="80">
        <v>1318613.4099999999</v>
      </c>
      <c r="J12" s="83"/>
      <c r="K12" s="80">
        <v>3580.71</v>
      </c>
      <c r="L12" s="80">
        <v>10737.94</v>
      </c>
      <c r="M12" s="27" t="s">
        <v>31</v>
      </c>
    </row>
    <row r="13" spans="1:15" ht="17.25">
      <c r="A13" s="26" t="s">
        <v>32</v>
      </c>
      <c r="B13" s="80">
        <v>1102</v>
      </c>
      <c r="C13" s="80">
        <v>61131</v>
      </c>
      <c r="D13" s="80">
        <v>57281</v>
      </c>
      <c r="E13" s="80">
        <v>0</v>
      </c>
      <c r="F13" s="83"/>
      <c r="G13" s="80">
        <v>1224966.7</v>
      </c>
      <c r="H13" s="80">
        <v>9378.2000000000007</v>
      </c>
      <c r="I13" s="82">
        <v>6</v>
      </c>
      <c r="J13" s="83"/>
      <c r="K13" s="82">
        <v>7768.48</v>
      </c>
      <c r="L13" s="80">
        <v>1650.99</v>
      </c>
      <c r="M13" s="27" t="s">
        <v>33</v>
      </c>
    </row>
    <row r="14" spans="1:15" ht="17.25">
      <c r="A14" s="26" t="s">
        <v>34</v>
      </c>
      <c r="B14" s="80">
        <v>1462</v>
      </c>
      <c r="C14" s="80">
        <v>76920</v>
      </c>
      <c r="D14" s="80">
        <v>76069</v>
      </c>
      <c r="E14" s="82">
        <v>0</v>
      </c>
      <c r="F14" s="83"/>
      <c r="G14" s="80">
        <v>270037.33999999997</v>
      </c>
      <c r="H14" s="80">
        <v>1352351.0599999998</v>
      </c>
      <c r="I14" s="80">
        <v>9381.6</v>
      </c>
      <c r="J14" s="83"/>
      <c r="K14" s="80">
        <v>25279.35</v>
      </c>
      <c r="L14" s="80">
        <v>18.8</v>
      </c>
      <c r="M14" s="27" t="s">
        <v>35</v>
      </c>
    </row>
    <row r="15" spans="1:15" ht="17.25">
      <c r="A15" s="26" t="s">
        <v>36</v>
      </c>
      <c r="B15" s="80">
        <v>278</v>
      </c>
      <c r="C15" s="80">
        <v>13701</v>
      </c>
      <c r="D15" s="80">
        <v>14738</v>
      </c>
      <c r="E15" s="80">
        <v>32</v>
      </c>
      <c r="F15" s="81"/>
      <c r="G15" s="80">
        <v>232776.95</v>
      </c>
      <c r="H15" s="80">
        <v>0</v>
      </c>
      <c r="I15" s="80">
        <v>1113</v>
      </c>
      <c r="J15" s="81"/>
      <c r="K15" s="80">
        <v>0</v>
      </c>
      <c r="L15" s="80">
        <v>0</v>
      </c>
      <c r="M15" s="27" t="s">
        <v>37</v>
      </c>
    </row>
    <row r="16" spans="1:15" ht="17.25">
      <c r="A16" s="26" t="s">
        <v>38</v>
      </c>
      <c r="B16" s="80">
        <v>194</v>
      </c>
      <c r="C16" s="80">
        <v>20937</v>
      </c>
      <c r="D16" s="80">
        <v>21139</v>
      </c>
      <c r="E16" s="80">
        <v>0</v>
      </c>
      <c r="F16" s="81"/>
      <c r="G16" s="80">
        <v>348875.9</v>
      </c>
      <c r="H16" s="80">
        <v>29309.309999999998</v>
      </c>
      <c r="I16" s="80">
        <v>529515.23</v>
      </c>
      <c r="J16" s="81"/>
      <c r="K16" s="80">
        <v>6683.3300000000008</v>
      </c>
      <c r="L16" s="80">
        <v>0</v>
      </c>
      <c r="M16" s="27" t="s">
        <v>39</v>
      </c>
    </row>
    <row r="17" spans="1:15" ht="17.25">
      <c r="A17" s="26" t="s">
        <v>40</v>
      </c>
      <c r="B17" s="80">
        <v>206</v>
      </c>
      <c r="C17" s="80">
        <v>14540</v>
      </c>
      <c r="D17" s="80">
        <v>14620</v>
      </c>
      <c r="E17" s="80">
        <v>3271</v>
      </c>
      <c r="F17" s="81"/>
      <c r="G17" s="80">
        <v>107931.9</v>
      </c>
      <c r="H17" s="80">
        <v>126945</v>
      </c>
      <c r="I17" s="80">
        <v>254392.9</v>
      </c>
      <c r="J17" s="81"/>
      <c r="K17" s="80">
        <v>3274.7</v>
      </c>
      <c r="L17" s="80">
        <v>120.9</v>
      </c>
      <c r="M17" s="28" t="s">
        <v>41</v>
      </c>
    </row>
    <row r="18" spans="1:15" ht="17.25">
      <c r="A18" s="26" t="s">
        <v>42</v>
      </c>
      <c r="B18" s="80">
        <v>712</v>
      </c>
      <c r="C18" s="80">
        <v>22935</v>
      </c>
      <c r="D18" s="80">
        <v>23287</v>
      </c>
      <c r="E18" s="80">
        <v>246</v>
      </c>
      <c r="F18" s="81"/>
      <c r="G18" s="80">
        <v>57450.159999999996</v>
      </c>
      <c r="H18" s="80">
        <v>11665.7</v>
      </c>
      <c r="I18" s="80">
        <v>72611.25</v>
      </c>
      <c r="J18" s="81"/>
      <c r="K18" s="80">
        <v>2.1</v>
      </c>
      <c r="L18" s="80">
        <v>0</v>
      </c>
      <c r="M18" s="27" t="s">
        <v>43</v>
      </c>
    </row>
    <row r="19" spans="1:15" ht="18.75">
      <c r="A19" s="26" t="s">
        <v>44</v>
      </c>
      <c r="B19" s="80">
        <v>610</v>
      </c>
      <c r="C19" s="80">
        <v>19469</v>
      </c>
      <c r="D19" s="80">
        <v>20431</v>
      </c>
      <c r="E19" s="80">
        <v>3540</v>
      </c>
      <c r="F19" s="81"/>
      <c r="G19" s="80">
        <v>301868.42000000004</v>
      </c>
      <c r="H19" s="80">
        <v>25096.1</v>
      </c>
      <c r="I19" s="80">
        <v>410</v>
      </c>
      <c r="J19" s="81"/>
      <c r="K19" s="80">
        <v>207.7</v>
      </c>
      <c r="L19" s="80">
        <v>2.1</v>
      </c>
      <c r="M19" s="29" t="s">
        <v>45</v>
      </c>
    </row>
    <row r="20" spans="1:15" ht="17.25">
      <c r="A20" s="26" t="s">
        <v>46</v>
      </c>
      <c r="B20" s="80">
        <v>236</v>
      </c>
      <c r="C20" s="80">
        <v>23309</v>
      </c>
      <c r="D20" s="80">
        <v>23732</v>
      </c>
      <c r="E20" s="80">
        <v>0</v>
      </c>
      <c r="F20" s="81"/>
      <c r="G20" s="80">
        <v>67119.570000000007</v>
      </c>
      <c r="H20" s="80">
        <v>27766.46</v>
      </c>
      <c r="I20" s="80">
        <v>487274.35</v>
      </c>
      <c r="J20" s="81"/>
      <c r="K20" s="80">
        <v>30.399999999999995</v>
      </c>
      <c r="L20" s="80">
        <v>4</v>
      </c>
      <c r="M20" s="28" t="s">
        <v>47</v>
      </c>
    </row>
    <row r="21" spans="1:15" ht="17.25">
      <c r="A21" s="30" t="s">
        <v>48</v>
      </c>
      <c r="B21" s="80">
        <v>1160</v>
      </c>
      <c r="C21" s="80">
        <v>97445</v>
      </c>
      <c r="D21" s="80">
        <v>97818</v>
      </c>
      <c r="E21" s="80">
        <v>3659</v>
      </c>
      <c r="F21" s="81"/>
      <c r="G21" s="80">
        <v>50047.6</v>
      </c>
      <c r="H21" s="80">
        <v>56457</v>
      </c>
      <c r="I21" s="80">
        <v>278727.59999999998</v>
      </c>
      <c r="J21" s="81"/>
      <c r="K21" s="80">
        <v>1528</v>
      </c>
      <c r="L21" s="80">
        <v>2.2999999999999998</v>
      </c>
      <c r="M21" s="28" t="s">
        <v>49</v>
      </c>
    </row>
    <row r="22" spans="1:15" ht="17.25">
      <c r="A22" s="26" t="s">
        <v>50</v>
      </c>
      <c r="B22" s="80">
        <v>72</v>
      </c>
      <c r="C22" s="80">
        <v>7197</v>
      </c>
      <c r="D22" s="80">
        <v>7269</v>
      </c>
      <c r="E22" s="80">
        <v>0</v>
      </c>
      <c r="F22" s="81"/>
      <c r="G22" s="80">
        <v>71584.05</v>
      </c>
      <c r="H22" s="80">
        <v>0</v>
      </c>
      <c r="I22" s="80">
        <v>3812</v>
      </c>
      <c r="J22" s="81"/>
      <c r="K22" s="80">
        <v>8</v>
      </c>
      <c r="L22" s="80">
        <v>0</v>
      </c>
      <c r="M22" s="27" t="s">
        <v>51</v>
      </c>
    </row>
    <row r="23" spans="1:15" ht="17.25">
      <c r="A23" s="26" t="s">
        <v>52</v>
      </c>
      <c r="B23" s="80">
        <v>464</v>
      </c>
      <c r="C23" s="80">
        <v>25208</v>
      </c>
      <c r="D23" s="80">
        <v>25630</v>
      </c>
      <c r="E23" s="80">
        <v>0</v>
      </c>
      <c r="F23" s="81"/>
      <c r="G23" s="80">
        <v>433165.61000000004</v>
      </c>
      <c r="H23" s="80">
        <v>25416.31</v>
      </c>
      <c r="I23" s="80">
        <v>30.5</v>
      </c>
      <c r="J23" s="81"/>
      <c r="K23" s="80">
        <v>28274.9</v>
      </c>
      <c r="L23" s="80">
        <v>242.61</v>
      </c>
      <c r="M23" s="27" t="s">
        <v>53</v>
      </c>
    </row>
    <row r="24" spans="1:15" ht="18">
      <c r="A24" s="26" t="s">
        <v>54</v>
      </c>
      <c r="B24" s="80">
        <v>730</v>
      </c>
      <c r="C24" s="80">
        <v>19216</v>
      </c>
      <c r="D24" s="80">
        <v>18407</v>
      </c>
      <c r="E24" s="80">
        <v>0</v>
      </c>
      <c r="F24" s="81"/>
      <c r="G24" s="80">
        <v>186170</v>
      </c>
      <c r="H24" s="80">
        <v>4901.8</v>
      </c>
      <c r="I24" s="80">
        <v>1</v>
      </c>
      <c r="J24" s="81"/>
      <c r="K24" s="80">
        <v>5.4</v>
      </c>
      <c r="L24" s="80">
        <v>0</v>
      </c>
      <c r="M24" s="110" t="s">
        <v>55</v>
      </c>
    </row>
    <row r="25" spans="1:15" ht="17.25">
      <c r="A25" s="26" t="s">
        <v>56</v>
      </c>
      <c r="B25" s="80">
        <v>34</v>
      </c>
      <c r="C25" s="80">
        <v>2976</v>
      </c>
      <c r="D25" s="80">
        <v>3028</v>
      </c>
      <c r="E25" s="80">
        <v>0</v>
      </c>
      <c r="F25" s="81"/>
      <c r="G25" s="80">
        <v>396.3</v>
      </c>
      <c r="H25" s="80">
        <v>3117</v>
      </c>
      <c r="I25" s="80">
        <v>28233.8</v>
      </c>
      <c r="J25" s="81"/>
      <c r="K25" s="80">
        <v>0</v>
      </c>
      <c r="L25" s="80">
        <v>0</v>
      </c>
      <c r="M25" s="27" t="s">
        <v>57</v>
      </c>
    </row>
    <row r="26" spans="1:15" ht="17.25">
      <c r="A26" s="31" t="s">
        <v>58</v>
      </c>
      <c r="B26" s="80">
        <v>728</v>
      </c>
      <c r="C26" s="80">
        <v>25909</v>
      </c>
      <c r="D26" s="80">
        <v>24151</v>
      </c>
      <c r="E26" s="80">
        <v>0</v>
      </c>
      <c r="F26" s="81"/>
      <c r="G26" s="80">
        <v>443130.89</v>
      </c>
      <c r="H26" s="80">
        <v>1774.1000000000001</v>
      </c>
      <c r="I26" s="82">
        <v>6</v>
      </c>
      <c r="J26" s="83"/>
      <c r="K26" s="80">
        <v>3453.7599999999998</v>
      </c>
      <c r="L26" s="82">
        <v>0</v>
      </c>
      <c r="M26" s="27" t="s">
        <v>59</v>
      </c>
    </row>
    <row r="27" spans="1:15" ht="18.75">
      <c r="A27" s="32" t="s">
        <v>60</v>
      </c>
      <c r="B27" s="83">
        <v>1282</v>
      </c>
      <c r="C27" s="83">
        <v>53268</v>
      </c>
      <c r="D27" s="82">
        <v>51273</v>
      </c>
      <c r="E27" s="82">
        <v>67233</v>
      </c>
      <c r="F27" s="83"/>
      <c r="G27" s="82">
        <v>1749326.9100000004</v>
      </c>
      <c r="H27" s="82">
        <v>1526070.8</v>
      </c>
      <c r="I27" s="82">
        <v>178409</v>
      </c>
      <c r="J27" s="83"/>
      <c r="K27" s="82">
        <v>16848.02</v>
      </c>
      <c r="L27" s="82">
        <v>11569.199999999999</v>
      </c>
      <c r="M27" s="33" t="s">
        <v>61</v>
      </c>
      <c r="O27" s="34"/>
    </row>
    <row r="28" spans="1:15" ht="17.25">
      <c r="A28" s="26" t="s">
        <v>62</v>
      </c>
      <c r="B28" s="80">
        <v>1656</v>
      </c>
      <c r="C28" s="80">
        <v>82677</v>
      </c>
      <c r="D28" s="80">
        <v>82276</v>
      </c>
      <c r="E28" s="80">
        <v>19</v>
      </c>
      <c r="F28" s="81"/>
      <c r="G28" s="80">
        <v>467725.45</v>
      </c>
      <c r="H28" s="80">
        <v>10968</v>
      </c>
      <c r="I28" s="80">
        <v>99113.5</v>
      </c>
      <c r="J28" s="81"/>
      <c r="K28" s="80">
        <v>28.4</v>
      </c>
      <c r="L28" s="80">
        <v>33.5</v>
      </c>
      <c r="M28" s="35" t="s">
        <v>63</v>
      </c>
    </row>
    <row r="29" spans="1:15" ht="18.75">
      <c r="A29" s="36" t="s">
        <v>64</v>
      </c>
      <c r="B29" s="81">
        <v>38</v>
      </c>
      <c r="C29" s="81">
        <v>4197</v>
      </c>
      <c r="D29" s="80">
        <v>4083</v>
      </c>
      <c r="E29" s="81">
        <v>0</v>
      </c>
      <c r="F29" s="81"/>
      <c r="G29" s="81">
        <v>1808</v>
      </c>
      <c r="H29" s="81">
        <v>41332</v>
      </c>
      <c r="I29" s="81">
        <v>127195</v>
      </c>
      <c r="J29" s="81"/>
      <c r="K29" s="81">
        <v>0</v>
      </c>
      <c r="L29" s="81">
        <v>0</v>
      </c>
      <c r="M29" s="37" t="s">
        <v>65</v>
      </c>
      <c r="O29" s="38"/>
    </row>
    <row r="30" spans="1:15" ht="18.75">
      <c r="A30" s="36" t="s">
        <v>66</v>
      </c>
      <c r="B30" s="81">
        <v>420</v>
      </c>
      <c r="C30" s="81">
        <v>37649</v>
      </c>
      <c r="D30" s="80">
        <v>40776</v>
      </c>
      <c r="E30" s="81">
        <v>176</v>
      </c>
      <c r="F30" s="81"/>
      <c r="G30" s="81">
        <v>776930.07000000007</v>
      </c>
      <c r="H30" s="81">
        <v>1291248.8799999999</v>
      </c>
      <c r="I30" s="81">
        <v>1414021.65</v>
      </c>
      <c r="J30" s="81"/>
      <c r="K30" s="81">
        <v>1351.62</v>
      </c>
      <c r="L30" s="81">
        <v>47.2</v>
      </c>
      <c r="M30" s="37" t="s">
        <v>67</v>
      </c>
      <c r="O30" s="38"/>
    </row>
    <row r="31" spans="1:15" ht="18.75">
      <c r="A31" s="36" t="s">
        <v>68</v>
      </c>
      <c r="B31" s="81">
        <v>244</v>
      </c>
      <c r="C31" s="81">
        <v>24707</v>
      </c>
      <c r="D31" s="80">
        <v>24332</v>
      </c>
      <c r="E31" s="81">
        <v>0</v>
      </c>
      <c r="F31" s="81"/>
      <c r="G31" s="81">
        <v>168569.1</v>
      </c>
      <c r="H31" s="81">
        <v>0</v>
      </c>
      <c r="I31" s="81">
        <v>423266.5</v>
      </c>
      <c r="J31" s="81"/>
      <c r="K31" s="81">
        <v>0</v>
      </c>
      <c r="L31" s="81">
        <v>0</v>
      </c>
      <c r="M31" s="37" t="s">
        <v>69</v>
      </c>
      <c r="O31" s="38"/>
    </row>
    <row r="32" spans="1:15" ht="18.75">
      <c r="A32" s="36" t="s">
        <v>70</v>
      </c>
      <c r="B32" s="81">
        <v>62</v>
      </c>
      <c r="C32" s="81">
        <v>4657</v>
      </c>
      <c r="D32" s="80">
        <v>4522</v>
      </c>
      <c r="E32" s="81">
        <v>0</v>
      </c>
      <c r="F32" s="81"/>
      <c r="G32" s="81">
        <v>9427</v>
      </c>
      <c r="H32" s="81">
        <v>0</v>
      </c>
      <c r="I32" s="81">
        <v>0</v>
      </c>
      <c r="J32" s="81"/>
      <c r="K32" s="81">
        <v>0</v>
      </c>
      <c r="L32" s="81">
        <v>0</v>
      </c>
      <c r="M32" s="37" t="s">
        <v>71</v>
      </c>
      <c r="O32" s="38"/>
    </row>
    <row r="33" spans="1:15" ht="15.75">
      <c r="A33" s="36" t="s">
        <v>72</v>
      </c>
      <c r="B33" s="81">
        <v>284</v>
      </c>
      <c r="C33" s="81">
        <v>26070</v>
      </c>
      <c r="D33" s="80">
        <v>25160</v>
      </c>
      <c r="E33" s="81">
        <v>0</v>
      </c>
      <c r="F33" s="81"/>
      <c r="G33" s="81">
        <v>297392.2</v>
      </c>
      <c r="H33" s="81">
        <v>7245</v>
      </c>
      <c r="I33" s="81">
        <v>297830</v>
      </c>
      <c r="J33" s="81"/>
      <c r="K33" s="81">
        <v>0</v>
      </c>
      <c r="L33" s="81">
        <v>0</v>
      </c>
      <c r="M33" s="38" t="s">
        <v>73</v>
      </c>
      <c r="O33" s="38"/>
    </row>
    <row r="34" spans="1:15" ht="17.25">
      <c r="A34" s="36" t="s">
        <v>74</v>
      </c>
      <c r="B34" s="81">
        <v>82</v>
      </c>
      <c r="C34" s="81">
        <v>5174</v>
      </c>
      <c r="D34" s="80">
        <v>6142</v>
      </c>
      <c r="E34" s="80">
        <v>0</v>
      </c>
      <c r="F34" s="81"/>
      <c r="G34" s="80">
        <v>0</v>
      </c>
      <c r="H34" s="80">
        <v>0</v>
      </c>
      <c r="I34" s="80">
        <v>51005.5</v>
      </c>
      <c r="J34" s="81"/>
      <c r="K34" s="80">
        <v>0</v>
      </c>
      <c r="L34" s="80">
        <v>0</v>
      </c>
      <c r="M34" s="27" t="s">
        <v>75</v>
      </c>
      <c r="O34" s="38"/>
    </row>
    <row r="35" spans="1:15" ht="18.75">
      <c r="A35" s="39" t="s">
        <v>76</v>
      </c>
      <c r="B35" s="81">
        <v>732</v>
      </c>
      <c r="C35" s="81">
        <v>54951</v>
      </c>
      <c r="D35" s="80">
        <v>58772</v>
      </c>
      <c r="E35" s="81">
        <v>0</v>
      </c>
      <c r="F35" s="81"/>
      <c r="G35" s="81">
        <v>206207.74999999997</v>
      </c>
      <c r="H35" s="81">
        <v>2683829.06</v>
      </c>
      <c r="I35" s="81">
        <v>12618.97</v>
      </c>
      <c r="J35" s="81"/>
      <c r="K35" s="81">
        <v>10577.36</v>
      </c>
      <c r="L35" s="81">
        <v>0</v>
      </c>
      <c r="M35" s="33" t="s">
        <v>77</v>
      </c>
    </row>
    <row r="36" spans="1:15" ht="17.25">
      <c r="A36" s="36" t="s">
        <v>78</v>
      </c>
      <c r="B36" s="81">
        <v>68</v>
      </c>
      <c r="C36" s="81">
        <v>9075</v>
      </c>
      <c r="D36" s="80">
        <v>9018</v>
      </c>
      <c r="E36" s="81">
        <v>0</v>
      </c>
      <c r="F36" s="81"/>
      <c r="G36" s="81">
        <v>45707.41</v>
      </c>
      <c r="H36" s="81">
        <v>4203</v>
      </c>
      <c r="I36" s="81">
        <v>59152</v>
      </c>
      <c r="J36" s="81"/>
      <c r="K36" s="81">
        <v>0</v>
      </c>
      <c r="L36" s="81">
        <v>1082</v>
      </c>
      <c r="M36" s="107" t="s">
        <v>79</v>
      </c>
    </row>
    <row r="37" spans="1:15" ht="18.75">
      <c r="A37" s="36" t="s">
        <v>80</v>
      </c>
      <c r="B37" s="81">
        <v>314</v>
      </c>
      <c r="C37" s="81">
        <v>21350</v>
      </c>
      <c r="D37" s="80">
        <v>20714</v>
      </c>
      <c r="E37" s="81">
        <v>122</v>
      </c>
      <c r="F37" s="81"/>
      <c r="G37" s="81">
        <v>2069988.5899999999</v>
      </c>
      <c r="H37" s="81">
        <v>283141.87</v>
      </c>
      <c r="I37" s="81">
        <v>293451.22000000003</v>
      </c>
      <c r="J37" s="81"/>
      <c r="K37" s="81">
        <v>0</v>
      </c>
      <c r="L37" s="81">
        <v>0</v>
      </c>
      <c r="M37" s="33" t="s">
        <v>81</v>
      </c>
    </row>
    <row r="38" spans="1:15" ht="18.75">
      <c r="A38" s="36" t="s">
        <v>82</v>
      </c>
      <c r="B38" s="81">
        <v>416</v>
      </c>
      <c r="C38" s="81">
        <v>30086</v>
      </c>
      <c r="D38" s="80">
        <v>29445</v>
      </c>
      <c r="E38" s="81">
        <v>0</v>
      </c>
      <c r="F38" s="81"/>
      <c r="G38" s="81">
        <v>0</v>
      </c>
      <c r="H38" s="81">
        <v>0</v>
      </c>
      <c r="I38" s="81">
        <v>132</v>
      </c>
      <c r="J38" s="81"/>
      <c r="K38" s="81">
        <v>0</v>
      </c>
      <c r="L38" s="81">
        <v>0</v>
      </c>
      <c r="M38" s="33" t="s">
        <v>83</v>
      </c>
    </row>
    <row r="39" spans="1:15" ht="18.75">
      <c r="A39" s="36" t="s">
        <v>84</v>
      </c>
      <c r="B39" s="81">
        <v>142</v>
      </c>
      <c r="C39" s="81">
        <v>16493</v>
      </c>
      <c r="D39" s="80">
        <v>16823</v>
      </c>
      <c r="E39" s="81">
        <v>0</v>
      </c>
      <c r="F39" s="81"/>
      <c r="G39" s="81">
        <v>67605.37</v>
      </c>
      <c r="H39" s="81">
        <v>12033.46</v>
      </c>
      <c r="I39" s="81">
        <v>157364.47</v>
      </c>
      <c r="J39" s="81"/>
      <c r="K39" s="81">
        <v>0</v>
      </c>
      <c r="L39" s="81">
        <v>0</v>
      </c>
      <c r="M39" s="33" t="s">
        <v>85</v>
      </c>
    </row>
    <row r="40" spans="1:15" ht="18.75">
      <c r="A40" s="36" t="s">
        <v>86</v>
      </c>
      <c r="B40" s="84">
        <v>14</v>
      </c>
      <c r="C40" s="84">
        <v>862</v>
      </c>
      <c r="D40" s="85">
        <v>835</v>
      </c>
      <c r="E40" s="84">
        <v>0</v>
      </c>
      <c r="F40" s="84"/>
      <c r="G40" s="84">
        <v>15249.4</v>
      </c>
      <c r="H40" s="84">
        <v>0</v>
      </c>
      <c r="I40" s="84">
        <v>23306.7</v>
      </c>
      <c r="J40" s="84"/>
      <c r="K40" s="84">
        <v>0</v>
      </c>
      <c r="L40" s="84">
        <v>0</v>
      </c>
      <c r="M40" s="33" t="s">
        <v>87</v>
      </c>
    </row>
    <row r="41" spans="1:15" ht="18.75">
      <c r="A41" s="36" t="s">
        <v>88</v>
      </c>
      <c r="B41" s="84">
        <v>80</v>
      </c>
      <c r="C41" s="84">
        <v>5214</v>
      </c>
      <c r="D41" s="85">
        <v>3529</v>
      </c>
      <c r="E41" s="84">
        <v>0</v>
      </c>
      <c r="F41" s="84"/>
      <c r="G41" s="84">
        <v>39255.5</v>
      </c>
      <c r="H41" s="84">
        <v>0</v>
      </c>
      <c r="I41" s="84">
        <v>0</v>
      </c>
      <c r="J41" s="84"/>
      <c r="K41" s="84">
        <v>2.4</v>
      </c>
      <c r="L41" s="84">
        <v>34</v>
      </c>
      <c r="M41" s="33" t="s">
        <v>89</v>
      </c>
    </row>
    <row r="42" spans="1:15" ht="18.75">
      <c r="A42" s="36" t="s">
        <v>90</v>
      </c>
      <c r="B42" s="84">
        <v>44</v>
      </c>
      <c r="C42" s="84">
        <v>3924</v>
      </c>
      <c r="D42" s="85">
        <v>3952</v>
      </c>
      <c r="E42" s="84">
        <v>0</v>
      </c>
      <c r="F42" s="84"/>
      <c r="G42" s="84">
        <v>27591</v>
      </c>
      <c r="H42" s="84">
        <v>15380</v>
      </c>
      <c r="I42" s="84">
        <v>18420.5</v>
      </c>
      <c r="J42" s="84"/>
      <c r="K42" s="84">
        <v>0</v>
      </c>
      <c r="L42" s="84">
        <v>0</v>
      </c>
      <c r="M42" s="33" t="s">
        <v>91</v>
      </c>
    </row>
    <row r="43" spans="1:15" ht="18.75">
      <c r="A43" s="36" t="s">
        <v>92</v>
      </c>
      <c r="B43" s="84">
        <v>66</v>
      </c>
      <c r="C43" s="84">
        <v>4939</v>
      </c>
      <c r="D43" s="85">
        <v>4778</v>
      </c>
      <c r="E43" s="84">
        <v>0</v>
      </c>
      <c r="F43" s="84"/>
      <c r="G43" s="84">
        <v>0</v>
      </c>
      <c r="H43" s="84">
        <v>0</v>
      </c>
      <c r="I43" s="84">
        <v>0</v>
      </c>
      <c r="J43" s="84"/>
      <c r="K43" s="84">
        <v>0</v>
      </c>
      <c r="L43" s="84">
        <v>0</v>
      </c>
      <c r="M43" s="33" t="s">
        <v>93</v>
      </c>
    </row>
    <row r="44" spans="1:15" ht="18.75">
      <c r="A44" s="36" t="s">
        <v>94</v>
      </c>
      <c r="B44" s="84">
        <v>6</v>
      </c>
      <c r="C44" s="84">
        <v>359</v>
      </c>
      <c r="D44" s="85">
        <v>351</v>
      </c>
      <c r="E44" s="84">
        <v>0</v>
      </c>
      <c r="F44" s="84"/>
      <c r="G44" s="84">
        <v>0</v>
      </c>
      <c r="H44" s="84">
        <v>0</v>
      </c>
      <c r="I44" s="84">
        <v>0</v>
      </c>
      <c r="J44" s="84"/>
      <c r="K44" s="84">
        <v>0</v>
      </c>
      <c r="L44" s="84">
        <v>0</v>
      </c>
      <c r="M44" s="33" t="s">
        <v>95</v>
      </c>
    </row>
    <row r="45" spans="1:15" ht="18.75">
      <c r="A45" s="36" t="s">
        <v>96</v>
      </c>
      <c r="B45" s="84">
        <v>14</v>
      </c>
      <c r="C45" s="84">
        <v>1732</v>
      </c>
      <c r="D45" s="85">
        <v>948</v>
      </c>
      <c r="E45" s="84">
        <v>0</v>
      </c>
      <c r="F45" s="84"/>
      <c r="G45" s="84">
        <v>15399.9</v>
      </c>
      <c r="H45" s="84">
        <v>0</v>
      </c>
      <c r="I45" s="84">
        <v>11.5</v>
      </c>
      <c r="J45" s="84"/>
      <c r="K45" s="84">
        <v>0</v>
      </c>
      <c r="L45" s="84">
        <v>0</v>
      </c>
      <c r="M45" s="33" t="s">
        <v>97</v>
      </c>
    </row>
    <row r="46" spans="1:15" ht="17.25">
      <c r="A46" s="40" t="s">
        <v>98</v>
      </c>
      <c r="B46" s="86">
        <v>64</v>
      </c>
      <c r="C46" s="87">
        <v>0</v>
      </c>
      <c r="D46" s="87">
        <v>0</v>
      </c>
      <c r="E46" s="87">
        <v>0</v>
      </c>
      <c r="F46" s="88"/>
      <c r="G46" s="86">
        <v>391849</v>
      </c>
      <c r="H46" s="86">
        <v>179628</v>
      </c>
      <c r="I46" s="87">
        <v>85930</v>
      </c>
      <c r="J46" s="88"/>
      <c r="K46" s="87">
        <v>0</v>
      </c>
      <c r="L46" s="108">
        <v>0</v>
      </c>
      <c r="M46" s="109" t="s">
        <v>122</v>
      </c>
    </row>
    <row r="47" spans="1:15" ht="17.25">
      <c r="A47" s="4" t="s">
        <v>99</v>
      </c>
      <c r="B47" s="41"/>
      <c r="C47" s="41"/>
      <c r="D47" s="41"/>
      <c r="E47" s="41"/>
      <c r="F47" s="41"/>
      <c r="G47" s="42"/>
      <c r="H47" s="42"/>
      <c r="I47" s="43"/>
      <c r="J47" s="43"/>
      <c r="K47" s="43"/>
      <c r="L47" s="43"/>
      <c r="M47" s="44" t="s">
        <v>100</v>
      </c>
    </row>
    <row r="48" spans="1:15" ht="17.25">
      <c r="A48" s="45"/>
      <c r="B48" s="3"/>
      <c r="C48" s="4" t="s">
        <v>4</v>
      </c>
      <c r="D48" s="46"/>
      <c r="E48" s="47" t="s">
        <v>5</v>
      </c>
      <c r="F48" s="48"/>
      <c r="G48" s="49" t="s">
        <v>6</v>
      </c>
      <c r="H48" s="46"/>
      <c r="I48" s="50" t="s">
        <v>7</v>
      </c>
      <c r="J48" s="48"/>
      <c r="K48" s="49" t="s">
        <v>8</v>
      </c>
      <c r="L48" s="50" t="s">
        <v>9</v>
      </c>
      <c r="M48" s="51"/>
    </row>
    <row r="49" spans="1:58" ht="17.25">
      <c r="A49" s="11" t="s">
        <v>10</v>
      </c>
      <c r="B49" s="7" t="s">
        <v>11</v>
      </c>
      <c r="C49" s="7" t="s">
        <v>12</v>
      </c>
      <c r="D49" s="7" t="s">
        <v>13</v>
      </c>
      <c r="E49" s="7" t="s">
        <v>14</v>
      </c>
      <c r="F49" s="7"/>
      <c r="G49" s="7" t="s">
        <v>15</v>
      </c>
      <c r="H49" s="7" t="s">
        <v>16</v>
      </c>
      <c r="I49" s="7" t="s">
        <v>14</v>
      </c>
      <c r="J49" s="7"/>
      <c r="K49" s="7" t="s">
        <v>15</v>
      </c>
      <c r="L49" s="52" t="s">
        <v>16</v>
      </c>
      <c r="M49" s="15" t="s">
        <v>17</v>
      </c>
    </row>
    <row r="50" spans="1:58">
      <c r="A50" s="17"/>
      <c r="B50" s="18" t="s">
        <v>18</v>
      </c>
      <c r="C50" s="18" t="s">
        <v>19</v>
      </c>
      <c r="D50" s="18" t="s">
        <v>20</v>
      </c>
      <c r="E50" s="18" t="s">
        <v>21</v>
      </c>
      <c r="F50" s="18"/>
      <c r="G50" s="18" t="s">
        <v>19</v>
      </c>
      <c r="H50" s="18" t="s">
        <v>20</v>
      </c>
      <c r="I50" s="18" t="s">
        <v>21</v>
      </c>
      <c r="J50" s="18"/>
      <c r="K50" s="18" t="s">
        <v>19</v>
      </c>
      <c r="L50" s="18" t="s">
        <v>20</v>
      </c>
      <c r="M50" s="53"/>
    </row>
    <row r="51" spans="1:58" ht="17.25">
      <c r="A51" s="89" t="s">
        <v>101</v>
      </c>
      <c r="B51" s="90">
        <f>SUM(B52:B52)</f>
        <v>196</v>
      </c>
      <c r="C51" s="90">
        <f>SUM(C52:C52)</f>
        <v>25683</v>
      </c>
      <c r="D51" s="90">
        <f>SUM(D52:D52)</f>
        <v>25949</v>
      </c>
      <c r="E51" s="90">
        <f>SUM(E52:E52)</f>
        <v>0</v>
      </c>
      <c r="F51" s="90"/>
      <c r="G51" s="90">
        <f>SUM(G52:G52)</f>
        <v>176881</v>
      </c>
      <c r="H51" s="90">
        <f>SUM(H52:H52)</f>
        <v>0</v>
      </c>
      <c r="I51" s="90">
        <f>SUM(I52:I52)</f>
        <v>0</v>
      </c>
      <c r="J51" s="90"/>
      <c r="K51" s="90">
        <f>SUM(K52:K52)</f>
        <v>0</v>
      </c>
      <c r="L51" s="90">
        <f>SUM(L52:L52)</f>
        <v>0</v>
      </c>
      <c r="M51" s="54" t="s">
        <v>102</v>
      </c>
    </row>
    <row r="52" spans="1:58" ht="18.75">
      <c r="A52" s="98" t="s">
        <v>103</v>
      </c>
      <c r="B52" s="99">
        <v>196</v>
      </c>
      <c r="C52" s="99">
        <v>25683</v>
      </c>
      <c r="D52" s="99">
        <v>25949</v>
      </c>
      <c r="E52" s="99">
        <v>0</v>
      </c>
      <c r="F52" s="99"/>
      <c r="G52" s="99">
        <v>176881</v>
      </c>
      <c r="H52" s="99">
        <v>0</v>
      </c>
      <c r="I52" s="99">
        <v>0</v>
      </c>
      <c r="J52" s="99"/>
      <c r="K52" s="99">
        <v>0</v>
      </c>
      <c r="L52" s="99">
        <v>0</v>
      </c>
      <c r="M52" s="100" t="s">
        <v>104</v>
      </c>
      <c r="O52" s="28"/>
    </row>
    <row r="53" spans="1:58" ht="17.25">
      <c r="A53" s="103" t="s">
        <v>105</v>
      </c>
      <c r="B53" s="104">
        <v>1916</v>
      </c>
      <c r="C53" s="104">
        <v>3492</v>
      </c>
      <c r="D53" s="105">
        <v>4574</v>
      </c>
      <c r="E53" s="104">
        <v>7</v>
      </c>
      <c r="F53" s="104"/>
      <c r="G53" s="104">
        <v>11940.300000000001</v>
      </c>
      <c r="H53" s="104">
        <v>553</v>
      </c>
      <c r="I53" s="104">
        <v>6572</v>
      </c>
      <c r="J53" s="104"/>
      <c r="K53" s="104">
        <v>0</v>
      </c>
      <c r="L53" s="104">
        <v>0</v>
      </c>
      <c r="M53" s="106" t="s">
        <v>106</v>
      </c>
    </row>
    <row r="54" spans="1:58" ht="17.25">
      <c r="A54" s="97" t="s">
        <v>107</v>
      </c>
      <c r="B54" s="101">
        <f>SUM(B55:B59)</f>
        <v>72348</v>
      </c>
      <c r="C54" s="101">
        <f>SUM(C55:C59)</f>
        <v>751882</v>
      </c>
      <c r="D54" s="101">
        <f>SUM(D55:D59)</f>
        <v>890756</v>
      </c>
      <c r="E54" s="101">
        <f>SUM(E55:E59)</f>
        <v>0</v>
      </c>
      <c r="F54" s="101"/>
      <c r="G54" s="101">
        <f t="shared" ref="G54:L54" si="0">SUM(G55:G59)</f>
        <v>327192.87000000005</v>
      </c>
      <c r="H54" s="101">
        <f t="shared" si="0"/>
        <v>551921.31000000006</v>
      </c>
      <c r="I54" s="101">
        <f t="shared" si="0"/>
        <v>231302.12</v>
      </c>
      <c r="J54" s="101"/>
      <c r="K54" s="101">
        <f t="shared" si="0"/>
        <v>5189.67</v>
      </c>
      <c r="L54" s="101">
        <f t="shared" si="0"/>
        <v>35657.54</v>
      </c>
      <c r="M54" s="102" t="s">
        <v>108</v>
      </c>
    </row>
    <row r="55" spans="1:58" ht="21" customHeight="1">
      <c r="A55" s="91" t="s">
        <v>109</v>
      </c>
      <c r="B55" s="81">
        <v>16460</v>
      </c>
      <c r="C55" s="81">
        <v>286782</v>
      </c>
      <c r="D55" s="80">
        <v>289366</v>
      </c>
      <c r="E55" s="81">
        <v>0</v>
      </c>
      <c r="F55" s="81"/>
      <c r="G55" s="81">
        <v>326805.47000000003</v>
      </c>
      <c r="H55" s="81">
        <v>551826.31000000006</v>
      </c>
      <c r="I55" s="81">
        <v>231300.41999999998</v>
      </c>
      <c r="J55" s="81"/>
      <c r="K55" s="81">
        <v>5189.67</v>
      </c>
      <c r="L55" s="81">
        <v>35642.74</v>
      </c>
      <c r="M55" s="56" t="s">
        <v>110</v>
      </c>
    </row>
    <row r="56" spans="1:58" ht="21" customHeight="1">
      <c r="A56" s="91" t="s">
        <v>111</v>
      </c>
      <c r="B56" s="81">
        <v>7216</v>
      </c>
      <c r="C56" s="81">
        <v>143794</v>
      </c>
      <c r="D56" s="80">
        <v>153968</v>
      </c>
      <c r="E56" s="81">
        <v>0</v>
      </c>
      <c r="F56" s="81"/>
      <c r="G56" s="81">
        <v>0</v>
      </c>
      <c r="H56" s="81">
        <v>0</v>
      </c>
      <c r="I56" s="81">
        <v>0</v>
      </c>
      <c r="J56" s="81"/>
      <c r="K56" s="81">
        <v>0</v>
      </c>
      <c r="L56" s="81">
        <v>0</v>
      </c>
      <c r="M56" s="55" t="s">
        <v>112</v>
      </c>
    </row>
    <row r="57" spans="1:58" ht="21" customHeight="1">
      <c r="A57" s="92" t="s">
        <v>113</v>
      </c>
      <c r="B57" s="81">
        <v>48360</v>
      </c>
      <c r="C57" s="81">
        <v>321021</v>
      </c>
      <c r="D57" s="80">
        <v>447179</v>
      </c>
      <c r="E57" s="81">
        <v>0</v>
      </c>
      <c r="F57" s="81"/>
      <c r="G57" s="81">
        <v>0</v>
      </c>
      <c r="H57" s="81">
        <v>0</v>
      </c>
      <c r="I57" s="81">
        <v>0</v>
      </c>
      <c r="J57" s="81"/>
      <c r="K57" s="81">
        <v>0</v>
      </c>
      <c r="L57" s="81">
        <v>0</v>
      </c>
      <c r="M57" s="57" t="s">
        <v>114</v>
      </c>
    </row>
    <row r="58" spans="1:58" ht="21" customHeight="1">
      <c r="A58" s="93" t="s">
        <v>115</v>
      </c>
      <c r="B58" s="84">
        <v>4</v>
      </c>
      <c r="C58" s="84">
        <v>234</v>
      </c>
      <c r="D58" s="85">
        <v>200</v>
      </c>
      <c r="E58" s="84">
        <v>0</v>
      </c>
      <c r="F58" s="84"/>
      <c r="G58" s="84">
        <v>0</v>
      </c>
      <c r="H58" s="84">
        <v>0</v>
      </c>
      <c r="I58" s="84">
        <v>0</v>
      </c>
      <c r="J58" s="84"/>
      <c r="K58" s="84">
        <v>0</v>
      </c>
      <c r="L58" s="84">
        <v>0</v>
      </c>
      <c r="M58" s="58" t="s">
        <v>123</v>
      </c>
    </row>
    <row r="59" spans="1:58" s="61" customFormat="1" ht="21" customHeight="1">
      <c r="A59" s="94" t="s">
        <v>116</v>
      </c>
      <c r="B59" s="95">
        <v>308</v>
      </c>
      <c r="C59" s="88">
        <v>51</v>
      </c>
      <c r="D59" s="87">
        <v>43</v>
      </c>
      <c r="E59" s="88">
        <v>0</v>
      </c>
      <c r="F59" s="88"/>
      <c r="G59" s="88">
        <v>387.4</v>
      </c>
      <c r="H59" s="88">
        <v>95</v>
      </c>
      <c r="I59" s="88">
        <v>1.7</v>
      </c>
      <c r="J59" s="88"/>
      <c r="K59" s="88">
        <v>0</v>
      </c>
      <c r="L59" s="88">
        <v>14.8</v>
      </c>
      <c r="M59" s="59" t="s">
        <v>117</v>
      </c>
      <c r="N59" s="60"/>
      <c r="O59" s="60"/>
      <c r="P59" s="60"/>
      <c r="Q59" s="60"/>
      <c r="BF59" s="62"/>
    </row>
    <row r="60" spans="1:58" ht="18" customHeight="1">
      <c r="A60" s="63" t="s">
        <v>118</v>
      </c>
      <c r="B60" s="64"/>
      <c r="C60" s="65"/>
      <c r="D60" s="65"/>
      <c r="E60" s="66"/>
      <c r="F60" s="66"/>
      <c r="G60" s="66"/>
      <c r="H60" s="67"/>
      <c r="I60" s="67"/>
      <c r="J60" s="67"/>
      <c r="K60" s="68"/>
      <c r="M60" s="69" t="s">
        <v>119</v>
      </c>
    </row>
    <row r="61" spans="1:58" ht="15.75" customHeight="1">
      <c r="A61" s="70" t="s">
        <v>120</v>
      </c>
      <c r="B61" s="70"/>
      <c r="C61" s="71"/>
      <c r="D61" s="71"/>
      <c r="E61" s="72"/>
      <c r="F61" s="72"/>
      <c r="G61" s="72"/>
      <c r="H61" s="73"/>
      <c r="I61" s="73"/>
      <c r="J61" s="73"/>
      <c r="L61" s="73"/>
      <c r="M61" s="74" t="s">
        <v>121</v>
      </c>
    </row>
    <row r="62" spans="1:58">
      <c r="A62" s="75"/>
      <c r="B62" s="75"/>
      <c r="C62" s="75"/>
      <c r="D62" s="75"/>
      <c r="E62" s="76"/>
      <c r="F62" s="76"/>
      <c r="G62" s="75"/>
      <c r="H62" s="75"/>
      <c r="I62" s="76"/>
      <c r="J62" s="76"/>
      <c r="K62" s="75"/>
      <c r="L62" s="75"/>
      <c r="M62" s="77"/>
    </row>
  </sheetData>
  <mergeCells count="2">
    <mergeCell ref="A1:M1"/>
    <mergeCell ref="A2:M2"/>
  </mergeCells>
  <pageMargins left="0.7" right="0.7" top="0.75" bottom="0.75" header="0.3" footer="0.3"/>
  <pageSetup paperSize="9" scale="60" orientation="landscape" r:id="rId1"/>
  <rowBreaks count="1" manualBreakCount="1">
    <brk id="46" max="12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11.10</vt:lpstr>
      <vt:lpstr>'11.10'!Print_Area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Fathmath Shifaza</cp:lastModifiedBy>
  <cp:lastPrinted>2016-09-19T07:28:46Z</cp:lastPrinted>
  <dcterms:created xsi:type="dcterms:W3CDTF">2014-05-22T03:57:11Z</dcterms:created>
  <dcterms:modified xsi:type="dcterms:W3CDTF">2016-09-19T07:28:56Z</dcterms:modified>
</cp:coreProperties>
</file>