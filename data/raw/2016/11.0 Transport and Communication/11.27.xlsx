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27" sheetId="17" r:id="rId1"/>
  </sheets>
  <externalReferences>
    <externalReference r:id="rId2"/>
    <externalReference r:id="rId3"/>
  </externalReferences>
  <definedNames>
    <definedName name="_xlnm.Print_Area" localSheetId="0">'11.27'!$A$1:$J$72</definedName>
  </definedNames>
  <calcPr calcId="144525"/>
</workbook>
</file>

<file path=xl/calcChain.xml><?xml version="1.0" encoding="utf-8"?>
<calcChain xmlns="http://schemas.openxmlformats.org/spreadsheetml/2006/main">
  <c r="AB50" i="17" l="1"/>
  <c r="AA50" i="17"/>
  <c r="AB29" i="17"/>
  <c r="AC29" i="17"/>
  <c r="AA29" i="17"/>
  <c r="B22" i="17"/>
  <c r="AB49" i="17" l="1"/>
  <c r="AA49" i="17" s="1"/>
  <c r="AB48" i="17"/>
  <c r="AA48" i="17" s="1"/>
  <c r="AB47" i="17"/>
  <c r="AA47" i="17"/>
  <c r="AC46" i="17"/>
  <c r="AB46" i="17" s="1"/>
  <c r="AA46" i="17" s="1"/>
  <c r="AB45" i="17"/>
  <c r="AA45" i="17" s="1"/>
  <c r="AB44" i="17"/>
  <c r="AA44" i="17"/>
  <c r="AC38" i="17"/>
  <c r="AB38" i="17"/>
  <c r="AC37" i="17"/>
  <c r="AB37" i="17"/>
  <c r="AA37" i="17"/>
  <c r="AC36" i="17"/>
  <c r="AB36" i="17"/>
  <c r="AA36" i="17"/>
  <c r="AC35" i="17"/>
  <c r="AB35" i="17"/>
  <c r="AA35" i="17"/>
  <c r="AC34" i="17"/>
  <c r="AB34" i="17"/>
  <c r="AC33" i="17"/>
  <c r="AB33" i="17"/>
  <c r="B21" i="17"/>
  <c r="AA38" i="17" s="1"/>
  <c r="B17" i="17"/>
  <c r="AA34" i="17" s="1"/>
  <c r="B16" i="17"/>
  <c r="AA33" i="17" s="1"/>
  <c r="B15" i="17"/>
  <c r="B14" i="17"/>
  <c r="B13" i="17"/>
  <c r="B12" i="17"/>
  <c r="B11" i="17"/>
  <c r="B10" i="17"/>
  <c r="B9" i="17"/>
  <c r="B8" i="17"/>
</calcChain>
</file>

<file path=xl/sharedStrings.xml><?xml version="1.0" encoding="utf-8"?>
<sst xmlns="http://schemas.openxmlformats.org/spreadsheetml/2006/main" count="51" uniqueCount="41">
  <si>
    <t>wlcmuj</t>
  </si>
  <si>
    <t>Total</t>
  </si>
  <si>
    <t>-</t>
  </si>
  <si>
    <t>Source: Telecom Operators – Dhiraagu and Wataniya</t>
  </si>
  <si>
    <t>Prepared by: Communications Authority of Maldives (CAM)</t>
  </si>
  <si>
    <t xml:space="preserve">2015 - 2001 ,cnuLug egutWlwsWvum egEjcaWr idwa ImWvcqwaclwniawb : 11.27 clwvWt </t>
  </si>
  <si>
    <t>Table 11.27: INTERNATIONAL AND NATIONAL COMMUNICATION, 2001 - 2015</t>
  </si>
  <si>
    <t xml:space="preserve">  (in 000 mins)</t>
  </si>
  <si>
    <t>Year</t>
  </si>
  <si>
    <t>National Call Minutes</t>
  </si>
  <si>
    <t xml:space="preserve"> cawtclOk cnOfeleT egEjcaWr</t>
  </si>
  <si>
    <t>ImWvcqwaclwniawb</t>
  </si>
  <si>
    <t xml:space="preserve">SMS Usage </t>
  </si>
  <si>
    <t>Land Lines</t>
  </si>
  <si>
    <t>cawtclOk</t>
  </si>
  <si>
    <t>csea .cmea .csea Evunof</t>
  </si>
  <si>
    <t xml:space="preserve"> clwkOl</t>
  </si>
  <si>
    <t>egEretcnOz</t>
  </si>
  <si>
    <t xml:space="preserve">      cSwacliawbOm cniawl cDcsckif</t>
  </si>
  <si>
    <t>cawtclOk cliawbOm</t>
  </si>
  <si>
    <t xml:space="preserve">International </t>
  </si>
  <si>
    <t xml:space="preserve">Outgoing SMS's </t>
  </si>
  <si>
    <t xml:space="preserve">Local </t>
  </si>
  <si>
    <t>Inter- zone</t>
  </si>
  <si>
    <t>Fixed--&gt;Mobile</t>
  </si>
  <si>
    <t>Mobile call Minutes</t>
  </si>
  <si>
    <t>call minutes</t>
  </si>
  <si>
    <t>(in 000s)</t>
  </si>
  <si>
    <t>2014*</t>
  </si>
  <si>
    <t>Note 1 - Considerable increase in 2008 mobile &amp; international minutes as call minutes from pre-paid phones were not included in previous years</t>
  </si>
  <si>
    <t xml:space="preserve">* Revised -  Total Call Minutes for the 2014 is the total sum of Call Mins Oct 2013 - Sep 2014. </t>
  </si>
  <si>
    <t>Definitions:</t>
  </si>
  <si>
    <r>
      <t xml:space="preserve">Local calls: </t>
    </r>
    <r>
      <rPr>
        <sz val="10"/>
        <color theme="1"/>
        <rFont val="Calibri"/>
        <family val="2"/>
        <scheme val="minor"/>
      </rPr>
      <t>Calls within the same zone, excluding mobile calls</t>
    </r>
  </si>
  <si>
    <r>
      <t xml:space="preserve">Inter-zone calls: </t>
    </r>
    <r>
      <rPr>
        <sz val="10"/>
        <color theme="1"/>
        <rFont val="Calibri"/>
        <family val="2"/>
        <scheme val="minor"/>
      </rPr>
      <t>Calls between zones within the national boundary, excluding mobile calls</t>
    </r>
  </si>
  <si>
    <r>
      <t xml:space="preserve">Fixed--&gt;Mob calls: </t>
    </r>
    <r>
      <rPr>
        <sz val="10"/>
        <color theme="1"/>
        <rFont val="Calibri"/>
        <family val="2"/>
        <scheme val="minor"/>
      </rPr>
      <t>calls from fixed lines to mobiles</t>
    </r>
  </si>
  <si>
    <r>
      <t xml:space="preserve">Mobile calls: </t>
    </r>
    <r>
      <rPr>
        <sz val="10"/>
        <color theme="1"/>
        <rFont val="Calibri"/>
        <family val="2"/>
        <scheme val="minor"/>
      </rPr>
      <t>Calls mobile to mobile and mobile to fixed lines from both Operators</t>
    </r>
  </si>
  <si>
    <r>
      <t xml:space="preserve">International calls: </t>
    </r>
    <r>
      <rPr>
        <sz val="10"/>
        <color theme="1"/>
        <rFont val="Calibri"/>
        <family val="2"/>
        <scheme val="minor"/>
      </rPr>
      <t>International calls from fixed lines and mobiles</t>
    </r>
  </si>
  <si>
    <t>National Call Minutes in land line</t>
  </si>
  <si>
    <t xml:space="preserve">Mobile call Minutes </t>
  </si>
  <si>
    <t>International call minutes</t>
  </si>
  <si>
    <t>(in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</si>
</sst>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  <numFmt numFmtId="170" formatCode="#,##0,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Garamond"/>
      <family val="1"/>
    </font>
    <font>
      <b/>
      <sz val="10"/>
      <color theme="1"/>
      <name val="Arial"/>
      <family val="2"/>
    </font>
    <font>
      <b/>
      <sz val="10"/>
      <color theme="1"/>
      <name val="A_Randhoo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ourier"/>
      <family val="3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164" fontId="4" fillId="0" borderId="0"/>
    <xf numFmtId="40" fontId="6" fillId="0" borderId="0" applyFont="0" applyFill="0" applyBorder="0" applyAlignment="0" applyProtection="0"/>
    <xf numFmtId="166" fontId="4" fillId="0" borderId="0"/>
    <xf numFmtId="166" fontId="4" fillId="0" borderId="0"/>
    <xf numFmtId="165" fontId="4" fillId="0" borderId="0" applyFont="0" applyFill="0" applyBorder="0" applyAlignment="0" applyProtection="0"/>
    <xf numFmtId="0" fontId="8" fillId="0" borderId="0"/>
    <xf numFmtId="164" fontId="4" fillId="0" borderId="0"/>
    <xf numFmtId="167" fontId="4" fillId="0" borderId="0" applyFont="0" applyFill="0" applyBorder="0" applyAlignment="0" applyProtection="0"/>
    <xf numFmtId="0" fontId="9" fillId="0" borderId="0"/>
  </cellStyleXfs>
  <cellXfs count="61">
    <xf numFmtId="0" fontId="0" fillId="0" borderId="0" xfId="0"/>
    <xf numFmtId="0" fontId="11" fillId="2" borderId="0" xfId="14" applyFont="1" applyFill="1" applyBorder="1" applyAlignment="1">
      <alignment horizontal="right" vertical="center"/>
    </xf>
    <xf numFmtId="0" fontId="13" fillId="2" borderId="0" xfId="9" applyNumberFormat="1" applyFont="1" applyFill="1" applyAlignment="1">
      <alignment horizontal="left"/>
    </xf>
    <xf numFmtId="164" fontId="5" fillId="2" borderId="0" xfId="9" applyNumberFormat="1" applyFont="1" applyFill="1"/>
    <xf numFmtId="164" fontId="7" fillId="2" borderId="0" xfId="9" applyNumberFormat="1" applyFont="1" applyFill="1" applyBorder="1"/>
    <xf numFmtId="0" fontId="17" fillId="2" borderId="0" xfId="9" applyNumberFormat="1" applyFont="1" applyFill="1" applyAlignment="1"/>
    <xf numFmtId="164" fontId="7" fillId="2" borderId="0" xfId="9" applyNumberFormat="1" applyFont="1" applyFill="1"/>
    <xf numFmtId="0" fontId="11" fillId="2" borderId="3" xfId="14" applyFont="1" applyFill="1" applyBorder="1" applyAlignment="1"/>
    <xf numFmtId="0" fontId="11" fillId="2" borderId="1" xfId="14" applyFont="1" applyFill="1" applyBorder="1" applyAlignment="1">
      <alignment horizontal="center" vertical="center"/>
    </xf>
    <xf numFmtId="0" fontId="10" fillId="2" borderId="1" xfId="9" applyNumberFormat="1" applyFont="1" applyFill="1" applyBorder="1" applyAlignment="1">
      <alignment horizontal="center"/>
    </xf>
    <xf numFmtId="164" fontId="7" fillId="2" borderId="2" xfId="9" applyNumberFormat="1" applyFont="1" applyFill="1" applyBorder="1"/>
    <xf numFmtId="0" fontId="11" fillId="2" borderId="2" xfId="14" applyFont="1" applyFill="1" applyBorder="1" applyAlignment="1">
      <alignment horizontal="center" vertical="center"/>
    </xf>
    <xf numFmtId="0" fontId="11" fillId="2" borderId="1" xfId="14" applyFont="1" applyFill="1" applyBorder="1" applyAlignment="1">
      <alignment horizontal="right" vertical="center"/>
    </xf>
    <xf numFmtId="0" fontId="12" fillId="2" borderId="0" xfId="9" applyNumberFormat="1" applyFont="1" applyFill="1" applyBorder="1" applyAlignment="1">
      <alignment horizontal="right" vertical="center"/>
    </xf>
    <xf numFmtId="164" fontId="12" fillId="2" borderId="0" xfId="9" applyNumberFormat="1" applyFont="1" applyFill="1" applyBorder="1" applyAlignment="1">
      <alignment horizontal="right" vertical="center"/>
    </xf>
    <xf numFmtId="0" fontId="10" fillId="2" borderId="2" xfId="9" applyNumberFormat="1" applyFont="1" applyFill="1" applyBorder="1" applyAlignment="1">
      <alignment horizontal="right"/>
    </xf>
    <xf numFmtId="0" fontId="10" fillId="2" borderId="2" xfId="9" applyNumberFormat="1" applyFont="1" applyFill="1" applyBorder="1" applyAlignment="1">
      <alignment horizontal="right" vertical="center"/>
    </xf>
    <xf numFmtId="164" fontId="10" fillId="2" borderId="2" xfId="9" applyNumberFormat="1" applyFont="1" applyFill="1" applyBorder="1" applyAlignment="1">
      <alignment horizontal="right"/>
    </xf>
    <xf numFmtId="0" fontId="12" fillId="2" borderId="0" xfId="9" applyNumberFormat="1" applyFont="1" applyFill="1" applyBorder="1" applyAlignment="1">
      <alignment horizontal="center" vertical="center"/>
    </xf>
    <xf numFmtId="3" fontId="7" fillId="2" borderId="0" xfId="10" applyNumberFormat="1" applyFont="1" applyFill="1" applyBorder="1" applyAlignment="1">
      <alignment horizontal="right" vertical="center"/>
    </xf>
    <xf numFmtId="3" fontId="7" fillId="2" borderId="0" xfId="9" applyNumberFormat="1" applyFont="1" applyFill="1" applyBorder="1" applyAlignment="1">
      <alignment horizontal="right" vertical="center"/>
    </xf>
    <xf numFmtId="164" fontId="7" fillId="2" borderId="0" xfId="9" applyNumberFormat="1" applyFont="1" applyFill="1" applyBorder="1" applyAlignment="1">
      <alignment horizontal="right" vertical="center"/>
    </xf>
    <xf numFmtId="0" fontId="7" fillId="2" borderId="0" xfId="9" applyNumberFormat="1" applyFont="1" applyFill="1"/>
    <xf numFmtId="0" fontId="12" fillId="2" borderId="0" xfId="0" applyNumberFormat="1" applyFont="1" applyFill="1" applyBorder="1" applyAlignment="1">
      <alignment horizontal="center"/>
    </xf>
    <xf numFmtId="3" fontId="7" fillId="2" borderId="0" xfId="0" applyNumberFormat="1" applyFont="1" applyFill="1" applyBorder="1" applyAlignment="1">
      <alignment horizontal="right" vertical="center"/>
    </xf>
    <xf numFmtId="0" fontId="12" fillId="2" borderId="2" xfId="0" applyNumberFormat="1" applyFont="1" applyFill="1" applyBorder="1" applyAlignment="1">
      <alignment horizontal="center"/>
    </xf>
    <xf numFmtId="0" fontId="13" fillId="2" borderId="0" xfId="9" applyNumberFormat="1" applyFont="1" applyFill="1" applyBorder="1"/>
    <xf numFmtId="0" fontId="13" fillId="2" borderId="0" xfId="9" applyNumberFormat="1" applyFont="1" applyFill="1"/>
    <xf numFmtId="164" fontId="13" fillId="2" borderId="0" xfId="9" applyNumberFormat="1" applyFont="1" applyFill="1"/>
    <xf numFmtId="3" fontId="7" fillId="2" borderId="0" xfId="9" applyNumberFormat="1" applyFont="1" applyFill="1"/>
    <xf numFmtId="0" fontId="18" fillId="2" borderId="0" xfId="9" applyNumberFormat="1" applyFont="1" applyFill="1"/>
    <xf numFmtId="164" fontId="19" fillId="2" borderId="0" xfId="9" applyNumberFormat="1" applyFont="1" applyFill="1" applyBorder="1" applyAlignment="1">
      <alignment horizontal="center" vertical="center" wrapText="1"/>
    </xf>
    <xf numFmtId="0" fontId="12" fillId="2" borderId="0" xfId="9" applyNumberFormat="1" applyFont="1" applyFill="1"/>
    <xf numFmtId="38" fontId="7" fillId="2" borderId="0" xfId="7" applyNumberFormat="1" applyFont="1" applyFill="1" applyBorder="1" applyAlignment="1">
      <alignment horizontal="right"/>
    </xf>
    <xf numFmtId="0" fontId="7" fillId="2" borderId="0" xfId="9" applyNumberFormat="1" applyFont="1" applyFill="1" applyBorder="1"/>
    <xf numFmtId="3" fontId="7" fillId="2" borderId="0" xfId="10" applyNumberFormat="1" applyFont="1" applyFill="1" applyBorder="1"/>
    <xf numFmtId="3" fontId="7" fillId="2" borderId="0" xfId="9" applyNumberFormat="1" applyFont="1" applyFill="1" applyBorder="1"/>
    <xf numFmtId="164" fontId="7" fillId="2" borderId="0" xfId="9" applyNumberFormat="1" applyFont="1" applyFill="1" applyAlignment="1">
      <alignment horizontal="center" vertical="center" wrapText="1"/>
    </xf>
    <xf numFmtId="0" fontId="19" fillId="2" borderId="0" xfId="9" applyNumberFormat="1" applyFont="1" applyFill="1" applyBorder="1" applyAlignment="1">
      <alignment horizontal="center" vertical="center" wrapText="1"/>
    </xf>
    <xf numFmtId="0" fontId="14" fillId="2" borderId="0" xfId="9" applyNumberFormat="1" applyFont="1" applyFill="1"/>
    <xf numFmtId="0" fontId="14" fillId="2" borderId="0" xfId="9" applyNumberFormat="1" applyFont="1" applyFill="1" applyBorder="1"/>
    <xf numFmtId="164" fontId="15" fillId="2" borderId="0" xfId="9" applyNumberFormat="1" applyFont="1" applyFill="1" applyBorder="1"/>
    <xf numFmtId="3" fontId="14" fillId="2" borderId="0" xfId="10" applyNumberFormat="1" applyFont="1" applyFill="1" applyBorder="1"/>
    <xf numFmtId="3" fontId="14" fillId="2" borderId="0" xfId="9" applyNumberFormat="1" applyFont="1" applyFill="1" applyBorder="1"/>
    <xf numFmtId="38" fontId="7" fillId="2" borderId="0" xfId="7" applyNumberFormat="1" applyFont="1" applyFill="1" applyBorder="1"/>
    <xf numFmtId="166" fontId="7" fillId="2" borderId="0" xfId="1" applyNumberFormat="1" applyFont="1" applyFill="1" applyBorder="1"/>
    <xf numFmtId="164" fontId="15" fillId="2" borderId="0" xfId="9" applyNumberFormat="1" applyFont="1" applyFill="1"/>
    <xf numFmtId="0" fontId="20" fillId="2" borderId="0" xfId="14" applyFont="1" applyFill="1" applyBorder="1" applyAlignment="1">
      <alignment vertical="center"/>
    </xf>
    <xf numFmtId="170" fontId="7" fillId="2" borderId="2" xfId="10" applyNumberFormat="1" applyFont="1" applyFill="1" applyBorder="1" applyAlignment="1">
      <alignment horizontal="right" vertical="center"/>
    </xf>
    <xf numFmtId="3" fontId="7" fillId="2" borderId="2" xfId="10" applyNumberFormat="1" applyFont="1" applyFill="1" applyBorder="1" applyAlignment="1">
      <alignment horizontal="right" vertical="center"/>
    </xf>
    <xf numFmtId="170" fontId="7" fillId="2" borderId="2" xfId="0" applyNumberFormat="1" applyFont="1" applyFill="1" applyBorder="1" applyAlignment="1">
      <alignment horizontal="right" vertical="center"/>
    </xf>
    <xf numFmtId="3" fontId="7" fillId="2" borderId="0" xfId="7" applyNumberFormat="1" applyFont="1" applyFill="1" applyBorder="1"/>
    <xf numFmtId="3" fontId="7" fillId="2" borderId="0" xfId="1" applyNumberFormat="1" applyFont="1" applyFill="1" applyBorder="1"/>
    <xf numFmtId="0" fontId="16" fillId="2" borderId="0" xfId="14" applyFont="1" applyFill="1" applyBorder="1" applyAlignment="1">
      <alignment horizontal="center" vertical="center" wrapText="1"/>
    </xf>
    <xf numFmtId="0" fontId="17" fillId="2" borderId="0" xfId="9" applyNumberFormat="1" applyFont="1" applyFill="1" applyBorder="1" applyAlignment="1">
      <alignment horizontal="center"/>
    </xf>
    <xf numFmtId="0" fontId="10" fillId="2" borderId="2" xfId="9" applyNumberFormat="1" applyFont="1" applyFill="1" applyBorder="1" applyAlignment="1">
      <alignment horizontal="center"/>
    </xf>
    <xf numFmtId="0" fontId="10" fillId="2" borderId="1" xfId="9" applyNumberFormat="1" applyFont="1" applyFill="1" applyBorder="1" applyAlignment="1">
      <alignment horizontal="center" vertical="center"/>
    </xf>
    <xf numFmtId="0" fontId="10" fillId="2" borderId="0" xfId="9" applyNumberFormat="1" applyFont="1" applyFill="1" applyBorder="1" applyAlignment="1">
      <alignment horizontal="center" vertical="center"/>
    </xf>
    <xf numFmtId="0" fontId="10" fillId="2" borderId="2" xfId="9" applyNumberFormat="1" applyFont="1" applyFill="1" applyBorder="1" applyAlignment="1">
      <alignment horizontal="center" vertical="center"/>
    </xf>
    <xf numFmtId="0" fontId="10" fillId="2" borderId="3" xfId="9" applyNumberFormat="1" applyFont="1" applyFill="1" applyBorder="1" applyAlignment="1">
      <alignment horizontal="center"/>
    </xf>
    <xf numFmtId="0" fontId="12" fillId="2" borderId="3" xfId="9" applyNumberFormat="1" applyFont="1" applyFill="1" applyBorder="1" applyAlignment="1">
      <alignment horizontal="center"/>
    </xf>
  </cellXfs>
  <cellStyles count="15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  <cellStyle name="Normal_IX-19(Trans &amp; Comm)" xfId="14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5716901666361"/>
          <c:y val="0.1923331768959344"/>
          <c:w val="0.85963464566929215"/>
          <c:h val="0.6959893554972295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'11.27'!$AA$32</c:f>
              <c:strCache>
                <c:ptCount val="1"/>
                <c:pt idx="0">
                  <c:v>National Call Minutes in land line</c:v>
                </c:pt>
              </c:strCache>
            </c:strRef>
          </c:tx>
          <c:spPr>
            <a:solidFill>
              <a:srgbClr val="B5EEED"/>
            </a:solidFill>
          </c:spPr>
          <c:invertIfNegative val="0"/>
          <c:cat>
            <c:numRef>
              <c:f>'11.27'!$Z$33:$Z$39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'11.27'!$AA$33:$AA$39</c:f>
              <c:numCache>
                <c:formatCode>#,##0_);[Red]\(#,##0\)</c:formatCode>
                <c:ptCount val="7"/>
                <c:pt idx="0">
                  <c:v>86305</c:v>
                </c:pt>
                <c:pt idx="1">
                  <c:v>77503</c:v>
                </c:pt>
                <c:pt idx="2">
                  <c:v>75974</c:v>
                </c:pt>
                <c:pt idx="3">
                  <c:v>69830</c:v>
                </c:pt>
                <c:pt idx="4">
                  <c:v>66557</c:v>
                </c:pt>
                <c:pt idx="5">
                  <c:v>41974</c:v>
                </c:pt>
                <c:pt idx="6" formatCode="#,##0">
                  <c:v>59160.502999999997</c:v>
                </c:pt>
              </c:numCache>
            </c:numRef>
          </c:val>
        </c:ser>
        <c:ser>
          <c:idx val="0"/>
          <c:order val="1"/>
          <c:tx>
            <c:strRef>
              <c:f>'11.27'!$AB$32</c:f>
              <c:strCache>
                <c:ptCount val="1"/>
                <c:pt idx="0">
                  <c:v>Mobile call Minutes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'11.27'!$Z$33:$Z$39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'11.27'!$AB$33:$AB$39</c:f>
              <c:numCache>
                <c:formatCode>#,##0_);[Red]\(#,##0\)</c:formatCode>
                <c:ptCount val="7"/>
                <c:pt idx="0">
                  <c:v>1165371</c:v>
                </c:pt>
                <c:pt idx="1">
                  <c:v>1241516</c:v>
                </c:pt>
                <c:pt idx="2">
                  <c:v>1094741</c:v>
                </c:pt>
                <c:pt idx="3">
                  <c:v>1468840</c:v>
                </c:pt>
                <c:pt idx="4">
                  <c:v>1571320</c:v>
                </c:pt>
                <c:pt idx="5">
                  <c:v>1687209</c:v>
                </c:pt>
                <c:pt idx="6" formatCode="#,##0">
                  <c:v>1608503.1170000001</c:v>
                </c:pt>
              </c:numCache>
            </c:numRef>
          </c:val>
        </c:ser>
        <c:ser>
          <c:idx val="1"/>
          <c:order val="2"/>
          <c:tx>
            <c:strRef>
              <c:f>'11.27'!$AC$32</c:f>
              <c:strCache>
                <c:ptCount val="1"/>
                <c:pt idx="0">
                  <c:v>International call minutes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numRef>
              <c:f>'11.27'!$Z$33:$Z$39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'11.27'!$AC$33:$AC$39</c:f>
              <c:numCache>
                <c:formatCode>_(* #,##0_);_(* \(#,##0\);_(* "-"??_);_(@_)</c:formatCode>
                <c:ptCount val="7"/>
                <c:pt idx="0">
                  <c:v>140386</c:v>
                </c:pt>
                <c:pt idx="1">
                  <c:v>135384</c:v>
                </c:pt>
                <c:pt idx="2">
                  <c:v>108744</c:v>
                </c:pt>
                <c:pt idx="3">
                  <c:v>211865</c:v>
                </c:pt>
                <c:pt idx="4">
                  <c:v>249201</c:v>
                </c:pt>
                <c:pt idx="5">
                  <c:v>265736</c:v>
                </c:pt>
                <c:pt idx="6" formatCode="#,##0">
                  <c:v>227780.79800000001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135582080"/>
        <c:axId val="135583616"/>
      </c:barChart>
      <c:catAx>
        <c:axId val="1355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35583616"/>
        <c:crosses val="autoZero"/>
        <c:auto val="1"/>
        <c:lblAlgn val="ctr"/>
        <c:lblOffset val="100"/>
        <c:noMultiLvlLbl val="0"/>
      </c:catAx>
      <c:valAx>
        <c:axId val="135583616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 '000 minutes</a:t>
                </a:r>
              </a:p>
            </c:rich>
          </c:tx>
          <c:layout>
            <c:manualLayout>
              <c:xMode val="edge"/>
              <c:yMode val="edge"/>
              <c:x val="6.5823232770061103E-4"/>
              <c:y val="0.10087257304757442"/>
            </c:manualLayout>
          </c:layout>
          <c:overlay val="0"/>
        </c:title>
        <c:numFmt formatCode="#,##0_);[Red]\(#,##0\)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13558208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960073246658119"/>
          <c:y val="0.21836504811898524"/>
          <c:w val="0.62157568210950376"/>
          <c:h val="0.13046332750072928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 b="1" i="0" u="none" strike="noStrike" baseline="0">
                <a:latin typeface="Consolas" pitchFamily="49" charset="0"/>
                <a:cs typeface="Consolas" pitchFamily="49" charset="0"/>
              </a:rPr>
              <a:t>Figure 11.17: Number of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Outgoing SMS's, 2009 - 2015</a:t>
            </a:r>
          </a:p>
        </c:rich>
      </c:tx>
      <c:layout>
        <c:manualLayout>
          <c:xMode val="edge"/>
          <c:yMode val="edge"/>
          <c:x val="0.2176476477764602"/>
          <c:y val="5.48750243679174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536796160148478E-2"/>
          <c:y val="0.1832640295635812"/>
          <c:w val="0.9038861095401749"/>
          <c:h val="0.6642434927065781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'11.27'!$AA$42:$AA$43</c:f>
              <c:strCache>
                <c:ptCount val="1"/>
                <c:pt idx="0">
                  <c:v>Outgoing SMS's  (in millions)</c:v>
                </c:pt>
              </c:strCache>
            </c:strRef>
          </c:tx>
          <c:spPr>
            <a:solidFill>
              <a:srgbClr val="31C5C1"/>
            </a:solidFill>
          </c:spPr>
          <c:invertIfNegative val="0"/>
          <c:cat>
            <c:numRef>
              <c:f>'11.27'!$Z$44:$Z$50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'11.27'!$AA$44:$AA$50</c:f>
              <c:numCache>
                <c:formatCode>#,##0</c:formatCode>
                <c:ptCount val="7"/>
                <c:pt idx="0">
                  <c:v>73.355000000000004</c:v>
                </c:pt>
                <c:pt idx="1">
                  <c:v>93.718999999999994</c:v>
                </c:pt>
                <c:pt idx="2">
                  <c:v>370.17200000000003</c:v>
                </c:pt>
                <c:pt idx="3">
                  <c:v>442.66</c:v>
                </c:pt>
                <c:pt idx="4">
                  <c:v>568.375</c:v>
                </c:pt>
                <c:pt idx="5">
                  <c:v>498.12900000000002</c:v>
                </c:pt>
                <c:pt idx="6">
                  <c:v>378.07900000000001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596288"/>
        <c:axId val="135602176"/>
      </c:barChart>
      <c:catAx>
        <c:axId val="13559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5602176"/>
        <c:crosses val="autoZero"/>
        <c:auto val="1"/>
        <c:lblAlgn val="ctr"/>
        <c:lblOffset val="100"/>
        <c:noMultiLvlLbl val="0"/>
      </c:catAx>
      <c:valAx>
        <c:axId val="135602176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'000</a:t>
                </a:r>
              </a:p>
            </c:rich>
          </c:tx>
          <c:layout>
            <c:manualLayout>
              <c:xMode val="edge"/>
              <c:yMode val="edge"/>
              <c:x val="2.3651145602365368E-2"/>
              <c:y val="6.355996582749837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1355962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688975</xdr:colOff>
      <xdr:row>32</xdr:row>
      <xdr:rowOff>139700</xdr:rowOff>
    </xdr:from>
    <xdr:to>
      <xdr:col>8</xdr:col>
      <xdr:colOff>809625</xdr:colOff>
      <xdr:row>49</xdr:row>
      <xdr:rowOff>101600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647701</xdr:colOff>
      <xdr:row>51</xdr:row>
      <xdr:rowOff>123826</xdr:rowOff>
    </xdr:from>
    <xdr:to>
      <xdr:col>8</xdr:col>
      <xdr:colOff>838201</xdr:colOff>
      <xdr:row>71</xdr:row>
      <xdr:rowOff>6351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33</xdr:row>
      <xdr:rowOff>47625</xdr:rowOff>
    </xdr:from>
    <xdr:to>
      <xdr:col>8</xdr:col>
      <xdr:colOff>457200</xdr:colOff>
      <xdr:row>35</xdr:row>
      <xdr:rowOff>9525</xdr:rowOff>
    </xdr:to>
    <xdr:sp macro="" textlink="">
      <xdr:nvSpPr>
        <xdr:cNvPr id="4" name="TextBox 3"/>
        <xdr:cNvSpPr txBox="1"/>
      </xdr:nvSpPr>
      <xdr:spPr>
        <a:xfrm>
          <a:off x="2552700" y="6086475"/>
          <a:ext cx="534352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/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11.16 International and National Communications, 2009 - 2015</a:t>
          </a:r>
          <a:endParaRPr lang="en-US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190500</xdr:colOff>
      <xdr:row>34</xdr:row>
      <xdr:rowOff>130967</xdr:rowOff>
    </xdr:from>
    <xdr:to>
      <xdr:col>8</xdr:col>
      <xdr:colOff>452438</xdr:colOff>
      <xdr:row>34</xdr:row>
      <xdr:rowOff>164304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2571750" y="6203155"/>
          <a:ext cx="5310188" cy="33337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3</xdr:col>
      <xdr:colOff>416718</xdr:colOff>
      <xdr:row>54</xdr:row>
      <xdr:rowOff>42860</xdr:rowOff>
    </xdr:from>
    <xdr:to>
      <xdr:col>7</xdr:col>
      <xdr:colOff>666750</xdr:colOff>
      <xdr:row>54</xdr:row>
      <xdr:rowOff>45242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2797968" y="9244010"/>
          <a:ext cx="4117182" cy="2382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65"/>
  <sheetViews>
    <sheetView tabSelected="1" zoomScaleNormal="100" workbookViewId="0">
      <selection activeCell="A2" sqref="A2:I2"/>
    </sheetView>
  </sheetViews>
  <sheetFormatPr defaultColWidth="9.140625" defaultRowHeight="12" x14ac:dyDescent="0.15"/>
  <cols>
    <col min="1" max="1" width="11" style="46" customWidth="1"/>
    <col min="2" max="2" width="13.5703125" style="46" customWidth="1"/>
    <col min="3" max="3" width="11.140625" style="46" customWidth="1"/>
    <col min="4" max="4" width="12.5703125" style="46" customWidth="1"/>
    <col min="5" max="5" width="1.85546875" style="46" customWidth="1"/>
    <col min="6" max="6" width="22.5703125" style="46" customWidth="1"/>
    <col min="7" max="7" width="21" style="46" customWidth="1"/>
    <col min="8" max="8" width="17.85546875" style="46" customWidth="1"/>
    <col min="9" max="9" width="22.42578125" style="46" customWidth="1"/>
    <col min="10" max="10" width="4.85546875" style="46" customWidth="1"/>
    <col min="11" max="11" width="9.140625" style="46"/>
    <col min="12" max="12" width="19.140625" style="46" customWidth="1"/>
    <col min="13" max="16" width="16.85546875" style="46" customWidth="1"/>
    <col min="17" max="26" width="9.140625" style="46"/>
    <col min="27" max="29" width="16.85546875" style="46" customWidth="1"/>
    <col min="30" max="16384" width="9.140625" style="46"/>
  </cols>
  <sheetData>
    <row r="1" spans="1:15" s="3" customFormat="1" ht="19.5" x14ac:dyDescent="0.2">
      <c r="A1" s="53" t="s">
        <v>5</v>
      </c>
      <c r="B1" s="53"/>
      <c r="C1" s="53"/>
      <c r="D1" s="53"/>
      <c r="E1" s="53"/>
      <c r="F1" s="53"/>
      <c r="G1" s="53"/>
      <c r="H1" s="53"/>
      <c r="I1" s="53"/>
    </row>
    <row r="2" spans="1:15" s="4" customFormat="1" ht="15.75" x14ac:dyDescent="0.25">
      <c r="A2" s="54" t="s">
        <v>6</v>
      </c>
      <c r="B2" s="54"/>
      <c r="C2" s="54"/>
      <c r="D2" s="54"/>
      <c r="E2" s="54"/>
      <c r="F2" s="54"/>
      <c r="G2" s="54"/>
      <c r="H2" s="54"/>
      <c r="I2" s="54"/>
    </row>
    <row r="3" spans="1:15" s="6" customFormat="1" ht="15.75" x14ac:dyDescent="0.25">
      <c r="A3" s="55" t="s">
        <v>7</v>
      </c>
      <c r="B3" s="55"/>
      <c r="C3" s="55"/>
      <c r="D3" s="55"/>
      <c r="E3" s="55"/>
      <c r="F3" s="55"/>
      <c r="G3" s="55"/>
      <c r="H3" s="55"/>
      <c r="I3" s="55"/>
      <c r="J3" s="5"/>
      <c r="K3" s="5"/>
      <c r="L3" s="5"/>
      <c r="M3" s="5"/>
      <c r="N3" s="5"/>
      <c r="O3" s="5"/>
    </row>
    <row r="4" spans="1:15" s="6" customFormat="1" ht="15.75" x14ac:dyDescent="0.4">
      <c r="A4" s="56" t="s">
        <v>8</v>
      </c>
      <c r="B4" s="59" t="s">
        <v>9</v>
      </c>
      <c r="C4" s="59"/>
      <c r="D4" s="59"/>
      <c r="E4" s="59"/>
      <c r="F4" s="59"/>
      <c r="G4" s="7" t="s">
        <v>10</v>
      </c>
      <c r="H4" s="8" t="s">
        <v>11</v>
      </c>
      <c r="I4" s="9" t="s">
        <v>12</v>
      </c>
    </row>
    <row r="5" spans="1:15" s="6" customFormat="1" ht="15.75" x14ac:dyDescent="0.2">
      <c r="A5" s="57"/>
      <c r="B5" s="60" t="s">
        <v>13</v>
      </c>
      <c r="C5" s="60"/>
      <c r="D5" s="60"/>
      <c r="E5" s="60"/>
      <c r="F5" s="60"/>
      <c r="G5" s="10"/>
      <c r="H5" s="11" t="s">
        <v>14</v>
      </c>
      <c r="I5" s="11" t="s">
        <v>15</v>
      </c>
    </row>
    <row r="6" spans="1:15" s="6" customFormat="1" ht="15.75" x14ac:dyDescent="0.2">
      <c r="A6" s="57"/>
      <c r="B6" s="1" t="s">
        <v>0</v>
      </c>
      <c r="C6" s="1" t="s">
        <v>16</v>
      </c>
      <c r="D6" s="1" t="s">
        <v>17</v>
      </c>
      <c r="E6" s="1"/>
      <c r="F6" s="12" t="s">
        <v>18</v>
      </c>
      <c r="G6" s="1" t="s">
        <v>19</v>
      </c>
      <c r="H6" s="13" t="s">
        <v>20</v>
      </c>
      <c r="I6" s="14" t="s">
        <v>21</v>
      </c>
    </row>
    <row r="7" spans="1:15" s="6" customFormat="1" ht="12.75" x14ac:dyDescent="0.2">
      <c r="A7" s="58"/>
      <c r="B7" s="15" t="s">
        <v>1</v>
      </c>
      <c r="C7" s="15" t="s">
        <v>22</v>
      </c>
      <c r="D7" s="15" t="s">
        <v>23</v>
      </c>
      <c r="E7" s="15"/>
      <c r="F7" s="15" t="s">
        <v>24</v>
      </c>
      <c r="G7" s="15" t="s">
        <v>25</v>
      </c>
      <c r="H7" s="16" t="s">
        <v>26</v>
      </c>
      <c r="I7" s="17" t="s">
        <v>27</v>
      </c>
    </row>
    <row r="8" spans="1:15" s="6" customFormat="1" ht="12.75" x14ac:dyDescent="0.2">
      <c r="A8" s="18">
        <v>2001</v>
      </c>
      <c r="B8" s="19">
        <f>SUM(C8:F8)</f>
        <v>254435</v>
      </c>
      <c r="C8" s="19">
        <v>142170</v>
      </c>
      <c r="D8" s="19">
        <v>80169</v>
      </c>
      <c r="E8" s="19"/>
      <c r="F8" s="19">
        <v>32096</v>
      </c>
      <c r="G8" s="19">
        <v>21549</v>
      </c>
      <c r="H8" s="20">
        <v>7862</v>
      </c>
      <c r="I8" s="21" t="s">
        <v>2</v>
      </c>
    </row>
    <row r="9" spans="1:15" s="6" customFormat="1" ht="12.75" x14ac:dyDescent="0.2">
      <c r="A9" s="18">
        <v>2002</v>
      </c>
      <c r="B9" s="19">
        <f t="shared" ref="B9:B17" si="0">SUM(C9:F9)</f>
        <v>224885</v>
      </c>
      <c r="C9" s="19">
        <v>112934</v>
      </c>
      <c r="D9" s="19">
        <v>64544</v>
      </c>
      <c r="E9" s="19"/>
      <c r="F9" s="19">
        <v>47407</v>
      </c>
      <c r="G9" s="19">
        <v>35134</v>
      </c>
      <c r="H9" s="20">
        <v>7016</v>
      </c>
      <c r="I9" s="21" t="s">
        <v>2</v>
      </c>
    </row>
    <row r="10" spans="1:15" s="6" customFormat="1" ht="12.75" x14ac:dyDescent="0.2">
      <c r="A10" s="18">
        <v>2003</v>
      </c>
      <c r="B10" s="19">
        <f t="shared" si="0"/>
        <v>201065</v>
      </c>
      <c r="C10" s="19">
        <v>82384</v>
      </c>
      <c r="D10" s="19">
        <v>54541</v>
      </c>
      <c r="E10" s="19"/>
      <c r="F10" s="19">
        <v>64140</v>
      </c>
      <c r="G10" s="20">
        <v>33741</v>
      </c>
      <c r="H10" s="20">
        <v>7170</v>
      </c>
      <c r="I10" s="21" t="s">
        <v>2</v>
      </c>
    </row>
    <row r="11" spans="1:15" s="6" customFormat="1" ht="12.75" x14ac:dyDescent="0.2">
      <c r="A11" s="18">
        <v>2004</v>
      </c>
      <c r="B11" s="19">
        <f t="shared" si="0"/>
        <v>191069</v>
      </c>
      <c r="C11" s="19">
        <v>65395</v>
      </c>
      <c r="D11" s="19">
        <v>43874</v>
      </c>
      <c r="E11" s="19"/>
      <c r="F11" s="19">
        <v>81800</v>
      </c>
      <c r="G11" s="20">
        <v>60492</v>
      </c>
      <c r="H11" s="20">
        <v>7870</v>
      </c>
      <c r="I11" s="21" t="s">
        <v>2</v>
      </c>
    </row>
    <row r="12" spans="1:15" s="6" customFormat="1" ht="12.75" x14ac:dyDescent="0.2">
      <c r="A12" s="18">
        <v>2005</v>
      </c>
      <c r="B12" s="19">
        <f t="shared" si="0"/>
        <v>151155</v>
      </c>
      <c r="C12" s="19">
        <v>43247</v>
      </c>
      <c r="D12" s="19">
        <v>21527</v>
      </c>
      <c r="E12" s="19"/>
      <c r="F12" s="19">
        <v>86381</v>
      </c>
      <c r="G12" s="19">
        <v>136256</v>
      </c>
      <c r="H12" s="20">
        <v>8908</v>
      </c>
      <c r="I12" s="21" t="s">
        <v>2</v>
      </c>
    </row>
    <row r="13" spans="1:15" s="6" customFormat="1" ht="12.75" x14ac:dyDescent="0.2">
      <c r="A13" s="18">
        <v>2006</v>
      </c>
      <c r="B13" s="19">
        <f t="shared" si="0"/>
        <v>123281</v>
      </c>
      <c r="C13" s="19">
        <v>30054</v>
      </c>
      <c r="D13" s="19">
        <v>14031</v>
      </c>
      <c r="E13" s="19"/>
      <c r="F13" s="19">
        <v>79196</v>
      </c>
      <c r="G13" s="19">
        <v>216318</v>
      </c>
      <c r="H13" s="20">
        <v>12037</v>
      </c>
      <c r="I13" s="21" t="s">
        <v>2</v>
      </c>
      <c r="J13" s="4"/>
      <c r="L13" s="22"/>
      <c r="M13" s="22"/>
      <c r="N13" s="22"/>
      <c r="O13" s="18"/>
    </row>
    <row r="14" spans="1:15" s="6" customFormat="1" ht="12.75" x14ac:dyDescent="0.2">
      <c r="A14" s="18">
        <v>2007</v>
      </c>
      <c r="B14" s="19">
        <f t="shared" si="0"/>
        <v>122725</v>
      </c>
      <c r="C14" s="19">
        <v>25575</v>
      </c>
      <c r="D14" s="19">
        <v>11883</v>
      </c>
      <c r="E14" s="19"/>
      <c r="F14" s="19">
        <v>85267</v>
      </c>
      <c r="G14" s="19">
        <v>219839</v>
      </c>
      <c r="H14" s="20">
        <v>26991</v>
      </c>
      <c r="I14" s="21" t="s">
        <v>2</v>
      </c>
      <c r="J14" s="4"/>
    </row>
    <row r="15" spans="1:15" s="6" customFormat="1" ht="12.75" x14ac:dyDescent="0.2">
      <c r="A15" s="18">
        <v>2008</v>
      </c>
      <c r="B15" s="19">
        <f t="shared" si="0"/>
        <v>95124</v>
      </c>
      <c r="C15" s="19">
        <v>19617</v>
      </c>
      <c r="D15" s="19">
        <v>10334</v>
      </c>
      <c r="E15" s="19"/>
      <c r="F15" s="19">
        <v>65173</v>
      </c>
      <c r="G15" s="19">
        <v>969281</v>
      </c>
      <c r="H15" s="20">
        <v>120906</v>
      </c>
      <c r="I15" s="19" t="s">
        <v>2</v>
      </c>
      <c r="J15" s="4"/>
    </row>
    <row r="16" spans="1:15" s="6" customFormat="1" ht="12.75" x14ac:dyDescent="0.2">
      <c r="A16" s="23">
        <v>2009</v>
      </c>
      <c r="B16" s="19">
        <f t="shared" si="0"/>
        <v>86305</v>
      </c>
      <c r="C16" s="19">
        <v>18007</v>
      </c>
      <c r="D16" s="19">
        <v>9021</v>
      </c>
      <c r="E16" s="19"/>
      <c r="F16" s="19">
        <v>59277</v>
      </c>
      <c r="G16" s="19">
        <v>1165371</v>
      </c>
      <c r="H16" s="24">
        <v>140386</v>
      </c>
      <c r="I16" s="19">
        <v>73355</v>
      </c>
      <c r="J16" s="4"/>
    </row>
    <row r="17" spans="1:29" s="6" customFormat="1" ht="15" customHeight="1" x14ac:dyDescent="0.2">
      <c r="A17" s="23">
        <v>2010</v>
      </c>
      <c r="B17" s="19">
        <f t="shared" si="0"/>
        <v>77503</v>
      </c>
      <c r="C17" s="19">
        <v>16757</v>
      </c>
      <c r="D17" s="19">
        <v>8248</v>
      </c>
      <c r="E17" s="19"/>
      <c r="F17" s="19">
        <v>52498</v>
      </c>
      <c r="G17" s="19">
        <v>1241516</v>
      </c>
      <c r="H17" s="24">
        <v>135384</v>
      </c>
      <c r="I17" s="19">
        <v>93719</v>
      </c>
      <c r="J17" s="4"/>
    </row>
    <row r="18" spans="1:29" s="4" customFormat="1" ht="15" customHeight="1" x14ac:dyDescent="0.2">
      <c r="A18" s="23">
        <v>2011</v>
      </c>
      <c r="B18" s="19">
        <v>75974</v>
      </c>
      <c r="C18" s="19">
        <v>15481</v>
      </c>
      <c r="D18" s="19">
        <v>9447</v>
      </c>
      <c r="E18" s="19"/>
      <c r="F18" s="19">
        <v>51046</v>
      </c>
      <c r="G18" s="19">
        <v>1094741</v>
      </c>
      <c r="H18" s="24">
        <v>108744</v>
      </c>
      <c r="I18" s="19">
        <v>370172</v>
      </c>
    </row>
    <row r="19" spans="1:29" s="4" customFormat="1" ht="15" customHeight="1" x14ac:dyDescent="0.2">
      <c r="A19" s="23">
        <v>2012</v>
      </c>
      <c r="B19" s="19">
        <v>69830</v>
      </c>
      <c r="C19" s="19">
        <v>12499</v>
      </c>
      <c r="D19" s="19">
        <v>7788</v>
      </c>
      <c r="E19" s="19"/>
      <c r="F19" s="19">
        <v>49543</v>
      </c>
      <c r="G19" s="19">
        <v>1468840</v>
      </c>
      <c r="H19" s="24">
        <v>211865</v>
      </c>
      <c r="I19" s="19">
        <v>442660</v>
      </c>
    </row>
    <row r="20" spans="1:29" s="6" customFormat="1" ht="15" customHeight="1" x14ac:dyDescent="0.2">
      <c r="A20" s="23">
        <v>2013</v>
      </c>
      <c r="B20" s="19">
        <v>66557</v>
      </c>
      <c r="C20" s="19">
        <v>11699</v>
      </c>
      <c r="D20" s="19">
        <v>7217</v>
      </c>
      <c r="E20" s="19"/>
      <c r="F20" s="19">
        <v>47641</v>
      </c>
      <c r="G20" s="19">
        <v>1571320</v>
      </c>
      <c r="H20" s="24">
        <v>249201</v>
      </c>
      <c r="I20" s="19">
        <v>568375</v>
      </c>
      <c r="J20" s="4"/>
    </row>
    <row r="21" spans="1:29" s="4" customFormat="1" ht="15" customHeight="1" x14ac:dyDescent="0.2">
      <c r="A21" s="23" t="s">
        <v>28</v>
      </c>
      <c r="B21" s="19">
        <f>SUM(C21:F21)</f>
        <v>41974</v>
      </c>
      <c r="C21" s="19">
        <v>7399</v>
      </c>
      <c r="D21" s="19">
        <v>4684</v>
      </c>
      <c r="E21" s="19"/>
      <c r="F21" s="19">
        <v>29891</v>
      </c>
      <c r="G21" s="19">
        <v>1687209</v>
      </c>
      <c r="H21" s="24">
        <v>265736</v>
      </c>
      <c r="I21" s="19">
        <v>498129</v>
      </c>
    </row>
    <row r="22" spans="1:29" s="4" customFormat="1" ht="15" customHeight="1" x14ac:dyDescent="0.2">
      <c r="A22" s="25">
        <v>2015</v>
      </c>
      <c r="B22" s="48">
        <f>SUM(C22:F22)</f>
        <v>59160503</v>
      </c>
      <c r="C22" s="48">
        <v>10072449</v>
      </c>
      <c r="D22" s="48">
        <v>6054414</v>
      </c>
      <c r="E22" s="49"/>
      <c r="F22" s="48">
        <v>43033640</v>
      </c>
      <c r="G22" s="48">
        <v>1608503117</v>
      </c>
      <c r="H22" s="50">
        <v>227780798</v>
      </c>
      <c r="I22" s="49">
        <v>378079</v>
      </c>
    </row>
    <row r="23" spans="1:29" s="28" customFormat="1" ht="12.75" x14ac:dyDescent="0.2">
      <c r="A23" s="26" t="s">
        <v>29</v>
      </c>
      <c r="B23" s="2"/>
      <c r="C23" s="2"/>
      <c r="D23" s="2"/>
      <c r="E23" s="2"/>
      <c r="F23" s="27"/>
      <c r="G23" s="27"/>
      <c r="H23" s="27"/>
    </row>
    <row r="24" spans="1:29" s="28" customFormat="1" ht="12.75" x14ac:dyDescent="0.2">
      <c r="A24" s="26" t="s">
        <v>30</v>
      </c>
      <c r="B24" s="2"/>
      <c r="C24" s="2"/>
      <c r="D24" s="2"/>
      <c r="E24" s="2"/>
      <c r="F24" s="27"/>
      <c r="G24" s="27"/>
      <c r="H24" s="27"/>
    </row>
    <row r="25" spans="1:29" s="6" customFormat="1" ht="12.75" x14ac:dyDescent="0.2">
      <c r="A25" s="2" t="s">
        <v>3</v>
      </c>
      <c r="B25" s="22"/>
      <c r="C25" s="22"/>
      <c r="D25" s="22"/>
      <c r="E25" s="22"/>
      <c r="F25" s="22"/>
      <c r="G25" s="22"/>
      <c r="H25" s="22"/>
    </row>
    <row r="26" spans="1:29" s="6" customFormat="1" ht="12.75" x14ac:dyDescent="0.2">
      <c r="A26" s="2" t="s">
        <v>4</v>
      </c>
      <c r="B26" s="22"/>
      <c r="C26" s="22"/>
      <c r="D26" s="22"/>
      <c r="E26" s="22"/>
      <c r="F26" s="22"/>
      <c r="G26" s="22"/>
      <c r="H26" s="29"/>
      <c r="I26" s="22"/>
    </row>
    <row r="27" spans="1:29" s="6" customFormat="1" ht="12.75" x14ac:dyDescent="0.2">
      <c r="A27" s="30" t="s">
        <v>31</v>
      </c>
      <c r="B27" s="22"/>
      <c r="C27" s="22"/>
      <c r="D27" s="22"/>
      <c r="E27" s="22"/>
      <c r="F27" s="22"/>
      <c r="G27" s="22"/>
      <c r="H27" s="22"/>
      <c r="P27" s="31"/>
    </row>
    <row r="28" spans="1:29" s="6" customFormat="1" ht="12.75" x14ac:dyDescent="0.2">
      <c r="A28" s="32" t="s">
        <v>32</v>
      </c>
      <c r="B28" s="22"/>
      <c r="C28" s="22"/>
      <c r="D28" s="22"/>
      <c r="E28" s="22"/>
      <c r="F28" s="22"/>
      <c r="G28" s="22"/>
      <c r="H28" s="22"/>
      <c r="P28" s="33"/>
    </row>
    <row r="29" spans="1:29" s="6" customFormat="1" ht="12.75" x14ac:dyDescent="0.2">
      <c r="A29" s="32" t="s">
        <v>33</v>
      </c>
      <c r="B29" s="22"/>
      <c r="C29" s="22"/>
      <c r="D29" s="22"/>
      <c r="E29" s="22"/>
      <c r="F29" s="22"/>
      <c r="G29" s="22"/>
      <c r="H29" s="22"/>
      <c r="P29" s="33"/>
      <c r="AA29" s="29">
        <f>AA39/1000</f>
        <v>59.160502999999999</v>
      </c>
      <c r="AB29" s="29">
        <f t="shared" ref="AB29:AC29" si="1">AB39/1000</f>
        <v>1608.503117</v>
      </c>
      <c r="AC29" s="29">
        <f t="shared" si="1"/>
        <v>227.780798</v>
      </c>
    </row>
    <row r="30" spans="1:29" s="6" customFormat="1" ht="12.75" x14ac:dyDescent="0.2">
      <c r="A30" s="32" t="s">
        <v>34</v>
      </c>
      <c r="B30" s="22"/>
      <c r="C30" s="22"/>
      <c r="D30" s="22"/>
      <c r="E30" s="22"/>
      <c r="F30" s="22"/>
      <c r="G30" s="22"/>
      <c r="H30" s="22"/>
      <c r="P30" s="33"/>
    </row>
    <row r="31" spans="1:29" s="6" customFormat="1" ht="12.75" x14ac:dyDescent="0.2">
      <c r="A31" s="32" t="s">
        <v>35</v>
      </c>
      <c r="B31" s="22"/>
      <c r="C31" s="22"/>
      <c r="D31" s="22"/>
      <c r="E31" s="22"/>
      <c r="F31" s="22"/>
      <c r="G31" s="22"/>
      <c r="H31" s="22"/>
      <c r="P31" s="4"/>
    </row>
    <row r="32" spans="1:29" s="6" customFormat="1" ht="12.75" customHeight="1" x14ac:dyDescent="0.2">
      <c r="A32" s="32" t="s">
        <v>36</v>
      </c>
      <c r="B32" s="22"/>
      <c r="C32" s="22"/>
      <c r="D32" s="22"/>
      <c r="E32" s="22"/>
      <c r="F32" s="22"/>
      <c r="G32" s="22"/>
      <c r="H32" s="22"/>
      <c r="L32" s="34"/>
      <c r="M32" s="4"/>
      <c r="N32" s="35"/>
      <c r="O32" s="36"/>
      <c r="P32" s="4"/>
      <c r="Z32" s="37"/>
      <c r="AA32" s="38" t="s">
        <v>37</v>
      </c>
      <c r="AB32" s="38" t="s">
        <v>38</v>
      </c>
      <c r="AC32" s="38" t="s">
        <v>39</v>
      </c>
    </row>
    <row r="33" spans="1:29" s="6" customFormat="1" ht="12.75" x14ac:dyDescent="0.2">
      <c r="A33" s="39"/>
      <c r="B33" s="39"/>
      <c r="C33" s="39"/>
      <c r="D33" s="39"/>
      <c r="E33" s="39"/>
      <c r="F33" s="39"/>
      <c r="G33" s="39"/>
      <c r="H33" s="39"/>
      <c r="L33" s="40"/>
      <c r="M33" s="41"/>
      <c r="N33" s="42"/>
      <c r="O33" s="43"/>
      <c r="P33" s="4"/>
      <c r="Z33" s="34">
        <v>2009</v>
      </c>
      <c r="AA33" s="44">
        <f t="shared" ref="AA33:AA38" si="2">B16</f>
        <v>86305</v>
      </c>
      <c r="AB33" s="44">
        <f t="shared" ref="AB33:AC38" si="3">G16</f>
        <v>1165371</v>
      </c>
      <c r="AC33" s="45">
        <f t="shared" si="3"/>
        <v>140386</v>
      </c>
    </row>
    <row r="34" spans="1:29" s="6" customFormat="1" ht="12.75" x14ac:dyDescent="0.2">
      <c r="B34" s="39"/>
      <c r="C34" s="39"/>
      <c r="D34" s="39"/>
      <c r="E34" s="39"/>
      <c r="F34" s="39"/>
      <c r="G34" s="39"/>
      <c r="H34" s="39"/>
      <c r="L34" s="40"/>
      <c r="M34" s="41"/>
      <c r="N34" s="42"/>
      <c r="O34" s="43"/>
      <c r="P34" s="4"/>
      <c r="Z34" s="34">
        <v>2010</v>
      </c>
      <c r="AA34" s="44">
        <f t="shared" si="2"/>
        <v>77503</v>
      </c>
      <c r="AB34" s="44">
        <f t="shared" si="3"/>
        <v>1241516</v>
      </c>
      <c r="AC34" s="45">
        <f t="shared" si="3"/>
        <v>135384</v>
      </c>
    </row>
    <row r="35" spans="1:29" s="6" customFormat="1" ht="12.75" x14ac:dyDescent="0.2">
      <c r="B35" s="39"/>
      <c r="C35" s="39"/>
      <c r="D35" s="39"/>
      <c r="E35" s="39"/>
      <c r="F35" s="39"/>
      <c r="G35" s="39"/>
      <c r="H35" s="39"/>
      <c r="Z35" s="34">
        <v>2011</v>
      </c>
      <c r="AA35" s="44">
        <f t="shared" si="2"/>
        <v>75974</v>
      </c>
      <c r="AB35" s="44">
        <f t="shared" si="3"/>
        <v>1094741</v>
      </c>
      <c r="AC35" s="45">
        <f t="shared" si="3"/>
        <v>108744</v>
      </c>
    </row>
    <row r="36" spans="1:29" s="6" customFormat="1" ht="12.75" x14ac:dyDescent="0.2">
      <c r="A36" s="22"/>
      <c r="B36" s="22"/>
      <c r="C36" s="22"/>
      <c r="D36" s="22"/>
      <c r="E36" s="22"/>
      <c r="F36" s="22"/>
      <c r="G36" s="22"/>
      <c r="H36" s="22"/>
      <c r="Z36" s="34">
        <v>2012</v>
      </c>
      <c r="AA36" s="44">
        <f t="shared" si="2"/>
        <v>69830</v>
      </c>
      <c r="AB36" s="44">
        <f t="shared" si="3"/>
        <v>1468840</v>
      </c>
      <c r="AC36" s="45">
        <f t="shared" si="3"/>
        <v>211865</v>
      </c>
    </row>
    <row r="37" spans="1:29" s="6" customFormat="1" ht="12.75" x14ac:dyDescent="0.2">
      <c r="F37" s="22"/>
      <c r="G37" s="46"/>
      <c r="H37" s="22"/>
      <c r="Z37" s="34">
        <v>2013</v>
      </c>
      <c r="AA37" s="44">
        <f t="shared" si="2"/>
        <v>66557</v>
      </c>
      <c r="AB37" s="44">
        <f t="shared" si="3"/>
        <v>1571320</v>
      </c>
      <c r="AC37" s="45">
        <f t="shared" si="3"/>
        <v>249201</v>
      </c>
    </row>
    <row r="38" spans="1:29" s="6" customFormat="1" ht="12.75" x14ac:dyDescent="0.2">
      <c r="P38" s="46"/>
      <c r="Z38" s="34">
        <v>2014</v>
      </c>
      <c r="AA38" s="44">
        <f t="shared" si="2"/>
        <v>41974</v>
      </c>
      <c r="AB38" s="44">
        <f t="shared" si="3"/>
        <v>1687209</v>
      </c>
      <c r="AC38" s="45">
        <f t="shared" si="3"/>
        <v>265736</v>
      </c>
    </row>
    <row r="39" spans="1:29" ht="12.75" x14ac:dyDescent="0.2">
      <c r="L39" s="6"/>
      <c r="M39" s="6"/>
      <c r="N39" s="6"/>
      <c r="O39" s="6"/>
      <c r="Z39" s="34">
        <v>2015</v>
      </c>
      <c r="AA39" s="51">
        <v>59160.502999999997</v>
      </c>
      <c r="AB39" s="51">
        <v>1608503.1170000001</v>
      </c>
      <c r="AC39" s="52">
        <v>227780.79800000001</v>
      </c>
    </row>
    <row r="40" spans="1:29" ht="12.75" x14ac:dyDescent="0.2">
      <c r="L40" s="6"/>
      <c r="M40" s="6"/>
      <c r="N40" s="6"/>
      <c r="O40" s="6"/>
      <c r="AA40" s="29"/>
      <c r="AB40" s="29"/>
      <c r="AC40" s="29"/>
    </row>
    <row r="41" spans="1:29" ht="12.75" x14ac:dyDescent="0.2">
      <c r="G41" s="41"/>
      <c r="H41" s="41"/>
      <c r="L41" s="6"/>
      <c r="M41" s="6"/>
      <c r="N41" s="6"/>
      <c r="O41" s="6"/>
    </row>
    <row r="42" spans="1:29" ht="12.75" x14ac:dyDescent="0.2">
      <c r="G42" s="41"/>
      <c r="H42" s="41"/>
      <c r="I42" s="41"/>
      <c r="L42" s="6"/>
      <c r="M42" s="6"/>
      <c r="N42" s="6"/>
      <c r="O42" s="6"/>
      <c r="AA42" s="14" t="s">
        <v>21</v>
      </c>
      <c r="AB42" s="14" t="s">
        <v>21</v>
      </c>
    </row>
    <row r="43" spans="1:29" ht="15" x14ac:dyDescent="0.2">
      <c r="G43" s="47"/>
      <c r="H43" s="47"/>
      <c r="I43" s="47"/>
      <c r="L43" s="6"/>
      <c r="M43" s="6"/>
      <c r="N43" s="6"/>
      <c r="O43" s="6"/>
      <c r="AA43" s="17" t="s">
        <v>40</v>
      </c>
      <c r="AB43" s="17" t="s">
        <v>27</v>
      </c>
    </row>
    <row r="44" spans="1:29" ht="12.75" x14ac:dyDescent="0.2">
      <c r="I44" s="41"/>
      <c r="L44" s="6"/>
      <c r="M44" s="6"/>
      <c r="N44" s="6"/>
      <c r="O44" s="6"/>
      <c r="Z44" s="23">
        <v>2009</v>
      </c>
      <c r="AA44" s="19">
        <f t="shared" ref="AA44:AA49" si="4">AB44/1000</f>
        <v>73.355000000000004</v>
      </c>
      <c r="AB44" s="19">
        <f>I16</f>
        <v>73355</v>
      </c>
    </row>
    <row r="45" spans="1:29" ht="12.75" x14ac:dyDescent="0.2">
      <c r="L45" s="6"/>
      <c r="M45" s="6"/>
      <c r="N45" s="6"/>
      <c r="O45" s="6"/>
      <c r="Z45" s="23">
        <v>2010</v>
      </c>
      <c r="AA45" s="19">
        <f t="shared" si="4"/>
        <v>93.718999999999994</v>
      </c>
      <c r="AB45" s="19">
        <f>I17</f>
        <v>93719</v>
      </c>
    </row>
    <row r="46" spans="1:29" ht="12.75" x14ac:dyDescent="0.2">
      <c r="L46" s="6"/>
      <c r="M46" s="6"/>
      <c r="N46" s="6"/>
      <c r="O46" s="6"/>
      <c r="Z46" s="23">
        <v>2011</v>
      </c>
      <c r="AA46" s="19">
        <f t="shared" si="4"/>
        <v>370.17200000000003</v>
      </c>
      <c r="AB46" s="19">
        <f>AC46</f>
        <v>370172</v>
      </c>
      <c r="AC46" s="46">
        <f>370172</f>
        <v>370172</v>
      </c>
    </row>
    <row r="47" spans="1:29" ht="12.75" x14ac:dyDescent="0.2">
      <c r="L47" s="6"/>
      <c r="M47" s="6"/>
      <c r="N47" s="6"/>
      <c r="O47" s="6"/>
      <c r="P47" s="41"/>
      <c r="Z47" s="23">
        <v>2012</v>
      </c>
      <c r="AA47" s="19">
        <f t="shared" si="4"/>
        <v>442.66</v>
      </c>
      <c r="AB47" s="19">
        <f>I19</f>
        <v>442660</v>
      </c>
    </row>
    <row r="48" spans="1:29" ht="12.75" x14ac:dyDescent="0.2">
      <c r="L48" s="6"/>
      <c r="M48" s="6"/>
      <c r="N48" s="6"/>
      <c r="O48" s="6"/>
      <c r="Z48" s="23">
        <v>2013</v>
      </c>
      <c r="AA48" s="19">
        <f t="shared" si="4"/>
        <v>568.375</v>
      </c>
      <c r="AB48" s="19">
        <f>I20</f>
        <v>568375</v>
      </c>
    </row>
    <row r="49" spans="4:28" ht="12.75" x14ac:dyDescent="0.2">
      <c r="L49" s="6"/>
      <c r="M49" s="6"/>
      <c r="N49" s="6"/>
      <c r="O49" s="6"/>
      <c r="Z49" s="23">
        <v>2014</v>
      </c>
      <c r="AA49" s="19">
        <f t="shared" si="4"/>
        <v>498.12900000000002</v>
      </c>
      <c r="AB49" s="19">
        <f>I21</f>
        <v>498129</v>
      </c>
    </row>
    <row r="50" spans="4:28" ht="12.75" x14ac:dyDescent="0.2">
      <c r="L50" s="6"/>
      <c r="M50" s="6"/>
      <c r="N50" s="6"/>
      <c r="O50" s="6"/>
      <c r="Z50" s="23">
        <v>2015</v>
      </c>
      <c r="AA50" s="19">
        <f>AB50/1000</f>
        <v>378.07900000000001</v>
      </c>
      <c r="AB50" s="19">
        <f>I22</f>
        <v>378079</v>
      </c>
    </row>
    <row r="51" spans="4:28" ht="12.75" x14ac:dyDescent="0.2">
      <c r="L51" s="6"/>
      <c r="M51" s="6"/>
      <c r="N51" s="6"/>
      <c r="O51" s="6"/>
    </row>
    <row r="52" spans="4:28" ht="12.75" x14ac:dyDescent="0.2">
      <c r="L52" s="6"/>
      <c r="M52" s="6"/>
      <c r="N52" s="6"/>
      <c r="O52" s="6"/>
    </row>
    <row r="64" spans="4:28" x14ac:dyDescent="0.15">
      <c r="D64" s="41"/>
      <c r="E64" s="41"/>
      <c r="F64" s="41"/>
      <c r="G64" s="41"/>
      <c r="H64" s="41"/>
      <c r="I64" s="41"/>
    </row>
    <row r="65" spans="4:9" x14ac:dyDescent="0.15">
      <c r="D65" s="41"/>
      <c r="E65" s="41"/>
      <c r="F65" s="41"/>
      <c r="G65" s="41"/>
      <c r="H65" s="41"/>
      <c r="I65" s="41"/>
    </row>
  </sheetData>
  <mergeCells count="6">
    <mergeCell ref="A1:I1"/>
    <mergeCell ref="A2:I2"/>
    <mergeCell ref="A3:I3"/>
    <mergeCell ref="A4:A7"/>
    <mergeCell ref="B4:F4"/>
    <mergeCell ref="B5:F5"/>
  </mergeCells>
  <pageMargins left="0.7" right="0.7" top="0.75" bottom="0.75" header="0.3" footer="0.3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11.27</vt:lpstr>
      <vt:lpstr>'11.27'!Print_Area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2016-09-19T07:51:21Z</cp:lastPrinted>
  <dcterms:created xsi:type="dcterms:W3CDTF">2014-05-22T03:57:11Z</dcterms:created>
  <dcterms:modified xsi:type="dcterms:W3CDTF">2016-09-19T07:51:26Z</dcterms:modified>
</cp:coreProperties>
</file>