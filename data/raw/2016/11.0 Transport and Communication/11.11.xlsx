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837"/>
  </bookViews>
  <sheets>
    <sheet name="11.11 " sheetId="8" r:id="rId1"/>
  </sheets>
  <externalReferences>
    <externalReference r:id="rId2"/>
    <externalReference r:id="rId3"/>
  </externalReferences>
  <definedNames>
    <definedName name="_xlnm.Print_Area" localSheetId="0">'11.11 '!$A$1:$M$20</definedName>
  </definedNames>
  <calcPr calcId="144525"/>
</workbook>
</file>

<file path=xl/calcChain.xml><?xml version="1.0" encoding="utf-8"?>
<calcChain xmlns="http://schemas.openxmlformats.org/spreadsheetml/2006/main">
  <c r="L13" i="8" l="1"/>
  <c r="K13" i="8"/>
  <c r="I13" i="8"/>
  <c r="H13" i="8"/>
  <c r="G13" i="8"/>
  <c r="E13" i="8"/>
  <c r="D13" i="8"/>
  <c r="C13" i="8"/>
  <c r="B13" i="8"/>
  <c r="L9" i="8"/>
  <c r="K9" i="8"/>
  <c r="K8" i="8" s="1"/>
  <c r="K7" i="8" s="1"/>
  <c r="I9" i="8"/>
  <c r="I8" i="8" s="1"/>
  <c r="H9" i="8"/>
  <c r="H8" i="8" s="1"/>
  <c r="G9" i="8"/>
  <c r="G8" i="8" s="1"/>
  <c r="E9" i="8"/>
  <c r="E8" i="8" s="1"/>
  <c r="E7" i="8" s="1"/>
  <c r="D9" i="8"/>
  <c r="D8" i="8" s="1"/>
  <c r="C9" i="8"/>
  <c r="C8" i="8" s="1"/>
  <c r="B9" i="8"/>
  <c r="B8" i="8" s="1"/>
  <c r="L8" i="8"/>
  <c r="D7" i="8" l="1"/>
  <c r="G7" i="8"/>
  <c r="H7" i="8"/>
  <c r="I7" i="8"/>
  <c r="C7" i="8"/>
  <c r="L7" i="8"/>
  <c r="B7" i="8"/>
</calcChain>
</file>

<file path=xl/sharedStrings.xml><?xml version="1.0" encoding="utf-8"?>
<sst xmlns="http://schemas.openxmlformats.org/spreadsheetml/2006/main" count="51" uniqueCount="43">
  <si>
    <t>wlcmuj</t>
  </si>
  <si>
    <t>Total</t>
  </si>
  <si>
    <t>Passengers</t>
  </si>
  <si>
    <t>cnurwjcniswf</t>
  </si>
  <si>
    <t>Cargo (kg)</t>
  </si>
  <si>
    <t>(Olik) Wdum</t>
  </si>
  <si>
    <t>Mail (kg)</t>
  </si>
  <si>
    <t>(Olik) cliaem</t>
  </si>
  <si>
    <t>Airline</t>
  </si>
  <si>
    <t>cawtcTiawlcf</t>
  </si>
  <si>
    <t>iawa</t>
  </si>
  <si>
    <t>iruf</t>
  </si>
  <si>
    <t>irukuDwm iawgItwmurutwd</t>
  </si>
  <si>
    <t>irukeretea</t>
  </si>
  <si>
    <t>irukurEb</t>
  </si>
  <si>
    <t>cniawlrwaea</t>
  </si>
  <si>
    <t>Flight Movements</t>
  </si>
  <si>
    <t>In</t>
  </si>
  <si>
    <t>Out</t>
  </si>
  <si>
    <t>Transit</t>
  </si>
  <si>
    <t>International Flights</t>
  </si>
  <si>
    <t xml:space="preserve">     cawtcTiawlcf ImWvcqwaclwniawb</t>
  </si>
  <si>
    <t>International Scheduled</t>
  </si>
  <si>
    <t>Wviawfihejwmwh cnutogImiaWd ImWvcqwaclwniawb</t>
  </si>
  <si>
    <t>International Charter</t>
  </si>
  <si>
    <t xml:space="preserve"> cawtuTiawlcf rWTrWC ImWvcqwlwniawb</t>
  </si>
  <si>
    <t>International Non-Scheduled</t>
  </si>
  <si>
    <t xml:space="preserve">     cawtcTiawlcf Wvuniawfihejwmwh cnutogImiaWd</t>
  </si>
  <si>
    <t>Domestic flights</t>
  </si>
  <si>
    <t xml:space="preserve">           cawtcTiawlcf egEjcaWr</t>
  </si>
  <si>
    <t>Source: Civil Aviation Authority</t>
  </si>
  <si>
    <t>މައުލޫމާތު ދެއްވީ: ސިވިލް އޭވިއޭޝަން އޮތޯރިޓީ</t>
  </si>
  <si>
    <t>2015 ,cliaem iaWlwdum unulufua iaWncnurwjcniswf irukurutwfurutwd cnurwhwfuTOb egukwtcniawlrwaea ikeaikea cSwrwdnwbegiawv ImWvcqwaclwniawb UdWminwh  11.11:clwvWt</t>
  </si>
  <si>
    <t xml:space="preserve">Table 11.11  TRANSPORT MOVEMENTS AT HANIMAADHOO INTERNATIONAL AIRPORT  BY AIRLINE, CROSS-CLASSIFIED BY PASSENGER, CARGO AND MAIL, 2015                 </t>
  </si>
  <si>
    <t>IAS</t>
  </si>
  <si>
    <t>Island Aviation (Scheduled)</t>
  </si>
  <si>
    <t xml:space="preserve">(cDclwauDex) cnwxEaivEacDcneliawa </t>
  </si>
  <si>
    <t>Villa Air</t>
  </si>
  <si>
    <t>ވިލާ އެއަރ</t>
  </si>
  <si>
    <t xml:space="preserve">Note: </t>
  </si>
  <si>
    <t>ނޯޓް:</t>
  </si>
  <si>
    <t>ގަން އިންޓަރނޭޝަނަލް އެއަރޕޯޓަށް ބައިނަލް އަޤްވާވީ ޕްލައިޓްތަކުން މުދާ އަދި މެއިލް އެތެރެކުރުމުގެ ހުއްދަ ދެވިފައެއްނުވެއެވެ.</t>
  </si>
  <si>
    <t>Hanimaadhoo international flights do not have the permit to handle Cargo &amp; 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</si>
</sst>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i/>
      <sz val="9"/>
      <name val="Arial"/>
      <family val="2"/>
    </font>
    <font>
      <sz val="10"/>
      <name val="Faruma"/>
    </font>
    <font>
      <sz val="10"/>
      <name val="Courier"/>
      <family val="3"/>
    </font>
    <font>
      <b/>
      <sz val="9"/>
      <name val="A_Randhoo"/>
    </font>
    <font>
      <sz val="9"/>
      <name val="A_Randhoo"/>
    </font>
    <font>
      <sz val="9"/>
      <name val="Arial"/>
      <family val="2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2"/>
      <name val="A_Randhoo"/>
    </font>
    <font>
      <b/>
      <sz val="9"/>
      <name val="Akuru"/>
      <family val="2"/>
      <charset val="2"/>
    </font>
    <font>
      <sz val="9"/>
      <name val="Akuru"/>
      <family val="2"/>
      <charset val="2"/>
    </font>
    <font>
      <b/>
      <sz val="10"/>
      <name val="A_Randhoo"/>
    </font>
    <font>
      <sz val="10"/>
      <name val="A_Randhoo"/>
    </font>
    <font>
      <sz val="10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3" fillId="0" borderId="0"/>
    <xf numFmtId="40" fontId="17" fillId="0" borderId="0" applyFont="0" applyFill="0" applyBorder="0" applyAlignment="0" applyProtection="0"/>
    <xf numFmtId="166" fontId="13" fillId="0" borderId="0"/>
    <xf numFmtId="166" fontId="13" fillId="0" borderId="0"/>
    <xf numFmtId="165" fontId="13" fillId="0" borderId="0" applyFont="0" applyFill="0" applyBorder="0" applyAlignment="0" applyProtection="0"/>
    <xf numFmtId="0" fontId="18" fillId="0" borderId="0"/>
    <xf numFmtId="164" fontId="13" fillId="0" borderId="0"/>
    <xf numFmtId="167" fontId="13" fillId="0" borderId="0" applyFont="0" applyFill="0" applyBorder="0" applyAlignment="0" applyProtection="0"/>
    <xf numFmtId="0" fontId="6" fillId="0" borderId="0"/>
    <xf numFmtId="0" fontId="6" fillId="0" borderId="0"/>
  </cellStyleXfs>
  <cellXfs count="55">
    <xf numFmtId="0" fontId="0" fillId="0" borderId="0" xfId="0"/>
    <xf numFmtId="164" fontId="20" fillId="2" borderId="0" xfId="5" applyNumberFormat="1" applyFont="1" applyFill="1" applyBorder="1" applyAlignment="1" applyProtection="1">
      <alignment horizontal="left" vertical="center"/>
    </xf>
    <xf numFmtId="0" fontId="7" fillId="2" borderId="0" xfId="13" applyFont="1" applyFill="1" applyAlignment="1">
      <alignment vertical="center"/>
    </xf>
    <xf numFmtId="164" fontId="2" fillId="2" borderId="2" xfId="5" applyNumberFormat="1" applyFont="1" applyFill="1" applyBorder="1" applyAlignment="1" applyProtection="1">
      <alignment horizontal="left" vertical="center"/>
    </xf>
    <xf numFmtId="164" fontId="21" fillId="2" borderId="2" xfId="5" applyNumberFormat="1" applyFont="1" applyFill="1" applyBorder="1" applyAlignment="1">
      <alignment horizontal="right" vertical="center"/>
    </xf>
    <xf numFmtId="164" fontId="14" fillId="2" borderId="0" xfId="5" applyNumberFormat="1" applyFont="1" applyFill="1" applyBorder="1" applyAlignment="1">
      <alignment horizontal="right" vertical="center"/>
    </xf>
    <xf numFmtId="0" fontId="16" fillId="2" borderId="0" xfId="13" applyFont="1" applyFill="1" applyBorder="1" applyAlignment="1">
      <alignment vertical="center"/>
    </xf>
    <xf numFmtId="164" fontId="2" fillId="2" borderId="0" xfId="5" applyNumberFormat="1" applyFont="1" applyFill="1" applyBorder="1" applyAlignment="1" applyProtection="1">
      <alignment horizontal="left" vertical="center"/>
    </xf>
    <xf numFmtId="164" fontId="22" fillId="2" borderId="0" xfId="5" applyNumberFormat="1" applyFont="1" applyFill="1" applyBorder="1" applyAlignment="1">
      <alignment horizontal="right" vertical="center"/>
    </xf>
    <xf numFmtId="164" fontId="2" fillId="2" borderId="2" xfId="5" applyNumberFormat="1" applyFont="1" applyFill="1" applyBorder="1" applyAlignment="1">
      <alignment vertical="center"/>
    </xf>
    <xf numFmtId="164" fontId="2" fillId="2" borderId="2" xfId="5" applyNumberFormat="1" applyFont="1" applyFill="1" applyBorder="1" applyAlignment="1" applyProtection="1">
      <alignment horizontal="right" vertical="center"/>
    </xf>
    <xf numFmtId="164" fontId="14" fillId="2" borderId="0" xfId="5" applyNumberFormat="1" applyFont="1" applyFill="1" applyAlignment="1">
      <alignment horizontal="right" vertical="center"/>
    </xf>
    <xf numFmtId="37" fontId="16" fillId="2" borderId="0" xfId="5" applyNumberFormat="1" applyFont="1" applyFill="1" applyBorder="1" applyAlignment="1" applyProtection="1">
      <alignment horizontal="right" vertical="center"/>
    </xf>
    <xf numFmtId="164" fontId="10" fillId="2" borderId="0" xfId="5" applyNumberFormat="1" applyFont="1" applyFill="1" applyAlignment="1" applyProtection="1">
      <alignment horizontal="left" vertical="center"/>
    </xf>
    <xf numFmtId="37" fontId="16" fillId="2" borderId="0" xfId="5" applyNumberFormat="1" applyFont="1" applyFill="1" applyAlignment="1" applyProtection="1">
      <alignment vertical="center"/>
    </xf>
    <xf numFmtId="0" fontId="15" fillId="2" borderId="0" xfId="14" applyFont="1" applyFill="1" applyAlignment="1">
      <alignment vertical="center"/>
    </xf>
    <xf numFmtId="0" fontId="12" fillId="2" borderId="1" xfId="0" applyNumberFormat="1" applyFont="1" applyFill="1" applyBorder="1" applyAlignment="1">
      <alignment horizontal="right" vertical="center"/>
    </xf>
    <xf numFmtId="164" fontId="4" fillId="2" borderId="0" xfId="0" applyNumberFormat="1" applyFont="1" applyFill="1"/>
    <xf numFmtId="164" fontId="7" fillId="2" borderId="2" xfId="5" applyNumberFormat="1" applyFont="1" applyFill="1" applyBorder="1" applyAlignment="1" applyProtection="1">
      <alignment horizontal="center" vertical="center"/>
    </xf>
    <xf numFmtId="164" fontId="4" fillId="2" borderId="0" xfId="0" applyNumberFormat="1" applyFont="1" applyFill="1" applyBorder="1"/>
    <xf numFmtId="164" fontId="14" fillId="2" borderId="2" xfId="5" applyNumberFormat="1" applyFont="1" applyFill="1" applyBorder="1" applyAlignment="1">
      <alignment horizontal="right" vertical="center"/>
    </xf>
    <xf numFmtId="164" fontId="2" fillId="2" borderId="2" xfId="5" applyNumberFormat="1" applyFont="1" applyFill="1" applyBorder="1" applyAlignment="1" applyProtection="1">
      <alignment vertical="center"/>
    </xf>
    <xf numFmtId="164" fontId="14" fillId="2" borderId="0" xfId="5" applyNumberFormat="1" applyFont="1" applyFill="1" applyBorder="1" applyAlignment="1">
      <alignment horizontal="right" vertical="center" wrapText="1"/>
    </xf>
    <xf numFmtId="0" fontId="14" fillId="2" borderId="0" xfId="13" applyFont="1" applyFill="1" applyBorder="1" applyAlignment="1">
      <alignment horizontal="right" vertical="center"/>
    </xf>
    <xf numFmtId="0" fontId="14" fillId="2" borderId="2" xfId="13" applyFont="1" applyFill="1" applyBorder="1" applyAlignment="1">
      <alignment vertical="center"/>
    </xf>
    <xf numFmtId="164" fontId="8" fillId="2" borderId="0" xfId="5" applyNumberFormat="1" applyFont="1" applyFill="1" applyBorder="1" applyAlignment="1">
      <alignment horizontal="left" vertical="center"/>
    </xf>
    <xf numFmtId="38" fontId="8" fillId="2" borderId="0" xfId="6" applyNumberFormat="1" applyFont="1" applyFill="1" applyBorder="1" applyAlignment="1">
      <alignment horizontal="right" vertical="center"/>
    </xf>
    <xf numFmtId="0" fontId="22" fillId="2" borderId="0" xfId="13" applyFont="1" applyFill="1" applyBorder="1" applyAlignment="1">
      <alignment horizontal="righ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8" fillId="2" borderId="0" xfId="5" applyNumberFormat="1" applyFont="1" applyFill="1" applyBorder="1" applyAlignment="1" applyProtection="1">
      <alignment horizontal="left" vertical="center"/>
    </xf>
    <xf numFmtId="164" fontId="22" fillId="2" borderId="0" xfId="5" applyNumberFormat="1" applyFont="1" applyFill="1" applyBorder="1" applyAlignment="1" applyProtection="1">
      <alignment horizontal="right" vertical="center"/>
    </xf>
    <xf numFmtId="38" fontId="8" fillId="2" borderId="0" xfId="6" applyNumberFormat="1" applyFont="1" applyFill="1" applyAlignment="1" applyProtection="1">
      <alignment horizontal="right" vertical="center"/>
    </xf>
    <xf numFmtId="164" fontId="9" fillId="2" borderId="0" xfId="5" applyNumberFormat="1" applyFont="1" applyFill="1" applyBorder="1" applyAlignment="1" applyProtection="1">
      <alignment horizontal="left" vertical="center"/>
    </xf>
    <xf numFmtId="0" fontId="23" fillId="2" borderId="0" xfId="13" applyFont="1" applyFill="1" applyBorder="1" applyAlignment="1">
      <alignment horizontal="right" vertical="center"/>
    </xf>
    <xf numFmtId="164" fontId="10" fillId="2" borderId="0" xfId="0" applyNumberFormat="1" applyFont="1" applyFill="1" applyBorder="1" applyAlignment="1" applyProtection="1">
      <alignment horizontal="left" vertical="center"/>
    </xf>
    <xf numFmtId="38" fontId="9" fillId="2" borderId="0" xfId="6" applyNumberFormat="1" applyFont="1" applyFill="1" applyBorder="1" applyAlignment="1" applyProtection="1">
      <alignment horizontal="right" vertical="center"/>
      <protection locked="0"/>
    </xf>
    <xf numFmtId="38" fontId="9" fillId="2" borderId="0" xfId="6" applyNumberFormat="1" applyFont="1" applyFill="1" applyBorder="1" applyAlignment="1">
      <alignment horizontal="right" vertical="center"/>
    </xf>
    <xf numFmtId="0" fontId="12" fillId="2" borderId="0" xfId="13" applyFont="1" applyFill="1" applyBorder="1" applyAlignment="1">
      <alignment horizontal="right" vertical="center"/>
    </xf>
    <xf numFmtId="164" fontId="10" fillId="2" borderId="0" xfId="5" applyNumberFormat="1" applyFont="1" applyFill="1" applyBorder="1" applyAlignment="1">
      <alignment vertical="center"/>
    </xf>
    <xf numFmtId="164" fontId="16" fillId="2" borderId="0" xfId="5" applyNumberFormat="1" applyFont="1" applyFill="1" applyBorder="1" applyAlignment="1" applyProtection="1">
      <alignment horizontal="right" vertical="center"/>
    </xf>
    <xf numFmtId="164" fontId="12" fillId="2" borderId="0" xfId="0" applyNumberFormat="1" applyFont="1" applyFill="1"/>
    <xf numFmtId="164" fontId="13" fillId="2" borderId="0" xfId="0" applyNumberFormat="1" applyFont="1" applyFill="1"/>
    <xf numFmtId="164" fontId="11" fillId="2" borderId="0" xfId="5" applyNumberFormat="1" applyFont="1" applyFill="1" applyAlignment="1" applyProtection="1">
      <alignment horizontal="left" vertical="center"/>
    </xf>
    <xf numFmtId="38" fontId="8" fillId="2" borderId="0" xfId="6" applyNumberFormat="1" applyFont="1" applyFill="1" applyAlignment="1">
      <alignment horizontal="right" vertical="center"/>
    </xf>
    <xf numFmtId="38" fontId="9" fillId="2" borderId="0" xfId="6" applyNumberFormat="1" applyFont="1" applyFill="1" applyAlignment="1">
      <alignment horizontal="right" vertical="center"/>
    </xf>
    <xf numFmtId="38" fontId="9" fillId="2" borderId="0" xfId="6" applyNumberFormat="1" applyFont="1" applyFill="1" applyBorder="1" applyAlignment="1" applyProtection="1">
      <alignment horizontal="right" vertical="center"/>
    </xf>
    <xf numFmtId="38" fontId="9" fillId="2" borderId="0" xfId="6" applyNumberFormat="1" applyFont="1" applyFill="1" applyAlignment="1">
      <alignment horizontal="right"/>
    </xf>
    <xf numFmtId="38" fontId="9" fillId="2" borderId="2" xfId="6" applyNumberFormat="1" applyFont="1" applyFill="1" applyBorder="1" applyAlignment="1" applyProtection="1">
      <alignment horizontal="right" vertical="center"/>
      <protection locked="0"/>
    </xf>
    <xf numFmtId="38" fontId="9" fillId="2" borderId="2" xfId="6" applyNumberFormat="1" applyFont="1" applyFill="1" applyBorder="1" applyAlignment="1">
      <alignment horizontal="right" vertical="center"/>
    </xf>
    <xf numFmtId="164" fontId="9" fillId="2" borderId="2" xfId="5" applyNumberFormat="1" applyFont="1" applyFill="1" applyBorder="1" applyAlignment="1">
      <alignment horizontal="left" vertical="center"/>
    </xf>
    <xf numFmtId="0" fontId="12" fillId="2" borderId="2" xfId="13" applyFont="1" applyFill="1" applyBorder="1" applyAlignment="1">
      <alignment horizontal="right"/>
    </xf>
    <xf numFmtId="38" fontId="9" fillId="2" borderId="2" xfId="6" applyNumberFormat="1" applyFont="1" applyFill="1" applyBorder="1" applyAlignment="1" applyProtection="1">
      <alignment horizontal="right" vertical="center"/>
    </xf>
    <xf numFmtId="38" fontId="9" fillId="2" borderId="2" xfId="6" applyNumberFormat="1" applyFont="1" applyFill="1" applyBorder="1" applyAlignment="1">
      <alignment horizontal="right"/>
    </xf>
    <xf numFmtId="164" fontId="19" fillId="2" borderId="0" xfId="5" applyNumberFormat="1" applyFont="1" applyFill="1" applyBorder="1" applyAlignment="1">
      <alignment horizontal="center" vertical="center"/>
    </xf>
    <xf numFmtId="164" fontId="3" fillId="2" borderId="0" xfId="5" applyNumberFormat="1" applyFont="1" applyFill="1" applyBorder="1" applyAlignment="1" applyProtection="1">
      <alignment horizontal="center" vertical="center"/>
    </xf>
  </cellXfs>
  <cellStyles count="15">
    <cellStyle name="Comma 2" xfId="6"/>
    <cellStyle name="Comma 4" xfId="9"/>
    <cellStyle name="Comma 4 2" xfId="12"/>
    <cellStyle name="Hyperlink 2" xfId="1"/>
    <cellStyle name="Normal" xfId="0" builtinId="0"/>
    <cellStyle name="Normal 2" xfId="5"/>
    <cellStyle name="Normal 2 2" xfId="11"/>
    <cellStyle name="Normal 2 3" xfId="3"/>
    <cellStyle name="Normal 3" xfId="7"/>
    <cellStyle name="Normal 3 2" xfId="4"/>
    <cellStyle name="Normal 4" xfId="8"/>
    <cellStyle name="Normal 5" xfId="2"/>
    <cellStyle name="Normal 6" xfId="10"/>
    <cellStyle name="Normal_IX-6(Trans &amp; Comm)" xfId="14"/>
    <cellStyle name="Normal_IX-9(Trans &amp; Comm)" xfId="13"/>
  </cellStyles>
  <dxfs count="0"/>
  <tableStyles count="0" defaultTableStyle="TableStyleMedium9" defaultPivotStyle="PivotStyleLight16"/>
  <colors>
    <mruColors>
      <color rgb="FFB5EEED"/>
      <color rgb="FF1C706E"/>
      <color rgb="FF33CCCC"/>
      <color rgb="FF31C5C1"/>
      <color rgb="FF2CB1AE"/>
      <color rgb="FF11FFFF"/>
      <color rgb="FF75DFDD"/>
      <color rgb="FFB888D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%20Year%20Book/YEARBOOK%202016/REceived/11.%20TRANSPORT&amp;COMMUNICATION%20-%20CAA%20201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4\Dissemination\Publications\Statistical%20%20Year%20Book\YEARBOOK%202015\RECEIVED\CAM%20_%20Statistical%20YearBook%202015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.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/>
      <sheetData sheetId="3"/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1894</v>
          </cell>
          <cell r="AB66">
            <v>24</v>
          </cell>
          <cell r="AC66">
            <v>352</v>
          </cell>
        </row>
        <row r="67">
          <cell r="Z67" t="str">
            <v>Feb</v>
          </cell>
          <cell r="AA67">
            <v>1752</v>
          </cell>
          <cell r="AB67">
            <v>32</v>
          </cell>
          <cell r="AC67">
            <v>217</v>
          </cell>
        </row>
        <row r="68">
          <cell r="Z68" t="str">
            <v>March</v>
          </cell>
          <cell r="AA68">
            <v>1838</v>
          </cell>
          <cell r="AB68">
            <v>24</v>
          </cell>
          <cell r="AC68">
            <v>306</v>
          </cell>
        </row>
        <row r="69">
          <cell r="Z69" t="str">
            <v>April</v>
          </cell>
          <cell r="AA69">
            <v>1738</v>
          </cell>
          <cell r="AB69">
            <v>20</v>
          </cell>
          <cell r="AC69">
            <v>222</v>
          </cell>
        </row>
        <row r="70">
          <cell r="Z70" t="str">
            <v>May</v>
          </cell>
          <cell r="AA70">
            <v>1738</v>
          </cell>
          <cell r="AB70">
            <v>14</v>
          </cell>
          <cell r="AC70">
            <v>154</v>
          </cell>
        </row>
        <row r="71">
          <cell r="Z71" t="str">
            <v>June</v>
          </cell>
          <cell r="AA71">
            <v>1678</v>
          </cell>
          <cell r="AB71">
            <v>16</v>
          </cell>
          <cell r="AC71">
            <v>64</v>
          </cell>
        </row>
        <row r="72">
          <cell r="Z72" t="str">
            <v>July</v>
          </cell>
          <cell r="AA72">
            <v>1742</v>
          </cell>
          <cell r="AB72">
            <v>28</v>
          </cell>
          <cell r="AC72">
            <v>76</v>
          </cell>
        </row>
        <row r="73">
          <cell r="Z73" t="str">
            <v>Aug</v>
          </cell>
          <cell r="AA73">
            <v>1794</v>
          </cell>
          <cell r="AB73">
            <v>26</v>
          </cell>
          <cell r="AC73">
            <v>92</v>
          </cell>
        </row>
        <row r="74">
          <cell r="Z74" t="str">
            <v>Sep</v>
          </cell>
          <cell r="AA74">
            <v>1692</v>
          </cell>
          <cell r="AB74">
            <v>26</v>
          </cell>
          <cell r="AC74">
            <v>96</v>
          </cell>
        </row>
        <row r="75">
          <cell r="Z75" t="str">
            <v>Oct</v>
          </cell>
          <cell r="AA75">
            <v>1864</v>
          </cell>
          <cell r="AB75">
            <v>20</v>
          </cell>
          <cell r="AC75">
            <v>130</v>
          </cell>
        </row>
        <row r="76">
          <cell r="Z76" t="str">
            <v>Nov</v>
          </cell>
          <cell r="AA76">
            <v>1812</v>
          </cell>
          <cell r="AB76">
            <v>12</v>
          </cell>
          <cell r="AC76">
            <v>130</v>
          </cell>
        </row>
        <row r="77">
          <cell r="Z77" t="str">
            <v>Dec</v>
          </cell>
          <cell r="AA77">
            <v>1894</v>
          </cell>
          <cell r="AB77">
            <v>2</v>
          </cell>
          <cell r="AC77">
            <v>302</v>
          </cell>
        </row>
        <row r="81">
          <cell r="AA81" t="str">
            <v>Scheduled</v>
          </cell>
          <cell r="AB81" t="str">
            <v>Chartered</v>
          </cell>
        </row>
        <row r="82">
          <cell r="Z82" t="str">
            <v>Jan</v>
          </cell>
          <cell r="AA82">
            <v>2046</v>
          </cell>
          <cell r="AB82">
            <v>4685</v>
          </cell>
        </row>
        <row r="83">
          <cell r="Z83" t="str">
            <v>Feb</v>
          </cell>
          <cell r="AA83">
            <v>1936</v>
          </cell>
          <cell r="AB83">
            <v>4604</v>
          </cell>
        </row>
        <row r="84">
          <cell r="Z84" t="str">
            <v>March</v>
          </cell>
          <cell r="AA84">
            <v>2138</v>
          </cell>
          <cell r="AB84">
            <v>4745</v>
          </cell>
        </row>
        <row r="85">
          <cell r="Z85" t="str">
            <v>April</v>
          </cell>
          <cell r="AA85">
            <v>1920</v>
          </cell>
          <cell r="AB85">
            <v>4564</v>
          </cell>
        </row>
        <row r="86">
          <cell r="Z86" t="str">
            <v>May</v>
          </cell>
          <cell r="AA86">
            <v>1982</v>
          </cell>
          <cell r="AB86">
            <v>3931</v>
          </cell>
        </row>
        <row r="87">
          <cell r="Z87" t="str">
            <v>June</v>
          </cell>
          <cell r="AA87">
            <v>1824</v>
          </cell>
          <cell r="AB87">
            <v>3325</v>
          </cell>
        </row>
        <row r="88">
          <cell r="Z88" t="str">
            <v>July</v>
          </cell>
          <cell r="AA88">
            <v>1952</v>
          </cell>
          <cell r="AB88">
            <v>3817</v>
          </cell>
        </row>
        <row r="89">
          <cell r="Z89" t="str">
            <v>Aug</v>
          </cell>
          <cell r="AA89">
            <v>2038</v>
          </cell>
          <cell r="AB89">
            <v>4381</v>
          </cell>
        </row>
        <row r="90">
          <cell r="Z90" t="str">
            <v>Sep</v>
          </cell>
          <cell r="AA90">
            <v>1920</v>
          </cell>
          <cell r="AB90">
            <v>3983</v>
          </cell>
        </row>
        <row r="91">
          <cell r="Z91" t="str">
            <v>Oct</v>
          </cell>
          <cell r="AA91">
            <v>2204</v>
          </cell>
          <cell r="AB91">
            <v>4596</v>
          </cell>
        </row>
        <row r="92">
          <cell r="Z92" t="str">
            <v>Nov</v>
          </cell>
          <cell r="AA92">
            <v>2100</v>
          </cell>
          <cell r="AB92">
            <v>4030</v>
          </cell>
        </row>
        <row r="93">
          <cell r="Z93" t="str">
            <v>Dec</v>
          </cell>
          <cell r="AA93">
            <v>2234</v>
          </cell>
          <cell r="AB93">
            <v>4271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26"/>
      <sheetName val="11.27"/>
    </sheetNames>
    <sheetDataSet>
      <sheetData sheetId="0">
        <row r="46">
          <cell r="Z46" t="str">
            <v>Post paid</v>
          </cell>
          <cell r="AB46">
            <v>11.797121061614527</v>
          </cell>
        </row>
        <row r="47">
          <cell r="Z47" t="str">
            <v>Pre-paid</v>
          </cell>
          <cell r="AB47">
            <v>88.202878938385481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O19"/>
  <sheetViews>
    <sheetView tabSelected="1" zoomScaleNormal="100" workbookViewId="0">
      <selection activeCell="G29" sqref="G29"/>
    </sheetView>
  </sheetViews>
  <sheetFormatPr defaultColWidth="9.140625" defaultRowHeight="15"/>
  <cols>
    <col min="1" max="1" width="24.5703125" style="17" customWidth="1"/>
    <col min="2" max="2" width="14.85546875" style="17" customWidth="1"/>
    <col min="3" max="4" width="12.28515625" style="17" customWidth="1"/>
    <col min="5" max="5" width="15.7109375" style="17" customWidth="1"/>
    <col min="6" max="6" width="3" style="17" customWidth="1"/>
    <col min="7" max="7" width="11.28515625" style="17" customWidth="1"/>
    <col min="8" max="8" width="12.85546875" style="17" customWidth="1"/>
    <col min="9" max="9" width="16.7109375" style="17" customWidth="1"/>
    <col min="10" max="10" width="2.7109375" style="17" customWidth="1"/>
    <col min="11" max="12" width="11.42578125" style="17" customWidth="1"/>
    <col min="13" max="13" width="38.85546875" style="17" customWidth="1"/>
    <col min="14" max="14" width="6.28515625" style="17" customWidth="1"/>
    <col min="15" max="17" width="10.140625" style="17" customWidth="1"/>
    <col min="18" max="16384" width="9.140625" style="17"/>
  </cols>
  <sheetData>
    <row r="1" spans="1:13" ht="19.5">
      <c r="A1" s="53" t="s">
        <v>32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</row>
    <row r="2" spans="1:13">
      <c r="A2" s="54" t="s">
        <v>33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</row>
    <row r="3" spans="1:13" s="19" customForma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13">
      <c r="A4" s="1"/>
      <c r="B4" s="2"/>
      <c r="C4" s="3" t="s">
        <v>2</v>
      </c>
      <c r="D4" s="4"/>
      <c r="E4" s="20" t="s">
        <v>3</v>
      </c>
      <c r="F4" s="5"/>
      <c r="G4" s="21" t="s">
        <v>4</v>
      </c>
      <c r="H4" s="4"/>
      <c r="I4" s="20" t="s">
        <v>5</v>
      </c>
      <c r="J4" s="5"/>
      <c r="K4" s="3" t="s">
        <v>6</v>
      </c>
      <c r="L4" s="20" t="s">
        <v>7</v>
      </c>
      <c r="M4" s="6"/>
    </row>
    <row r="5" spans="1:13">
      <c r="A5" s="7" t="s">
        <v>8</v>
      </c>
      <c r="B5" s="5" t="s">
        <v>9</v>
      </c>
      <c r="C5" s="5" t="s">
        <v>10</v>
      </c>
      <c r="D5" s="11" t="s">
        <v>11</v>
      </c>
      <c r="E5" s="5" t="s">
        <v>12</v>
      </c>
      <c r="F5" s="5"/>
      <c r="G5" s="5" t="s">
        <v>13</v>
      </c>
      <c r="H5" s="5" t="s">
        <v>14</v>
      </c>
      <c r="I5" s="22" t="s">
        <v>12</v>
      </c>
      <c r="J5" s="5"/>
      <c r="K5" s="5" t="s">
        <v>13</v>
      </c>
      <c r="L5" s="11" t="s">
        <v>14</v>
      </c>
      <c r="M5" s="23" t="s">
        <v>15</v>
      </c>
    </row>
    <row r="6" spans="1:13">
      <c r="A6" s="9"/>
      <c r="B6" s="10" t="s">
        <v>16</v>
      </c>
      <c r="C6" s="10" t="s">
        <v>17</v>
      </c>
      <c r="D6" s="10" t="s">
        <v>18</v>
      </c>
      <c r="E6" s="10" t="s">
        <v>19</v>
      </c>
      <c r="F6" s="10"/>
      <c r="G6" s="10" t="s">
        <v>17</v>
      </c>
      <c r="H6" s="10" t="s">
        <v>18</v>
      </c>
      <c r="I6" s="10" t="s">
        <v>19</v>
      </c>
      <c r="J6" s="10"/>
      <c r="K6" s="10" t="s">
        <v>17</v>
      </c>
      <c r="L6" s="10" t="s">
        <v>18</v>
      </c>
      <c r="M6" s="24"/>
    </row>
    <row r="7" spans="1:13" ht="15.75">
      <c r="A7" s="25" t="s">
        <v>1</v>
      </c>
      <c r="B7" s="26">
        <f>SUM(B8)+B13</f>
        <v>1854</v>
      </c>
      <c r="C7" s="26">
        <f>SUM(C13)+C8</f>
        <v>52366</v>
      </c>
      <c r="D7" s="26">
        <f>SUM(D13)+D8</f>
        <v>52708</v>
      </c>
      <c r="E7" s="26">
        <f t="shared" ref="E7:I7" si="0">SUM(E13)+E8</f>
        <v>0</v>
      </c>
      <c r="F7" s="26"/>
      <c r="G7" s="26">
        <f>SUM(G13)+G8</f>
        <v>40457</v>
      </c>
      <c r="H7" s="26">
        <f t="shared" si="0"/>
        <v>10651.7</v>
      </c>
      <c r="I7" s="26">
        <f t="shared" si="0"/>
        <v>0</v>
      </c>
      <c r="J7" s="26"/>
      <c r="K7" s="26">
        <f>SUM(K13)+K8</f>
        <v>4023</v>
      </c>
      <c r="L7" s="26">
        <f>SUM(L13)+L8</f>
        <v>1157.8</v>
      </c>
      <c r="M7" s="27" t="s">
        <v>0</v>
      </c>
    </row>
    <row r="8" spans="1:13" ht="15.75">
      <c r="A8" s="25" t="s">
        <v>20</v>
      </c>
      <c r="B8" s="26">
        <f>SUM(B9+B11+B12)</f>
        <v>62</v>
      </c>
      <c r="C8" s="26">
        <f>SUM(C9+C11+C12)</f>
        <v>2248</v>
      </c>
      <c r="D8" s="26">
        <f>SUM(D9+D11+D12)</f>
        <v>3728</v>
      </c>
      <c r="E8" s="26">
        <f>SUM(E9+E11+E12)</f>
        <v>0</v>
      </c>
      <c r="F8" s="26"/>
      <c r="G8" s="26">
        <f>SUM(G9+G11+G12)</f>
        <v>4063</v>
      </c>
      <c r="H8" s="26">
        <f>SUM(H9+H11+H12)</f>
        <v>0</v>
      </c>
      <c r="I8" s="26">
        <f>SUM(I9+I11+I12)</f>
        <v>0</v>
      </c>
      <c r="J8" s="26"/>
      <c r="K8" s="26">
        <f>SUM(K9+K11+K12)</f>
        <v>24</v>
      </c>
      <c r="L8" s="26">
        <f>SUM(L9+L11+L12)</f>
        <v>10</v>
      </c>
      <c r="M8" s="27" t="s">
        <v>21</v>
      </c>
    </row>
    <row r="9" spans="1:13" ht="15.75">
      <c r="A9" s="25" t="s">
        <v>22</v>
      </c>
      <c r="B9" s="26">
        <f>SUM(B10)</f>
        <v>62</v>
      </c>
      <c r="C9" s="26">
        <f>SUM(C10)</f>
        <v>2248</v>
      </c>
      <c r="D9" s="26">
        <f t="shared" ref="D9:L9" si="1">SUM(D10)</f>
        <v>3728</v>
      </c>
      <c r="E9" s="26">
        <f t="shared" si="1"/>
        <v>0</v>
      </c>
      <c r="F9" s="26"/>
      <c r="G9" s="26">
        <f t="shared" si="1"/>
        <v>4063</v>
      </c>
      <c r="H9" s="26">
        <f t="shared" si="1"/>
        <v>0</v>
      </c>
      <c r="I9" s="26">
        <f t="shared" si="1"/>
        <v>0</v>
      </c>
      <c r="J9" s="26"/>
      <c r="K9" s="26">
        <f t="shared" si="1"/>
        <v>24</v>
      </c>
      <c r="L9" s="26">
        <f t="shared" si="1"/>
        <v>10</v>
      </c>
      <c r="M9" s="27" t="s">
        <v>23</v>
      </c>
    </row>
    <row r="10" spans="1:13" ht="15.75">
      <c r="A10" s="28" t="s">
        <v>34</v>
      </c>
      <c r="B10" s="36">
        <v>62</v>
      </c>
      <c r="C10" s="36">
        <v>2248</v>
      </c>
      <c r="D10" s="36">
        <v>3728</v>
      </c>
      <c r="E10" s="36">
        <v>0</v>
      </c>
      <c r="F10" s="36"/>
      <c r="G10" s="36">
        <v>4063</v>
      </c>
      <c r="H10" s="36">
        <v>0</v>
      </c>
      <c r="I10" s="36">
        <v>0</v>
      </c>
      <c r="J10" s="36"/>
      <c r="K10" s="36">
        <v>24</v>
      </c>
      <c r="L10" s="36">
        <v>10</v>
      </c>
      <c r="M10" s="27"/>
    </row>
    <row r="11" spans="1:13" ht="15.75">
      <c r="A11" s="25" t="s">
        <v>24</v>
      </c>
      <c r="B11" s="26">
        <v>0</v>
      </c>
      <c r="C11" s="26">
        <v>0</v>
      </c>
      <c r="D11" s="26">
        <v>0</v>
      </c>
      <c r="E11" s="26">
        <v>0</v>
      </c>
      <c r="F11" s="26"/>
      <c r="G11" s="26">
        <v>0</v>
      </c>
      <c r="H11" s="26">
        <v>0</v>
      </c>
      <c r="I11" s="26">
        <v>0</v>
      </c>
      <c r="J11" s="26"/>
      <c r="K11" s="26">
        <v>0</v>
      </c>
      <c r="L11" s="26">
        <v>0</v>
      </c>
      <c r="M11" s="27" t="s">
        <v>25</v>
      </c>
    </row>
    <row r="12" spans="1:13" ht="15.75">
      <c r="A12" s="29" t="s">
        <v>26</v>
      </c>
      <c r="B12" s="43">
        <v>0</v>
      </c>
      <c r="C12" s="43">
        <v>0</v>
      </c>
      <c r="D12" s="43">
        <v>0</v>
      </c>
      <c r="E12" s="43">
        <v>0</v>
      </c>
      <c r="F12" s="43"/>
      <c r="G12" s="43">
        <v>0</v>
      </c>
      <c r="H12" s="43">
        <v>0</v>
      </c>
      <c r="I12" s="43">
        <v>0</v>
      </c>
      <c r="J12" s="43"/>
      <c r="K12" s="43">
        <v>0</v>
      </c>
      <c r="L12" s="43">
        <v>0</v>
      </c>
      <c r="M12" s="30" t="s">
        <v>27</v>
      </c>
    </row>
    <row r="13" spans="1:13" ht="15.75">
      <c r="A13" s="29" t="s">
        <v>28</v>
      </c>
      <c r="B13" s="31">
        <f>SUM(B14:B15)</f>
        <v>1792</v>
      </c>
      <c r="C13" s="31">
        <f>SUM(C14:C15)</f>
        <v>50118</v>
      </c>
      <c r="D13" s="31">
        <f>SUM(D14:D15)</f>
        <v>48980</v>
      </c>
      <c r="E13" s="31">
        <f>SUM(E14:E15)</f>
        <v>0</v>
      </c>
      <c r="F13" s="31"/>
      <c r="G13" s="31">
        <f>SUM(G14:G15)</f>
        <v>36394</v>
      </c>
      <c r="H13" s="31">
        <f>SUM(H14:H15)</f>
        <v>10651.7</v>
      </c>
      <c r="I13" s="31">
        <f>SUM(I14:I15)</f>
        <v>0</v>
      </c>
      <c r="J13" s="31"/>
      <c r="K13" s="31">
        <f>SUM(K14:K15)</f>
        <v>3999</v>
      </c>
      <c r="L13" s="31">
        <f>SUM(L14:L15)</f>
        <v>1147.8</v>
      </c>
      <c r="M13" s="8" t="s">
        <v>29</v>
      </c>
    </row>
    <row r="14" spans="1:13" ht="15.75">
      <c r="A14" s="32" t="s">
        <v>35</v>
      </c>
      <c r="B14" s="44">
        <v>1790</v>
      </c>
      <c r="C14" s="44">
        <v>50073</v>
      </c>
      <c r="D14" s="44">
        <v>48938</v>
      </c>
      <c r="E14" s="44">
        <v>0</v>
      </c>
      <c r="F14" s="35"/>
      <c r="G14" s="44">
        <v>36394</v>
      </c>
      <c r="H14" s="44">
        <v>10651.7</v>
      </c>
      <c r="I14" s="44">
        <v>0</v>
      </c>
      <c r="J14" s="45"/>
      <c r="K14" s="46">
        <v>3999</v>
      </c>
      <c r="L14" s="46">
        <v>1147.8</v>
      </c>
      <c r="M14" s="33" t="s">
        <v>36</v>
      </c>
    </row>
    <row r="15" spans="1:13" ht="18.75">
      <c r="A15" s="49" t="s">
        <v>37</v>
      </c>
      <c r="B15" s="48">
        <v>2</v>
      </c>
      <c r="C15" s="48">
        <v>45</v>
      </c>
      <c r="D15" s="48">
        <v>42</v>
      </c>
      <c r="E15" s="48">
        <v>0</v>
      </c>
      <c r="F15" s="47"/>
      <c r="G15" s="48">
        <v>0</v>
      </c>
      <c r="H15" s="48">
        <v>0</v>
      </c>
      <c r="I15" s="48">
        <v>0</v>
      </c>
      <c r="J15" s="51"/>
      <c r="K15" s="52">
        <v>0</v>
      </c>
      <c r="L15" s="52">
        <v>0</v>
      </c>
      <c r="M15" s="50" t="s">
        <v>38</v>
      </c>
    </row>
    <row r="16" spans="1:13" ht="18.75">
      <c r="A16" s="34" t="s">
        <v>39</v>
      </c>
      <c r="B16" s="35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7" t="s">
        <v>40</v>
      </c>
    </row>
    <row r="17" spans="1:15" s="41" customFormat="1" ht="14.25" customHeight="1">
      <c r="A17" s="38" t="s">
        <v>42</v>
      </c>
      <c r="B17" s="39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40" t="s">
        <v>41</v>
      </c>
    </row>
    <row r="18" spans="1:15" s="41" customFormat="1" ht="18.75">
      <c r="A18" s="13" t="s">
        <v>30</v>
      </c>
      <c r="B18" s="42"/>
      <c r="C18" s="14"/>
      <c r="D18" s="14"/>
      <c r="E18" s="14"/>
      <c r="F18" s="14"/>
      <c r="G18" s="14"/>
      <c r="H18" s="15"/>
      <c r="I18" s="15"/>
      <c r="J18" s="15"/>
      <c r="M18" s="16" t="s">
        <v>31</v>
      </c>
    </row>
    <row r="19" spans="1:15">
      <c r="O19" s="41"/>
    </row>
  </sheetData>
  <mergeCells count="2">
    <mergeCell ref="A1:M1"/>
    <mergeCell ref="A2:M2"/>
  </mergeCells>
  <pageMargins left="0.7" right="0.7" top="0.75" bottom="0.75" header="0.3" footer="0.3"/>
  <pageSetup paperSize="9" scale="69" orientation="landscape" r:id="rId1"/>
  <colBreaks count="1" manualBreakCount="1"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11.11 </vt:lpstr>
      <vt:lpstr>'11.11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2016-09-19T07:29:50Z</cp:lastPrinted>
  <dcterms:created xsi:type="dcterms:W3CDTF">2014-05-22T03:57:11Z</dcterms:created>
  <dcterms:modified xsi:type="dcterms:W3CDTF">2016-09-19T07:29:52Z</dcterms:modified>
</cp:coreProperties>
</file>