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22 " sheetId="14" r:id="rId1"/>
  </sheets>
  <externalReferences>
    <externalReference r:id="rId2"/>
    <externalReference r:id="rId3"/>
  </externalReferences>
  <definedNames>
    <definedName name="_xlnm.Print_Area" localSheetId="0">'11.22 '!$A$1:$G$22</definedName>
  </definedNames>
  <calcPr calcId="144525"/>
</workbook>
</file>

<file path=xl/calcChain.xml><?xml version="1.0" encoding="utf-8"?>
<calcChain xmlns="http://schemas.openxmlformats.org/spreadsheetml/2006/main">
  <c r="B18" i="14" l="1"/>
  <c r="B17" i="14"/>
  <c r="B16" i="14"/>
  <c r="B15" i="14"/>
  <c r="B14" i="14"/>
  <c r="B13" i="14"/>
  <c r="B12" i="14"/>
  <c r="B11" i="14"/>
  <c r="B10" i="14"/>
  <c r="B9" i="14"/>
  <c r="B8" i="14"/>
  <c r="B7" i="14"/>
  <c r="E6" i="14"/>
  <c r="D6" i="14"/>
  <c r="C6" i="14"/>
  <c r="B6" i="14" l="1"/>
</calcChain>
</file>

<file path=xl/sharedStrings.xml><?xml version="1.0" encoding="utf-8"?>
<sst xmlns="http://schemas.openxmlformats.org/spreadsheetml/2006/main" count="40" uniqueCount="40">
  <si>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</si>
  <si>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</si>
  <si>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</si>
  <si>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</si>
  <si>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</si>
  <si>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</si>
  <si>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</si>
  <si>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</si>
  <si>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</si>
  <si>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</si>
  <si>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</si>
  <si>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</si>
  <si>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</si>
  <si>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</si>
  <si>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</si>
  <si>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</si>
  <si>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</si>
  <si>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</si>
  <si>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</si>
  <si>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</si>
  <si>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</si>
  <si>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</si>
  <si>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</si>
  <si>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</si>
  <si>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</si>
  <si>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</si>
  <si>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</si>
  <si>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</si>
  <si>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</si>
  <si>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</si>
  <si>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</si>
  <si>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Direct Transit</t>
  </si>
  <si>
    <t>(in Kg)</t>
  </si>
  <si>
    <t>Inward</t>
  </si>
  <si>
    <t>Outward</t>
  </si>
  <si>
    <t>ތާވަލު 11.22: މަސްމަހުގެ ގޮތުން ގަން އިންޓަރނޭޝަނަލް އެއަރޕޯޓުން އުފުލުނު މުދާ، 2015</t>
  </si>
  <si>
    <t>Table 11.22 :  CARGO HANDLED AT GAN INTERNATIONAL AIRPORT BY MONTH, 2015</t>
  </si>
  <si>
    <t xml:space="preserve"> Total </t>
  </si>
  <si>
    <t>Note: Gan international flights do not have the permit to handle Cargo &amp; Mail</t>
  </si>
  <si>
    <t>ނޯޓް: ގަން އިންޓަރނޭޝަނަލް އެއަރޕޯޓަށް ބައިނަލް އަޤްވާވީ ޕްލައިޓްތަކުން މުދާ އަދި މެއިލް އެތެރެކުރުމުގެ ހުއްދަ ދެވިފައެއްނުވެއެވެ.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</si>
</sst>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name val="Faruma"/>
    </font>
    <font>
      <sz val="9"/>
      <name val="A_Randhoo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1" fillId="0" borderId="0"/>
    <xf numFmtId="40" fontId="14" fillId="0" borderId="0" applyFont="0" applyFill="0" applyBorder="0" applyAlignment="0" applyProtection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15" fillId="0" borderId="0"/>
    <xf numFmtId="164" fontId="11" fillId="0" borderId="0"/>
    <xf numFmtId="167" fontId="11" fillId="0" borderId="0" applyFont="0" applyFill="0" applyBorder="0" applyAlignment="0" applyProtection="0"/>
    <xf numFmtId="0" fontId="6" fillId="0" borderId="0"/>
    <xf numFmtId="0" fontId="19" fillId="0" borderId="0"/>
  </cellStyleXfs>
  <cellXfs count="43">
    <xf numFmtId="0" fontId="0" fillId="0" borderId="0" xfId="0"/>
    <xf numFmtId="164" fontId="2" fillId="2" borderId="0" xfId="5" applyNumberFormat="1" applyFont="1" applyFill="1" applyBorder="1" applyAlignment="1" applyProtection="1">
      <alignment horizontal="left" vertical="center"/>
    </xf>
    <xf numFmtId="164" fontId="17" fillId="2" borderId="0" xfId="0" applyNumberFormat="1" applyFont="1" applyFill="1"/>
    <xf numFmtId="164" fontId="8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0" fontId="13" fillId="2" borderId="0" xfId="13" applyFont="1" applyFill="1" applyAlignment="1">
      <alignment vertical="center"/>
    </xf>
    <xf numFmtId="0" fontId="9" fillId="2" borderId="2" xfId="0" applyNumberFormat="1" applyFont="1" applyFill="1" applyBorder="1" applyAlignment="1">
      <alignment horizontal="right" vertical="center"/>
    </xf>
    <xf numFmtId="164" fontId="4" fillId="2" borderId="0" xfId="0" applyNumberFormat="1" applyFont="1" applyFill="1"/>
    <xf numFmtId="164" fontId="4" fillId="2" borderId="0" xfId="0" applyNumberFormat="1" applyFont="1" applyFill="1" applyBorder="1"/>
    <xf numFmtId="164" fontId="8" fillId="2" borderId="0" xfId="5" applyNumberFormat="1" applyFont="1" applyFill="1" applyBorder="1" applyAlignment="1">
      <alignment vertical="center"/>
    </xf>
    <xf numFmtId="164" fontId="2" fillId="2" borderId="0" xfId="5" applyNumberFormat="1" applyFont="1" applyFill="1" applyBorder="1" applyAlignment="1" applyProtection="1">
      <alignment horizontal="right" vertical="center"/>
    </xf>
    <xf numFmtId="0" fontId="16" fillId="2" borderId="0" xfId="14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8" fillId="2" borderId="0" xfId="14" applyFont="1" applyFill="1" applyBorder="1" applyAlignment="1">
      <alignment horizontal="right"/>
    </xf>
    <xf numFmtId="164" fontId="3" fillId="2" borderId="5" xfId="5" applyNumberFormat="1" applyFont="1" applyFill="1" applyBorder="1" applyAlignment="1" applyProtection="1">
      <alignment horizontal="left" vertical="center"/>
    </xf>
    <xf numFmtId="0" fontId="18" fillId="2" borderId="5" xfId="14" applyFont="1" applyFill="1" applyBorder="1" applyAlignment="1">
      <alignment horizontal="right"/>
    </xf>
    <xf numFmtId="164" fontId="13" fillId="2" borderId="0" xfId="5" applyNumberFormat="1" applyFont="1" applyFill="1" applyBorder="1" applyAlignment="1"/>
    <xf numFmtId="164" fontId="2" fillId="2" borderId="0" xfId="5" applyNumberFormat="1" applyFont="1" applyFill="1" applyBorder="1" applyAlignment="1" applyProtection="1">
      <alignment horizontal="right" vertical="center" wrapText="1"/>
    </xf>
    <xf numFmtId="0" fontId="10" fillId="2" borderId="2" xfId="0" applyNumberFormat="1" applyFont="1" applyFill="1" applyBorder="1" applyAlignment="1">
      <alignment horizontal="right" vertical="center"/>
    </xf>
    <xf numFmtId="164" fontId="8" fillId="2" borderId="0" xfId="5" applyNumberFormat="1" applyFont="1" applyFill="1" applyAlignment="1">
      <alignment vertical="center"/>
    </xf>
    <xf numFmtId="164" fontId="3" fillId="2" borderId="0" xfId="5" applyNumberFormat="1" applyFont="1" applyFill="1" applyAlignment="1">
      <alignment vertical="center"/>
    </xf>
    <xf numFmtId="164" fontId="3" fillId="2" borderId="0" xfId="5" applyNumberFormat="1" applyFont="1" applyFill="1" applyBorder="1" applyAlignment="1">
      <alignment vertical="center"/>
    </xf>
    <xf numFmtId="164" fontId="7" fillId="2" borderId="0" xfId="5" applyNumberFormat="1" applyFont="1" applyFill="1" applyBorder="1" applyAlignment="1" applyProtection="1">
      <alignment vertical="center"/>
    </xf>
    <xf numFmtId="38" fontId="2" fillId="2" borderId="6" xfId="6" applyNumberFormat="1" applyFont="1" applyFill="1" applyBorder="1" applyAlignment="1" applyProtection="1">
      <alignment horizontal="right" vertical="center" wrapText="1"/>
    </xf>
    <xf numFmtId="38" fontId="2" fillId="2" borderId="1" xfId="6" applyNumberFormat="1" applyFont="1" applyFill="1" applyBorder="1" applyAlignment="1" applyProtection="1">
      <alignment horizontal="right" vertical="center" wrapText="1"/>
    </xf>
    <xf numFmtId="38" fontId="2" fillId="2" borderId="3" xfId="6" applyNumberFormat="1" applyFont="1" applyFill="1" applyBorder="1" applyAlignment="1" applyProtection="1">
      <alignment horizontal="right" vertical="center" wrapText="1"/>
    </xf>
    <xf numFmtId="0" fontId="3" fillId="2" borderId="0" xfId="13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164" fontId="10" fillId="2" borderId="0" xfId="0" applyNumberFormat="1" applyFont="1" applyFill="1" applyAlignment="1">
      <alignment vertical="center"/>
    </xf>
    <xf numFmtId="164" fontId="2" fillId="2" borderId="0" xfId="5" applyNumberFormat="1" applyFont="1" applyFill="1" applyBorder="1" applyAlignment="1" applyProtection="1">
      <alignment vertical="center"/>
    </xf>
    <xf numFmtId="38" fontId="2" fillId="2" borderId="6" xfId="6" applyNumberFormat="1" applyFont="1" applyFill="1" applyBorder="1" applyAlignment="1" applyProtection="1">
      <alignment horizontal="right" vertical="center"/>
    </xf>
    <xf numFmtId="38" fontId="3" fillId="2" borderId="1" xfId="5" applyNumberFormat="1" applyFont="1" applyFill="1" applyBorder="1" applyAlignment="1" applyProtection="1">
      <alignment horizontal="right" vertical="center"/>
      <protection locked="0"/>
    </xf>
    <xf numFmtId="38" fontId="3" fillId="2" borderId="3" xfId="5" applyNumberFormat="1" applyFont="1" applyFill="1" applyBorder="1" applyAlignment="1" applyProtection="1">
      <alignment horizontal="right" vertical="center"/>
    </xf>
    <xf numFmtId="164" fontId="7" fillId="2" borderId="4" xfId="5" applyNumberFormat="1" applyFont="1" applyFill="1" applyBorder="1" applyAlignment="1" applyProtection="1">
      <alignment horizontal="left" vertical="center"/>
    </xf>
    <xf numFmtId="164" fontId="7" fillId="2" borderId="5" xfId="5" applyNumberFormat="1" applyFont="1" applyFill="1" applyBorder="1" applyAlignment="1" applyProtection="1">
      <alignment horizontal="left" vertical="center"/>
    </xf>
    <xf numFmtId="164" fontId="2" fillId="2" borderId="7" xfId="5" applyNumberFormat="1" applyFont="1" applyFill="1" applyBorder="1" applyAlignment="1" applyProtection="1">
      <alignment horizontal="center" vertical="center"/>
    </xf>
    <xf numFmtId="0" fontId="16" fillId="2" borderId="4" xfId="14" applyFont="1" applyFill="1" applyBorder="1" applyAlignment="1">
      <alignment horizontal="right" vertical="center"/>
    </xf>
    <xf numFmtId="0" fontId="16" fillId="2" borderId="5" xfId="14" applyFont="1" applyFill="1" applyBorder="1" applyAlignment="1">
      <alignment horizontal="right" vertical="center"/>
    </xf>
    <xf numFmtId="164" fontId="7" fillId="2" borderId="0" xfId="5" applyNumberFormat="1" applyFont="1" applyFill="1" applyBorder="1" applyAlignment="1" applyProtection="1">
      <alignment horizontal="center" vertical="center"/>
    </xf>
    <xf numFmtId="164" fontId="2" fillId="2" borderId="5" xfId="5" applyNumberFormat="1" applyFont="1" applyFill="1" applyBorder="1" applyAlignment="1" applyProtection="1">
      <alignment horizontal="center" vertical="center"/>
    </xf>
    <xf numFmtId="164" fontId="12" fillId="2" borderId="0" xfId="0" applyNumberFormat="1" applyFont="1" applyFill="1" applyAlignment="1">
      <alignment horizontal="center"/>
    </xf>
    <xf numFmtId="164" fontId="7" fillId="2" borderId="4" xfId="5" applyNumberFormat="1" applyFont="1" applyFill="1" applyBorder="1" applyAlignment="1" applyProtection="1">
      <alignment horizontal="right" vertical="center"/>
    </xf>
    <xf numFmtId="164" fontId="7" fillId="2" borderId="0" xfId="5" applyNumberFormat="1" applyFont="1" applyFill="1" applyBorder="1" applyAlignment="1" applyProtection="1">
      <alignment horizontal="right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4\Dissemination\Publications\Statistical%20%20Year%20Book\YEARBOOK%202015\RECEIVED\CAM%20_%20Statistical%20YearBook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>
        <row r="46">
          <cell r="Z46" t="str">
            <v>Post paid</v>
          </cell>
          <cell r="AB46">
            <v>11.797121061614527</v>
          </cell>
        </row>
        <row r="47">
          <cell r="Z47" t="str">
            <v>Pre-paid</v>
          </cell>
          <cell r="AB47">
            <v>88.202878938385481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22"/>
  <sheetViews>
    <sheetView tabSelected="1" zoomScaleNormal="100" workbookViewId="0">
      <selection activeCell="A23" sqref="A23:XFD99"/>
    </sheetView>
  </sheetViews>
  <sheetFormatPr defaultColWidth="9.140625" defaultRowHeight="15" x14ac:dyDescent="0.25"/>
  <cols>
    <col min="1" max="1" width="12.140625" style="7" customWidth="1"/>
    <col min="2" max="7" width="14.5703125" style="7" customWidth="1"/>
    <col min="8" max="8" width="9.140625" style="7"/>
    <col min="9" max="9" width="8.85546875" style="7" customWidth="1"/>
    <col min="10" max="16384" width="9.140625" style="7"/>
  </cols>
  <sheetData>
    <row r="1" spans="1:10" ht="21" x14ac:dyDescent="0.55000000000000004">
      <c r="A1" s="40" t="s">
        <v>35</v>
      </c>
      <c r="B1" s="40"/>
      <c r="C1" s="40"/>
      <c r="D1" s="40"/>
      <c r="E1" s="40"/>
      <c r="F1" s="40"/>
    </row>
    <row r="2" spans="1:10" x14ac:dyDescent="0.25">
      <c r="A2" s="38" t="s">
        <v>36</v>
      </c>
      <c r="B2" s="38"/>
      <c r="C2" s="38"/>
      <c r="D2" s="38"/>
      <c r="E2" s="38"/>
      <c r="F2" s="38"/>
      <c r="G2" s="22"/>
      <c r="H2" s="22"/>
      <c r="I2" s="22"/>
      <c r="J2" s="8"/>
    </row>
    <row r="3" spans="1:10" x14ac:dyDescent="0.25">
      <c r="A3" s="39" t="s">
        <v>32</v>
      </c>
      <c r="B3" s="39"/>
      <c r="C3" s="39"/>
      <c r="D3" s="39"/>
      <c r="E3" s="39"/>
      <c r="F3" s="39"/>
      <c r="G3" s="22"/>
      <c r="H3" s="22"/>
      <c r="I3" s="22"/>
      <c r="J3" s="8"/>
    </row>
    <row r="4" spans="1:10" x14ac:dyDescent="0.25">
      <c r="A4" s="33" t="s">
        <v>4</v>
      </c>
      <c r="B4" s="41" t="s">
        <v>37</v>
      </c>
      <c r="C4" s="35" t="s">
        <v>5</v>
      </c>
      <c r="D4" s="35"/>
      <c r="E4" s="35"/>
      <c r="F4" s="36" t="s">
        <v>6</v>
      </c>
      <c r="G4" s="22"/>
      <c r="H4" s="22"/>
      <c r="I4" s="22"/>
      <c r="J4" s="8"/>
    </row>
    <row r="5" spans="1:10" x14ac:dyDescent="0.25">
      <c r="A5" s="34"/>
      <c r="B5" s="42"/>
      <c r="C5" s="10" t="s">
        <v>33</v>
      </c>
      <c r="D5" s="10" t="s">
        <v>34</v>
      </c>
      <c r="E5" s="17" t="s">
        <v>31</v>
      </c>
      <c r="F5" s="37"/>
      <c r="G5" s="22"/>
      <c r="H5" s="22"/>
      <c r="I5" s="22"/>
      <c r="J5" s="8"/>
    </row>
    <row r="6" spans="1:10" ht="17.25" x14ac:dyDescent="0.4">
      <c r="A6" s="1" t="s">
        <v>1</v>
      </c>
      <c r="B6" s="23">
        <f>SUM(C6:E6)</f>
        <v>305433.35000000003</v>
      </c>
      <c r="C6" s="30">
        <f>SUM(C7:C18)</f>
        <v>266022</v>
      </c>
      <c r="D6" s="30">
        <f>SUM(D7:D18)</f>
        <v>29294.899999999998</v>
      </c>
      <c r="E6" s="30">
        <f>SUM(E7:E18)</f>
        <v>10116.450000000001</v>
      </c>
      <c r="F6" s="11" t="s">
        <v>0</v>
      </c>
      <c r="G6" s="22"/>
      <c r="H6" s="2"/>
      <c r="I6" s="22"/>
      <c r="J6" s="8"/>
    </row>
    <row r="7" spans="1:10" ht="17.25" x14ac:dyDescent="0.4">
      <c r="A7" s="12" t="s">
        <v>7</v>
      </c>
      <c r="B7" s="24">
        <f t="shared" ref="B7:B18" si="0">SUM(C7:E7)</f>
        <v>22706</v>
      </c>
      <c r="C7" s="31">
        <v>19642</v>
      </c>
      <c r="D7" s="31">
        <v>2981</v>
      </c>
      <c r="E7" s="31">
        <v>83</v>
      </c>
      <c r="F7" s="13" t="s">
        <v>8</v>
      </c>
      <c r="G7" s="22"/>
      <c r="H7" s="22"/>
      <c r="I7" s="22"/>
      <c r="J7" s="8"/>
    </row>
    <row r="8" spans="1:10" ht="17.25" x14ac:dyDescent="0.4">
      <c r="A8" s="12" t="s">
        <v>9</v>
      </c>
      <c r="B8" s="24">
        <f t="shared" si="0"/>
        <v>25821</v>
      </c>
      <c r="C8" s="31">
        <v>19077</v>
      </c>
      <c r="D8" s="31">
        <v>6234</v>
      </c>
      <c r="E8" s="31">
        <v>510</v>
      </c>
      <c r="F8" s="13" t="s">
        <v>10</v>
      </c>
      <c r="G8" s="22"/>
      <c r="H8" s="22"/>
      <c r="I8" s="22"/>
      <c r="J8" s="8"/>
    </row>
    <row r="9" spans="1:10" ht="17.25" x14ac:dyDescent="0.4">
      <c r="A9" s="12" t="s">
        <v>11</v>
      </c>
      <c r="B9" s="24">
        <f t="shared" si="0"/>
        <v>20320</v>
      </c>
      <c r="C9" s="31">
        <v>17111</v>
      </c>
      <c r="D9" s="31">
        <v>2698</v>
      </c>
      <c r="E9" s="31">
        <v>511</v>
      </c>
      <c r="F9" s="13" t="s">
        <v>12</v>
      </c>
      <c r="G9" s="22"/>
      <c r="H9" s="22"/>
      <c r="I9" s="22"/>
      <c r="J9" s="8"/>
    </row>
    <row r="10" spans="1:10" ht="17.25" x14ac:dyDescent="0.4">
      <c r="A10" s="12" t="s">
        <v>13</v>
      </c>
      <c r="B10" s="24">
        <f t="shared" si="0"/>
        <v>22151.3</v>
      </c>
      <c r="C10" s="31">
        <v>19313</v>
      </c>
      <c r="D10" s="31">
        <v>1562.3</v>
      </c>
      <c r="E10" s="31">
        <v>1276</v>
      </c>
      <c r="F10" s="13" t="s">
        <v>14</v>
      </c>
      <c r="G10" s="22"/>
      <c r="H10" s="22"/>
      <c r="I10" s="22"/>
      <c r="J10" s="8"/>
    </row>
    <row r="11" spans="1:10" ht="17.25" x14ac:dyDescent="0.4">
      <c r="A11" s="12" t="s">
        <v>15</v>
      </c>
      <c r="B11" s="24">
        <f t="shared" si="0"/>
        <v>26315.75</v>
      </c>
      <c r="C11" s="31">
        <v>23690</v>
      </c>
      <c r="D11" s="31">
        <v>954.3</v>
      </c>
      <c r="E11" s="31">
        <v>1671.45</v>
      </c>
      <c r="F11" s="13" t="s">
        <v>16</v>
      </c>
      <c r="G11" s="22"/>
      <c r="H11" s="22"/>
      <c r="I11" s="22"/>
      <c r="J11" s="8"/>
    </row>
    <row r="12" spans="1:10" ht="17.25" x14ac:dyDescent="0.4">
      <c r="A12" s="12" t="s">
        <v>17</v>
      </c>
      <c r="B12" s="24">
        <f t="shared" si="0"/>
        <v>26954.799999999999</v>
      </c>
      <c r="C12" s="31">
        <v>25580.5</v>
      </c>
      <c r="D12" s="31">
        <v>1003.3</v>
      </c>
      <c r="E12" s="31">
        <v>371</v>
      </c>
      <c r="F12" s="13" t="s">
        <v>18</v>
      </c>
      <c r="G12" s="22"/>
      <c r="H12" s="22"/>
      <c r="I12" s="22"/>
      <c r="J12" s="8"/>
    </row>
    <row r="13" spans="1:10" ht="17.25" x14ac:dyDescent="0.4">
      <c r="A13" s="12" t="s">
        <v>19</v>
      </c>
      <c r="B13" s="24">
        <f t="shared" si="0"/>
        <v>31143</v>
      </c>
      <c r="C13" s="31">
        <v>29199</v>
      </c>
      <c r="D13" s="31">
        <v>952</v>
      </c>
      <c r="E13" s="31">
        <v>992</v>
      </c>
      <c r="F13" s="13" t="s">
        <v>20</v>
      </c>
      <c r="G13" s="22"/>
      <c r="H13" s="22"/>
      <c r="I13" s="22"/>
      <c r="J13" s="8"/>
    </row>
    <row r="14" spans="1:10" ht="17.25" x14ac:dyDescent="0.4">
      <c r="A14" s="12" t="s">
        <v>21</v>
      </c>
      <c r="B14" s="24">
        <f t="shared" si="0"/>
        <v>30257</v>
      </c>
      <c r="C14" s="31">
        <v>27168</v>
      </c>
      <c r="D14" s="31">
        <v>1721</v>
      </c>
      <c r="E14" s="31">
        <v>1368</v>
      </c>
      <c r="F14" s="13" t="s">
        <v>22</v>
      </c>
      <c r="G14" s="22"/>
      <c r="H14" s="22"/>
      <c r="I14" s="22"/>
      <c r="J14" s="8"/>
    </row>
    <row r="15" spans="1:10" ht="17.25" x14ac:dyDescent="0.4">
      <c r="A15" s="12" t="s">
        <v>23</v>
      </c>
      <c r="B15" s="24">
        <f t="shared" si="0"/>
        <v>27399</v>
      </c>
      <c r="C15" s="31">
        <v>22977</v>
      </c>
      <c r="D15" s="31">
        <v>3673</v>
      </c>
      <c r="E15" s="31">
        <v>749</v>
      </c>
      <c r="F15" s="13" t="s">
        <v>24</v>
      </c>
      <c r="I15" s="22"/>
      <c r="J15" s="8"/>
    </row>
    <row r="16" spans="1:10" ht="17.25" x14ac:dyDescent="0.4">
      <c r="A16" s="12" t="s">
        <v>25</v>
      </c>
      <c r="B16" s="24">
        <f t="shared" si="0"/>
        <v>25568</v>
      </c>
      <c r="C16" s="31">
        <v>21139</v>
      </c>
      <c r="D16" s="31">
        <v>3619</v>
      </c>
      <c r="E16" s="31">
        <v>810</v>
      </c>
      <c r="F16" s="13" t="s">
        <v>26</v>
      </c>
      <c r="I16" s="22"/>
      <c r="J16" s="8"/>
    </row>
    <row r="17" spans="1:13" ht="17.25" x14ac:dyDescent="0.4">
      <c r="A17" s="12" t="s">
        <v>27</v>
      </c>
      <c r="B17" s="24">
        <f t="shared" si="0"/>
        <v>25522.3</v>
      </c>
      <c r="C17" s="31">
        <v>22757</v>
      </c>
      <c r="D17" s="31">
        <v>1823.3</v>
      </c>
      <c r="E17" s="31">
        <v>942</v>
      </c>
      <c r="F17" s="13" t="s">
        <v>28</v>
      </c>
      <c r="I17" s="22"/>
      <c r="J17" s="8"/>
    </row>
    <row r="18" spans="1:13" ht="17.25" x14ac:dyDescent="0.4">
      <c r="A18" s="14" t="s">
        <v>29</v>
      </c>
      <c r="B18" s="25">
        <f t="shared" si="0"/>
        <v>21275.200000000001</v>
      </c>
      <c r="C18" s="32">
        <v>18368.5</v>
      </c>
      <c r="D18" s="32">
        <v>2073.6999999999998</v>
      </c>
      <c r="E18" s="32">
        <v>833</v>
      </c>
      <c r="F18" s="15" t="s">
        <v>30</v>
      </c>
      <c r="I18" s="22"/>
      <c r="J18" s="8"/>
    </row>
    <row r="19" spans="1:13" ht="12.75" customHeight="1" x14ac:dyDescent="0.4">
      <c r="A19" s="9" t="s">
        <v>38</v>
      </c>
      <c r="B19" s="3"/>
      <c r="C19" s="4"/>
      <c r="D19" s="4"/>
      <c r="E19" s="4"/>
      <c r="G19" s="4"/>
      <c r="H19" s="26"/>
      <c r="I19" s="22"/>
      <c r="J19" s="5"/>
      <c r="L19" s="16"/>
      <c r="M19" s="5"/>
    </row>
    <row r="20" spans="1:13" ht="12.75" customHeight="1" x14ac:dyDescent="0.25">
      <c r="A20" s="3" t="s">
        <v>2</v>
      </c>
      <c r="B20" s="19"/>
      <c r="C20" s="19"/>
      <c r="D20" s="20"/>
      <c r="E20" s="21"/>
      <c r="G20" s="20"/>
      <c r="H20" s="6"/>
      <c r="I20" s="22"/>
      <c r="J20" s="8"/>
    </row>
    <row r="21" spans="1:13" s="27" customFormat="1" ht="15" customHeight="1" x14ac:dyDescent="0.25">
      <c r="F21" s="28" t="s">
        <v>39</v>
      </c>
      <c r="I21" s="29"/>
    </row>
    <row r="22" spans="1:13" s="27" customFormat="1" ht="17.25" x14ac:dyDescent="0.25">
      <c r="F22" s="18" t="s">
        <v>3</v>
      </c>
    </row>
  </sheetData>
  <mergeCells count="7">
    <mergeCell ref="A1:F1"/>
    <mergeCell ref="A2:F2"/>
    <mergeCell ref="A3:F3"/>
    <mergeCell ref="A4:A5"/>
    <mergeCell ref="B4:B5"/>
    <mergeCell ref="C4:E4"/>
    <mergeCell ref="F4:F5"/>
  </mergeCells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11.22 </vt:lpstr>
      <vt:lpstr>'11.22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2016-09-19T07:44:18Z</cp:lastPrinted>
  <dcterms:created xsi:type="dcterms:W3CDTF">2014-05-22T03:57:11Z</dcterms:created>
  <dcterms:modified xsi:type="dcterms:W3CDTF">2016-09-19T07:44:22Z</dcterms:modified>
</cp:coreProperties>
</file>