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14130" windowHeight="12255" tabRatio="898"/>
  </bookViews>
  <sheets>
    <sheet name="9.2" sheetId="7" r:id="rId1"/>
  </sheets>
  <definedNames>
    <definedName name="_xlnm.Print_Area" localSheetId="0">'9.2'!$A$1:$V$35</definedName>
  </definedNames>
  <calcPr calcId="144525"/>
</workbook>
</file>

<file path=xl/calcChain.xml><?xml version="1.0" encoding="utf-8"?>
<calcChain xmlns="http://schemas.openxmlformats.org/spreadsheetml/2006/main">
  <c r="T10" i="7" l="1"/>
  <c r="T8" i="7"/>
  <c r="N8" i="7"/>
  <c r="T9" i="7" l="1"/>
  <c r="T11" i="7" l="1"/>
  <c r="T12" i="7"/>
  <c r="T13" i="7"/>
  <c r="T14" i="7"/>
  <c r="T15" i="7"/>
  <c r="T16" i="7"/>
  <c r="T17" i="7"/>
  <c r="T18" i="7"/>
  <c r="T19" i="7"/>
  <c r="T20" i="7"/>
  <c r="T21" i="7"/>
  <c r="T22" i="7"/>
  <c r="T23" i="7"/>
  <c r="T24" i="7"/>
  <c r="T25" i="7"/>
  <c r="T26" i="7"/>
  <c r="T27" i="7"/>
  <c r="T28" i="7"/>
  <c r="T29" i="7"/>
  <c r="T30" i="7"/>
  <c r="T31" i="7"/>
  <c r="H10" i="7"/>
  <c r="G10" i="7"/>
  <c r="G8" i="7" s="1"/>
  <c r="B10" i="7"/>
  <c r="B8" i="7" s="1"/>
  <c r="H8" i="7" l="1"/>
  <c r="N20" i="7" s="1"/>
  <c r="N28" i="7"/>
  <c r="N11" i="7" l="1"/>
  <c r="N17" i="7"/>
  <c r="N19" i="7"/>
  <c r="N10" i="7"/>
  <c r="N25" i="7"/>
  <c r="N23" i="7"/>
  <c r="N12" i="7"/>
  <c r="N13" i="7"/>
  <c r="N9" i="7"/>
  <c r="N27" i="7"/>
  <c r="N24" i="7"/>
  <c r="N26" i="7"/>
  <c r="N21" i="7"/>
  <c r="N15" i="7"/>
  <c r="N31" i="7"/>
  <c r="N16" i="7"/>
  <c r="N22" i="7"/>
  <c r="N14" i="7"/>
  <c r="N29" i="7"/>
  <c r="N18" i="7"/>
  <c r="N30" i="7"/>
  <c r="S11" i="7" l="1"/>
  <c r="R11" i="7"/>
  <c r="S31" i="7" l="1"/>
  <c r="R31" i="7"/>
  <c r="Q31" i="7"/>
  <c r="P31" i="7"/>
  <c r="O31" i="7"/>
  <c r="S30" i="7"/>
  <c r="R30" i="7"/>
  <c r="Q30" i="7"/>
  <c r="P30" i="7"/>
  <c r="O30" i="7"/>
  <c r="S29" i="7"/>
  <c r="R29" i="7"/>
  <c r="Q29" i="7"/>
  <c r="P29" i="7"/>
  <c r="O29" i="7"/>
  <c r="S28" i="7"/>
  <c r="R28" i="7"/>
  <c r="Q28" i="7"/>
  <c r="P28" i="7"/>
  <c r="O28" i="7"/>
  <c r="S27" i="7"/>
  <c r="R27" i="7"/>
  <c r="Q27" i="7"/>
  <c r="P27" i="7"/>
  <c r="O27" i="7"/>
  <c r="S26" i="7"/>
  <c r="R26" i="7"/>
  <c r="Q26" i="7"/>
  <c r="P26" i="7"/>
  <c r="O26" i="7"/>
  <c r="S25" i="7"/>
  <c r="R25" i="7"/>
  <c r="Q25" i="7"/>
  <c r="P25" i="7"/>
  <c r="O25" i="7"/>
  <c r="S24" i="7"/>
  <c r="R24" i="7"/>
  <c r="Q24" i="7"/>
  <c r="P24" i="7"/>
  <c r="O24" i="7"/>
  <c r="S23" i="7"/>
  <c r="R23" i="7"/>
  <c r="Q23" i="7"/>
  <c r="P23" i="7"/>
  <c r="O23" i="7"/>
  <c r="S22" i="7"/>
  <c r="R22" i="7"/>
  <c r="Q22" i="7"/>
  <c r="P22" i="7"/>
  <c r="O22" i="7"/>
  <c r="S21" i="7"/>
  <c r="R21" i="7"/>
  <c r="Q21" i="7"/>
  <c r="P21" i="7"/>
  <c r="O21" i="7"/>
  <c r="S20" i="7"/>
  <c r="R20" i="7"/>
  <c r="Q20" i="7"/>
  <c r="P20" i="7"/>
  <c r="O20" i="7"/>
  <c r="S19" i="7"/>
  <c r="R19" i="7"/>
  <c r="Q19" i="7"/>
  <c r="P19" i="7"/>
  <c r="O19" i="7"/>
  <c r="S18" i="7"/>
  <c r="R18" i="7"/>
  <c r="Q18" i="7"/>
  <c r="P18" i="7"/>
  <c r="O18" i="7"/>
  <c r="S17" i="7"/>
  <c r="R17" i="7"/>
  <c r="Q17" i="7"/>
  <c r="P17" i="7"/>
  <c r="O17" i="7"/>
  <c r="S16" i="7"/>
  <c r="R16" i="7"/>
  <c r="Q16" i="7"/>
  <c r="P16" i="7"/>
  <c r="O16" i="7"/>
  <c r="S15" i="7"/>
  <c r="R15" i="7"/>
  <c r="Q15" i="7"/>
  <c r="P15" i="7"/>
  <c r="O15" i="7"/>
  <c r="S14" i="7"/>
  <c r="R14" i="7"/>
  <c r="Q14" i="7"/>
  <c r="P14" i="7"/>
  <c r="O14" i="7"/>
  <c r="S13" i="7"/>
  <c r="R13" i="7"/>
  <c r="Q13" i="7"/>
  <c r="P13" i="7"/>
  <c r="O13" i="7"/>
  <c r="S12" i="7"/>
  <c r="R12" i="7"/>
  <c r="Q12" i="7"/>
  <c r="P12" i="7"/>
  <c r="O12" i="7"/>
  <c r="O11" i="7"/>
  <c r="F10" i="7"/>
  <c r="F8" i="7" s="1"/>
  <c r="L31" i="7" s="1"/>
  <c r="E10" i="7"/>
  <c r="E8" i="7" s="1"/>
  <c r="K30" i="7" s="1"/>
  <c r="D10" i="7"/>
  <c r="C10" i="7"/>
  <c r="C8" i="7" s="1"/>
  <c r="I28" i="7" s="1"/>
  <c r="S9" i="7"/>
  <c r="R9" i="7"/>
  <c r="Q9" i="7"/>
  <c r="P9" i="7"/>
  <c r="O9" i="7"/>
  <c r="Q10" i="7" l="1"/>
  <c r="S10" i="7"/>
  <c r="I9" i="7"/>
  <c r="I12" i="7"/>
  <c r="K9" i="7"/>
  <c r="I13" i="7"/>
  <c r="I21" i="7"/>
  <c r="I25" i="7"/>
  <c r="I27" i="7"/>
  <c r="I11" i="7"/>
  <c r="K13" i="7"/>
  <c r="K15" i="7"/>
  <c r="I17" i="7"/>
  <c r="I19" i="7"/>
  <c r="K21" i="7"/>
  <c r="D8" i="7"/>
  <c r="J29" i="7" s="1"/>
  <c r="I10" i="7"/>
  <c r="K10" i="7"/>
  <c r="O8" i="7"/>
  <c r="L22" i="7"/>
  <c r="K29" i="7"/>
  <c r="L30" i="7"/>
  <c r="K12" i="7"/>
  <c r="L13" i="7"/>
  <c r="I18" i="7"/>
  <c r="K20" i="7"/>
  <c r="L21" i="7"/>
  <c r="I26" i="7"/>
  <c r="K28" i="7"/>
  <c r="L29" i="7"/>
  <c r="K27" i="7"/>
  <c r="L28" i="7"/>
  <c r="O10" i="7"/>
  <c r="L20" i="7"/>
  <c r="P10" i="7"/>
  <c r="I16" i="7"/>
  <c r="K18" i="7"/>
  <c r="L19" i="7"/>
  <c r="I24" i="7"/>
  <c r="K26" i="7"/>
  <c r="L27" i="7"/>
  <c r="L12" i="7"/>
  <c r="K11" i="7"/>
  <c r="I15" i="7"/>
  <c r="K17" i="7"/>
  <c r="L18" i="7"/>
  <c r="I23" i="7"/>
  <c r="K25" i="7"/>
  <c r="L26" i="7"/>
  <c r="I31" i="7"/>
  <c r="L8" i="7"/>
  <c r="L14" i="7"/>
  <c r="K19" i="7"/>
  <c r="I8" i="7"/>
  <c r="R10" i="7"/>
  <c r="L11" i="7"/>
  <c r="I14" i="7"/>
  <c r="K16" i="7"/>
  <c r="L17" i="7"/>
  <c r="I22" i="7"/>
  <c r="K24" i="7"/>
  <c r="L25" i="7"/>
  <c r="I30" i="7"/>
  <c r="L10" i="7"/>
  <c r="L16" i="7"/>
  <c r="K23" i="7"/>
  <c r="L24" i="7"/>
  <c r="I29" i="7"/>
  <c r="K31" i="7"/>
  <c r="K8" i="7"/>
  <c r="R8" i="7"/>
  <c r="L9" i="7"/>
  <c r="K14" i="7"/>
  <c r="L15" i="7"/>
  <c r="I20" i="7"/>
  <c r="K22" i="7"/>
  <c r="L23" i="7"/>
  <c r="J20" i="7" l="1"/>
  <c r="J15" i="7"/>
  <c r="Q8" i="7"/>
  <c r="J10" i="7"/>
  <c r="J30" i="7"/>
  <c r="J24" i="7"/>
  <c r="J22" i="7"/>
  <c r="M14" i="7"/>
  <c r="M13" i="7"/>
  <c r="M31" i="7"/>
  <c r="M9" i="7"/>
  <c r="M22" i="7"/>
  <c r="M18" i="7"/>
  <c r="S8" i="7"/>
  <c r="M27" i="7"/>
  <c r="M8" i="7"/>
  <c r="M12" i="7"/>
  <c r="M11" i="7"/>
  <c r="M10" i="7"/>
  <c r="J8" i="7"/>
  <c r="J9" i="7"/>
  <c r="J18" i="7"/>
  <c r="J25" i="7"/>
  <c r="J11" i="7"/>
  <c r="J21" i="7"/>
  <c r="J14" i="7"/>
  <c r="J31" i="7"/>
  <c r="P8" i="7"/>
  <c r="J12" i="7"/>
  <c r="J17" i="7"/>
  <c r="J26" i="7"/>
  <c r="J19" i="7"/>
  <c r="J16" i="7"/>
  <c r="J27" i="7"/>
  <c r="J13" i="7"/>
  <c r="J23" i="7"/>
  <c r="J28" i="7"/>
  <c r="M24" i="7"/>
  <c r="M16" i="7"/>
  <c r="M25" i="7"/>
  <c r="M17" i="7"/>
  <c r="M26" i="7"/>
  <c r="M15" i="7"/>
  <c r="M19" i="7"/>
  <c r="M28" i="7"/>
  <c r="M20" i="7"/>
  <c r="M29" i="7"/>
  <c r="M21" i="7"/>
  <c r="M30" i="7"/>
  <c r="M23" i="7"/>
</calcChain>
</file>

<file path=xl/sharedStrings.xml><?xml version="1.0" encoding="utf-8"?>
<sst xmlns="http://schemas.openxmlformats.org/spreadsheetml/2006/main" count="63" uniqueCount="62">
  <si>
    <t>% change over previous year</t>
  </si>
  <si>
    <t>ah</t>
  </si>
  <si>
    <t>dh</t>
  </si>
  <si>
    <t>S</t>
  </si>
  <si>
    <t>n</t>
  </si>
  <si>
    <t>r</t>
  </si>
  <si>
    <t>b</t>
  </si>
  <si>
    <t>L</t>
  </si>
  <si>
    <t>k</t>
  </si>
  <si>
    <t xml:space="preserve"> aa</t>
  </si>
  <si>
    <t>da</t>
  </si>
  <si>
    <t>v</t>
  </si>
  <si>
    <t>m</t>
  </si>
  <si>
    <t>f</t>
  </si>
  <si>
    <t>d</t>
  </si>
  <si>
    <t>t</t>
  </si>
  <si>
    <t>l</t>
  </si>
  <si>
    <t>ag</t>
  </si>
  <si>
    <t>dg</t>
  </si>
  <si>
    <t>N</t>
  </si>
  <si>
    <t>s</t>
  </si>
  <si>
    <t xml:space="preserve"> HA</t>
  </si>
  <si>
    <t xml:space="preserve"> HDh</t>
  </si>
  <si>
    <t xml:space="preserve"> Sh</t>
  </si>
  <si>
    <t xml:space="preserve"> N</t>
  </si>
  <si>
    <t xml:space="preserve"> R</t>
  </si>
  <si>
    <t>B</t>
  </si>
  <si>
    <t>Lh</t>
  </si>
  <si>
    <t>K</t>
  </si>
  <si>
    <t>ADh</t>
  </si>
  <si>
    <t>V</t>
  </si>
  <si>
    <t>M</t>
  </si>
  <si>
    <t>F</t>
  </si>
  <si>
    <t>Dh</t>
  </si>
  <si>
    <t>Th</t>
  </si>
  <si>
    <t xml:space="preserve"> L</t>
  </si>
  <si>
    <t>GA</t>
  </si>
  <si>
    <t>GDh</t>
  </si>
  <si>
    <t>Gn</t>
  </si>
  <si>
    <t>Source: Ministry of Fisheries  and Agriculture</t>
  </si>
  <si>
    <t>(cnuhWh cnwT ckircTem )</t>
  </si>
  <si>
    <t>(In '000 metric tons)</t>
  </si>
  <si>
    <t>cniawtcaws ctogWviawfiheb</t>
  </si>
  <si>
    <t>Percentage share</t>
  </si>
  <si>
    <t xml:space="preserve"> rwCclwkircgea cDcnea  czIrwxif cfoa IrcTcsinim :ctWrwf ivcaedutWmUluAwm</t>
  </si>
  <si>
    <t xml:space="preserve"> Locality</t>
  </si>
  <si>
    <t>udwdwA ununEb cswm</t>
  </si>
  <si>
    <t>(cnia %) urwvcnim ivurutia eruvcSwrwhwa wyidim</t>
  </si>
  <si>
    <t>cnwt</t>
  </si>
  <si>
    <t>Fish catch</t>
  </si>
  <si>
    <t>Republic</t>
  </si>
  <si>
    <t>ejcaWriLum</t>
  </si>
  <si>
    <t>Male'</t>
  </si>
  <si>
    <t>elWm</t>
  </si>
  <si>
    <t>Atolls</t>
  </si>
  <si>
    <t>cawtuLotwa</t>
  </si>
  <si>
    <t>EEZ</t>
  </si>
  <si>
    <t xml:space="preserve">      cnudcawHwrws IdWBitcqia</t>
  </si>
  <si>
    <t>AA</t>
  </si>
  <si>
    <r>
      <t>Note:</t>
    </r>
    <r>
      <rPr>
        <b/>
        <i/>
        <vertAlign val="superscript"/>
        <sz val="9"/>
        <rFont val="Calibri"/>
        <family val="2"/>
      </rPr>
      <t xml:space="preserve"> </t>
    </r>
    <r>
      <rPr>
        <i/>
        <sz val="9"/>
        <rFont val="Calibri"/>
        <family val="2"/>
      </rPr>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r>
  </si>
  <si>
    <r>
      <t>2015 - 2012 ,urwvcnim eguhwm inEb wtwvun ifih cnutogegunwt</t>
    </r>
    <r>
      <rPr>
        <b/>
        <sz val="10"/>
        <rFont val="A_Waheed"/>
      </rPr>
      <t xml:space="preserve"> : </t>
    </r>
    <r>
      <rPr>
        <b/>
        <sz val="12"/>
        <rFont val="A_Waheed"/>
      </rPr>
      <t>9.2 ulwvWt</t>
    </r>
  </si>
  <si>
    <t>Table 9.2 :  FISH CATCH BY LOCALITY, 2012 -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</si>
</sst>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mmmm\ d\,\ yyyy;@"/>
    <numFmt numFmtId="165" formatCode="General_)"/>
    <numFmt numFmtId="167" formatCode="#,##0.0"/>
  </numFmts>
  <fonts count="23" x14ac:knownFonts="1">
    <font>
      <sz val="11"/>
      <color theme="1"/>
      <name val="Calibri"/>
      <family val="2"/>
      <scheme val="minor"/>
    </font>
    <font>
      <sz val="10"/>
      <name val="Courier"/>
      <family val="3"/>
    </font>
    <font>
      <b/>
      <sz val="10"/>
      <name val="Arial"/>
      <family val="2"/>
    </font>
    <font>
      <sz val="10"/>
      <name val="Arial"/>
      <family val="2"/>
    </font>
    <font>
      <sz val="10"/>
      <name val="MS Sans Serif"/>
      <family val="2"/>
    </font>
    <font>
      <sz val="10"/>
      <name val="Calibri"/>
      <family val="2"/>
    </font>
    <font>
      <b/>
      <sz val="9"/>
      <name val="A_Randhoo"/>
    </font>
    <font>
      <b/>
      <sz val="9"/>
      <name val="Calibri"/>
      <family val="2"/>
    </font>
    <font>
      <sz val="9"/>
      <name val="Courier"/>
      <family val="3"/>
    </font>
    <font>
      <i/>
      <sz val="9"/>
      <name val="Calibri"/>
      <family val="2"/>
    </font>
    <font>
      <i/>
      <sz val="9"/>
      <name val="Calibri"/>
      <family val="2"/>
      <scheme val="minor"/>
    </font>
    <font>
      <b/>
      <sz val="10"/>
      <name val="Calibri"/>
      <family val="2"/>
    </font>
    <font>
      <sz val="9"/>
      <name val="Arial"/>
      <family val="2"/>
    </font>
    <font>
      <b/>
      <sz val="9"/>
      <name val="Arial"/>
      <family val="2"/>
    </font>
    <font>
      <sz val="9"/>
      <name val="Calibri"/>
      <family val="2"/>
    </font>
    <font>
      <i/>
      <sz val="9"/>
      <name val="Arial"/>
      <family val="2"/>
    </font>
    <font>
      <b/>
      <i/>
      <vertAlign val="superscript"/>
      <sz val="9"/>
      <name val="Calibri"/>
      <family val="2"/>
    </font>
    <font>
      <b/>
      <sz val="12"/>
      <name val="A_Waheed"/>
    </font>
    <font>
      <b/>
      <sz val="10"/>
      <name val="A_Waheed"/>
    </font>
    <font>
      <sz val="10"/>
      <name val="A_Waheed"/>
    </font>
    <font>
      <b/>
      <sz val="9"/>
      <name val="A_Waheed"/>
    </font>
    <font>
      <sz val="9"/>
      <name val="A_Waheed"/>
    </font>
    <font>
      <sz val="11"/>
      <color indexed="8"/>
      <name val="Calibri"/>
      <family val="2"/>
    </font>
  </fonts>
  <fills count="3">
    <fill>
      <patternFill patternType="none"/>
    </fill>
    <fill>
      <patternFill patternType="gray125"/>
    </fill>
    <fill>
      <patternFill patternType="solid">
        <fgColor theme="0"/>
        <bgColor indexed="64"/>
      </patternFill>
    </fill>
  </fills>
  <borders count="13">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indexed="64"/>
      </right>
      <top/>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top/>
      <bottom/>
      <diagonal/>
    </border>
    <border>
      <left/>
      <right/>
      <top/>
      <bottom style="hair">
        <color indexed="64"/>
      </bottom>
      <diagonal/>
    </border>
    <border>
      <left style="hair">
        <color indexed="64"/>
      </left>
      <right/>
      <top style="thin">
        <color indexed="64"/>
      </top>
      <bottom style="thin">
        <color indexed="64"/>
      </bottom>
      <diagonal/>
    </border>
  </borders>
  <cellStyleXfs count="6">
    <xf numFmtId="0" fontId="0" fillId="0" borderId="0"/>
    <xf numFmtId="40" fontId="4" fillId="0" borderId="0" applyFont="0" applyFill="0" applyBorder="0" applyAlignment="0" applyProtection="0"/>
    <xf numFmtId="164" fontId="1" fillId="0" borderId="0"/>
    <xf numFmtId="164" fontId="1" fillId="0" borderId="0"/>
    <xf numFmtId="165" fontId="1" fillId="0" borderId="0"/>
    <xf numFmtId="0" fontId="1" fillId="0" borderId="0"/>
  </cellStyleXfs>
  <cellXfs count="80">
    <xf numFmtId="0" fontId="0" fillId="0" borderId="0" xfId="0"/>
    <xf numFmtId="165" fontId="9" fillId="2" borderId="0" xfId="4" applyFont="1" applyFill="1" applyAlignment="1" applyProtection="1">
      <alignment horizontal="left" vertical="center"/>
    </xf>
    <xf numFmtId="165" fontId="1" fillId="2" borderId="0" xfId="4" applyFont="1" applyFill="1" applyAlignment="1">
      <alignment vertical="center"/>
    </xf>
    <xf numFmtId="165" fontId="12" fillId="2" borderId="0" xfId="4" applyFont="1" applyFill="1" applyAlignment="1">
      <alignment vertical="center"/>
    </xf>
    <xf numFmtId="165" fontId="8" fillId="2" borderId="0" xfId="4" applyFont="1" applyFill="1" applyAlignment="1">
      <alignment vertical="center"/>
    </xf>
    <xf numFmtId="165" fontId="15" fillId="2" borderId="0" xfId="4" applyFont="1" applyFill="1" applyAlignment="1" applyProtection="1">
      <alignment horizontal="left" vertical="center"/>
    </xf>
    <xf numFmtId="165" fontId="12" fillId="2" borderId="0" xfId="4" applyFont="1" applyFill="1" applyAlignment="1">
      <alignment horizontal="left" vertical="center"/>
    </xf>
    <xf numFmtId="165" fontId="10" fillId="2" borderId="0" xfId="4" applyFont="1" applyFill="1" applyBorder="1" applyAlignment="1">
      <alignment horizontal="left" vertical="top"/>
    </xf>
    <xf numFmtId="165" fontId="12" fillId="2" borderId="0" xfId="4" applyFont="1" applyFill="1" applyBorder="1" applyAlignment="1">
      <alignment vertical="center"/>
    </xf>
    <xf numFmtId="165" fontId="2" fillId="2" borderId="0" xfId="4" applyFont="1" applyFill="1" applyAlignment="1">
      <alignment vertical="center"/>
    </xf>
    <xf numFmtId="165" fontId="13" fillId="2" borderId="0" xfId="4" applyFont="1" applyFill="1" applyAlignment="1">
      <alignment vertical="center"/>
    </xf>
    <xf numFmtId="165" fontId="12" fillId="2" borderId="0" xfId="4" applyFont="1" applyFill="1" applyBorder="1" applyAlignment="1">
      <alignment horizontal="centerContinuous" vertical="center"/>
    </xf>
    <xf numFmtId="165" fontId="7" fillId="2" borderId="2" xfId="4" applyFont="1" applyFill="1" applyBorder="1" applyAlignment="1" applyProtection="1">
      <alignment horizontal="centerContinuous" vertical="center"/>
    </xf>
    <xf numFmtId="165" fontId="13" fillId="2" borderId="2" xfId="4" applyFont="1" applyFill="1" applyBorder="1" applyAlignment="1">
      <alignment horizontal="centerContinuous" vertical="center"/>
    </xf>
    <xf numFmtId="165" fontId="7" fillId="2" borderId="0" xfId="4" applyFont="1" applyFill="1" applyBorder="1" applyAlignment="1">
      <alignment horizontal="center" vertical="center" wrapText="1"/>
    </xf>
    <xf numFmtId="165" fontId="14" fillId="2" borderId="0" xfId="4" applyFont="1" applyFill="1" applyAlignment="1">
      <alignment vertical="center"/>
    </xf>
    <xf numFmtId="165" fontId="7" fillId="2" borderId="0" xfId="4" applyFont="1" applyFill="1" applyAlignment="1">
      <alignment vertical="center"/>
    </xf>
    <xf numFmtId="165" fontId="11" fillId="2" borderId="0" xfId="4" applyFont="1" applyFill="1" applyAlignment="1" applyProtection="1">
      <alignment horizontal="left" vertical="center"/>
    </xf>
    <xf numFmtId="167" fontId="11" fillId="2" borderId="0" xfId="4" applyNumberFormat="1" applyFont="1" applyFill="1" applyAlignment="1" applyProtection="1">
      <alignment horizontal="right"/>
    </xf>
    <xf numFmtId="167" fontId="11" fillId="2" borderId="0" xfId="4" applyNumberFormat="1" applyFont="1" applyFill="1" applyBorder="1" applyAlignment="1" applyProtection="1">
      <alignment horizontal="right"/>
    </xf>
    <xf numFmtId="167" fontId="11" fillId="2" borderId="0" xfId="4" applyNumberFormat="1" applyFont="1" applyFill="1" applyBorder="1" applyAlignment="1">
      <alignment horizontal="right" vertical="center"/>
    </xf>
    <xf numFmtId="167" fontId="2" fillId="2" borderId="0" xfId="4" applyNumberFormat="1" applyFont="1" applyFill="1" applyBorder="1" applyAlignment="1">
      <alignment horizontal="right" vertical="center"/>
    </xf>
    <xf numFmtId="167" fontId="11" fillId="2" borderId="0" xfId="4" applyNumberFormat="1" applyFont="1" applyFill="1" applyAlignment="1">
      <alignment horizontal="right" vertical="center"/>
    </xf>
    <xf numFmtId="167" fontId="5" fillId="2" borderId="0" xfId="4" applyNumberFormat="1" applyFont="1" applyFill="1" applyBorder="1" applyAlignment="1" applyProtection="1">
      <alignment horizontal="right"/>
    </xf>
    <xf numFmtId="167" fontId="5" fillId="2" borderId="0" xfId="4" applyNumberFormat="1" applyFont="1" applyFill="1" applyBorder="1" applyAlignment="1">
      <alignment horizontal="right" vertical="center"/>
    </xf>
    <xf numFmtId="167" fontId="3" fillId="2" borderId="0" xfId="4" applyNumberFormat="1" applyFont="1" applyFill="1" applyBorder="1" applyAlignment="1">
      <alignment horizontal="right" vertical="center"/>
    </xf>
    <xf numFmtId="167" fontId="5" fillId="2" borderId="2" xfId="4" applyNumberFormat="1" applyFont="1" applyFill="1" applyBorder="1" applyAlignment="1">
      <alignment horizontal="right" vertical="center"/>
    </xf>
    <xf numFmtId="167" fontId="5" fillId="2" borderId="2" xfId="4" applyNumberFormat="1" applyFont="1" applyFill="1" applyBorder="1" applyAlignment="1" applyProtection="1">
      <alignment horizontal="right"/>
    </xf>
    <xf numFmtId="167" fontId="3" fillId="2" borderId="2" xfId="4" applyNumberFormat="1" applyFont="1" applyFill="1" applyBorder="1" applyAlignment="1">
      <alignment horizontal="right" vertical="center"/>
    </xf>
    <xf numFmtId="165" fontId="15" fillId="2" borderId="0" xfId="4" applyFont="1" applyFill="1" applyBorder="1" applyAlignment="1" applyProtection="1">
      <alignment horizontal="left" vertical="center"/>
    </xf>
    <xf numFmtId="165" fontId="9" fillId="2" borderId="0" xfId="4" applyFont="1" applyFill="1" applyAlignment="1" applyProtection="1">
      <alignment vertical="center" wrapText="1"/>
    </xf>
    <xf numFmtId="165" fontId="12" fillId="2" borderId="0" xfId="4" applyFont="1" applyFill="1" applyBorder="1" applyAlignment="1">
      <alignment horizontal="left" vertical="center"/>
    </xf>
    <xf numFmtId="167" fontId="11" fillId="2" borderId="0" xfId="4" applyNumberFormat="1" applyFont="1" applyFill="1" applyBorder="1" applyAlignment="1">
      <alignment horizontal="left" vertical="center"/>
    </xf>
    <xf numFmtId="165" fontId="3" fillId="2" borderId="0" xfId="4" applyFont="1" applyFill="1" applyAlignment="1">
      <alignment vertical="center"/>
    </xf>
    <xf numFmtId="165" fontId="3" fillId="2" borderId="0" xfId="4" applyFont="1" applyFill="1" applyBorder="1" applyAlignment="1">
      <alignment vertical="center"/>
    </xf>
    <xf numFmtId="165" fontId="2" fillId="2" borderId="0" xfId="4" applyFont="1" applyFill="1" applyAlignment="1">
      <alignment horizontal="right" vertical="center"/>
    </xf>
    <xf numFmtId="1" fontId="11" fillId="2" borderId="2" xfId="4" applyNumberFormat="1" applyFont="1" applyFill="1" applyBorder="1" applyAlignment="1" applyProtection="1">
      <alignment horizontal="right" vertical="center"/>
    </xf>
    <xf numFmtId="1" fontId="11" fillId="2" borderId="3" xfId="4" applyNumberFormat="1" applyFont="1" applyFill="1" applyBorder="1" applyAlignment="1">
      <alignment horizontal="right" vertical="center"/>
    </xf>
    <xf numFmtId="165" fontId="11" fillId="2" borderId="3" xfId="4" applyFont="1" applyFill="1" applyBorder="1" applyAlignment="1">
      <alignment horizontal="right" vertical="center" wrapText="1"/>
    </xf>
    <xf numFmtId="165" fontId="11" fillId="2" borderId="2" xfId="4" applyFont="1" applyFill="1" applyBorder="1" applyAlignment="1">
      <alignment horizontal="right" vertical="center" wrapText="1"/>
    </xf>
    <xf numFmtId="1" fontId="11" fillId="2" borderId="2" xfId="4" applyNumberFormat="1" applyFont="1" applyFill="1" applyBorder="1" applyAlignment="1">
      <alignment horizontal="right" vertical="center"/>
    </xf>
    <xf numFmtId="165" fontId="2" fillId="2" borderId="2" xfId="4" applyFont="1" applyFill="1" applyBorder="1" applyAlignment="1">
      <alignment horizontal="right" vertical="center" wrapText="1"/>
    </xf>
    <xf numFmtId="165" fontId="1" fillId="2" borderId="0" xfId="4" applyFont="1" applyFill="1" applyAlignment="1">
      <alignment horizontal="right" vertical="center"/>
    </xf>
    <xf numFmtId="165" fontId="6" fillId="2" borderId="1" xfId="4" applyFont="1" applyFill="1" applyBorder="1" applyAlignment="1">
      <alignment horizontal="center" vertical="center"/>
    </xf>
    <xf numFmtId="165" fontId="5" fillId="2" borderId="0" xfId="0" applyNumberFormat="1" applyFont="1" applyFill="1" applyAlignment="1" applyProtection="1">
      <alignment horizontal="left" vertical="center" indent="1"/>
    </xf>
    <xf numFmtId="165" fontId="5" fillId="2" borderId="2" xfId="0" applyNumberFormat="1" applyFont="1" applyFill="1" applyBorder="1" applyAlignment="1" applyProtection="1">
      <alignment horizontal="left" vertical="center" indent="1"/>
    </xf>
    <xf numFmtId="165" fontId="6" fillId="2" borderId="1" xfId="4" applyFont="1" applyFill="1" applyBorder="1" applyAlignment="1">
      <alignment vertical="center"/>
    </xf>
    <xf numFmtId="165" fontId="7" fillId="2" borderId="2" xfId="4" applyFont="1" applyFill="1" applyBorder="1" applyAlignment="1">
      <alignment vertical="center"/>
    </xf>
    <xf numFmtId="165" fontId="21" fillId="2" borderId="0" xfId="4" applyFont="1" applyFill="1" applyBorder="1" applyAlignment="1">
      <alignment horizontal="right" vertical="center"/>
    </xf>
    <xf numFmtId="165" fontId="18" fillId="2" borderId="0" xfId="4" applyFont="1" applyFill="1" applyAlignment="1">
      <alignment horizontal="right" vertical="center" indent="1"/>
    </xf>
    <xf numFmtId="165" fontId="21" fillId="2" borderId="0" xfId="4" applyFont="1" applyFill="1" applyBorder="1" applyAlignment="1">
      <alignment horizontal="centerContinuous" vertical="center"/>
    </xf>
    <xf numFmtId="165" fontId="20" fillId="2" borderId="0" xfId="4" applyFont="1" applyFill="1" applyBorder="1" applyAlignment="1">
      <alignment horizontal="centerContinuous" vertical="center" wrapText="1"/>
    </xf>
    <xf numFmtId="1" fontId="11" fillId="2" borderId="9" xfId="4" applyNumberFormat="1" applyFont="1" applyFill="1" applyBorder="1" applyAlignment="1" applyProtection="1">
      <alignment horizontal="right" vertical="center"/>
    </xf>
    <xf numFmtId="167" fontId="11" fillId="2" borderId="10" xfId="4" applyNumberFormat="1" applyFont="1" applyFill="1" applyBorder="1" applyAlignment="1" applyProtection="1">
      <alignment horizontal="right"/>
    </xf>
    <xf numFmtId="167" fontId="5" fillId="2" borderId="10" xfId="4" applyNumberFormat="1" applyFont="1" applyFill="1" applyBorder="1" applyAlignment="1" applyProtection="1">
      <alignment horizontal="right"/>
    </xf>
    <xf numFmtId="167" fontId="5" fillId="2" borderId="9" xfId="4" applyNumberFormat="1" applyFont="1" applyFill="1" applyBorder="1" applyAlignment="1" applyProtection="1">
      <alignment horizontal="right"/>
    </xf>
    <xf numFmtId="165" fontId="11" fillId="2" borderId="6" xfId="4" applyFont="1" applyFill="1" applyBorder="1" applyAlignment="1">
      <alignment horizontal="right" vertical="center" wrapText="1"/>
    </xf>
    <xf numFmtId="167" fontId="11" fillId="2" borderId="7" xfId="4" applyNumberFormat="1" applyFont="1" applyFill="1" applyBorder="1" applyAlignment="1" applyProtection="1">
      <alignment horizontal="right"/>
    </xf>
    <xf numFmtId="165" fontId="19" fillId="2" borderId="0" xfId="0" applyNumberFormat="1" applyFont="1" applyFill="1" applyAlignment="1">
      <alignment horizontal="right" vertical="center" indent="3"/>
    </xf>
    <xf numFmtId="165" fontId="19" fillId="2" borderId="2" xfId="0" applyNumberFormat="1" applyFont="1" applyFill="1" applyBorder="1" applyAlignment="1">
      <alignment horizontal="right" vertical="center" indent="3"/>
    </xf>
    <xf numFmtId="167" fontId="5" fillId="2" borderId="7" xfId="4" applyNumberFormat="1" applyFont="1" applyFill="1" applyBorder="1" applyAlignment="1" applyProtection="1">
      <alignment horizontal="right"/>
    </xf>
    <xf numFmtId="167" fontId="5" fillId="2" borderId="5" xfId="4" applyNumberFormat="1" applyFont="1" applyFill="1" applyBorder="1" applyAlignment="1" applyProtection="1">
      <alignment horizontal="right"/>
    </xf>
    <xf numFmtId="165" fontId="20" fillId="2" borderId="1" xfId="4" applyFont="1" applyFill="1" applyBorder="1" applyAlignment="1">
      <alignment vertical="center"/>
    </xf>
    <xf numFmtId="165" fontId="11" fillId="2" borderId="12" xfId="4" applyFont="1" applyFill="1" applyBorder="1" applyAlignment="1">
      <alignment horizontal="right" vertical="center" wrapText="1"/>
    </xf>
    <xf numFmtId="165" fontId="17" fillId="2" borderId="0" xfId="4" applyFont="1" applyFill="1" applyAlignment="1">
      <alignment horizontal="center" vertical="center"/>
    </xf>
    <xf numFmtId="165" fontId="9" fillId="2" borderId="0" xfId="4" applyFont="1" applyFill="1" applyAlignment="1" applyProtection="1">
      <alignment horizontal="left" vertical="center" wrapText="1"/>
    </xf>
    <xf numFmtId="165" fontId="11" fillId="2" borderId="0" xfId="4" applyFont="1" applyFill="1" applyBorder="1" applyAlignment="1" applyProtection="1">
      <alignment horizontal="center" vertical="center"/>
    </xf>
    <xf numFmtId="165" fontId="7" fillId="2" borderId="1" xfId="4" applyFont="1" applyFill="1" applyBorder="1" applyAlignment="1" applyProtection="1">
      <alignment horizontal="left" vertical="center"/>
    </xf>
    <xf numFmtId="165" fontId="7" fillId="2" borderId="0" xfId="4" applyFont="1" applyFill="1" applyBorder="1" applyAlignment="1" applyProtection="1">
      <alignment horizontal="left" vertical="center"/>
    </xf>
    <xf numFmtId="165" fontId="7" fillId="2" borderId="2" xfId="4" applyFont="1" applyFill="1" applyBorder="1" applyAlignment="1" applyProtection="1">
      <alignment horizontal="left" vertical="center"/>
    </xf>
    <xf numFmtId="165" fontId="20" fillId="2" borderId="1" xfId="4" applyFont="1" applyFill="1" applyBorder="1" applyAlignment="1">
      <alignment horizontal="right" vertical="center"/>
    </xf>
    <xf numFmtId="165" fontId="20" fillId="2" borderId="0" xfId="4" applyFont="1" applyFill="1" applyBorder="1" applyAlignment="1">
      <alignment horizontal="right" vertical="center"/>
    </xf>
    <xf numFmtId="165" fontId="20" fillId="2" borderId="2" xfId="4" applyFont="1" applyFill="1" applyBorder="1" applyAlignment="1">
      <alignment horizontal="right" vertical="center"/>
    </xf>
    <xf numFmtId="165" fontId="20" fillId="2" borderId="1" xfId="4" applyFont="1" applyFill="1" applyBorder="1" applyAlignment="1">
      <alignment horizontal="center" vertical="center"/>
    </xf>
    <xf numFmtId="165" fontId="7" fillId="2" borderId="2" xfId="4" applyFont="1" applyFill="1" applyBorder="1" applyAlignment="1">
      <alignment horizontal="center" vertical="center"/>
    </xf>
    <xf numFmtId="165" fontId="7" fillId="2" borderId="11" xfId="4" applyFont="1" applyFill="1" applyBorder="1" applyAlignment="1">
      <alignment horizontal="center" vertical="center" wrapText="1"/>
    </xf>
    <xf numFmtId="165" fontId="7" fillId="2" borderId="9" xfId="4" applyFont="1" applyFill="1" applyBorder="1" applyAlignment="1">
      <alignment horizontal="center" vertical="center"/>
    </xf>
    <xf numFmtId="165" fontId="7" fillId="2" borderId="5" xfId="4" applyFont="1" applyFill="1" applyBorder="1" applyAlignment="1">
      <alignment horizontal="center" vertical="center"/>
    </xf>
    <xf numFmtId="165" fontId="20" fillId="2" borderId="8" xfId="4" applyFont="1" applyFill="1" applyBorder="1" applyAlignment="1">
      <alignment horizontal="center" vertical="center"/>
    </xf>
    <xf numFmtId="165" fontId="20" fillId="2" borderId="4" xfId="4" applyFont="1" applyFill="1" applyBorder="1" applyAlignment="1">
      <alignment horizontal="center" vertical="center"/>
    </xf>
  </cellXfs>
  <cellStyles count="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33CCCC"/>
      <color rgb="FF1C706E"/>
      <color rgb="FF81E1DF"/>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M67"/>
  <sheetViews>
    <sheetView tabSelected="1" zoomScale="130" zoomScaleNormal="130" workbookViewId="0">
      <selection activeCell="R46" sqref="R46"/>
    </sheetView>
  </sheetViews>
  <sheetFormatPr defaultColWidth="8.85546875" defaultRowHeight="12.75" x14ac:dyDescent="0.25"/>
  <cols>
    <col min="1" max="1" width="7.85546875" style="33" customWidth="1"/>
    <col min="2" max="4" width="7.7109375" style="33" hidden="1" customWidth="1"/>
    <col min="5" max="7" width="7.7109375" style="33" customWidth="1"/>
    <col min="8" max="8" width="8.85546875" style="33" customWidth="1"/>
    <col min="9" max="9" width="2.5703125" style="34" hidden="1" customWidth="1"/>
    <col min="10" max="10" width="2.140625" style="34" hidden="1" customWidth="1"/>
    <col min="11" max="12" width="8.28515625" style="34" customWidth="1"/>
    <col min="13" max="14" width="8.5703125" style="34" customWidth="1"/>
    <col min="15" max="15" width="8" style="33" hidden="1" customWidth="1"/>
    <col min="16" max="16" width="8.7109375" style="33" hidden="1" customWidth="1"/>
    <col min="17" max="17" width="8" style="33" customWidth="1"/>
    <col min="18" max="18" width="8.5703125" style="33" customWidth="1"/>
    <col min="19" max="20" width="8" style="33" customWidth="1"/>
    <col min="21" max="21" width="8.85546875" style="33"/>
    <col min="22" max="22" width="13" style="33" customWidth="1"/>
    <col min="23" max="16384" width="8.85546875" style="33"/>
  </cols>
  <sheetData>
    <row r="1" spans="1:39" s="9" customFormat="1" ht="18.75" x14ac:dyDescent="0.25">
      <c r="A1" s="64" t="s">
        <v>60</v>
      </c>
      <c r="B1" s="64"/>
      <c r="C1" s="64"/>
      <c r="D1" s="64"/>
      <c r="E1" s="64"/>
      <c r="F1" s="64"/>
      <c r="G1" s="64"/>
      <c r="H1" s="64"/>
      <c r="I1" s="64"/>
      <c r="J1" s="64"/>
      <c r="K1" s="64"/>
      <c r="L1" s="64"/>
      <c r="M1" s="64"/>
      <c r="N1" s="64"/>
      <c r="O1" s="64"/>
      <c r="P1" s="64"/>
      <c r="Q1" s="64"/>
      <c r="R1" s="64"/>
      <c r="S1" s="64"/>
      <c r="T1" s="64"/>
      <c r="U1" s="64"/>
      <c r="V1" s="64"/>
      <c r="W1" s="2"/>
      <c r="X1" s="2"/>
      <c r="Y1" s="2"/>
      <c r="Z1" s="2"/>
      <c r="AA1" s="2"/>
      <c r="AB1" s="2"/>
      <c r="AC1" s="2"/>
      <c r="AD1" s="2"/>
      <c r="AE1" s="2"/>
      <c r="AF1" s="2"/>
      <c r="AG1" s="2"/>
      <c r="AH1" s="2"/>
      <c r="AI1" s="2"/>
      <c r="AJ1" s="2"/>
      <c r="AK1" s="2"/>
      <c r="AL1" s="2"/>
      <c r="AM1" s="2"/>
    </row>
    <row r="2" spans="1:39" s="10" customFormat="1" x14ac:dyDescent="0.25">
      <c r="A2" s="66" t="s">
        <v>61</v>
      </c>
      <c r="B2" s="66"/>
      <c r="C2" s="66"/>
      <c r="D2" s="66"/>
      <c r="E2" s="66"/>
      <c r="F2" s="66"/>
      <c r="G2" s="66"/>
      <c r="H2" s="66"/>
      <c r="I2" s="66"/>
      <c r="J2" s="66"/>
      <c r="K2" s="66"/>
      <c r="L2" s="66"/>
      <c r="M2" s="66"/>
      <c r="N2" s="66"/>
      <c r="O2" s="66"/>
      <c r="P2" s="66"/>
      <c r="Q2" s="66"/>
      <c r="R2" s="66"/>
      <c r="S2" s="66"/>
      <c r="T2" s="66"/>
      <c r="U2" s="66"/>
      <c r="V2" s="66"/>
      <c r="W2" s="4"/>
      <c r="X2" s="4"/>
      <c r="Y2" s="4"/>
      <c r="Z2" s="4"/>
      <c r="AA2" s="4"/>
      <c r="AB2" s="4"/>
      <c r="AC2" s="4"/>
      <c r="AD2" s="4"/>
      <c r="AE2" s="4"/>
      <c r="AF2" s="4"/>
      <c r="AG2" s="4"/>
      <c r="AH2" s="4"/>
      <c r="AI2" s="4"/>
      <c r="AJ2" s="4"/>
      <c r="AK2" s="4"/>
      <c r="AL2" s="4"/>
      <c r="AM2" s="4"/>
    </row>
    <row r="3" spans="1:39" s="10" customFormat="1" ht="14.25" x14ac:dyDescent="0.25">
      <c r="A3" s="51" t="s">
        <v>40</v>
      </c>
      <c r="B3" s="11"/>
      <c r="C3" s="11"/>
      <c r="D3" s="11"/>
      <c r="E3" s="11"/>
      <c r="F3" s="11"/>
      <c r="G3" s="11"/>
      <c r="H3" s="11"/>
      <c r="I3" s="11"/>
      <c r="J3" s="11"/>
      <c r="K3" s="11"/>
      <c r="L3" s="11"/>
      <c r="M3" s="50"/>
      <c r="N3" s="11"/>
      <c r="O3" s="11"/>
      <c r="P3" s="11"/>
      <c r="Q3" s="11"/>
      <c r="R3" s="11"/>
      <c r="S3" s="11"/>
      <c r="T3" s="11"/>
      <c r="U3" s="11"/>
      <c r="V3" s="11"/>
      <c r="W3" s="4"/>
      <c r="X3" s="4"/>
      <c r="Y3" s="4"/>
      <c r="Z3" s="4"/>
      <c r="AA3" s="4"/>
      <c r="AB3" s="4"/>
      <c r="AC3" s="4"/>
      <c r="AD3" s="4"/>
      <c r="AE3" s="4"/>
      <c r="AF3" s="4"/>
      <c r="AG3" s="4"/>
      <c r="AH3" s="4"/>
      <c r="AI3" s="4"/>
      <c r="AJ3" s="4"/>
      <c r="AK3" s="4"/>
      <c r="AL3" s="4"/>
      <c r="AM3" s="4"/>
    </row>
    <row r="4" spans="1:39" s="10" customFormat="1" ht="12" x14ac:dyDescent="0.25">
      <c r="A4" s="12" t="s">
        <v>41</v>
      </c>
      <c r="B4" s="13"/>
      <c r="C4" s="13"/>
      <c r="D4" s="13"/>
      <c r="E4" s="13"/>
      <c r="F4" s="13"/>
      <c r="G4" s="13"/>
      <c r="H4" s="13"/>
      <c r="I4" s="13"/>
      <c r="J4" s="13"/>
      <c r="K4" s="13"/>
      <c r="L4" s="13"/>
      <c r="M4" s="13"/>
      <c r="N4" s="13"/>
      <c r="O4" s="13"/>
      <c r="P4" s="13"/>
      <c r="Q4" s="13"/>
      <c r="R4" s="13"/>
      <c r="S4" s="13"/>
      <c r="T4" s="13"/>
      <c r="U4" s="13"/>
      <c r="V4" s="13"/>
      <c r="W4" s="4"/>
      <c r="X4" s="4"/>
      <c r="Y4" s="4"/>
      <c r="Z4" s="4"/>
      <c r="AA4" s="4"/>
      <c r="AB4" s="4"/>
      <c r="AC4" s="4"/>
      <c r="AD4" s="4"/>
      <c r="AE4" s="4"/>
      <c r="AF4" s="4"/>
      <c r="AG4" s="4"/>
      <c r="AH4" s="4"/>
      <c r="AI4" s="4"/>
      <c r="AJ4" s="4"/>
      <c r="AK4" s="4"/>
      <c r="AL4" s="4"/>
      <c r="AM4" s="4"/>
    </row>
    <row r="5" spans="1:39" s="10" customFormat="1" ht="15" x14ac:dyDescent="0.25">
      <c r="A5" s="67" t="s">
        <v>45</v>
      </c>
      <c r="B5" s="46"/>
      <c r="C5" s="73" t="s">
        <v>46</v>
      </c>
      <c r="D5" s="73"/>
      <c r="E5" s="73"/>
      <c r="F5" s="73"/>
      <c r="G5" s="73"/>
      <c r="H5" s="73"/>
      <c r="J5" s="62"/>
      <c r="K5" s="78" t="s">
        <v>42</v>
      </c>
      <c r="L5" s="73"/>
      <c r="M5" s="73"/>
      <c r="N5" s="79"/>
      <c r="O5" s="73" t="s">
        <v>47</v>
      </c>
      <c r="P5" s="73"/>
      <c r="Q5" s="73"/>
      <c r="R5" s="73"/>
      <c r="S5" s="73"/>
      <c r="T5" s="73"/>
      <c r="U5" s="43"/>
      <c r="V5" s="70" t="s">
        <v>48</v>
      </c>
      <c r="W5" s="4"/>
      <c r="X5" s="4"/>
      <c r="Y5" s="4"/>
      <c r="Z5" s="4"/>
      <c r="AA5" s="4"/>
      <c r="AB5" s="4"/>
      <c r="AC5" s="4"/>
      <c r="AD5" s="4"/>
      <c r="AE5" s="4"/>
      <c r="AF5" s="4"/>
      <c r="AG5" s="4"/>
      <c r="AH5" s="4"/>
      <c r="AI5" s="4"/>
      <c r="AJ5" s="4"/>
      <c r="AK5" s="4"/>
      <c r="AL5" s="4"/>
      <c r="AM5" s="4"/>
    </row>
    <row r="6" spans="1:39" s="16" customFormat="1" ht="12" customHeight="1" x14ac:dyDescent="0.25">
      <c r="A6" s="68"/>
      <c r="B6" s="47"/>
      <c r="C6" s="74" t="s">
        <v>49</v>
      </c>
      <c r="D6" s="74"/>
      <c r="E6" s="74"/>
      <c r="F6" s="74"/>
      <c r="G6" s="74"/>
      <c r="H6" s="74"/>
      <c r="J6" s="47"/>
      <c r="K6" s="76" t="s">
        <v>43</v>
      </c>
      <c r="L6" s="74"/>
      <c r="M6" s="74"/>
      <c r="N6" s="77"/>
      <c r="O6" s="75" t="s">
        <v>0</v>
      </c>
      <c r="P6" s="75"/>
      <c r="Q6" s="75"/>
      <c r="R6" s="75"/>
      <c r="S6" s="75"/>
      <c r="T6" s="75"/>
      <c r="U6" s="14"/>
      <c r="V6" s="71"/>
      <c r="W6" s="15"/>
      <c r="X6" s="15"/>
      <c r="Y6" s="15"/>
      <c r="Z6" s="15"/>
      <c r="AA6" s="15"/>
      <c r="AB6" s="15"/>
      <c r="AC6" s="15"/>
      <c r="AD6" s="15"/>
      <c r="AE6" s="15"/>
      <c r="AF6" s="15"/>
      <c r="AG6" s="15"/>
      <c r="AH6" s="15"/>
      <c r="AI6" s="15"/>
      <c r="AJ6" s="15"/>
      <c r="AK6" s="15"/>
      <c r="AL6" s="15"/>
      <c r="AM6" s="15"/>
    </row>
    <row r="7" spans="1:39" s="35" customFormat="1" x14ac:dyDescent="0.25">
      <c r="A7" s="69"/>
      <c r="B7" s="36">
        <v>2009</v>
      </c>
      <c r="C7" s="36">
        <v>2010</v>
      </c>
      <c r="D7" s="37">
        <v>2011</v>
      </c>
      <c r="E7" s="36">
        <v>2012</v>
      </c>
      <c r="F7" s="36">
        <v>2013</v>
      </c>
      <c r="G7" s="36">
        <v>2014</v>
      </c>
      <c r="H7" s="36">
        <v>2015</v>
      </c>
      <c r="I7" s="52">
        <v>2010</v>
      </c>
      <c r="J7" s="37">
        <v>2011</v>
      </c>
      <c r="K7" s="63">
        <v>2012</v>
      </c>
      <c r="L7" s="38">
        <v>2013</v>
      </c>
      <c r="M7" s="38">
        <v>2014</v>
      </c>
      <c r="N7" s="56">
        <v>2015</v>
      </c>
      <c r="O7" s="36">
        <v>2010</v>
      </c>
      <c r="P7" s="40">
        <v>2011</v>
      </c>
      <c r="Q7" s="39">
        <v>2012</v>
      </c>
      <c r="R7" s="39">
        <v>2013</v>
      </c>
      <c r="S7" s="39">
        <v>2014</v>
      </c>
      <c r="T7" s="39">
        <v>2015</v>
      </c>
      <c r="U7" s="41"/>
      <c r="V7" s="72"/>
      <c r="W7" s="42"/>
      <c r="X7" s="42"/>
      <c r="Y7" s="42"/>
      <c r="Z7" s="42"/>
      <c r="AA7" s="42"/>
      <c r="AB7" s="42"/>
      <c r="AC7" s="42"/>
      <c r="AD7" s="42"/>
      <c r="AE7" s="42"/>
      <c r="AF7" s="42"/>
      <c r="AG7" s="42"/>
      <c r="AH7" s="42"/>
      <c r="AI7" s="42"/>
      <c r="AJ7" s="42"/>
      <c r="AK7" s="42"/>
      <c r="AL7" s="42"/>
      <c r="AM7" s="42"/>
    </row>
    <row r="8" spans="1:39" s="10" customFormat="1" ht="15" x14ac:dyDescent="0.2">
      <c r="A8" s="17" t="s">
        <v>50</v>
      </c>
      <c r="B8" s="18">
        <f t="shared" ref="B8:E8" si="0">B9+B10+B11</f>
        <v>116.73586114053799</v>
      </c>
      <c r="C8" s="18">
        <f t="shared" si="0"/>
        <v>122.17513745221166</v>
      </c>
      <c r="D8" s="18">
        <f t="shared" si="0"/>
        <v>120.8360317728901</v>
      </c>
      <c r="E8" s="18">
        <f t="shared" si="0"/>
        <v>120.00092939572015</v>
      </c>
      <c r="F8" s="18">
        <f>F9+F10+F11</f>
        <v>129.84314697257253</v>
      </c>
      <c r="G8" s="18">
        <f>G9+G10+G11</f>
        <v>128.68322700000019</v>
      </c>
      <c r="H8" s="18">
        <f>H9+H10+H11</f>
        <v>127.35181848143279</v>
      </c>
      <c r="I8" s="53">
        <f>(C8/$C$8)*100</f>
        <v>100</v>
      </c>
      <c r="J8" s="19">
        <f>(D8/$D$8)*100</f>
        <v>100</v>
      </c>
      <c r="K8" s="53">
        <f>(E8/$E$8)*100</f>
        <v>100</v>
      </c>
      <c r="L8" s="19">
        <f>(F8/$F$8)*100</f>
        <v>100</v>
      </c>
      <c r="M8" s="19">
        <f t="shared" ref="M8:M14" si="1">(G8/$G$8)*100</f>
        <v>100</v>
      </c>
      <c r="N8" s="57">
        <f>(H8/$H$8)*100</f>
        <v>100</v>
      </c>
      <c r="O8" s="20">
        <f t="shared" ref="O8:O31" si="2">((C8-B8)/B8)*100</f>
        <v>4.6594733259605077</v>
      </c>
      <c r="P8" s="20">
        <f t="shared" ref="P8:T23" si="3">((D8-C8)/C8)*100</f>
        <v>-1.0960541622843263</v>
      </c>
      <c r="Q8" s="20">
        <f t="shared" si="3"/>
        <v>-0.69110377502259512</v>
      </c>
      <c r="R8" s="20">
        <f t="shared" si="3"/>
        <v>8.201784458182205</v>
      </c>
      <c r="S8" s="20">
        <f>((G8-F8)/F8)*100</f>
        <v>-0.89332398329605778</v>
      </c>
      <c r="T8" s="20">
        <f>((H8-G8)/G8)*100</f>
        <v>-1.0346402943154343</v>
      </c>
      <c r="U8" s="21"/>
      <c r="V8" s="49" t="s">
        <v>51</v>
      </c>
      <c r="W8" s="4"/>
      <c r="X8" s="4"/>
      <c r="Y8" s="4"/>
      <c r="Z8" s="4"/>
      <c r="AA8" s="4"/>
      <c r="AB8" s="4"/>
      <c r="AC8" s="4"/>
      <c r="AD8" s="4"/>
      <c r="AE8" s="4"/>
      <c r="AF8" s="4"/>
      <c r="AG8" s="4"/>
      <c r="AH8" s="4"/>
      <c r="AI8" s="4"/>
      <c r="AJ8" s="4"/>
      <c r="AK8" s="4"/>
      <c r="AL8" s="4"/>
      <c r="AM8" s="4"/>
    </row>
    <row r="9" spans="1:39" s="10" customFormat="1" ht="15" x14ac:dyDescent="0.2">
      <c r="A9" s="17" t="s">
        <v>52</v>
      </c>
      <c r="B9" s="19">
        <v>14.241852868900001</v>
      </c>
      <c r="C9" s="19">
        <v>20.514003254182864</v>
      </c>
      <c r="D9" s="19">
        <v>21.900434233018</v>
      </c>
      <c r="E9" s="19">
        <v>20.231716260367946</v>
      </c>
      <c r="F9" s="19">
        <v>27.369233978176553</v>
      </c>
      <c r="G9" s="19">
        <v>17.203263173371155</v>
      </c>
      <c r="H9" s="19">
        <v>14.788513434148374</v>
      </c>
      <c r="I9" s="53">
        <f t="shared" ref="I9:I31" si="4">(C9/$C$8)*100</f>
        <v>16.790652895485252</v>
      </c>
      <c r="J9" s="19">
        <f>(D9/$D$8)*100</f>
        <v>18.124092550622326</v>
      </c>
      <c r="K9" s="53">
        <f>(E9/$E$8)*100</f>
        <v>16.859632973050552</v>
      </c>
      <c r="L9" s="19">
        <f>(F9/$F$8)*100</f>
        <v>21.078689646946021</v>
      </c>
      <c r="M9" s="19">
        <f t="shared" si="1"/>
        <v>13.368691145250134</v>
      </c>
      <c r="N9" s="57">
        <f>(H9/$H$8)*100</f>
        <v>11.612330008702985</v>
      </c>
      <c r="O9" s="20">
        <f t="shared" si="2"/>
        <v>44.040269500181303</v>
      </c>
      <c r="P9" s="20">
        <f t="shared" si="3"/>
        <v>6.7584613381224807</v>
      </c>
      <c r="Q9" s="20">
        <f>((E9-D9)/D9)*100</f>
        <v>-7.6195656894064028</v>
      </c>
      <c r="R9" s="20">
        <f>((F9-E9)/E9)*100</f>
        <v>35.278854378708054</v>
      </c>
      <c r="S9" s="20">
        <f t="shared" si="3"/>
        <v>-37.143790041443808</v>
      </c>
      <c r="T9" s="20">
        <f>((H9-G9)/G9)*100</f>
        <v>-14.036579658681037</v>
      </c>
      <c r="U9" s="21"/>
      <c r="V9" s="49" t="s">
        <v>53</v>
      </c>
      <c r="W9" s="4"/>
      <c r="X9" s="4"/>
      <c r="Y9" s="4"/>
      <c r="Z9" s="4"/>
      <c r="AA9" s="4"/>
      <c r="AB9" s="4"/>
      <c r="AC9" s="4"/>
      <c r="AD9" s="4"/>
      <c r="AE9" s="4"/>
      <c r="AF9" s="4"/>
      <c r="AG9" s="4"/>
      <c r="AH9" s="4"/>
      <c r="AI9" s="4"/>
      <c r="AJ9" s="4"/>
      <c r="AK9" s="4"/>
      <c r="AL9" s="4"/>
      <c r="AM9" s="4"/>
    </row>
    <row r="10" spans="1:39" s="10" customFormat="1" ht="15" x14ac:dyDescent="0.2">
      <c r="A10" s="17" t="s">
        <v>54</v>
      </c>
      <c r="B10" s="22">
        <f t="shared" ref="B10:E10" si="5">SUM(B12:B31)</f>
        <v>101.156123271136</v>
      </c>
      <c r="C10" s="22">
        <f t="shared" si="5"/>
        <v>101.66113419802879</v>
      </c>
      <c r="D10" s="22">
        <f t="shared" si="5"/>
        <v>98.935597539872091</v>
      </c>
      <c r="E10" s="22">
        <f t="shared" si="5"/>
        <v>99.634469264293202</v>
      </c>
      <c r="F10" s="22">
        <f>SUM(F12:F31)</f>
        <v>100.87349034439596</v>
      </c>
      <c r="G10" s="22">
        <f>SUM(G12:G31)</f>
        <v>109.35672582662903</v>
      </c>
      <c r="H10" s="22">
        <f>SUM(H12:H31)</f>
        <v>112.07942735728442</v>
      </c>
      <c r="I10" s="53">
        <f>(C10/$C$8)*100</f>
        <v>83.209347104514748</v>
      </c>
      <c r="J10" s="19">
        <f>(D10/$D$8)*100</f>
        <v>81.875907449377678</v>
      </c>
      <c r="K10" s="53">
        <f>(E10/$E$8)*100</f>
        <v>83.028081337382275</v>
      </c>
      <c r="L10" s="19">
        <f>(F10/$F$8)*100</f>
        <v>77.688728821170685</v>
      </c>
      <c r="M10" s="19">
        <f t="shared" si="1"/>
        <v>84.981336244100305</v>
      </c>
      <c r="N10" s="57">
        <f t="shared" ref="N10:N31" si="6">(H10/$H$8)*100</f>
        <v>88.007716492579959</v>
      </c>
      <c r="O10" s="20">
        <f t="shared" si="2"/>
        <v>0.49923910739360494</v>
      </c>
      <c r="P10" s="20">
        <f t="shared" si="3"/>
        <v>-2.6810016233416634</v>
      </c>
      <c r="Q10" s="20">
        <f t="shared" si="3"/>
        <v>0.706390562951275</v>
      </c>
      <c r="R10" s="20">
        <f>((F10-E10)/E10)*100</f>
        <v>1.2435666986051757</v>
      </c>
      <c r="S10" s="20">
        <f t="shared" si="3"/>
        <v>8.4097768930867147</v>
      </c>
      <c r="T10" s="20">
        <f>((H10-G10)/G10)*100</f>
        <v>2.4897430954286954</v>
      </c>
      <c r="U10" s="21"/>
      <c r="V10" s="49" t="s">
        <v>55</v>
      </c>
      <c r="W10" s="4"/>
      <c r="X10" s="4"/>
      <c r="Y10" s="4"/>
      <c r="Z10" s="4"/>
      <c r="AA10" s="4"/>
      <c r="AB10" s="4"/>
      <c r="AC10" s="4"/>
      <c r="AD10" s="4"/>
      <c r="AE10" s="4"/>
      <c r="AF10" s="4"/>
      <c r="AG10" s="4"/>
      <c r="AH10" s="4"/>
      <c r="AI10" s="4"/>
      <c r="AJ10" s="4"/>
      <c r="AK10" s="4"/>
      <c r="AL10" s="4"/>
      <c r="AM10" s="4"/>
    </row>
    <row r="11" spans="1:39" s="10" customFormat="1" ht="15" x14ac:dyDescent="0.2">
      <c r="A11" s="17" t="s">
        <v>56</v>
      </c>
      <c r="B11" s="19">
        <v>1.337885000502</v>
      </c>
      <c r="C11" s="19">
        <v>0</v>
      </c>
      <c r="D11" s="19">
        <v>0</v>
      </c>
      <c r="E11" s="19">
        <v>0.13474387105900715</v>
      </c>
      <c r="F11" s="19">
        <v>1.6004226500000003</v>
      </c>
      <c r="G11" s="19">
        <v>2.1232380000000006</v>
      </c>
      <c r="H11" s="19">
        <v>0.48387768999999992</v>
      </c>
      <c r="I11" s="53">
        <f t="shared" si="4"/>
        <v>0</v>
      </c>
      <c r="J11" s="19">
        <f t="shared" ref="J11:J31" si="7">(D11/$D$8)*100</f>
        <v>0</v>
      </c>
      <c r="K11" s="53">
        <f>(E11/$E$8)*100</f>
        <v>0.1122856895671783</v>
      </c>
      <c r="L11" s="19">
        <f>(F11/$F$8)*100</f>
        <v>1.2325815318832856</v>
      </c>
      <c r="M11" s="19">
        <f t="shared" si="1"/>
        <v>1.6499726106495587</v>
      </c>
      <c r="N11" s="57">
        <f t="shared" si="6"/>
        <v>0.37995349871705736</v>
      </c>
      <c r="O11" s="20">
        <f t="shared" si="2"/>
        <v>-100</v>
      </c>
      <c r="P11" s="20">
        <v>0</v>
      </c>
      <c r="Q11" s="20">
        <v>1</v>
      </c>
      <c r="R11" s="20">
        <f>((F11-E11)/E11)*100</f>
        <v>1087.7517228959096</v>
      </c>
      <c r="S11" s="20">
        <f>((G11-F11)/F11)*100</f>
        <v>32.667330095584454</v>
      </c>
      <c r="T11" s="20">
        <f>((H11-G11)/G11)*100</f>
        <v>-77.210388566896427</v>
      </c>
      <c r="U11" s="21"/>
      <c r="V11" s="49" t="s">
        <v>57</v>
      </c>
      <c r="W11" s="4"/>
      <c r="X11" s="4"/>
      <c r="Y11" s="4"/>
      <c r="Z11" s="4"/>
      <c r="AA11" s="4"/>
      <c r="AB11" s="4"/>
      <c r="AC11" s="4"/>
      <c r="AD11" s="4"/>
      <c r="AE11" s="4"/>
      <c r="AF11" s="4"/>
      <c r="AG11" s="4"/>
      <c r="AH11" s="4"/>
      <c r="AI11" s="4"/>
      <c r="AJ11" s="4"/>
      <c r="AK11" s="4"/>
      <c r="AL11" s="4"/>
      <c r="AM11" s="4"/>
    </row>
    <row r="12" spans="1:39" s="10" customFormat="1" ht="15" x14ac:dyDescent="0.2">
      <c r="A12" s="44" t="s">
        <v>21</v>
      </c>
      <c r="B12" s="23">
        <v>7.34610807412</v>
      </c>
      <c r="C12" s="23">
        <v>7.4792963201567524</v>
      </c>
      <c r="D12" s="23">
        <v>2.3323511113507149</v>
      </c>
      <c r="E12" s="23">
        <v>3.1428086732716922</v>
      </c>
      <c r="F12" s="23">
        <v>5.7152006351276752</v>
      </c>
      <c r="G12" s="23">
        <v>3.612260380041731</v>
      </c>
      <c r="H12" s="23">
        <v>3.4878232343030295</v>
      </c>
      <c r="I12" s="54">
        <f t="shared" si="4"/>
        <v>6.1217826115254015</v>
      </c>
      <c r="J12" s="23">
        <f t="shared" si="7"/>
        <v>1.9301785048141447</v>
      </c>
      <c r="K12" s="54">
        <f>(E12/$E$8)*100</f>
        <v>2.6189869437659379</v>
      </c>
      <c r="L12" s="23">
        <f t="shared" ref="L12:L31" si="8">(F12/$F$8)*100</f>
        <v>4.4016190059956939</v>
      </c>
      <c r="M12" s="23">
        <f t="shared" si="1"/>
        <v>2.8070949604346849</v>
      </c>
      <c r="N12" s="60">
        <f t="shared" si="6"/>
        <v>2.7387306093407182</v>
      </c>
      <c r="O12" s="24">
        <f t="shared" si="2"/>
        <v>1.8130450123102386</v>
      </c>
      <c r="P12" s="24">
        <f t="shared" si="3"/>
        <v>-68.815901770531369</v>
      </c>
      <c r="Q12" s="24">
        <f>((E12-D12)/D12)*100</f>
        <v>34.748522980814144</v>
      </c>
      <c r="R12" s="24">
        <f>((F12-E12)/E12)*100</f>
        <v>81.850097453692584</v>
      </c>
      <c r="S12" s="24">
        <f t="shared" si="3"/>
        <v>-36.795563084181474</v>
      </c>
      <c r="T12" s="24">
        <f t="shared" si="3"/>
        <v>-3.4448553716181411</v>
      </c>
      <c r="U12" s="25"/>
      <c r="V12" s="58" t="s">
        <v>1</v>
      </c>
      <c r="W12" s="4"/>
      <c r="X12" s="4"/>
      <c r="Y12" s="4"/>
      <c r="Z12" s="4"/>
      <c r="AA12" s="4"/>
      <c r="AB12" s="4"/>
      <c r="AC12" s="4"/>
      <c r="AD12" s="4"/>
      <c r="AE12" s="4"/>
      <c r="AF12" s="4"/>
      <c r="AG12" s="4"/>
      <c r="AH12" s="4"/>
      <c r="AI12" s="4"/>
      <c r="AJ12" s="4"/>
      <c r="AK12" s="4"/>
      <c r="AL12" s="4"/>
      <c r="AM12" s="4"/>
    </row>
    <row r="13" spans="1:39" s="10" customFormat="1" ht="15" x14ac:dyDescent="0.2">
      <c r="A13" s="44" t="s">
        <v>22</v>
      </c>
      <c r="B13" s="23">
        <v>4.9552801943000002</v>
      </c>
      <c r="C13" s="23">
        <v>2.8515262262424557</v>
      </c>
      <c r="D13" s="23">
        <v>9.2377298550063696</v>
      </c>
      <c r="E13" s="23">
        <v>9.0049823578936952</v>
      </c>
      <c r="F13" s="23">
        <v>4.9765748983919904</v>
      </c>
      <c r="G13" s="23">
        <v>2.9861145487854035</v>
      </c>
      <c r="H13" s="23">
        <v>2.1431918991752941</v>
      </c>
      <c r="I13" s="54">
        <f t="shared" si="4"/>
        <v>2.3339660471901</v>
      </c>
      <c r="J13" s="23">
        <f t="shared" si="7"/>
        <v>7.6448470869753278</v>
      </c>
      <c r="K13" s="54">
        <f t="shared" ref="K13:K31" si="9">(E13/$E$8)*100</f>
        <v>7.5040938459722124</v>
      </c>
      <c r="L13" s="23">
        <f>(F13/$F$8)*100</f>
        <v>3.8327589976259735</v>
      </c>
      <c r="M13" s="23">
        <f t="shared" si="1"/>
        <v>2.3205157489448092</v>
      </c>
      <c r="N13" s="60">
        <f t="shared" si="6"/>
        <v>1.6828906918889108</v>
      </c>
      <c r="O13" s="24">
        <f t="shared" si="2"/>
        <v>-42.454793383378558</v>
      </c>
      <c r="P13" s="24">
        <f t="shared" si="3"/>
        <v>223.95738710000265</v>
      </c>
      <c r="Q13" s="24">
        <f t="shared" si="3"/>
        <v>-2.5195313217190192</v>
      </c>
      <c r="R13" s="24">
        <f>((F13-E13)/E13)*100</f>
        <v>-44.735317620810605</v>
      </c>
      <c r="S13" s="24">
        <f t="shared" si="3"/>
        <v>-39.996591837686111</v>
      </c>
      <c r="T13" s="24">
        <f t="shared" si="3"/>
        <v>-28.228074839023392</v>
      </c>
      <c r="U13" s="25"/>
      <c r="V13" s="58" t="s">
        <v>2</v>
      </c>
      <c r="W13" s="4"/>
      <c r="X13" s="4"/>
      <c r="Y13" s="4"/>
      <c r="Z13" s="4"/>
      <c r="AA13" s="4"/>
      <c r="AB13" s="4"/>
      <c r="AC13" s="4"/>
      <c r="AD13" s="4"/>
      <c r="AE13" s="4"/>
      <c r="AF13" s="4"/>
      <c r="AG13" s="4"/>
      <c r="AH13" s="4"/>
      <c r="AI13" s="4"/>
      <c r="AJ13" s="4"/>
      <c r="AK13" s="4"/>
      <c r="AL13" s="4"/>
      <c r="AM13" s="4"/>
    </row>
    <row r="14" spans="1:39" s="10" customFormat="1" ht="15" x14ac:dyDescent="0.2">
      <c r="A14" s="44" t="s">
        <v>23</v>
      </c>
      <c r="B14" s="23">
        <v>7.5944530101999996</v>
      </c>
      <c r="C14" s="23">
        <v>7.0366402730363058</v>
      </c>
      <c r="D14" s="23">
        <v>2.741984462502483</v>
      </c>
      <c r="E14" s="23">
        <v>2.7512880022950874</v>
      </c>
      <c r="F14" s="23">
        <v>2.1201342336535731</v>
      </c>
      <c r="G14" s="23">
        <v>2.1018988912779415</v>
      </c>
      <c r="H14" s="23">
        <v>2.543805271979108</v>
      </c>
      <c r="I14" s="54">
        <f t="shared" si="4"/>
        <v>5.7594699050685829</v>
      </c>
      <c r="J14" s="23">
        <f t="shared" si="7"/>
        <v>2.2691778456081795</v>
      </c>
      <c r="K14" s="54">
        <f t="shared" si="9"/>
        <v>2.2927222448605575</v>
      </c>
      <c r="L14" s="23">
        <f t="shared" si="8"/>
        <v>1.6328426128653679</v>
      </c>
      <c r="M14" s="23">
        <f t="shared" si="1"/>
        <v>1.633389945433944</v>
      </c>
      <c r="N14" s="60">
        <f t="shared" si="6"/>
        <v>1.9974628570772872</v>
      </c>
      <c r="O14" s="24">
        <f t="shared" si="2"/>
        <v>-7.3450021537364654</v>
      </c>
      <c r="P14" s="24">
        <f t="shared" si="3"/>
        <v>-61.032760577381083</v>
      </c>
      <c r="Q14" s="24">
        <f t="shared" si="3"/>
        <v>0.33929950806918657</v>
      </c>
      <c r="R14" s="24">
        <f t="shared" si="3"/>
        <v>-22.940301710145008</v>
      </c>
      <c r="S14" s="24">
        <f t="shared" si="3"/>
        <v>-0.86010319941898805</v>
      </c>
      <c r="T14" s="24">
        <f t="shared" si="3"/>
        <v>21.024150235527749</v>
      </c>
      <c r="U14" s="25"/>
      <c r="V14" s="58" t="s">
        <v>3</v>
      </c>
      <c r="W14" s="4"/>
      <c r="X14" s="4"/>
      <c r="Y14" s="4"/>
      <c r="Z14" s="4"/>
      <c r="AA14" s="4"/>
      <c r="AB14" s="4"/>
      <c r="AC14" s="4"/>
      <c r="AD14" s="4"/>
      <c r="AE14" s="4"/>
      <c r="AF14" s="4"/>
      <c r="AG14" s="4"/>
      <c r="AH14" s="4"/>
      <c r="AI14" s="4"/>
      <c r="AJ14" s="4"/>
      <c r="AK14" s="4"/>
      <c r="AL14" s="4"/>
      <c r="AM14" s="4"/>
    </row>
    <row r="15" spans="1:39" s="10" customFormat="1" ht="15" x14ac:dyDescent="0.2">
      <c r="A15" s="44" t="s">
        <v>24</v>
      </c>
      <c r="B15" s="23">
        <v>1.0602176586599998</v>
      </c>
      <c r="C15" s="23">
        <v>1.4576867688191688</v>
      </c>
      <c r="D15" s="23">
        <v>1.3417394656025601</v>
      </c>
      <c r="E15" s="23">
        <v>1.0400137274619674</v>
      </c>
      <c r="F15" s="23">
        <v>0.97883688999999985</v>
      </c>
      <c r="G15" s="23">
        <v>1.4568490041561279</v>
      </c>
      <c r="H15" s="23">
        <v>1.6440892896197707</v>
      </c>
      <c r="I15" s="54">
        <f t="shared" si="4"/>
        <v>1.1931124443296308</v>
      </c>
      <c r="J15" s="23">
        <f t="shared" si="7"/>
        <v>1.1103802780650258</v>
      </c>
      <c r="K15" s="54">
        <f t="shared" si="9"/>
        <v>0.86667139387927083</v>
      </c>
      <c r="L15" s="23">
        <f t="shared" si="8"/>
        <v>0.75386103373385183</v>
      </c>
      <c r="M15" s="23">
        <f t="shared" ref="M15:M30" si="10">(G15/$G$8)*100</f>
        <v>1.1321203533045732</v>
      </c>
      <c r="N15" s="60">
        <f t="shared" si="6"/>
        <v>1.2909821855896546</v>
      </c>
      <c r="O15" s="24">
        <f t="shared" si="2"/>
        <v>37.489387854709648</v>
      </c>
      <c r="P15" s="24">
        <f t="shared" si="3"/>
        <v>-7.954198782399212</v>
      </c>
      <c r="Q15" s="24">
        <f>((E15-D15)/D15)*100</f>
        <v>-22.487654710602929</v>
      </c>
      <c r="R15" s="24">
        <f t="shared" si="3"/>
        <v>-5.882310574040452</v>
      </c>
      <c r="S15" s="24">
        <f t="shared" si="3"/>
        <v>48.834705663384646</v>
      </c>
      <c r="T15" s="24">
        <f t="shared" si="3"/>
        <v>12.852415379320711</v>
      </c>
      <c r="U15" s="25"/>
      <c r="V15" s="58" t="s">
        <v>4</v>
      </c>
      <c r="W15" s="4"/>
      <c r="X15" s="4"/>
      <c r="Y15" s="4"/>
      <c r="Z15" s="4"/>
      <c r="AA15" s="4"/>
      <c r="AB15" s="4"/>
      <c r="AC15" s="4"/>
      <c r="AD15" s="4"/>
      <c r="AE15" s="4"/>
      <c r="AF15" s="4"/>
      <c r="AG15" s="4"/>
      <c r="AH15" s="4"/>
      <c r="AI15" s="4"/>
      <c r="AJ15" s="4"/>
      <c r="AK15" s="4"/>
      <c r="AL15" s="4"/>
      <c r="AM15" s="4"/>
    </row>
    <row r="16" spans="1:39" s="10" customFormat="1" ht="15" x14ac:dyDescent="0.2">
      <c r="A16" s="44" t="s">
        <v>25</v>
      </c>
      <c r="B16" s="23">
        <v>7.8325110090000001</v>
      </c>
      <c r="C16" s="23">
        <v>11.085912294046745</v>
      </c>
      <c r="D16" s="23">
        <v>2.5800405343084325</v>
      </c>
      <c r="E16" s="23">
        <v>5.9588929064596208</v>
      </c>
      <c r="F16" s="23">
        <v>7.3334399256405201</v>
      </c>
      <c r="G16" s="23">
        <v>5.412259509708238</v>
      </c>
      <c r="H16" s="23">
        <v>4.7879967742133633</v>
      </c>
      <c r="I16" s="54">
        <f t="shared" si="4"/>
        <v>9.0737874540005805</v>
      </c>
      <c r="J16" s="23">
        <f t="shared" si="7"/>
        <v>2.1351582772575552</v>
      </c>
      <c r="K16" s="54">
        <f t="shared" si="9"/>
        <v>4.9657056295033541</v>
      </c>
      <c r="L16" s="23">
        <f t="shared" si="8"/>
        <v>5.647922202000851</v>
      </c>
      <c r="M16" s="23">
        <f t="shared" si="10"/>
        <v>4.2058779810582694</v>
      </c>
      <c r="N16" s="60">
        <f t="shared" si="6"/>
        <v>3.7596610957788781</v>
      </c>
      <c r="O16" s="24">
        <f t="shared" si="2"/>
        <v>41.537142830803582</v>
      </c>
      <c r="P16" s="24">
        <f t="shared" si="3"/>
        <v>-76.726854174248317</v>
      </c>
      <c r="Q16" s="24">
        <f t="shared" si="3"/>
        <v>130.96121271043805</v>
      </c>
      <c r="R16" s="24">
        <f t="shared" si="3"/>
        <v>23.067154264357541</v>
      </c>
      <c r="S16" s="24">
        <f t="shared" si="3"/>
        <v>-26.197533973314464</v>
      </c>
      <c r="T16" s="24">
        <f t="shared" si="3"/>
        <v>-11.534235089339372</v>
      </c>
      <c r="U16" s="25"/>
      <c r="V16" s="58" t="s">
        <v>5</v>
      </c>
      <c r="W16" s="4"/>
      <c r="X16" s="4"/>
      <c r="Y16" s="4"/>
      <c r="Z16" s="4"/>
      <c r="AA16" s="4"/>
      <c r="AB16" s="4"/>
      <c r="AC16" s="4"/>
      <c r="AD16" s="4"/>
      <c r="AE16" s="4"/>
      <c r="AF16" s="4"/>
      <c r="AG16" s="4"/>
      <c r="AH16" s="4"/>
      <c r="AI16" s="4"/>
      <c r="AJ16" s="4"/>
      <c r="AK16" s="4"/>
      <c r="AL16" s="4"/>
      <c r="AM16" s="4"/>
    </row>
    <row r="17" spans="1:39" s="3" customFormat="1" ht="15" x14ac:dyDescent="0.2">
      <c r="A17" s="44" t="s">
        <v>26</v>
      </c>
      <c r="B17" s="23">
        <v>2.3480398695</v>
      </c>
      <c r="C17" s="23">
        <v>1.6830638047342039</v>
      </c>
      <c r="D17" s="23">
        <v>1.4787385478497579</v>
      </c>
      <c r="E17" s="23">
        <v>3.4439310957034768</v>
      </c>
      <c r="F17" s="23">
        <v>2.3429787494957006</v>
      </c>
      <c r="G17" s="23">
        <v>3.2542377798601869</v>
      </c>
      <c r="H17" s="23">
        <v>3.8495688450349665</v>
      </c>
      <c r="I17" s="54">
        <f t="shared" si="4"/>
        <v>1.3775829025709327</v>
      </c>
      <c r="J17" s="23">
        <f t="shared" si="7"/>
        <v>1.2237562969868372</v>
      </c>
      <c r="K17" s="54">
        <f t="shared" si="9"/>
        <v>2.8699203523221253</v>
      </c>
      <c r="L17" s="23">
        <f t="shared" si="8"/>
        <v>1.8044685484946084</v>
      </c>
      <c r="M17" s="23">
        <f t="shared" si="10"/>
        <v>2.5288748625026183</v>
      </c>
      <c r="N17" s="60">
        <f t="shared" si="6"/>
        <v>3.022782784681016</v>
      </c>
      <c r="O17" s="24">
        <f t="shared" si="2"/>
        <v>-28.320475874517349</v>
      </c>
      <c r="P17" s="24">
        <f t="shared" si="3"/>
        <v>-12.140077893048973</v>
      </c>
      <c r="Q17" s="24">
        <f t="shared" si="3"/>
        <v>132.89655231557441</v>
      </c>
      <c r="R17" s="24">
        <f t="shared" si="3"/>
        <v>-31.967897022715825</v>
      </c>
      <c r="S17" s="24">
        <f t="shared" si="3"/>
        <v>38.893183754254039</v>
      </c>
      <c r="T17" s="24">
        <f t="shared" si="3"/>
        <v>18.294024759320354</v>
      </c>
      <c r="U17" s="25"/>
      <c r="V17" s="58" t="s">
        <v>6</v>
      </c>
      <c r="W17" s="4"/>
      <c r="X17" s="4"/>
      <c r="Y17" s="4"/>
      <c r="Z17" s="4"/>
      <c r="AA17" s="4"/>
      <c r="AB17" s="4"/>
      <c r="AC17" s="4"/>
      <c r="AD17" s="4"/>
      <c r="AE17" s="4"/>
      <c r="AF17" s="4"/>
      <c r="AG17" s="4"/>
      <c r="AH17" s="4"/>
      <c r="AI17" s="4"/>
      <c r="AJ17" s="4"/>
      <c r="AK17" s="4"/>
      <c r="AL17" s="4"/>
      <c r="AM17" s="4"/>
    </row>
    <row r="18" spans="1:39" s="3" customFormat="1" ht="15" x14ac:dyDescent="0.2">
      <c r="A18" s="44" t="s">
        <v>27</v>
      </c>
      <c r="B18" s="23">
        <v>4.2243457271000002</v>
      </c>
      <c r="C18" s="23">
        <v>1.7173440542476694</v>
      </c>
      <c r="D18" s="23">
        <v>1.7060308995360549</v>
      </c>
      <c r="E18" s="23">
        <v>4.4746328859186049</v>
      </c>
      <c r="F18" s="23">
        <v>3.1741366475837705</v>
      </c>
      <c r="G18" s="23">
        <v>6.5635837207718097</v>
      </c>
      <c r="H18" s="23">
        <v>4.9655628535871399</v>
      </c>
      <c r="I18" s="54">
        <f t="shared" si="4"/>
        <v>1.4056411885924025</v>
      </c>
      <c r="J18" s="23">
        <f t="shared" si="7"/>
        <v>1.4118561115466948</v>
      </c>
      <c r="K18" s="54">
        <f t="shared" si="9"/>
        <v>3.7288318585957501</v>
      </c>
      <c r="L18" s="23">
        <f t="shared" si="8"/>
        <v>2.4445931276251804</v>
      </c>
      <c r="M18" s="23">
        <f>(G18/$G$8)*100</f>
        <v>5.1005743901431693</v>
      </c>
      <c r="N18" s="60">
        <f t="shared" si="6"/>
        <v>3.8990906551609958</v>
      </c>
      <c r="O18" s="24">
        <f t="shared" si="2"/>
        <v>-59.346507951975312</v>
      </c>
      <c r="P18" s="24">
        <f t="shared" si="3"/>
        <v>-0.65875877833755225</v>
      </c>
      <c r="Q18" s="24">
        <f t="shared" si="3"/>
        <v>162.28322635512964</v>
      </c>
      <c r="R18" s="24">
        <f>((F18-E18)/E18)*100</f>
        <v>-29.063752747793369</v>
      </c>
      <c r="S18" s="24">
        <f>((G18-F18)/F18)*100</f>
        <v>106.78327524960743</v>
      </c>
      <c r="T18" s="24">
        <f>((H18-G18)/G18)*100</f>
        <v>-24.346773579308579</v>
      </c>
      <c r="U18" s="25"/>
      <c r="V18" s="58" t="s">
        <v>7</v>
      </c>
      <c r="W18" s="4"/>
      <c r="X18" s="4"/>
      <c r="Y18" s="4"/>
      <c r="Z18" s="4"/>
      <c r="AA18" s="4"/>
      <c r="AB18" s="4"/>
      <c r="AC18" s="4"/>
      <c r="AD18" s="4"/>
      <c r="AE18" s="4"/>
      <c r="AF18" s="4"/>
      <c r="AG18" s="4"/>
      <c r="AH18" s="4"/>
      <c r="AI18" s="4"/>
      <c r="AJ18" s="4"/>
      <c r="AK18" s="4"/>
      <c r="AL18" s="4"/>
      <c r="AM18" s="4"/>
    </row>
    <row r="19" spans="1:39" s="3" customFormat="1" ht="15" x14ac:dyDescent="0.2">
      <c r="A19" s="44" t="s">
        <v>28</v>
      </c>
      <c r="B19" s="23">
        <v>4.2046583994999995</v>
      </c>
      <c r="C19" s="23">
        <v>4.2501961797510015</v>
      </c>
      <c r="D19" s="23">
        <v>6.0657341060765466</v>
      </c>
      <c r="E19" s="23">
        <v>5.7701871802967002</v>
      </c>
      <c r="F19" s="23">
        <v>7.3967283598061551</v>
      </c>
      <c r="G19" s="23">
        <v>3.2771785756210088</v>
      </c>
      <c r="H19" s="23">
        <v>3.2643403035589014</v>
      </c>
      <c r="I19" s="54">
        <f t="shared" si="4"/>
        <v>3.4787733972580543</v>
      </c>
      <c r="J19" s="23">
        <f t="shared" si="7"/>
        <v>5.019805779022124</v>
      </c>
      <c r="K19" s="54">
        <f t="shared" si="9"/>
        <v>4.8084520756240865</v>
      </c>
      <c r="L19" s="23">
        <f t="shared" si="8"/>
        <v>5.6966644233974133</v>
      </c>
      <c r="M19" s="23">
        <f t="shared" si="10"/>
        <v>2.5467022020057084</v>
      </c>
      <c r="N19" s="60">
        <f t="shared" si="6"/>
        <v>2.56324592964868</v>
      </c>
      <c r="O19" s="24">
        <f t="shared" si="2"/>
        <v>1.083031626455484</v>
      </c>
      <c r="P19" s="24">
        <f t="shared" si="3"/>
        <v>42.716567648694017</v>
      </c>
      <c r="Q19" s="24">
        <f t="shared" si="3"/>
        <v>-4.8724016023678427</v>
      </c>
      <c r="R19" s="24">
        <f t="shared" si="3"/>
        <v>28.188707379607379</v>
      </c>
      <c r="S19" s="24">
        <f t="shared" si="3"/>
        <v>-55.694214844643916</v>
      </c>
      <c r="T19" s="24">
        <f t="shared" si="3"/>
        <v>-0.39174771120535068</v>
      </c>
      <c r="U19" s="25"/>
      <c r="V19" s="58" t="s">
        <v>8</v>
      </c>
      <c r="W19" s="4"/>
      <c r="X19" s="4"/>
      <c r="Y19" s="4"/>
      <c r="Z19" s="4"/>
      <c r="AA19" s="4"/>
      <c r="AB19" s="4"/>
      <c r="AC19" s="4"/>
      <c r="AD19" s="4"/>
      <c r="AE19" s="4"/>
      <c r="AF19" s="4"/>
      <c r="AG19" s="4"/>
      <c r="AH19" s="4"/>
      <c r="AI19" s="4"/>
      <c r="AJ19" s="4"/>
      <c r="AK19" s="4"/>
      <c r="AL19" s="4"/>
      <c r="AM19" s="4"/>
    </row>
    <row r="20" spans="1:39" s="3" customFormat="1" ht="15" x14ac:dyDescent="0.2">
      <c r="A20" s="44" t="s">
        <v>58</v>
      </c>
      <c r="B20" s="23">
        <v>7.7565121393999998</v>
      </c>
      <c r="C20" s="23">
        <v>5.7986605878494348</v>
      </c>
      <c r="D20" s="23">
        <v>6.0143811905367581</v>
      </c>
      <c r="E20" s="23">
        <v>5.8647873912791937</v>
      </c>
      <c r="F20" s="23">
        <v>3.9265395700280759</v>
      </c>
      <c r="G20" s="23">
        <v>2.6868825685070652</v>
      </c>
      <c r="H20" s="23">
        <v>2.9063640120344196</v>
      </c>
      <c r="I20" s="54">
        <f t="shared" si="4"/>
        <v>4.7461870792799878</v>
      </c>
      <c r="J20" s="23">
        <f t="shared" si="7"/>
        <v>4.9773077634994802</v>
      </c>
      <c r="K20" s="54">
        <f t="shared" si="9"/>
        <v>4.8872849742181765</v>
      </c>
      <c r="L20" s="23">
        <f t="shared" si="8"/>
        <v>3.0240637735447833</v>
      </c>
      <c r="M20" s="23">
        <f t="shared" si="10"/>
        <v>2.0879819624876688</v>
      </c>
      <c r="N20" s="60">
        <f t="shared" si="6"/>
        <v>2.2821535229653214</v>
      </c>
      <c r="O20" s="24">
        <f t="shared" si="2"/>
        <v>-25.241390928861662</v>
      </c>
      <c r="P20" s="24">
        <f t="shared" si="3"/>
        <v>3.7201798487627675</v>
      </c>
      <c r="Q20" s="24">
        <f t="shared" si="3"/>
        <v>-2.4872683409714811</v>
      </c>
      <c r="R20" s="24">
        <f t="shared" si="3"/>
        <v>-33.048901723756408</v>
      </c>
      <c r="S20" s="24">
        <f t="shared" si="3"/>
        <v>-31.571234146817645</v>
      </c>
      <c r="T20" s="24">
        <f t="shared" si="3"/>
        <v>8.1686280636115303</v>
      </c>
      <c r="U20" s="25"/>
      <c r="V20" s="58" t="s">
        <v>9</v>
      </c>
      <c r="W20" s="4"/>
      <c r="X20" s="4"/>
      <c r="Y20" s="4"/>
      <c r="Z20" s="4"/>
      <c r="AA20" s="4"/>
      <c r="AB20" s="4"/>
      <c r="AC20" s="4"/>
      <c r="AD20" s="4"/>
      <c r="AE20" s="4"/>
      <c r="AF20" s="4"/>
      <c r="AG20" s="4"/>
      <c r="AH20" s="4"/>
      <c r="AI20" s="4"/>
      <c r="AJ20" s="4"/>
      <c r="AK20" s="4"/>
      <c r="AL20" s="4"/>
      <c r="AM20" s="4"/>
    </row>
    <row r="21" spans="1:39" s="3" customFormat="1" ht="15" x14ac:dyDescent="0.2">
      <c r="A21" s="44" t="s">
        <v>29</v>
      </c>
      <c r="B21" s="23">
        <v>9.9887793546000001</v>
      </c>
      <c r="C21" s="23">
        <v>11.884629475991376</v>
      </c>
      <c r="D21" s="23">
        <v>13.181031367605668</v>
      </c>
      <c r="E21" s="23">
        <v>8.5367438048091007</v>
      </c>
      <c r="F21" s="23">
        <v>5.2962855117830294</v>
      </c>
      <c r="G21" s="23">
        <v>4.8564435251275615</v>
      </c>
      <c r="H21" s="23">
        <v>3.9660017230785827</v>
      </c>
      <c r="I21" s="54">
        <f t="shared" si="4"/>
        <v>9.7275351792749198</v>
      </c>
      <c r="J21" s="23">
        <f t="shared" si="7"/>
        <v>10.908196151607545</v>
      </c>
      <c r="K21" s="54">
        <f t="shared" si="9"/>
        <v>7.1138980737873894</v>
      </c>
      <c r="L21" s="23">
        <f t="shared" si="8"/>
        <v>4.0789873283815217</v>
      </c>
      <c r="M21" s="23">
        <f t="shared" si="10"/>
        <v>3.77395223786823</v>
      </c>
      <c r="N21" s="60">
        <f t="shared" si="6"/>
        <v>3.1142089452431372</v>
      </c>
      <c r="O21" s="24">
        <f t="shared" si="2"/>
        <v>18.979797771970063</v>
      </c>
      <c r="P21" s="24">
        <f t="shared" si="3"/>
        <v>10.90822304753552</v>
      </c>
      <c r="Q21" s="24">
        <f t="shared" si="3"/>
        <v>-35.234629470730113</v>
      </c>
      <c r="R21" s="24">
        <f t="shared" si="3"/>
        <v>-37.958949771932801</v>
      </c>
      <c r="S21" s="24">
        <f t="shared" si="3"/>
        <v>-8.3047257493373348</v>
      </c>
      <c r="T21" s="24">
        <f t="shared" si="3"/>
        <v>-18.335265250008032</v>
      </c>
      <c r="U21" s="25"/>
      <c r="V21" s="58" t="s">
        <v>10</v>
      </c>
      <c r="W21" s="4"/>
      <c r="X21" s="4"/>
      <c r="Y21" s="4"/>
      <c r="Z21" s="4"/>
      <c r="AA21" s="4"/>
      <c r="AB21" s="4"/>
      <c r="AC21" s="4"/>
      <c r="AD21" s="4"/>
      <c r="AE21" s="4"/>
      <c r="AF21" s="4"/>
      <c r="AG21" s="4"/>
      <c r="AH21" s="4"/>
      <c r="AI21" s="4"/>
      <c r="AJ21" s="4"/>
      <c r="AK21" s="4"/>
      <c r="AL21" s="4"/>
      <c r="AM21" s="4"/>
    </row>
    <row r="22" spans="1:39" s="3" customFormat="1" ht="15" x14ac:dyDescent="0.2">
      <c r="A22" s="44" t="s">
        <v>30</v>
      </c>
      <c r="B22" s="23">
        <v>0.70046734777999997</v>
      </c>
      <c r="C22" s="23">
        <v>0.73156882546461344</v>
      </c>
      <c r="D22" s="23">
        <v>0.8466080721255872</v>
      </c>
      <c r="E22" s="23">
        <v>0.44778363665237386</v>
      </c>
      <c r="F22" s="23">
        <v>0.69458426939423545</v>
      </c>
      <c r="G22" s="23">
        <v>0.7782534712837853</v>
      </c>
      <c r="H22" s="23">
        <v>0.30394247344899167</v>
      </c>
      <c r="I22" s="54">
        <f t="shared" si="4"/>
        <v>0.59878698786057338</v>
      </c>
      <c r="J22" s="23">
        <f t="shared" si="7"/>
        <v>0.70062551682992791</v>
      </c>
      <c r="K22" s="54">
        <f t="shared" si="9"/>
        <v>0.37315014050911521</v>
      </c>
      <c r="L22" s="23">
        <f t="shared" si="8"/>
        <v>0.53494103122820658</v>
      </c>
      <c r="M22" s="23">
        <f>(G22/$G$8)*100</f>
        <v>0.60478237096415377</v>
      </c>
      <c r="N22" s="60">
        <f t="shared" si="6"/>
        <v>0.23866363046343531</v>
      </c>
      <c r="O22" s="24">
        <f t="shared" si="2"/>
        <v>4.4401038511193667</v>
      </c>
      <c r="P22" s="24">
        <f t="shared" si="3"/>
        <v>15.725006678341339</v>
      </c>
      <c r="Q22" s="24">
        <f t="shared" si="3"/>
        <v>-47.108508482783648</v>
      </c>
      <c r="R22" s="24">
        <f t="shared" si="3"/>
        <v>55.116045460468534</v>
      </c>
      <c r="S22" s="24">
        <f t="shared" si="3"/>
        <v>12.045939647110044</v>
      </c>
      <c r="T22" s="24">
        <f t="shared" si="3"/>
        <v>-60.945567907635976</v>
      </c>
      <c r="U22" s="25"/>
      <c r="V22" s="58" t="s">
        <v>11</v>
      </c>
      <c r="W22" s="4"/>
      <c r="X22" s="4"/>
      <c r="Y22" s="4"/>
      <c r="Z22" s="4"/>
      <c r="AA22" s="4"/>
      <c r="AB22" s="4"/>
      <c r="AC22" s="4"/>
      <c r="AD22" s="4"/>
      <c r="AE22" s="4"/>
      <c r="AF22" s="4"/>
      <c r="AG22" s="4"/>
      <c r="AH22" s="4"/>
      <c r="AI22" s="4"/>
      <c r="AJ22" s="4"/>
      <c r="AK22" s="4"/>
      <c r="AL22" s="4"/>
      <c r="AM22" s="4"/>
    </row>
    <row r="23" spans="1:39" s="3" customFormat="1" ht="15" x14ac:dyDescent="0.2">
      <c r="A23" s="44" t="s">
        <v>31</v>
      </c>
      <c r="B23" s="23">
        <v>4.9000881385799993</v>
      </c>
      <c r="C23" s="23">
        <v>4.96738592839072</v>
      </c>
      <c r="D23" s="23">
        <v>3.7799880291292838</v>
      </c>
      <c r="E23" s="23">
        <v>2.5567938881875243</v>
      </c>
      <c r="F23" s="23">
        <v>4.1488570930622419</v>
      </c>
      <c r="G23" s="23">
        <v>3.6170414694011317</v>
      </c>
      <c r="H23" s="23">
        <v>3.8464425361310637</v>
      </c>
      <c r="I23" s="54">
        <f t="shared" si="4"/>
        <v>4.0657911519303136</v>
      </c>
      <c r="J23" s="23">
        <f t="shared" si="7"/>
        <v>3.1281960965366085</v>
      </c>
      <c r="K23" s="54">
        <f t="shared" si="9"/>
        <v>2.1306450717195133</v>
      </c>
      <c r="L23" s="23">
        <f t="shared" si="8"/>
        <v>3.1952838403852204</v>
      </c>
      <c r="M23" s="23">
        <f t="shared" si="10"/>
        <v>2.8108103547955992</v>
      </c>
      <c r="N23" s="60">
        <f t="shared" si="6"/>
        <v>3.0203279246396111</v>
      </c>
      <c r="O23" s="24">
        <f t="shared" si="2"/>
        <v>1.3733995778741859</v>
      </c>
      <c r="P23" s="24">
        <f t="shared" si="3"/>
        <v>-23.903878546560133</v>
      </c>
      <c r="Q23" s="24">
        <f t="shared" si="3"/>
        <v>-32.359735838198432</v>
      </c>
      <c r="R23" s="24">
        <f t="shared" si="3"/>
        <v>62.267952541270709</v>
      </c>
      <c r="S23" s="24">
        <f t="shared" si="3"/>
        <v>-12.818364473204378</v>
      </c>
      <c r="T23" s="24">
        <f t="shared" si="3"/>
        <v>6.3422293791924256</v>
      </c>
      <c r="U23" s="25"/>
      <c r="V23" s="58" t="s">
        <v>12</v>
      </c>
      <c r="W23" s="4"/>
      <c r="X23" s="4"/>
      <c r="Y23" s="4"/>
      <c r="Z23" s="4"/>
      <c r="AA23" s="4"/>
      <c r="AB23" s="4"/>
      <c r="AC23" s="4"/>
      <c r="AD23" s="4"/>
      <c r="AE23" s="4"/>
      <c r="AF23" s="4"/>
      <c r="AG23" s="4"/>
      <c r="AH23" s="4"/>
      <c r="AI23" s="4"/>
      <c r="AJ23" s="4"/>
      <c r="AK23" s="4"/>
      <c r="AL23" s="4"/>
      <c r="AM23" s="4"/>
    </row>
    <row r="24" spans="1:39" s="3" customFormat="1" ht="15" x14ac:dyDescent="0.2">
      <c r="A24" s="44" t="s">
        <v>32</v>
      </c>
      <c r="B24" s="23">
        <v>3.4896475003000003</v>
      </c>
      <c r="C24" s="23">
        <v>1.8145940874618773</v>
      </c>
      <c r="D24" s="23">
        <v>2.2385708185166902</v>
      </c>
      <c r="E24" s="23">
        <v>2.3926024162149369</v>
      </c>
      <c r="F24" s="23">
        <v>2.3510120797228331</v>
      </c>
      <c r="G24" s="23">
        <v>2.8558977392270024</v>
      </c>
      <c r="H24" s="23">
        <v>3.8642766938192219</v>
      </c>
      <c r="I24" s="54">
        <f t="shared" si="4"/>
        <v>1.4852400621784845</v>
      </c>
      <c r="J24" s="23">
        <f t="shared" si="7"/>
        <v>1.8525689611556078</v>
      </c>
      <c r="K24" s="54">
        <f t="shared" si="9"/>
        <v>1.9938199047817284</v>
      </c>
      <c r="L24" s="23">
        <f t="shared" si="8"/>
        <v>1.8106554982215965</v>
      </c>
      <c r="M24" s="23">
        <f t="shared" si="10"/>
        <v>2.2193239987889006</v>
      </c>
      <c r="N24" s="60">
        <f t="shared" si="6"/>
        <v>3.0343317746833844</v>
      </c>
      <c r="O24" s="24">
        <f t="shared" si="2"/>
        <v>-48.000647993647519</v>
      </c>
      <c r="P24" s="24">
        <f t="shared" ref="P24:T31" si="11">((D24-C24)/C24)*100</f>
        <v>23.36482489303383</v>
      </c>
      <c r="Q24" s="24">
        <f t="shared" si="11"/>
        <v>6.8808007512717557</v>
      </c>
      <c r="R24" s="24">
        <f t="shared" si="11"/>
        <v>-1.7382886605079619</v>
      </c>
      <c r="S24" s="24">
        <f t="shared" si="11"/>
        <v>21.475247356606165</v>
      </c>
      <c r="T24" s="24">
        <f t="shared" si="11"/>
        <v>35.30865061243945</v>
      </c>
      <c r="U24" s="25"/>
      <c r="V24" s="58" t="s">
        <v>13</v>
      </c>
      <c r="W24" s="4"/>
      <c r="X24" s="4"/>
      <c r="Y24" s="4"/>
      <c r="Z24" s="4"/>
      <c r="AA24" s="4"/>
      <c r="AB24" s="4"/>
      <c r="AC24" s="4"/>
      <c r="AD24" s="4"/>
      <c r="AE24" s="4"/>
      <c r="AF24" s="4"/>
      <c r="AG24" s="4"/>
      <c r="AH24" s="4"/>
      <c r="AI24" s="4"/>
      <c r="AJ24" s="4"/>
      <c r="AK24" s="4"/>
      <c r="AL24" s="4"/>
      <c r="AM24" s="4"/>
    </row>
    <row r="25" spans="1:39" s="3" customFormat="1" ht="15" x14ac:dyDescent="0.2">
      <c r="A25" s="44" t="s">
        <v>33</v>
      </c>
      <c r="B25" s="23">
        <v>0.77320062969399994</v>
      </c>
      <c r="C25" s="23">
        <v>2.8363132528658399</v>
      </c>
      <c r="D25" s="23">
        <v>2.1143378283414398</v>
      </c>
      <c r="E25" s="23">
        <v>3.5650055825859033</v>
      </c>
      <c r="F25" s="23">
        <v>4.8873762700000016</v>
      </c>
      <c r="G25" s="23">
        <v>5.5584618312959835</v>
      </c>
      <c r="H25" s="23">
        <v>8.2203993305057246</v>
      </c>
      <c r="I25" s="54">
        <f t="shared" si="4"/>
        <v>2.3215142720631299</v>
      </c>
      <c r="J25" s="23">
        <f t="shared" si="7"/>
        <v>1.7497577480161821</v>
      </c>
      <c r="K25" s="54">
        <f t="shared" si="9"/>
        <v>2.9708149766322141</v>
      </c>
      <c r="L25" s="23">
        <f t="shared" si="8"/>
        <v>3.7640617806593899</v>
      </c>
      <c r="M25" s="23">
        <f t="shared" si="10"/>
        <v>4.3194921054443061</v>
      </c>
      <c r="N25" s="60">
        <f t="shared" si="6"/>
        <v>6.4548739299739282</v>
      </c>
      <c r="O25" s="24">
        <f t="shared" si="2"/>
        <v>266.82759221087707</v>
      </c>
      <c r="P25" s="24">
        <f t="shared" si="11"/>
        <v>-25.454713924666422</v>
      </c>
      <c r="Q25" s="24">
        <f t="shared" si="11"/>
        <v>68.610972891802149</v>
      </c>
      <c r="R25" s="24">
        <f t="shared" si="11"/>
        <v>37.093088826382903</v>
      </c>
      <c r="S25" s="24">
        <f t="shared" si="11"/>
        <v>13.73099847898516</v>
      </c>
      <c r="T25" s="24">
        <f t="shared" si="11"/>
        <v>47.889822400545242</v>
      </c>
      <c r="U25" s="25"/>
      <c r="V25" s="58" t="s">
        <v>14</v>
      </c>
      <c r="W25" s="4"/>
      <c r="X25" s="4"/>
      <c r="Y25" s="4"/>
      <c r="Z25" s="4"/>
      <c r="AA25" s="4"/>
      <c r="AB25" s="4"/>
      <c r="AC25" s="4"/>
      <c r="AD25" s="4"/>
      <c r="AE25" s="4"/>
      <c r="AF25" s="4"/>
      <c r="AG25" s="4"/>
      <c r="AH25" s="4"/>
      <c r="AI25" s="4"/>
      <c r="AJ25" s="4"/>
      <c r="AK25" s="4"/>
      <c r="AL25" s="4"/>
      <c r="AM25" s="4"/>
    </row>
    <row r="26" spans="1:39" s="3" customFormat="1" ht="15" x14ac:dyDescent="0.2">
      <c r="A26" s="44" t="s">
        <v>34</v>
      </c>
      <c r="B26" s="23">
        <v>5.3193023869199996</v>
      </c>
      <c r="C26" s="23">
        <v>3.2973057170663189</v>
      </c>
      <c r="D26" s="23">
        <v>3.6220961214457499</v>
      </c>
      <c r="E26" s="23">
        <v>4.4916609014078981</v>
      </c>
      <c r="F26" s="23">
        <v>6.1023330901973196</v>
      </c>
      <c r="G26" s="23">
        <v>3.8321071489999445</v>
      </c>
      <c r="H26" s="23">
        <v>3.5789821165928566</v>
      </c>
      <c r="I26" s="54">
        <f t="shared" si="4"/>
        <v>2.6988352833701925</v>
      </c>
      <c r="J26" s="23">
        <f t="shared" si="7"/>
        <v>2.997529849584466</v>
      </c>
      <c r="K26" s="54">
        <f t="shared" si="9"/>
        <v>3.7430217616032011</v>
      </c>
      <c r="L26" s="23">
        <f t="shared" si="8"/>
        <v>4.6997729433393571</v>
      </c>
      <c r="M26" s="23">
        <f t="shared" si="10"/>
        <v>2.9779383361282501</v>
      </c>
      <c r="N26" s="60">
        <f t="shared" si="6"/>
        <v>2.8103109631800454</v>
      </c>
      <c r="O26" s="24">
        <f t="shared" si="2"/>
        <v>-38.012440782191817</v>
      </c>
      <c r="P26" s="24">
        <f t="shared" si="11"/>
        <v>9.8501756357734305</v>
      </c>
      <c r="Q26" s="24">
        <f t="shared" si="11"/>
        <v>24.007225396742474</v>
      </c>
      <c r="R26" s="24">
        <f t="shared" si="11"/>
        <v>35.85916711309531</v>
      </c>
      <c r="S26" s="24">
        <f t="shared" si="11"/>
        <v>-37.202589692198643</v>
      </c>
      <c r="T26" s="24">
        <f t="shared" si="11"/>
        <v>-6.6053746037123569</v>
      </c>
      <c r="U26" s="25"/>
      <c r="V26" s="58" t="s">
        <v>15</v>
      </c>
      <c r="X26" s="5"/>
      <c r="Y26" s="5"/>
      <c r="AA26" s="4"/>
      <c r="AB26" s="4"/>
      <c r="AC26" s="4"/>
      <c r="AD26" s="4"/>
      <c r="AE26" s="4"/>
      <c r="AF26" s="4"/>
      <c r="AG26" s="4"/>
      <c r="AH26" s="4"/>
      <c r="AI26" s="4"/>
      <c r="AJ26" s="4"/>
      <c r="AK26" s="4"/>
      <c r="AL26" s="4"/>
      <c r="AM26" s="4"/>
    </row>
    <row r="27" spans="1:39" s="3" customFormat="1" ht="15" x14ac:dyDescent="0.2">
      <c r="A27" s="44" t="s">
        <v>35</v>
      </c>
      <c r="B27" s="23">
        <v>10.323599863590001</v>
      </c>
      <c r="C27" s="23">
        <v>8.821061419899916</v>
      </c>
      <c r="D27" s="23">
        <v>4.6273621141007606</v>
      </c>
      <c r="E27" s="23">
        <v>6.4412472748291281</v>
      </c>
      <c r="F27" s="23">
        <v>8.2431673173022482</v>
      </c>
      <c r="G27" s="23">
        <v>14.670648390734787</v>
      </c>
      <c r="H27" s="23">
        <v>12.555886331006292</v>
      </c>
      <c r="I27" s="54">
        <f t="shared" si="4"/>
        <v>7.2200135018061591</v>
      </c>
      <c r="J27" s="23">
        <f t="shared" si="7"/>
        <v>3.8294555408752857</v>
      </c>
      <c r="K27" s="54">
        <f t="shared" si="9"/>
        <v>5.3676644899875718</v>
      </c>
      <c r="L27" s="23">
        <f t="shared" si="8"/>
        <v>6.3485578634685265</v>
      </c>
      <c r="M27" s="23">
        <f>(G27/$G$8)*100</f>
        <v>11.400590996008178</v>
      </c>
      <c r="N27" s="60">
        <f t="shared" si="6"/>
        <v>9.8592124405643045</v>
      </c>
      <c r="O27" s="24">
        <f t="shared" si="2"/>
        <v>-14.554404118173384</v>
      </c>
      <c r="P27" s="24">
        <f t="shared" si="11"/>
        <v>-47.54188987210042</v>
      </c>
      <c r="Q27" s="24">
        <f t="shared" si="11"/>
        <v>39.19911854749801</v>
      </c>
      <c r="R27" s="24">
        <f t="shared" si="11"/>
        <v>27.974706847765301</v>
      </c>
      <c r="S27" s="24">
        <f t="shared" si="11"/>
        <v>77.973439407706564</v>
      </c>
      <c r="T27" s="24">
        <f t="shared" si="11"/>
        <v>-14.414918846150441</v>
      </c>
      <c r="U27" s="25"/>
      <c r="V27" s="58" t="s">
        <v>16</v>
      </c>
    </row>
    <row r="28" spans="1:39" s="3" customFormat="1" ht="15" x14ac:dyDescent="0.2">
      <c r="A28" s="44" t="s">
        <v>36</v>
      </c>
      <c r="B28" s="23">
        <v>5.2756512949680001</v>
      </c>
      <c r="C28" s="23">
        <v>7.8095273806140346</v>
      </c>
      <c r="D28" s="23">
        <v>11.458809981990434</v>
      </c>
      <c r="E28" s="23">
        <v>12.605257593857838</v>
      </c>
      <c r="F28" s="23">
        <v>15.669094098018947</v>
      </c>
      <c r="G28" s="23">
        <v>19.57691873198684</v>
      </c>
      <c r="H28" s="23">
        <v>20.006961722130814</v>
      </c>
      <c r="I28" s="54">
        <f t="shared" si="4"/>
        <v>6.3920757884710397</v>
      </c>
      <c r="J28" s="23">
        <f t="shared" si="7"/>
        <v>9.4829413163179126</v>
      </c>
      <c r="K28" s="54">
        <f t="shared" si="9"/>
        <v>10.504299972786216</v>
      </c>
      <c r="L28" s="23">
        <f t="shared" si="8"/>
        <v>12.067709743147873</v>
      </c>
      <c r="M28" s="23">
        <f t="shared" si="10"/>
        <v>15.213263755024432</v>
      </c>
      <c r="N28" s="60">
        <f t="shared" si="6"/>
        <v>15.709992963349576</v>
      </c>
      <c r="O28" s="24">
        <f t="shared" si="2"/>
        <v>48.029635470086617</v>
      </c>
      <c r="P28" s="24">
        <f t="shared" si="11"/>
        <v>46.728597308400374</v>
      </c>
      <c r="Q28" s="24">
        <f t="shared" si="11"/>
        <v>10.004944786319438</v>
      </c>
      <c r="R28" s="24">
        <f t="shared" si="11"/>
        <v>24.306020573939122</v>
      </c>
      <c r="S28" s="24">
        <f t="shared" si="11"/>
        <v>24.939697276193918</v>
      </c>
      <c r="T28" s="24">
        <f t="shared" si="11"/>
        <v>2.1966837377800648</v>
      </c>
      <c r="U28" s="25"/>
      <c r="V28" s="58" t="s">
        <v>17</v>
      </c>
    </row>
    <row r="29" spans="1:39" s="3" customFormat="1" ht="15" x14ac:dyDescent="0.2">
      <c r="A29" s="44" t="s">
        <v>37</v>
      </c>
      <c r="B29" s="23">
        <v>7.9786564840130003</v>
      </c>
      <c r="C29" s="23">
        <v>10.312039520502237</v>
      </c>
      <c r="D29" s="23">
        <v>13.33071221199801</v>
      </c>
      <c r="E29" s="23">
        <v>6.8380931873861348</v>
      </c>
      <c r="F29" s="23">
        <v>6.5185484876734998</v>
      </c>
      <c r="G29" s="23">
        <v>10.485499486109854</v>
      </c>
      <c r="H29" s="23">
        <v>12.824944463209524</v>
      </c>
      <c r="I29" s="54">
        <f t="shared" si="4"/>
        <v>8.4403748058280286</v>
      </c>
      <c r="J29" s="23">
        <f t="shared" si="7"/>
        <v>11.032067187586007</v>
      </c>
      <c r="K29" s="54">
        <f t="shared" si="9"/>
        <v>5.6983668558403817</v>
      </c>
      <c r="L29" s="23">
        <f t="shared" si="8"/>
        <v>5.0203254000385931</v>
      </c>
      <c r="M29" s="23">
        <f t="shared" si="10"/>
        <v>8.1483031864827566</v>
      </c>
      <c r="N29" s="60">
        <f t="shared" si="6"/>
        <v>10.070483968063112</v>
      </c>
      <c r="O29" s="24">
        <f t="shared" si="2"/>
        <v>29.245312680959319</v>
      </c>
      <c r="P29" s="24">
        <f t="shared" si="11"/>
        <v>29.273284741530471</v>
      </c>
      <c r="Q29" s="24">
        <f t="shared" si="11"/>
        <v>-48.704217159292803</v>
      </c>
      <c r="R29" s="24">
        <f t="shared" si="11"/>
        <v>-4.6730088484620538</v>
      </c>
      <c r="S29" s="24">
        <f t="shared" si="11"/>
        <v>60.856354845527541</v>
      </c>
      <c r="T29" s="24">
        <f t="shared" si="11"/>
        <v>22.311240205568982</v>
      </c>
      <c r="U29" s="25"/>
      <c r="V29" s="58" t="s">
        <v>18</v>
      </c>
    </row>
    <row r="30" spans="1:39" s="3" customFormat="1" ht="15" x14ac:dyDescent="0.2">
      <c r="A30" s="44" t="s">
        <v>38</v>
      </c>
      <c r="B30" s="23">
        <v>0.93327936740099993</v>
      </c>
      <c r="C30" s="23">
        <v>1.5026636156209401</v>
      </c>
      <c r="D30" s="23">
        <v>3.0038268644683379</v>
      </c>
      <c r="E30" s="23">
        <v>4.1531727146193713</v>
      </c>
      <c r="F30" s="23">
        <v>4.0198049527051953</v>
      </c>
      <c r="G30" s="23">
        <v>4.1304595743684711</v>
      </c>
      <c r="H30" s="23">
        <v>4.1757914603981243</v>
      </c>
      <c r="I30" s="54">
        <f t="shared" si="4"/>
        <v>1.2299258645882034</v>
      </c>
      <c r="J30" s="23">
        <f t="shared" si="7"/>
        <v>2.4858701667015972</v>
      </c>
      <c r="K30" s="54">
        <f t="shared" si="9"/>
        <v>3.4609504572449543</v>
      </c>
      <c r="L30" s="23">
        <f t="shared" si="8"/>
        <v>3.0958930420519772</v>
      </c>
      <c r="M30" s="23">
        <f t="shared" si="10"/>
        <v>3.2097886186584872</v>
      </c>
      <c r="N30" s="60">
        <f t="shared" si="6"/>
        <v>3.2789413690287685</v>
      </c>
      <c r="O30" s="24">
        <f t="shared" si="2"/>
        <v>61.00898274495917</v>
      </c>
      <c r="P30" s="24">
        <f t="shared" si="11"/>
        <v>99.900152851380369</v>
      </c>
      <c r="Q30" s="24">
        <f t="shared" si="11"/>
        <v>38.262719591012839</v>
      </c>
      <c r="R30" s="24">
        <f t="shared" si="11"/>
        <v>-3.2112259970483512</v>
      </c>
      <c r="S30" s="24">
        <f t="shared" si="11"/>
        <v>2.7527360895659601</v>
      </c>
      <c r="T30" s="24">
        <f t="shared" si="11"/>
        <v>1.0975022322203518</v>
      </c>
      <c r="U30" s="25"/>
      <c r="V30" s="58" t="s">
        <v>19</v>
      </c>
    </row>
    <row r="31" spans="1:39" s="3" customFormat="1" ht="15" x14ac:dyDescent="0.2">
      <c r="A31" s="45" t="s">
        <v>3</v>
      </c>
      <c r="B31" s="27">
        <v>4.1513248215099994</v>
      </c>
      <c r="C31" s="27">
        <v>4.3237184652671763</v>
      </c>
      <c r="D31" s="27">
        <v>7.2335239573804548</v>
      </c>
      <c r="E31" s="27">
        <v>6.1545840431629619</v>
      </c>
      <c r="F31" s="27">
        <v>4.9778572648089474</v>
      </c>
      <c r="G31" s="27">
        <v>7.643729479364147</v>
      </c>
      <c r="H31" s="27">
        <v>9.1430560234572287</v>
      </c>
      <c r="I31" s="55">
        <f t="shared" si="4"/>
        <v>3.5389511773280242</v>
      </c>
      <c r="J31" s="27">
        <f t="shared" si="7"/>
        <v>5.9862309703911647</v>
      </c>
      <c r="K31" s="55">
        <f t="shared" si="9"/>
        <v>5.1287803137485248</v>
      </c>
      <c r="L31" s="27">
        <f t="shared" si="8"/>
        <v>3.8337466249646948</v>
      </c>
      <c r="M31" s="27">
        <f>(G31/$G$8)*100</f>
        <v>5.9399578776215618</v>
      </c>
      <c r="N31" s="61">
        <f t="shared" si="6"/>
        <v>7.1793682512591976</v>
      </c>
      <c r="O31" s="26">
        <f t="shared" si="2"/>
        <v>4.1527380094162476</v>
      </c>
      <c r="P31" s="26">
        <f t="shared" si="11"/>
        <v>67.298680880543245</v>
      </c>
      <c r="Q31" s="26">
        <f t="shared" si="11"/>
        <v>-14.915826927159575</v>
      </c>
      <c r="R31" s="26">
        <f>((F31-E31)/E31)*100</f>
        <v>-19.119517583990476</v>
      </c>
      <c r="S31" s="26">
        <f>((G31-F31)/F31)*100</f>
        <v>53.554613415728724</v>
      </c>
      <c r="T31" s="26">
        <f>((H31-G31)/G31)*100</f>
        <v>19.615117831430698</v>
      </c>
      <c r="U31" s="28"/>
      <c r="V31" s="59" t="s">
        <v>20</v>
      </c>
    </row>
    <row r="32" spans="1:39" s="3" customFormat="1" ht="14.25" x14ac:dyDescent="0.25">
      <c r="A32" s="1" t="s">
        <v>39</v>
      </c>
      <c r="B32" s="5"/>
      <c r="C32" s="5"/>
      <c r="D32" s="5"/>
      <c r="E32" s="5"/>
      <c r="F32" s="5"/>
      <c r="G32" s="5"/>
      <c r="H32" s="5"/>
      <c r="I32" s="29"/>
      <c r="J32" s="29"/>
      <c r="K32" s="29"/>
      <c r="L32" s="29"/>
      <c r="M32" s="29"/>
      <c r="N32" s="29"/>
      <c r="O32" s="5"/>
      <c r="P32" s="5"/>
      <c r="Q32" s="5"/>
      <c r="R32" s="5"/>
      <c r="S32" s="5"/>
      <c r="T32" s="5"/>
      <c r="U32" s="5"/>
      <c r="V32" s="48" t="s">
        <v>44</v>
      </c>
    </row>
    <row r="33" spans="1:22" s="6" customFormat="1" ht="27" customHeight="1" x14ac:dyDescent="0.25">
      <c r="A33" s="65" t="s">
        <v>59</v>
      </c>
      <c r="B33" s="65"/>
      <c r="C33" s="65"/>
      <c r="D33" s="65"/>
      <c r="E33" s="65"/>
      <c r="F33" s="65"/>
      <c r="G33" s="65"/>
      <c r="H33" s="65"/>
      <c r="I33" s="65"/>
      <c r="J33" s="65"/>
      <c r="K33" s="65"/>
      <c r="L33" s="65"/>
      <c r="M33" s="65"/>
      <c r="N33" s="65"/>
      <c r="O33" s="30"/>
      <c r="P33" s="30"/>
      <c r="Q33" s="30"/>
      <c r="R33" s="30"/>
      <c r="S33" s="30"/>
      <c r="T33" s="30"/>
      <c r="U33" s="30"/>
      <c r="V33" s="30"/>
    </row>
    <row r="34" spans="1:22" s="6" customFormat="1" x14ac:dyDescent="0.25">
      <c r="A34" s="7"/>
      <c r="I34" s="31"/>
      <c r="J34" s="31"/>
      <c r="K34" s="31"/>
      <c r="L34" s="31"/>
      <c r="M34" s="31"/>
      <c r="N34" s="31"/>
      <c r="O34" s="32"/>
      <c r="P34" s="32"/>
      <c r="Q34" s="32"/>
      <c r="R34" s="32"/>
      <c r="S34" s="32"/>
      <c r="T34" s="32"/>
    </row>
    <row r="35" spans="1:22" s="3" customFormat="1" ht="12" x14ac:dyDescent="0.25">
      <c r="I35" s="8"/>
      <c r="J35" s="8"/>
      <c r="K35" s="8"/>
      <c r="L35" s="8"/>
      <c r="M35" s="8"/>
      <c r="N35" s="8"/>
    </row>
    <row r="36" spans="1:22" s="3" customFormat="1" ht="12" x14ac:dyDescent="0.25">
      <c r="I36" s="8"/>
      <c r="J36" s="8"/>
      <c r="K36" s="8"/>
      <c r="L36" s="8"/>
      <c r="M36" s="8"/>
      <c r="N36" s="8"/>
    </row>
    <row r="37" spans="1:22" s="3" customFormat="1" ht="12" x14ac:dyDescent="0.25">
      <c r="I37" s="8"/>
      <c r="J37" s="8"/>
      <c r="K37" s="8"/>
      <c r="L37" s="8"/>
      <c r="M37" s="8"/>
      <c r="N37" s="8"/>
    </row>
    <row r="38" spans="1:22" s="3" customFormat="1" ht="12" x14ac:dyDescent="0.25">
      <c r="I38" s="8"/>
      <c r="J38" s="8"/>
      <c r="K38" s="8"/>
      <c r="L38" s="8"/>
      <c r="M38" s="8"/>
      <c r="N38" s="8"/>
    </row>
    <row r="39" spans="1:22" s="3" customFormat="1" ht="12" x14ac:dyDescent="0.25">
      <c r="I39" s="8"/>
      <c r="J39" s="8"/>
      <c r="K39" s="8"/>
      <c r="L39" s="8"/>
      <c r="M39" s="8"/>
      <c r="N39" s="8"/>
    </row>
    <row r="40" spans="1:22" s="3" customFormat="1" ht="12" x14ac:dyDescent="0.25">
      <c r="I40" s="8"/>
      <c r="J40" s="8"/>
      <c r="K40" s="8"/>
      <c r="L40" s="8"/>
      <c r="M40" s="8"/>
      <c r="N40" s="8"/>
    </row>
    <row r="41" spans="1:22" s="3" customFormat="1" ht="12" x14ac:dyDescent="0.25">
      <c r="I41" s="8"/>
      <c r="J41" s="8"/>
      <c r="K41" s="8"/>
      <c r="L41" s="8"/>
      <c r="M41" s="8"/>
      <c r="N41" s="8"/>
    </row>
    <row r="42" spans="1:22" s="3" customFormat="1" ht="12" x14ac:dyDescent="0.25">
      <c r="I42" s="8"/>
      <c r="J42" s="8"/>
      <c r="K42" s="8"/>
      <c r="L42" s="8"/>
      <c r="M42" s="8"/>
      <c r="N42" s="8"/>
    </row>
    <row r="43" spans="1:22" s="3" customFormat="1" ht="12" x14ac:dyDescent="0.25">
      <c r="I43" s="8"/>
      <c r="J43" s="8"/>
      <c r="K43" s="8"/>
      <c r="L43" s="8"/>
      <c r="M43" s="8"/>
      <c r="N43" s="8"/>
    </row>
    <row r="44" spans="1:22" s="3" customFormat="1" ht="12" x14ac:dyDescent="0.25">
      <c r="I44" s="8"/>
      <c r="J44" s="8"/>
      <c r="K44" s="8"/>
      <c r="L44" s="8"/>
      <c r="M44" s="8"/>
      <c r="N44" s="8"/>
    </row>
    <row r="45" spans="1:22" s="3" customFormat="1" ht="12" x14ac:dyDescent="0.25">
      <c r="I45" s="8"/>
      <c r="J45" s="8"/>
      <c r="K45" s="8"/>
      <c r="L45" s="8"/>
      <c r="M45" s="8"/>
      <c r="N45" s="8"/>
    </row>
    <row r="46" spans="1:22" s="3" customFormat="1" ht="12" x14ac:dyDescent="0.25">
      <c r="I46" s="8"/>
      <c r="J46" s="8"/>
      <c r="K46" s="8"/>
      <c r="L46" s="8"/>
      <c r="M46" s="8"/>
      <c r="N46" s="8"/>
    </row>
    <row r="47" spans="1:22" s="3" customFormat="1" ht="12" x14ac:dyDescent="0.25">
      <c r="I47" s="8"/>
      <c r="J47" s="8"/>
      <c r="K47" s="8"/>
      <c r="L47" s="8"/>
      <c r="M47" s="8"/>
      <c r="N47" s="8"/>
    </row>
    <row r="48" spans="1:22" s="3" customFormat="1" ht="12" x14ac:dyDescent="0.25">
      <c r="I48" s="8"/>
      <c r="J48" s="8"/>
      <c r="K48" s="8"/>
      <c r="L48" s="8"/>
      <c r="M48" s="8"/>
      <c r="N48" s="8"/>
    </row>
    <row r="49" spans="1:22" s="3" customFormat="1" ht="12" x14ac:dyDescent="0.25">
      <c r="I49" s="8"/>
      <c r="J49" s="8"/>
      <c r="K49" s="8"/>
      <c r="L49" s="8"/>
      <c r="M49" s="8"/>
      <c r="N49" s="8"/>
    </row>
    <row r="50" spans="1:22" s="3" customFormat="1" ht="12" x14ac:dyDescent="0.25">
      <c r="I50" s="8"/>
      <c r="J50" s="8"/>
      <c r="K50" s="8"/>
      <c r="L50" s="8"/>
      <c r="M50" s="8"/>
      <c r="N50" s="8"/>
    </row>
    <row r="51" spans="1:22" s="3" customFormat="1" ht="12" x14ac:dyDescent="0.25">
      <c r="I51" s="8"/>
      <c r="J51" s="8"/>
      <c r="K51" s="8"/>
      <c r="L51" s="8"/>
      <c r="M51" s="8"/>
      <c r="N51" s="8"/>
    </row>
    <row r="52" spans="1:22" s="3" customFormat="1" ht="12" x14ac:dyDescent="0.25">
      <c r="I52" s="8"/>
      <c r="J52" s="8"/>
      <c r="K52" s="8"/>
      <c r="L52" s="8"/>
      <c r="M52" s="8"/>
      <c r="N52" s="8"/>
    </row>
    <row r="53" spans="1:22" s="3" customFormat="1" ht="12" x14ac:dyDescent="0.25">
      <c r="I53" s="8"/>
      <c r="J53" s="8"/>
      <c r="K53" s="8"/>
      <c r="L53" s="8"/>
      <c r="M53" s="8"/>
      <c r="N53" s="8"/>
    </row>
    <row r="54" spans="1:22" s="3" customFormat="1" ht="12" x14ac:dyDescent="0.25">
      <c r="I54" s="8"/>
      <c r="J54" s="8"/>
      <c r="K54" s="8"/>
      <c r="L54" s="8"/>
      <c r="M54" s="8"/>
      <c r="N54" s="8"/>
    </row>
    <row r="55" spans="1:22" s="3" customFormat="1" ht="12" x14ac:dyDescent="0.25">
      <c r="I55" s="8"/>
      <c r="J55" s="8"/>
      <c r="K55" s="8"/>
      <c r="L55" s="8"/>
      <c r="M55" s="8"/>
      <c r="N55" s="8"/>
    </row>
    <row r="56" spans="1:22" s="3" customFormat="1" ht="12" x14ac:dyDescent="0.25">
      <c r="I56" s="8"/>
      <c r="J56" s="8"/>
      <c r="K56" s="8"/>
      <c r="L56" s="8"/>
      <c r="M56" s="8"/>
      <c r="N56" s="8"/>
    </row>
    <row r="57" spans="1:22" s="3" customFormat="1" ht="12" x14ac:dyDescent="0.25">
      <c r="I57" s="8"/>
      <c r="J57" s="8"/>
      <c r="K57" s="8"/>
      <c r="L57" s="8"/>
      <c r="M57" s="8"/>
      <c r="N57" s="8"/>
    </row>
    <row r="58" spans="1:22" s="3" customFormat="1" ht="12" x14ac:dyDescent="0.25">
      <c r="I58" s="8"/>
      <c r="J58" s="8"/>
      <c r="K58" s="8"/>
      <c r="L58" s="8"/>
      <c r="M58" s="8"/>
      <c r="N58" s="8"/>
    </row>
    <row r="59" spans="1:22" s="3" customFormat="1" ht="12" x14ac:dyDescent="0.25">
      <c r="I59" s="8"/>
      <c r="J59" s="8"/>
      <c r="K59" s="8"/>
      <c r="L59" s="8"/>
      <c r="M59" s="8"/>
      <c r="N59" s="8"/>
    </row>
    <row r="60" spans="1:22" s="3" customFormat="1" ht="12" x14ac:dyDescent="0.25">
      <c r="I60" s="8"/>
      <c r="J60" s="8"/>
      <c r="K60" s="8"/>
      <c r="L60" s="8"/>
      <c r="M60" s="8"/>
      <c r="N60" s="8"/>
    </row>
    <row r="61" spans="1:22" s="3" customFormat="1" ht="12" x14ac:dyDescent="0.25">
      <c r="I61" s="8"/>
      <c r="J61" s="8"/>
      <c r="K61" s="8"/>
      <c r="L61" s="8"/>
      <c r="M61" s="8"/>
      <c r="N61" s="8"/>
    </row>
    <row r="62" spans="1:22" x14ac:dyDescent="0.25">
      <c r="A62" s="3"/>
      <c r="B62" s="3"/>
      <c r="C62" s="3"/>
      <c r="D62" s="3"/>
      <c r="E62" s="3"/>
      <c r="F62" s="3"/>
      <c r="G62" s="3"/>
      <c r="H62" s="3"/>
      <c r="I62" s="8"/>
      <c r="J62" s="8"/>
      <c r="K62" s="8"/>
      <c r="L62" s="8"/>
      <c r="M62" s="8"/>
      <c r="N62" s="8"/>
      <c r="O62" s="3"/>
      <c r="P62" s="3"/>
      <c r="Q62" s="3"/>
      <c r="R62" s="3"/>
      <c r="S62" s="3"/>
      <c r="T62" s="3"/>
      <c r="U62" s="3"/>
      <c r="V62" s="3"/>
    </row>
    <row r="63" spans="1:22" x14ac:dyDescent="0.25">
      <c r="A63" s="3"/>
      <c r="B63" s="3"/>
      <c r="C63" s="3"/>
      <c r="D63" s="3"/>
      <c r="E63" s="3"/>
      <c r="F63" s="3"/>
      <c r="G63" s="3"/>
      <c r="H63" s="3"/>
      <c r="I63" s="8"/>
      <c r="J63" s="8"/>
      <c r="K63" s="8"/>
      <c r="L63" s="8"/>
      <c r="M63" s="8"/>
      <c r="N63" s="8"/>
      <c r="O63" s="3"/>
      <c r="P63" s="3"/>
      <c r="Q63" s="3"/>
      <c r="R63" s="3"/>
      <c r="S63" s="3"/>
      <c r="T63" s="3"/>
      <c r="U63" s="3"/>
      <c r="V63" s="3"/>
    </row>
    <row r="64" spans="1:22" x14ac:dyDescent="0.25">
      <c r="A64" s="3"/>
      <c r="B64" s="3"/>
      <c r="C64" s="3"/>
      <c r="D64" s="3"/>
      <c r="E64" s="3"/>
      <c r="F64" s="3"/>
      <c r="G64" s="3"/>
      <c r="H64" s="3"/>
      <c r="I64" s="8"/>
      <c r="J64" s="8"/>
      <c r="K64" s="8"/>
      <c r="L64" s="8"/>
      <c r="M64" s="8"/>
      <c r="N64" s="8"/>
      <c r="O64" s="3"/>
      <c r="P64" s="3"/>
      <c r="Q64" s="3"/>
      <c r="R64" s="3"/>
      <c r="S64" s="3"/>
      <c r="T64" s="3"/>
      <c r="U64" s="3"/>
      <c r="V64" s="3"/>
    </row>
    <row r="65" spans="1:22" x14ac:dyDescent="0.25">
      <c r="A65" s="3"/>
      <c r="B65" s="3"/>
      <c r="C65" s="3"/>
      <c r="D65" s="3"/>
      <c r="E65" s="3"/>
      <c r="F65" s="3"/>
      <c r="G65" s="3"/>
      <c r="H65" s="3"/>
      <c r="I65" s="8"/>
      <c r="J65" s="8"/>
      <c r="K65" s="8"/>
      <c r="L65" s="8"/>
      <c r="M65" s="8"/>
      <c r="N65" s="8"/>
      <c r="O65" s="3"/>
      <c r="P65" s="3"/>
      <c r="Q65" s="3"/>
      <c r="R65" s="3"/>
      <c r="S65" s="3"/>
      <c r="T65" s="3"/>
      <c r="U65" s="3"/>
      <c r="V65" s="3"/>
    </row>
    <row r="66" spans="1:22" x14ac:dyDescent="0.25">
      <c r="A66" s="3"/>
      <c r="B66" s="3"/>
      <c r="C66" s="3"/>
      <c r="D66" s="3"/>
      <c r="E66" s="3"/>
      <c r="F66" s="3"/>
      <c r="G66" s="3"/>
      <c r="H66" s="3"/>
      <c r="I66" s="8"/>
      <c r="J66" s="8"/>
      <c r="K66" s="8"/>
      <c r="L66" s="8"/>
      <c r="M66" s="8"/>
      <c r="N66" s="8"/>
      <c r="O66" s="3"/>
      <c r="P66" s="3"/>
      <c r="Q66" s="3"/>
      <c r="R66" s="3"/>
      <c r="S66" s="3"/>
      <c r="T66" s="3"/>
      <c r="U66" s="3"/>
      <c r="V66" s="3"/>
    </row>
    <row r="67" spans="1:22" x14ac:dyDescent="0.25">
      <c r="A67" s="3"/>
      <c r="B67" s="3"/>
      <c r="C67" s="3"/>
      <c r="D67" s="3"/>
      <c r="E67" s="3"/>
      <c r="F67" s="3"/>
      <c r="G67" s="3"/>
      <c r="H67" s="3"/>
      <c r="I67" s="8"/>
      <c r="J67" s="8"/>
      <c r="K67" s="8"/>
      <c r="L67" s="8"/>
      <c r="M67" s="8"/>
      <c r="N67" s="8"/>
      <c r="O67" s="3"/>
      <c r="P67" s="3"/>
      <c r="Q67" s="3"/>
      <c r="R67" s="3"/>
      <c r="S67" s="3"/>
      <c r="T67" s="3"/>
      <c r="U67" s="3"/>
      <c r="V67" s="3"/>
    </row>
  </sheetData>
  <mergeCells count="11">
    <mergeCell ref="A33:N33"/>
    <mergeCell ref="A1:V1"/>
    <mergeCell ref="A2:V2"/>
    <mergeCell ref="A5:A7"/>
    <mergeCell ref="V5:V7"/>
    <mergeCell ref="C5:H5"/>
    <mergeCell ref="C6:H6"/>
    <mergeCell ref="O5:T5"/>
    <mergeCell ref="O6:T6"/>
    <mergeCell ref="K6:N6"/>
    <mergeCell ref="K5:N5"/>
  </mergeCells>
  <pageMargins left="0.38" right="0.17" top="0.41" bottom="0.27" header="0.3" footer="0.17"/>
  <pageSetup paperSize="9" scale="95" orientation="landscape" r:id="rId1"/>
  <ignoredErrors>
    <ignoredError sqref="I10:L10 O10:S10 B10:F1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9.2</vt:lpstr>
      <vt:lpstr>'9.2'!Print_Area</vt:lpstr>
    </vt:vector>
  </TitlesOfParts>
  <Company>Department of National Planning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2016-09-22T08:17:36Z</cp:lastPrinted>
  <dcterms:created xsi:type="dcterms:W3CDTF">2014-03-04T03:52:57Z</dcterms:created>
  <dcterms:modified xsi:type="dcterms:W3CDTF">2016-09-22T08:17:38Z</dcterms:modified>
</cp:coreProperties>
</file>