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5" sheetId="10" r:id="rId1"/>
  </sheets>
  <definedNames>
    <definedName name="_xlnm.Print_Area" localSheetId="0">'9.5'!$A$1:$K$25</definedName>
  </definedNames>
  <calcPr calcId="144525"/>
</workbook>
</file>

<file path=xl/calcChain.xml><?xml version="1.0" encoding="utf-8"?>
<calcChain xmlns="http://schemas.openxmlformats.org/spreadsheetml/2006/main">
  <c r="F8" i="10" l="1"/>
  <c r="B21" i="10" l="1"/>
  <c r="B20" i="10"/>
  <c r="B19" i="10"/>
  <c r="B18" i="10"/>
  <c r="B17" i="10"/>
  <c r="B16" i="10"/>
  <c r="B15" i="10"/>
  <c r="B14" i="10"/>
  <c r="B13" i="10"/>
  <c r="B12" i="10"/>
  <c r="B11" i="10"/>
  <c r="B10" i="10"/>
  <c r="B9" i="10"/>
  <c r="J8" i="10"/>
  <c r="I8" i="10"/>
  <c r="H8" i="10"/>
  <c r="G8" i="10"/>
  <c r="E8" i="10"/>
  <c r="D8" i="10"/>
  <c r="C8" i="10"/>
  <c r="B8" i="10" l="1"/>
</calcChain>
</file>

<file path=xl/sharedStrings.xml><?xml version="1.0" encoding="utf-8"?>
<sst xmlns="http://schemas.openxmlformats.org/spreadsheetml/2006/main" count="56" uniqueCount="55">
  <si>
    <t>Month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</si>
  <si>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</si>
  <si>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</si>
  <si>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</si>
  <si>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</si>
  <si>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</si>
  <si>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</si>
  <si>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</si>
  <si>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</si>
  <si>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</si>
  <si>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</si>
  <si>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</si>
  <si>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</si>
  <si>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</si>
  <si>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Ministry of Fisheries  and Agriculture</t>
  </si>
  <si>
    <t>wlcmuj</t>
  </si>
  <si>
    <t>Irwaunej</t>
  </si>
  <si>
    <t>Irwaurcbef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</si>
  <si>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</si>
  <si>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</si>
  <si>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</si>
  <si>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</si>
  <si>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</si>
  <si>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</si>
  <si>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</si>
  <si>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</si>
  <si>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</si>
  <si>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 xml:space="preserve"> rwCclwkircgea cDcnea  czIrwxif cfoa IrcTcsinim :ctWrwf ivcaedutWmUluAwm</t>
  </si>
  <si>
    <t>EEZ</t>
  </si>
  <si>
    <t>(cnunwT ckircTem)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</si>
  <si>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</si>
  <si>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</si>
  <si>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</si>
  <si>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</si>
  <si>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</si>
  <si>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</si>
  <si>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</si>
  <si>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</si>
  <si>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</si>
  <si>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</si>
  <si>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</si>
  <si>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</si>
  <si>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(In metric tons)</t>
  </si>
  <si>
    <t>cswm</t>
  </si>
  <si>
    <t xml:space="preserve">    Type of fish</t>
  </si>
  <si>
    <t>ctwvWbeguhwm</t>
  </si>
  <si>
    <t xml:space="preserve">        wlcmuj</t>
  </si>
  <si>
    <t xml:space="preserve">       cswmwlibuLwk</t>
  </si>
  <si>
    <t>Little tuna</t>
  </si>
  <si>
    <t xml:space="preserve"> cnudcawHwrws IdWBitcqia</t>
  </si>
  <si>
    <t>cCrWm</t>
  </si>
  <si>
    <t>2015 ,urwvcnim iaWtwvcaWb eguhwminEb wtwvun ifih iawguhwmcswmikea :9.5 ulwvWt</t>
  </si>
  <si>
    <t>Table 9.5 :  MONTHLY FISH CATCH BY TYPE ,  2015</t>
  </si>
  <si>
    <t>Albacore tuna</t>
  </si>
  <si>
    <t>ilencnwk ugid ctwfcnwk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</si>
</sst>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8" formatCode="_(* #,##0.0_);_(* \(#,##0.0\);_(* \-??_);_(@_)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A_Randhoo"/>
    </font>
    <font>
      <b/>
      <sz val="10"/>
      <name val="Calibri"/>
      <family val="2"/>
    </font>
    <font>
      <b/>
      <sz val="10"/>
      <name val="A_Randhoo"/>
    </font>
    <font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sz val="9"/>
      <name val="Win Ahamedey PRB"/>
      <family val="2"/>
    </font>
    <font>
      <b/>
      <sz val="10"/>
      <name val="A_Faseyha"/>
    </font>
    <font>
      <sz val="10"/>
      <name val="Win Ahamedey PRB"/>
      <family val="2"/>
    </font>
    <font>
      <i/>
      <sz val="10"/>
      <name val="Arial"/>
      <family val="2"/>
    </font>
    <font>
      <b/>
      <sz val="12"/>
      <name val="A_Waheed"/>
    </font>
    <font>
      <b/>
      <sz val="10"/>
      <name val="A_Waheed"/>
    </font>
    <font>
      <sz val="10"/>
      <name val="A_Waheed"/>
    </font>
    <font>
      <sz val="9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 applyFill="0" applyBorder="0" applyAlignment="0" applyProtection="0"/>
  </cellStyleXfs>
  <cellXfs count="60">
    <xf numFmtId="0" fontId="0" fillId="0" borderId="0" xfId="0"/>
    <xf numFmtId="165" fontId="10" fillId="2" borderId="0" xfId="4" applyFont="1" applyFill="1" applyAlignment="1" applyProtection="1">
      <alignment horizontal="left" vertical="center"/>
    </xf>
    <xf numFmtId="38" fontId="7" fillId="2" borderId="2" xfId="1" applyNumberFormat="1" applyFont="1" applyFill="1" applyBorder="1" applyAlignment="1">
      <alignment horizontal="right"/>
    </xf>
    <xf numFmtId="165" fontId="1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20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9" fillId="2" borderId="0" xfId="4" applyFont="1" applyFill="1" applyAlignment="1">
      <alignment horizontal="right" vertical="center"/>
    </xf>
    <xf numFmtId="165" fontId="18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19" fillId="2" borderId="0" xfId="4" applyFont="1" applyFill="1" applyBorder="1" applyAlignment="1">
      <alignment horizontal="right" vertical="center"/>
    </xf>
    <xf numFmtId="165" fontId="21" fillId="2" borderId="0" xfId="4" applyFont="1" applyFill="1" applyBorder="1"/>
    <xf numFmtId="165" fontId="3" fillId="2" borderId="0" xfId="0" applyNumberFormat="1" applyFont="1" applyFill="1"/>
    <xf numFmtId="165" fontId="3" fillId="2" borderId="0" xfId="4" applyFont="1" applyFill="1" applyAlignment="1">
      <alignment horizontal="right" vertical="center"/>
    </xf>
    <xf numFmtId="165" fontId="18" fillId="2" borderId="0" xfId="4" applyFont="1" applyFill="1" applyAlignment="1">
      <alignment horizontal="centerContinuous" vertical="center"/>
    </xf>
    <xf numFmtId="165" fontId="2" fillId="2" borderId="0" xfId="4" applyFont="1" applyFill="1" applyAlignment="1" applyProtection="1">
      <alignment horizontal="center" vertical="center"/>
    </xf>
    <xf numFmtId="165" fontId="17" fillId="2" borderId="0" xfId="4" applyFont="1" applyFill="1" applyAlignment="1">
      <alignment horizontal="centerContinuous" vertical="center"/>
    </xf>
    <xf numFmtId="165" fontId="1" fillId="2" borderId="1" xfId="4" applyFont="1" applyFill="1" applyBorder="1" applyAlignment="1">
      <alignment vertical="center"/>
    </xf>
    <xf numFmtId="165" fontId="23" fillId="2" borderId="1" xfId="4" applyFont="1" applyFill="1" applyBorder="1"/>
    <xf numFmtId="165" fontId="23" fillId="2" borderId="0" xfId="4" applyFont="1" applyFill="1" applyBorder="1"/>
    <xf numFmtId="165" fontId="2" fillId="2" borderId="0" xfId="4" applyFont="1" applyFill="1" applyBorder="1" applyAlignment="1" applyProtection="1">
      <alignment horizontal="left" vertical="center"/>
    </xf>
    <xf numFmtId="165" fontId="13" fillId="2" borderId="0" xfId="0" applyNumberFormat="1" applyFont="1" applyFill="1" applyAlignment="1">
      <alignment horizontal="right"/>
    </xf>
    <xf numFmtId="165" fontId="12" fillId="2" borderId="2" xfId="4" applyFont="1" applyFill="1" applyBorder="1" applyAlignment="1" applyProtection="1">
      <alignment horizontal="left" vertical="center"/>
    </xf>
    <xf numFmtId="165" fontId="12" fillId="2" borderId="2" xfId="4" applyFont="1" applyFill="1" applyBorder="1" applyAlignment="1" applyProtection="1">
      <alignment horizontal="right" vertical="center"/>
    </xf>
    <xf numFmtId="165" fontId="12" fillId="2" borderId="2" xfId="4" applyFont="1" applyFill="1" applyBorder="1" applyAlignment="1" applyProtection="1">
      <alignment horizontal="right" vertical="center" wrapText="1"/>
    </xf>
    <xf numFmtId="165" fontId="12" fillId="2" borderId="0" xfId="4" applyFont="1" applyFill="1" applyBorder="1" applyAlignment="1">
      <alignment vertical="center"/>
    </xf>
    <xf numFmtId="165" fontId="14" fillId="2" borderId="0" xfId="0" applyNumberFormat="1" applyFont="1" applyFill="1" applyAlignment="1">
      <alignment horizontal="right"/>
    </xf>
    <xf numFmtId="0" fontId="0" fillId="2" borderId="0" xfId="0" applyNumberFormat="1" applyFill="1"/>
    <xf numFmtId="168" fontId="18" fillId="2" borderId="0" xfId="6" applyNumberFormat="1" applyFont="1" applyFill="1" applyBorder="1" applyAlignment="1" applyProtection="1">
      <alignment horizontal="right" vertical="top" shrinkToFit="1"/>
    </xf>
    <xf numFmtId="165" fontId="14" fillId="2" borderId="0" xfId="0" applyNumberFormat="1" applyFont="1" applyFill="1" applyBorder="1" applyAlignment="1">
      <alignment horizontal="right"/>
    </xf>
    <xf numFmtId="165" fontId="24" fillId="2" borderId="0" xfId="4" applyFont="1" applyFill="1" applyAlignment="1" applyProtection="1">
      <alignment horizontal="left" vertical="center"/>
    </xf>
    <xf numFmtId="165" fontId="11" fillId="2" borderId="0" xfId="0" applyNumberFormat="1" applyFont="1" applyFill="1" applyAlignment="1">
      <alignment horizontal="right"/>
    </xf>
    <xf numFmtId="165" fontId="17" fillId="2" borderId="0" xfId="4" applyFont="1" applyFill="1" applyAlignment="1" applyProtection="1">
      <alignment horizontal="left" vertical="center"/>
    </xf>
    <xf numFmtId="3" fontId="17" fillId="2" borderId="0" xfId="4" applyNumberFormat="1" applyFont="1" applyFill="1"/>
    <xf numFmtId="38" fontId="5" fillId="2" borderId="0" xfId="1" applyNumberFormat="1" applyFont="1" applyFill="1" applyBorder="1" applyAlignment="1" applyProtection="1">
      <alignment horizontal="right" vertical="center"/>
      <protection hidden="1"/>
    </xf>
    <xf numFmtId="38" fontId="5" fillId="2" borderId="0" xfId="1" applyNumberFormat="1" applyFont="1" applyFill="1" applyBorder="1" applyAlignment="1">
      <alignment horizontal="right" vertical="center"/>
    </xf>
    <xf numFmtId="38" fontId="5" fillId="2" borderId="2" xfId="1" applyNumberFormat="1" applyFont="1" applyFill="1" applyBorder="1" applyAlignment="1" applyProtection="1">
      <alignment horizontal="right" vertical="center"/>
      <protection hidden="1"/>
    </xf>
    <xf numFmtId="165" fontId="16" fillId="2" borderId="0" xfId="4" applyFont="1" applyFill="1" applyAlignment="1">
      <alignment horizontal="center" vertical="center"/>
    </xf>
    <xf numFmtId="165" fontId="26" fillId="2" borderId="0" xfId="0" applyNumberFormat="1" applyFont="1" applyFill="1" applyAlignment="1">
      <alignment horizontal="right"/>
    </xf>
    <xf numFmtId="165" fontId="27" fillId="2" borderId="2" xfId="4" applyFont="1" applyFill="1" applyBorder="1" applyAlignment="1">
      <alignment horizontal="right" vertical="center"/>
    </xf>
    <xf numFmtId="165" fontId="28" fillId="2" borderId="0" xfId="0" applyNumberFormat="1" applyFont="1" applyFill="1" applyAlignment="1">
      <alignment horizontal="right"/>
    </xf>
    <xf numFmtId="165" fontId="26" fillId="2" borderId="0" xfId="0" applyNumberFormat="1" applyFont="1" applyFill="1" applyAlignment="1">
      <alignment horizontal="right" vertical="center"/>
    </xf>
    <xf numFmtId="165" fontId="26" fillId="2" borderId="0" xfId="0" applyNumberFormat="1" applyFont="1" applyFill="1" applyAlignment="1">
      <alignment horizontal="right" vertical="center" wrapText="1"/>
    </xf>
    <xf numFmtId="165" fontId="27" fillId="2" borderId="0" xfId="4" applyFont="1" applyFill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38" fontId="7" fillId="2" borderId="0" xfId="1" applyNumberFormat="1" applyFont="1" applyFill="1" applyBorder="1" applyAlignment="1">
      <alignment horizontal="right"/>
    </xf>
    <xf numFmtId="165" fontId="27" fillId="2" borderId="0" xfId="0" applyNumberFormat="1" applyFont="1" applyFill="1" applyAlignment="1">
      <alignment horizontal="right" indent="2"/>
    </xf>
    <xf numFmtId="165" fontId="27" fillId="2" borderId="2" xfId="0" applyNumberFormat="1" applyFont="1" applyFill="1" applyBorder="1" applyAlignment="1">
      <alignment horizontal="right" indent="2"/>
    </xf>
    <xf numFmtId="165" fontId="6" fillId="2" borderId="0" xfId="4" applyFont="1" applyFill="1" applyAlignment="1" applyProtection="1">
      <alignment horizontal="left" vertical="center" indent="2"/>
    </xf>
    <xf numFmtId="165" fontId="6" fillId="2" borderId="2" xfId="4" applyFont="1" applyFill="1" applyBorder="1" applyAlignment="1" applyProtection="1">
      <alignment horizontal="left" vertical="center" indent="2"/>
    </xf>
    <xf numFmtId="165" fontId="25" fillId="2" borderId="0" xfId="4" applyFont="1" applyFill="1" applyAlignment="1">
      <alignment horizontal="center" vertical="center"/>
    </xf>
    <xf numFmtId="165" fontId="5" fillId="2" borderId="0" xfId="4" applyFont="1" applyFill="1" applyAlignment="1" applyProtection="1">
      <alignment horizontal="center" vertical="center"/>
    </xf>
    <xf numFmtId="165" fontId="22" fillId="2" borderId="0" xfId="4" applyFont="1" applyFill="1" applyAlignment="1">
      <alignment horizontal="center" vertical="center" wrapText="1"/>
    </xf>
    <xf numFmtId="165" fontId="8" fillId="2" borderId="2" xfId="4" applyFont="1" applyFill="1" applyBorder="1" applyAlignment="1" applyProtection="1">
      <alignment horizontal="center" vertical="center"/>
    </xf>
    <xf numFmtId="165" fontId="12" fillId="2" borderId="3" xfId="4" applyFont="1" applyFill="1" applyBorder="1" applyAlignment="1" applyProtection="1">
      <alignment horizontal="right" vertical="center" indent="2"/>
    </xf>
    <xf numFmtId="165" fontId="26" fillId="2" borderId="3" xfId="0" applyNumberFormat="1" applyFont="1" applyFill="1" applyBorder="1" applyAlignment="1">
      <alignment horizontal="left" vertical="center"/>
    </xf>
  </cellXfs>
  <cellStyles count="7">
    <cellStyle name="Comma 2" xfId="1"/>
    <cellStyle name="Comma_Statindicators" xfId="6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P25"/>
  <sheetViews>
    <sheetView tabSelected="1" zoomScaleNormal="100" workbookViewId="0">
      <selection activeCell="V13" sqref="V13:AH48"/>
    </sheetView>
  </sheetViews>
  <sheetFormatPr defaultColWidth="12.28515625" defaultRowHeight="12.75"/>
  <cols>
    <col min="1" max="4" width="12.28515625" style="13"/>
    <col min="5" max="6" width="12.28515625" style="17"/>
    <col min="7" max="7" width="12.28515625" style="13"/>
    <col min="8" max="9" width="12.28515625" style="17"/>
    <col min="10" max="10" width="13.85546875" style="13" customWidth="1"/>
    <col min="11" max="11" width="26.42578125" style="13" customWidth="1"/>
    <col min="12" max="16384" width="12.28515625" style="13"/>
  </cols>
  <sheetData>
    <row r="1" spans="1:42" s="7" customFormat="1" ht="19.5">
      <c r="A1" s="54" t="s">
        <v>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41"/>
      <c r="M1" s="41"/>
      <c r="N1" s="41"/>
      <c r="O1" s="41"/>
      <c r="P1" s="41"/>
      <c r="Q1" s="41"/>
      <c r="R1" s="41"/>
      <c r="S1" s="41"/>
      <c r="T1" s="4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2" s="8" customFormat="1" ht="15">
      <c r="A2" s="55" t="s">
        <v>52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19"/>
      <c r="M2" s="19"/>
      <c r="N2" s="19"/>
      <c r="O2" s="19"/>
      <c r="P2" s="19"/>
      <c r="Q2" s="19"/>
      <c r="R2" s="19"/>
      <c r="S2" s="19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2" s="12" customFormat="1" ht="15.75" customHeight="1">
      <c r="A3" s="56" t="s">
        <v>29</v>
      </c>
      <c r="B3" s="56"/>
      <c r="C3" s="56"/>
      <c r="D3" s="56"/>
      <c r="E3" s="56"/>
      <c r="F3" s="56"/>
      <c r="G3" s="56"/>
      <c r="H3" s="56"/>
      <c r="I3" s="56"/>
      <c r="J3" s="56"/>
      <c r="K3" s="56"/>
      <c r="M3" s="20"/>
      <c r="N3" s="20"/>
      <c r="O3" s="20"/>
      <c r="P3" s="20"/>
      <c r="Q3" s="20"/>
      <c r="R3" s="20"/>
      <c r="S3" s="20"/>
      <c r="T3" s="2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2" s="8" customFormat="1" ht="12">
      <c r="A4" s="57" t="s">
        <v>42</v>
      </c>
      <c r="B4" s="57"/>
      <c r="C4" s="57"/>
      <c r="D4" s="57"/>
      <c r="E4" s="57"/>
      <c r="F4" s="57"/>
      <c r="G4" s="57"/>
      <c r="H4" s="57"/>
      <c r="I4" s="57"/>
      <c r="J4" s="57"/>
      <c r="K4" s="57"/>
      <c r="M4" s="18"/>
      <c r="N4" s="18"/>
      <c r="O4" s="18"/>
      <c r="P4" s="18"/>
      <c r="Q4" s="18"/>
      <c r="R4" s="18"/>
      <c r="S4" s="18"/>
      <c r="T4" s="1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2" s="8" customFormat="1" ht="17.25" customHeight="1">
      <c r="A5" s="21"/>
      <c r="C5" s="58" t="s">
        <v>44</v>
      </c>
      <c r="D5" s="58"/>
      <c r="E5" s="58"/>
      <c r="F5" s="58"/>
      <c r="G5" s="58"/>
      <c r="H5" s="59" t="s">
        <v>45</v>
      </c>
      <c r="I5" s="59"/>
      <c r="J5" s="59"/>
      <c r="K5" s="22"/>
      <c r="L5" s="23"/>
      <c r="M5" s="15"/>
      <c r="N5" s="15"/>
      <c r="O5" s="15"/>
      <c r="P5" s="15"/>
      <c r="Q5" s="15"/>
      <c r="R5" s="15"/>
      <c r="S5" s="15"/>
      <c r="T5" s="15"/>
      <c r="U5" s="15"/>
      <c r="V5" s="1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s="4" customFormat="1" ht="30">
      <c r="A6" s="24"/>
      <c r="B6" s="42" t="s">
        <v>46</v>
      </c>
      <c r="C6" s="45" t="s">
        <v>47</v>
      </c>
      <c r="D6" s="45" t="s">
        <v>30</v>
      </c>
      <c r="E6" s="45" t="s">
        <v>31</v>
      </c>
      <c r="F6" s="45" t="s">
        <v>54</v>
      </c>
      <c r="G6" s="45" t="s">
        <v>32</v>
      </c>
      <c r="H6" s="45" t="s">
        <v>33</v>
      </c>
      <c r="I6" s="45" t="s">
        <v>34</v>
      </c>
      <c r="J6" s="46" t="s">
        <v>35</v>
      </c>
      <c r="K6" s="42" t="s">
        <v>43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s="10" customFormat="1" ht="25.5">
      <c r="A7" s="26" t="s">
        <v>0</v>
      </c>
      <c r="B7" s="27" t="s">
        <v>1</v>
      </c>
      <c r="C7" s="28" t="s">
        <v>41</v>
      </c>
      <c r="D7" s="27" t="s">
        <v>36</v>
      </c>
      <c r="E7" s="27" t="s">
        <v>37</v>
      </c>
      <c r="F7" s="48" t="s">
        <v>53</v>
      </c>
      <c r="G7" s="27" t="s">
        <v>38</v>
      </c>
      <c r="H7" s="27" t="s">
        <v>48</v>
      </c>
      <c r="I7" s="28" t="s">
        <v>39</v>
      </c>
      <c r="J7" s="28" t="s">
        <v>40</v>
      </c>
      <c r="K7" s="43"/>
      <c r="L7" s="25"/>
      <c r="M7" s="14"/>
      <c r="N7" s="14"/>
      <c r="O7" s="14"/>
      <c r="P7" s="14"/>
      <c r="Q7" s="14"/>
      <c r="R7" s="14"/>
      <c r="S7" s="14"/>
      <c r="T7" s="14"/>
      <c r="U7" s="14"/>
      <c r="V7" s="14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42" s="8" customFormat="1" ht="15.75">
      <c r="A8" s="29" t="s">
        <v>1</v>
      </c>
      <c r="B8" s="38">
        <f t="shared" ref="B8:B21" si="0">SUM(C8:J8)</f>
        <v>127351.81848143281</v>
      </c>
      <c r="C8" s="38">
        <f t="shared" ref="C8:J8" si="1">SUM(C9:C21)</f>
        <v>69244.324399131321</v>
      </c>
      <c r="D8" s="38">
        <f t="shared" si="1"/>
        <v>51472.456475638013</v>
      </c>
      <c r="E8" s="38">
        <f t="shared" si="1"/>
        <v>1828.2678227461436</v>
      </c>
      <c r="F8" s="38">
        <f t="shared" si="1"/>
        <v>1.2469999999999999</v>
      </c>
      <c r="G8" s="38">
        <f t="shared" si="1"/>
        <v>46.027014892861473</v>
      </c>
      <c r="H8" s="38">
        <f t="shared" si="1"/>
        <v>226.33633645749677</v>
      </c>
      <c r="I8" s="38">
        <f t="shared" si="1"/>
        <v>115.77849865914582</v>
      </c>
      <c r="J8" s="38">
        <f t="shared" si="1"/>
        <v>4417.3809339078234</v>
      </c>
      <c r="K8" s="42" t="s">
        <v>15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s="8" customFormat="1" ht="15.75">
      <c r="A9" s="29" t="s">
        <v>28</v>
      </c>
      <c r="B9" s="38">
        <f t="shared" si="0"/>
        <v>483.87768999999992</v>
      </c>
      <c r="C9" s="39">
        <v>0.32600000000000001</v>
      </c>
      <c r="D9" s="39">
        <v>112.06659000000001</v>
      </c>
      <c r="E9" s="39">
        <v>231.21609999999993</v>
      </c>
      <c r="F9" s="39">
        <v>1.2469999999999999</v>
      </c>
      <c r="G9" s="39">
        <v>0</v>
      </c>
      <c r="H9" s="39">
        <v>0</v>
      </c>
      <c r="I9" s="39">
        <v>0</v>
      </c>
      <c r="J9" s="39">
        <v>139.02200000000002</v>
      </c>
      <c r="K9" s="42" t="s">
        <v>49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s="8" customFormat="1" ht="17.25">
      <c r="A10" s="52" t="s">
        <v>2</v>
      </c>
      <c r="B10" s="38">
        <f t="shared" si="0"/>
        <v>19265.18476859192</v>
      </c>
      <c r="C10" s="49">
        <v>12874.774711312373</v>
      </c>
      <c r="D10" s="49">
        <v>5719.3383821340085</v>
      </c>
      <c r="E10" s="49">
        <v>306.4450683818996</v>
      </c>
      <c r="F10" s="49">
        <v>0</v>
      </c>
      <c r="G10" s="49">
        <v>4.7725781016931776</v>
      </c>
      <c r="H10" s="49">
        <v>29.774229320957897</v>
      </c>
      <c r="I10" s="49">
        <v>16.28473687583331</v>
      </c>
      <c r="J10" s="49">
        <v>313.79506246515405</v>
      </c>
      <c r="K10" s="50" t="s">
        <v>16</v>
      </c>
      <c r="L10" s="25"/>
      <c r="M10" s="25"/>
      <c r="N10" s="30"/>
      <c r="O10" s="30"/>
      <c r="P10" s="30"/>
      <c r="Q10" s="30"/>
      <c r="R10" s="30"/>
      <c r="S10" s="30"/>
      <c r="T10" s="30"/>
      <c r="U10" s="30"/>
      <c r="V10" s="30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s="8" customFormat="1" ht="17.25">
      <c r="A11" s="52" t="s">
        <v>3</v>
      </c>
      <c r="B11" s="38">
        <f t="shared" si="0"/>
        <v>10330.090111195375</v>
      </c>
      <c r="C11" s="49">
        <v>6164.5769266102698</v>
      </c>
      <c r="D11" s="49">
        <v>3523.1683860517874</v>
      </c>
      <c r="E11" s="49">
        <v>166.53932809812497</v>
      </c>
      <c r="F11" s="49">
        <v>0</v>
      </c>
      <c r="G11" s="49">
        <v>1.7219163325411344</v>
      </c>
      <c r="H11" s="49">
        <v>22.88063323703787</v>
      </c>
      <c r="I11" s="49">
        <v>13.651353216669941</v>
      </c>
      <c r="J11" s="49">
        <v>437.55156764894508</v>
      </c>
      <c r="K11" s="50" t="s">
        <v>17</v>
      </c>
      <c r="L11" s="25"/>
      <c r="M11" s="25"/>
      <c r="N11" s="30"/>
      <c r="O11" s="30"/>
      <c r="P11" s="30"/>
      <c r="Q11" s="30"/>
      <c r="R11" s="30"/>
      <c r="S11" s="30"/>
      <c r="T11" s="30"/>
      <c r="U11" s="30"/>
      <c r="V11" s="30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s="8" customFormat="1" ht="17.25">
      <c r="A12" s="52" t="s">
        <v>4</v>
      </c>
      <c r="B12" s="38">
        <f t="shared" si="0"/>
        <v>9499.19719825022</v>
      </c>
      <c r="C12" s="49">
        <v>3128.0179776933005</v>
      </c>
      <c r="D12" s="49">
        <v>5286.6685783532821</v>
      </c>
      <c r="E12" s="49">
        <v>179.52508359036918</v>
      </c>
      <c r="F12" s="49">
        <v>0</v>
      </c>
      <c r="G12" s="49">
        <v>4.8998085862642702</v>
      </c>
      <c r="H12" s="49">
        <v>22.017570197272224</v>
      </c>
      <c r="I12" s="49">
        <v>20.993604000420596</v>
      </c>
      <c r="J12" s="49">
        <v>857.07457582930806</v>
      </c>
      <c r="K12" s="50" t="s">
        <v>50</v>
      </c>
      <c r="L12" s="25"/>
      <c r="M12" s="25"/>
      <c r="N12" s="30"/>
      <c r="O12" s="30"/>
      <c r="P12" s="30"/>
      <c r="Q12" s="30"/>
      <c r="R12" s="30"/>
      <c r="S12" s="30"/>
      <c r="T12" s="30"/>
      <c r="U12" s="30"/>
      <c r="V12" s="3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s="8" customFormat="1" ht="17.25">
      <c r="A13" s="52" t="s">
        <v>5</v>
      </c>
      <c r="B13" s="38">
        <f t="shared" si="0"/>
        <v>16827.028232918994</v>
      </c>
      <c r="C13" s="49">
        <v>10435.924050821888</v>
      </c>
      <c r="D13" s="49">
        <v>5531.9655448830945</v>
      </c>
      <c r="E13" s="49">
        <v>160.93950312547167</v>
      </c>
      <c r="F13" s="49">
        <v>0</v>
      </c>
      <c r="G13" s="49">
        <v>6.0697550722074993</v>
      </c>
      <c r="H13" s="49">
        <v>14.214610668869785</v>
      </c>
      <c r="I13" s="49">
        <v>7.417212018151794</v>
      </c>
      <c r="J13" s="49">
        <v>670.4975563293084</v>
      </c>
      <c r="K13" s="50" t="s">
        <v>18</v>
      </c>
      <c r="L13" s="30"/>
      <c r="M13" s="25"/>
      <c r="N13" s="30"/>
      <c r="O13" s="30"/>
      <c r="P13" s="30"/>
      <c r="Q13" s="30"/>
      <c r="R13" s="30"/>
      <c r="S13" s="30"/>
      <c r="T13" s="30"/>
      <c r="U13" s="30"/>
      <c r="V13" s="3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s="8" customFormat="1" ht="17.25">
      <c r="A14" s="52" t="s">
        <v>6</v>
      </c>
      <c r="B14" s="38">
        <f t="shared" si="0"/>
        <v>9222.1582113244549</v>
      </c>
      <c r="C14" s="49">
        <v>5168.616312458118</v>
      </c>
      <c r="D14" s="49">
        <v>3587.5631569392867</v>
      </c>
      <c r="E14" s="49">
        <v>102.71001334763528</v>
      </c>
      <c r="F14" s="49">
        <v>0</v>
      </c>
      <c r="G14" s="49">
        <v>4.7084845493152558</v>
      </c>
      <c r="H14" s="49">
        <v>11.640154424034622</v>
      </c>
      <c r="I14" s="49">
        <v>7.9101009856727558</v>
      </c>
      <c r="J14" s="49">
        <v>339.00998862039205</v>
      </c>
      <c r="K14" s="50" t="s">
        <v>19</v>
      </c>
      <c r="L14" s="30"/>
      <c r="M14" s="25"/>
      <c r="N14" s="30"/>
      <c r="O14" s="30"/>
      <c r="P14" s="30"/>
      <c r="Q14" s="30"/>
      <c r="R14" s="30"/>
      <c r="S14" s="30"/>
      <c r="T14" s="30"/>
      <c r="U14" s="30"/>
      <c r="V14" s="30"/>
      <c r="W14" s="5"/>
      <c r="X14" s="5"/>
      <c r="Y14" s="5"/>
      <c r="Z14" s="5"/>
      <c r="AA14" s="5"/>
      <c r="AB14" s="31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s="8" customFormat="1" ht="17.25">
      <c r="A15" s="52" t="s">
        <v>7</v>
      </c>
      <c r="B15" s="38">
        <f t="shared" si="0"/>
        <v>6655.2379402207025</v>
      </c>
      <c r="C15" s="49">
        <v>3630.4492658687109</v>
      </c>
      <c r="D15" s="49">
        <v>2784.6832259197622</v>
      </c>
      <c r="E15" s="49">
        <v>149.50442895269921</v>
      </c>
      <c r="F15" s="49">
        <v>0</v>
      </c>
      <c r="G15" s="49">
        <v>3.9288390987480208</v>
      </c>
      <c r="H15" s="49">
        <v>12.373116840969555</v>
      </c>
      <c r="I15" s="49">
        <v>20.265042008966372</v>
      </c>
      <c r="J15" s="49">
        <v>54.03402153084609</v>
      </c>
      <c r="K15" s="50" t="s">
        <v>20</v>
      </c>
      <c r="L15" s="30"/>
      <c r="M15" s="25"/>
      <c r="N15" s="30"/>
      <c r="O15" s="30"/>
      <c r="P15" s="30"/>
      <c r="Q15" s="30"/>
      <c r="R15" s="30"/>
      <c r="S15" s="30"/>
      <c r="T15" s="30"/>
      <c r="U15" s="30"/>
      <c r="V15" s="3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s="4" customFormat="1" ht="17.25">
      <c r="A16" s="52" t="s">
        <v>8</v>
      </c>
      <c r="B16" s="38">
        <f t="shared" si="0"/>
        <v>5704.0809713741492</v>
      </c>
      <c r="C16" s="49">
        <v>2970.7849314010905</v>
      </c>
      <c r="D16" s="49">
        <v>2287.7644995045594</v>
      </c>
      <c r="E16" s="49">
        <v>83.436412513465413</v>
      </c>
      <c r="F16" s="49">
        <v>0</v>
      </c>
      <c r="G16" s="49">
        <v>4.8077817244917966</v>
      </c>
      <c r="H16" s="49">
        <v>19.196497253848001</v>
      </c>
      <c r="I16" s="49">
        <v>9.1678655019411028</v>
      </c>
      <c r="J16" s="49">
        <v>328.9229834747519</v>
      </c>
      <c r="K16" s="50" t="s">
        <v>21</v>
      </c>
      <c r="L16" s="30"/>
      <c r="M16" s="25"/>
      <c r="N16" s="30"/>
      <c r="O16" s="30"/>
      <c r="P16" s="30"/>
      <c r="Q16" s="30"/>
      <c r="R16" s="30"/>
      <c r="S16" s="30"/>
      <c r="T16" s="30"/>
      <c r="U16" s="30"/>
      <c r="V16" s="30"/>
      <c r="W16" s="6"/>
      <c r="X16" s="6"/>
      <c r="Y16" s="32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27" s="4" customFormat="1" ht="17.25">
      <c r="A17" s="52" t="s">
        <v>9</v>
      </c>
      <c r="B17" s="38">
        <f t="shared" si="0"/>
        <v>7504.2493873128051</v>
      </c>
      <c r="C17" s="49">
        <v>3050.6959796844276</v>
      </c>
      <c r="D17" s="49">
        <v>3805.5944928435983</v>
      </c>
      <c r="E17" s="49">
        <v>168.92477532320893</v>
      </c>
      <c r="F17" s="49">
        <v>0</v>
      </c>
      <c r="G17" s="49">
        <v>6.9029712531204588</v>
      </c>
      <c r="H17" s="49">
        <v>17.598367773919779</v>
      </c>
      <c r="I17" s="49">
        <v>9.3660769314413574</v>
      </c>
      <c r="J17" s="49">
        <v>445.16672350308875</v>
      </c>
      <c r="K17" s="50" t="s">
        <v>22</v>
      </c>
      <c r="L17" s="30"/>
      <c r="M17" s="25"/>
      <c r="N17" s="30"/>
      <c r="O17" s="30"/>
      <c r="P17" s="30"/>
      <c r="Q17" s="30"/>
      <c r="R17" s="30"/>
      <c r="S17" s="30"/>
      <c r="T17" s="30"/>
      <c r="U17" s="30"/>
      <c r="V17" s="30"/>
    </row>
    <row r="18" spans="1:27" s="4" customFormat="1" ht="17.25">
      <c r="A18" s="52" t="s">
        <v>10</v>
      </c>
      <c r="B18" s="38">
        <f t="shared" si="0"/>
        <v>5918.2329632135288</v>
      </c>
      <c r="C18" s="49">
        <v>2629.9917904089943</v>
      </c>
      <c r="D18" s="49">
        <v>2791.6646091470525</v>
      </c>
      <c r="E18" s="49">
        <v>116.74554469821503</v>
      </c>
      <c r="F18" s="49">
        <v>0</v>
      </c>
      <c r="G18" s="49">
        <v>3.5949786542719888</v>
      </c>
      <c r="H18" s="49">
        <v>61.413867940861834</v>
      </c>
      <c r="I18" s="49">
        <v>3.1361836297248038</v>
      </c>
      <c r="J18" s="49">
        <v>311.68598873440874</v>
      </c>
      <c r="K18" s="50" t="s">
        <v>23</v>
      </c>
      <c r="L18" s="30"/>
      <c r="M18" s="25"/>
      <c r="N18" s="30"/>
      <c r="O18" s="30"/>
      <c r="P18" s="30"/>
      <c r="Q18" s="30"/>
      <c r="R18" s="30"/>
      <c r="S18" s="30"/>
      <c r="T18" s="30"/>
      <c r="U18" s="30"/>
      <c r="V18" s="30"/>
    </row>
    <row r="19" spans="1:27" s="4" customFormat="1" ht="17.25">
      <c r="A19" s="52" t="s">
        <v>11</v>
      </c>
      <c r="B19" s="38">
        <f t="shared" si="0"/>
        <v>14335.29545602639</v>
      </c>
      <c r="C19" s="49">
        <v>8357.8139012712891</v>
      </c>
      <c r="D19" s="49">
        <v>5672.5563260672443</v>
      </c>
      <c r="E19" s="49">
        <v>71.655692335540891</v>
      </c>
      <c r="F19" s="49">
        <v>0</v>
      </c>
      <c r="G19" s="49">
        <v>1.7768263311455017</v>
      </c>
      <c r="H19" s="49">
        <v>7.2002888123779734</v>
      </c>
      <c r="I19" s="49">
        <v>3.8184452753970954</v>
      </c>
      <c r="J19" s="49">
        <v>220.47397593339414</v>
      </c>
      <c r="K19" s="50" t="s">
        <v>24</v>
      </c>
      <c r="L19" s="30"/>
      <c r="M19" s="25"/>
      <c r="N19" s="30"/>
      <c r="O19" s="30"/>
      <c r="P19" s="30"/>
      <c r="Q19" s="30"/>
      <c r="R19" s="30"/>
      <c r="S19" s="30"/>
      <c r="T19" s="30"/>
      <c r="U19" s="30"/>
      <c r="V19" s="30"/>
    </row>
    <row r="20" spans="1:27" s="4" customFormat="1" ht="17.25">
      <c r="A20" s="52" t="s">
        <v>12</v>
      </c>
      <c r="B20" s="38">
        <f t="shared" si="0"/>
        <v>12611.911178464577</v>
      </c>
      <c r="C20" s="49">
        <v>6068.1012619352105</v>
      </c>
      <c r="D20" s="49">
        <v>6292.8929955134781</v>
      </c>
      <c r="E20" s="49">
        <v>52.225033599439584</v>
      </c>
      <c r="F20" s="49">
        <v>0</v>
      </c>
      <c r="G20" s="49">
        <v>0.50126897680641913</v>
      </c>
      <c r="H20" s="49">
        <v>3.7371324305115037</v>
      </c>
      <c r="I20" s="49">
        <v>1.677854420698798</v>
      </c>
      <c r="J20" s="49">
        <v>192.77563158843242</v>
      </c>
      <c r="K20" s="50" t="s">
        <v>25</v>
      </c>
      <c r="L20" s="30"/>
      <c r="M20" s="25"/>
      <c r="N20" s="30"/>
      <c r="O20" s="30"/>
      <c r="P20" s="30"/>
      <c r="Q20" s="30"/>
      <c r="R20" s="30"/>
      <c r="S20" s="30"/>
      <c r="T20" s="30"/>
      <c r="U20" s="30"/>
      <c r="V20" s="30"/>
    </row>
    <row r="21" spans="1:27" s="4" customFormat="1" ht="17.25">
      <c r="A21" s="53" t="s">
        <v>13</v>
      </c>
      <c r="B21" s="40">
        <f t="shared" si="0"/>
        <v>8995.2743725397049</v>
      </c>
      <c r="C21" s="2">
        <v>4764.2512896656563</v>
      </c>
      <c r="D21" s="2">
        <v>4076.5296882808625</v>
      </c>
      <c r="E21" s="2">
        <v>38.400838780073727</v>
      </c>
      <c r="F21" s="2">
        <v>0</v>
      </c>
      <c r="G21" s="2">
        <v>2.3418062122559427</v>
      </c>
      <c r="H21" s="2">
        <v>4.2898675568357341</v>
      </c>
      <c r="I21" s="2">
        <v>2.0900237942279047</v>
      </c>
      <c r="J21" s="2">
        <v>107.37085824979327</v>
      </c>
      <c r="K21" s="51" t="s">
        <v>26</v>
      </c>
      <c r="L21" s="33"/>
      <c r="M21" s="25"/>
      <c r="N21" s="33"/>
      <c r="O21" s="33"/>
      <c r="P21" s="33"/>
      <c r="Q21" s="33"/>
      <c r="R21" s="33"/>
      <c r="S21" s="33"/>
      <c r="T21" s="33"/>
      <c r="U21" s="33"/>
      <c r="V21" s="33"/>
    </row>
    <row r="22" spans="1:27" s="4" customFormat="1" ht="15.75">
      <c r="A22" s="1" t="s">
        <v>14</v>
      </c>
      <c r="B22" s="34"/>
      <c r="C22" s="34"/>
      <c r="D22" s="34"/>
      <c r="E22" s="34"/>
      <c r="F22" s="34"/>
      <c r="G22" s="34"/>
      <c r="H22" s="34"/>
      <c r="I22" s="34"/>
      <c r="K22" s="44" t="s">
        <v>27</v>
      </c>
      <c r="L22" s="30"/>
      <c r="M22" s="30"/>
      <c r="N22" s="30"/>
      <c r="O22" s="30"/>
      <c r="P22" s="30"/>
      <c r="Q22" s="30"/>
      <c r="R22" s="30"/>
      <c r="S22" s="30"/>
      <c r="T22" s="30"/>
    </row>
    <row r="23" spans="1:27" s="4" customFormat="1" ht="15.75">
      <c r="A23" s="1"/>
      <c r="B23" s="34"/>
      <c r="C23" s="34"/>
      <c r="D23" s="34"/>
      <c r="E23" s="34"/>
      <c r="F23" s="34"/>
      <c r="G23" s="34"/>
      <c r="H23" s="34"/>
      <c r="I23" s="34"/>
      <c r="K23" s="35"/>
      <c r="L23" s="30"/>
      <c r="M23" s="30"/>
      <c r="N23" s="30"/>
      <c r="O23" s="30"/>
      <c r="P23" s="30"/>
      <c r="Q23" s="30"/>
      <c r="R23" s="30"/>
      <c r="S23" s="30"/>
      <c r="T23" s="30"/>
    </row>
    <row r="24" spans="1:27" s="4" customFormat="1" ht="15.75">
      <c r="A24" s="1"/>
      <c r="B24" s="34"/>
      <c r="C24" s="34"/>
      <c r="D24" s="34"/>
      <c r="E24" s="34"/>
      <c r="F24" s="34"/>
      <c r="G24" s="34"/>
      <c r="H24" s="34"/>
      <c r="I24" s="34"/>
      <c r="K24" s="35"/>
      <c r="L24" s="30"/>
      <c r="M24" s="30"/>
      <c r="N24" s="30"/>
      <c r="O24" s="30"/>
      <c r="P24" s="30"/>
      <c r="Q24" s="30"/>
      <c r="R24" s="30"/>
      <c r="S24" s="30"/>
      <c r="T24" s="30"/>
    </row>
    <row r="25" spans="1:27" ht="15">
      <c r="K25" s="47"/>
      <c r="U25" s="36"/>
      <c r="V25" s="37"/>
      <c r="W25" s="37"/>
      <c r="X25" s="37"/>
      <c r="Y25" s="37"/>
      <c r="Z25" s="16"/>
      <c r="AA25" s="16"/>
    </row>
  </sheetData>
  <mergeCells count="6">
    <mergeCell ref="A1:K1"/>
    <mergeCell ref="A2:K2"/>
    <mergeCell ref="A3:K3"/>
    <mergeCell ref="A4:K4"/>
    <mergeCell ref="C5:G5"/>
    <mergeCell ref="H5:J5"/>
  </mergeCells>
  <pageMargins left="0.25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2016-09-22T08:20:50Z</cp:lastPrinted>
  <dcterms:created xsi:type="dcterms:W3CDTF">2014-03-04T03:52:57Z</dcterms:created>
  <dcterms:modified xsi:type="dcterms:W3CDTF">2016-09-22T08:20:59Z</dcterms:modified>
</cp:coreProperties>
</file>