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4130" windowHeight="12255" tabRatio="898"/>
  </bookViews>
  <sheets>
    <sheet name="9.12" sheetId="26" r:id="rId1"/>
  </sheets>
  <definedNames>
    <definedName name="_xlnm.Print_Area" localSheetId="0">'9.12'!$A$1:$I$31</definedName>
  </definedNames>
  <calcPr calcId="144525"/>
</workbook>
</file>

<file path=xl/calcChain.xml><?xml version="1.0" encoding="utf-8"?>
<calcChain xmlns="http://schemas.openxmlformats.org/spreadsheetml/2006/main">
  <c r="B29" i="26" l="1"/>
  <c r="B28" i="26"/>
  <c r="B27" i="26"/>
  <c r="B26" i="26"/>
  <c r="B25" i="26"/>
  <c r="B24" i="26"/>
  <c r="B23" i="26"/>
  <c r="B22" i="26"/>
  <c r="B21" i="26"/>
  <c r="B20" i="26"/>
  <c r="B19" i="26"/>
  <c r="B18" i="26"/>
  <c r="B17" i="26"/>
  <c r="B16" i="26"/>
  <c r="B15" i="26"/>
  <c r="B14" i="26"/>
  <c r="B13" i="26"/>
  <c r="B12" i="26"/>
  <c r="B11" i="26"/>
  <c r="B10" i="26"/>
  <c r="B9" i="26"/>
  <c r="B8" i="26"/>
  <c r="B7" i="26" s="1"/>
  <c r="H7" i="26"/>
  <c r="G7" i="26"/>
  <c r="F7" i="26"/>
  <c r="E7" i="26"/>
  <c r="D7" i="26"/>
  <c r="C7" i="26"/>
</calcChain>
</file>

<file path=xl/sharedStrings.xml><?xml version="1.0" encoding="utf-8"?>
<sst xmlns="http://schemas.openxmlformats.org/spreadsheetml/2006/main" count="68" uniqueCount="67">
  <si>
    <t>Total</t>
  </si>
  <si>
    <t>ޖުމްލަ</t>
  </si>
  <si>
    <t>އިންޑިއާ</t>
  </si>
  <si>
    <t>ސްރީލަންކާ</t>
  </si>
  <si>
    <t>ޔޫ. އޭ. އީ</t>
  </si>
  <si>
    <t>އޮސްޓްރޭލިއާ</t>
  </si>
  <si>
    <t>ތައިލޭންޑް</t>
  </si>
  <si>
    <t>އެހެނިހެން ޤައުމުތައް</t>
  </si>
  <si>
    <t>ދަނޑުވެރިކަމުގެ ބާވަތްތައް</t>
  </si>
  <si>
    <t xml:space="preserve"> Total</t>
  </si>
  <si>
    <t>India</t>
  </si>
  <si>
    <t>Srilanka</t>
  </si>
  <si>
    <t>U.A.E</t>
  </si>
  <si>
    <t>Australia</t>
  </si>
  <si>
    <t>Thailand</t>
  </si>
  <si>
    <t>Other Countries</t>
  </si>
  <si>
    <t>Banana &amp; Plaintain (Fresh)</t>
  </si>
  <si>
    <t>ފަތްކެޔޮ</t>
  </si>
  <si>
    <t>Beans, Fresh Or Chilled</t>
  </si>
  <si>
    <t>ބީންސް</t>
  </si>
  <si>
    <t>ފާގަ</t>
  </si>
  <si>
    <t>ކަދޫ</t>
  </si>
  <si>
    <t>ބަނބުކެޔޮ</t>
  </si>
  <si>
    <t>ބޮނޑިކޮޕީ</t>
  </si>
  <si>
    <t>Cabbage Lettuce, Fresh or Chilled</t>
  </si>
  <si>
    <t>ކެބެޖް ލެޓިއުސް</t>
  </si>
  <si>
    <t>ދަނޑިއަލުވި</t>
  </si>
  <si>
    <t>ގިތެޔޮމިރުސް</t>
  </si>
  <si>
    <t>ކިއުކަމްބަރ</t>
  </si>
  <si>
    <t>މުރަނގަތޮޅި</t>
  </si>
  <si>
    <t>ފޭރު</t>
  </si>
  <si>
    <t>Lettuce, Fresh Or Chilled, (Excl. Cabbage Lettuce)</t>
  </si>
  <si>
    <t>ލެޓިއުސް</t>
  </si>
  <si>
    <t>އަނބު</t>
  </si>
  <si>
    <t>Melons, Fresh, (Excl.Watermelons)</t>
  </si>
  <si>
    <t>މެލަން</t>
  </si>
  <si>
    <t>Papaws (Papayas), Fresh</t>
  </si>
  <si>
    <t>ފަޅޯ</t>
  </si>
  <si>
    <t>ފެޝަންފްރުޓް</t>
  </si>
  <si>
    <t>Pumpkin (Fresh Or Chilled)</t>
  </si>
  <si>
    <t>ބަރަބޯ</t>
  </si>
  <si>
    <t>Sapodilla (Fresh)</t>
  </si>
  <si>
    <t>ސަބްދެލި</t>
  </si>
  <si>
    <t>ޗިޗަންޑާ</t>
  </si>
  <si>
    <t>ކައްޓަލަ</t>
  </si>
  <si>
    <t>Watermelons, Fresh</t>
  </si>
  <si>
    <t>ކަރާ</t>
  </si>
  <si>
    <t>Source: Maldives Customs Service</t>
  </si>
  <si>
    <t xml:space="preserve"> cswsivrWs cscmwTcswk cscviDclOM :ctWrwf ivcaedutWmUluAwm</t>
  </si>
  <si>
    <t>(cniaOlik )</t>
  </si>
  <si>
    <t>(In kgs)</t>
  </si>
  <si>
    <t>Agricultural Crops</t>
  </si>
  <si>
    <t>Bitter Gourd ( Fresh Or Chilled )</t>
  </si>
  <si>
    <t>Bottle Gourd ( Fresh Or Chilled )</t>
  </si>
  <si>
    <t>Bread Fruit ( Fresh Or Chilled)</t>
  </si>
  <si>
    <t>Cabbage ( Fresh Or Chilled )</t>
  </si>
  <si>
    <t>Cassava &amp; Manioc ( Fresh , Chilled Or Frozen )</t>
  </si>
  <si>
    <t>Chillies( Fresh Or Chilled )</t>
  </si>
  <si>
    <t>Cucumber ( Fresh Or Chilled )</t>
  </si>
  <si>
    <t>Drumstick ( Fresh Or Chilled )</t>
  </si>
  <si>
    <t>Guava ( Fresh Or Dried )</t>
  </si>
  <si>
    <t>Mango ( Fresh Or Dried )</t>
  </si>
  <si>
    <t>Passion Fruit ( Fresh Or Dried )</t>
  </si>
  <si>
    <t>Snake Gourd ( Fresh Or Chilled )</t>
  </si>
  <si>
    <t>Sweet Potato ( Fresh , Chilled Or Frozen )</t>
  </si>
  <si>
    <t>Table 9.12: IMPORTS OF FRESH AGRICULTURAL CROPS MAINLY PRODUCED IN MALDIVES, 2015</t>
  </si>
  <si>
    <t>2015 ,cawtctwvWb egumwkirevuDnwd Wdcawh cSokumcaWa iawgEjcaWr cniaeret egukwtctwvWb unuveruk cTrOpcmia cSwaejcaWr  : 9.12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</si>
</sst>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 d\,\ yyyy;@"/>
    <numFmt numFmtId="165" formatCode="General_)"/>
  </numFmts>
  <fonts count="19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i/>
      <sz val="9"/>
      <name val="Calibri"/>
      <family val="2"/>
    </font>
    <font>
      <sz val="9"/>
      <name val="A_Randhoo"/>
    </font>
    <font>
      <b/>
      <sz val="11"/>
      <name val="A_Randhoo"/>
    </font>
    <font>
      <i/>
      <sz val="9"/>
      <name val="Arial"/>
      <family val="2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b/>
      <sz val="11"/>
      <color indexed="8"/>
      <name val="Faruma"/>
    </font>
    <font>
      <b/>
      <sz val="9"/>
      <color indexed="8"/>
      <name val="Calibri"/>
      <family val="2"/>
    </font>
    <font>
      <b/>
      <sz val="10"/>
      <color indexed="8"/>
      <name val="Faruma"/>
    </font>
    <font>
      <b/>
      <sz val="11"/>
      <color indexed="8"/>
      <name val="Calibri"/>
      <family val="2"/>
    </font>
    <font>
      <sz val="11"/>
      <color indexed="8"/>
      <name val="Faruma"/>
    </font>
    <font>
      <sz val="9"/>
      <color indexed="8"/>
      <name val="Calibri"/>
      <family val="2"/>
    </font>
    <font>
      <b/>
      <sz val="10"/>
      <color indexed="8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64"/>
      </top>
      <bottom/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/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64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8">
    <xf numFmtId="0" fontId="0" fillId="0" borderId="0"/>
    <xf numFmtId="40" fontId="4" fillId="0" borderId="0" applyFont="0" applyFill="0" applyBorder="0" applyAlignment="0" applyProtection="0"/>
    <xf numFmtId="164" fontId="1" fillId="0" borderId="0"/>
    <xf numFmtId="164" fontId="1" fillId="0" borderId="0"/>
    <xf numFmtId="165" fontId="1" fillId="0" borderId="0"/>
    <xf numFmtId="0" fontId="1" fillId="0" borderId="0"/>
    <xf numFmtId="0" fontId="2" fillId="0" borderId="0"/>
    <xf numFmtId="0" fontId="10" fillId="0" borderId="0"/>
  </cellStyleXfs>
  <cellXfs count="39">
    <xf numFmtId="0" fontId="0" fillId="0" borderId="0" xfId="0"/>
    <xf numFmtId="38" fontId="5" fillId="2" borderId="2" xfId="1" applyNumberFormat="1" applyFont="1" applyFill="1" applyBorder="1"/>
    <xf numFmtId="38" fontId="3" fillId="2" borderId="0" xfId="1" applyNumberFormat="1" applyFont="1" applyFill="1" applyBorder="1"/>
    <xf numFmtId="38" fontId="5" fillId="2" borderId="0" xfId="1" applyNumberFormat="1" applyFont="1" applyFill="1" applyBorder="1"/>
    <xf numFmtId="165" fontId="10" fillId="2" borderId="4" xfId="7" applyNumberFormat="1" applyFill="1" applyBorder="1"/>
    <xf numFmtId="165" fontId="10" fillId="2" borderId="4" xfId="7" applyNumberFormat="1" applyFont="1" applyFill="1" applyBorder="1"/>
    <xf numFmtId="2" fontId="14" fillId="2" borderId="3" xfId="7" applyNumberFormat="1" applyFont="1" applyFill="1" applyBorder="1" applyAlignment="1">
      <alignment horizontal="right" vertical="center"/>
    </xf>
    <xf numFmtId="0" fontId="15" fillId="2" borderId="2" xfId="7" applyNumberFormat="1" applyFont="1" applyFill="1" applyBorder="1" applyAlignment="1">
      <alignment horizontal="right" vertical="center"/>
    </xf>
    <xf numFmtId="165" fontId="1" fillId="2" borderId="4" xfId="7" applyNumberFormat="1" applyFont="1" applyFill="1" applyBorder="1"/>
    <xf numFmtId="0" fontId="13" fillId="2" borderId="1" xfId="7" applyNumberFormat="1" applyFont="1" applyFill="1" applyBorder="1" applyAlignment="1">
      <alignment horizontal="left" vertical="center"/>
    </xf>
    <xf numFmtId="38" fontId="15" fillId="2" borderId="1" xfId="7" applyNumberFormat="1" applyFont="1" applyFill="1" applyBorder="1" applyAlignment="1">
      <alignment horizontal="right" vertical="center"/>
    </xf>
    <xf numFmtId="0" fontId="12" fillId="2" borderId="7" xfId="7" applyNumberFormat="1" applyFont="1" applyFill="1" applyBorder="1" applyAlignment="1">
      <alignment horizontal="right" vertical="center"/>
    </xf>
    <xf numFmtId="1" fontId="5" fillId="2" borderId="0" xfId="0" applyNumberFormat="1" applyFont="1" applyFill="1" applyBorder="1"/>
    <xf numFmtId="0" fontId="16" fillId="2" borderId="10" xfId="7" applyNumberFormat="1" applyFont="1" applyFill="1" applyBorder="1" applyAlignment="1">
      <alignment vertical="center"/>
    </xf>
    <xf numFmtId="0" fontId="17" fillId="2" borderId="11" xfId="7" applyNumberFormat="1" applyFont="1" applyFill="1" applyBorder="1" applyAlignment="1">
      <alignment horizontal="left" vertical="center"/>
    </xf>
    <xf numFmtId="0" fontId="16" fillId="2" borderId="12" xfId="7" applyNumberFormat="1" applyFont="1" applyFill="1" applyBorder="1" applyAlignment="1">
      <alignment vertical="center"/>
    </xf>
    <xf numFmtId="0" fontId="17" fillId="2" borderId="13" xfId="7" applyNumberFormat="1" applyFont="1" applyFill="1" applyBorder="1" applyAlignment="1">
      <alignment horizontal="left" vertical="center"/>
    </xf>
    <xf numFmtId="38" fontId="3" fillId="2" borderId="2" xfId="1" applyNumberFormat="1" applyFont="1" applyFill="1" applyBorder="1"/>
    <xf numFmtId="165" fontId="7" fillId="2" borderId="16" xfId="4" applyFont="1" applyFill="1" applyBorder="1" applyAlignment="1">
      <alignment horizontal="right" vertical="center" indent="1"/>
    </xf>
    <xf numFmtId="165" fontId="9" fillId="2" borderId="16" xfId="4" applyFont="1" applyFill="1" applyBorder="1" applyAlignment="1" applyProtection="1">
      <alignment horizontal="left" vertical="center"/>
    </xf>
    <xf numFmtId="165" fontId="10" fillId="2" borderId="0" xfId="7" applyNumberFormat="1" applyFill="1" applyBorder="1"/>
    <xf numFmtId="1" fontId="5" fillId="2" borderId="0" xfId="0" applyNumberFormat="1" applyFont="1" applyFill="1" applyBorder="1" applyAlignment="1">
      <alignment horizontal="left" indent="1"/>
    </xf>
    <xf numFmtId="0" fontId="16" fillId="2" borderId="10" xfId="7" applyNumberFormat="1" applyFont="1" applyFill="1" applyBorder="1" applyAlignment="1">
      <alignment horizontal="right" vertical="center" indent="1"/>
    </xf>
    <xf numFmtId="0" fontId="17" fillId="2" borderId="11" xfId="7" applyNumberFormat="1" applyFont="1" applyFill="1" applyBorder="1" applyAlignment="1">
      <alignment horizontal="left" vertical="center" indent="1"/>
    </xf>
    <xf numFmtId="0" fontId="16" fillId="2" borderId="12" xfId="7" applyNumberFormat="1" applyFont="1" applyFill="1" applyBorder="1" applyAlignment="1">
      <alignment horizontal="right" vertical="center" indent="1"/>
    </xf>
    <xf numFmtId="0" fontId="17" fillId="2" borderId="13" xfId="7" applyNumberFormat="1" applyFont="1" applyFill="1" applyBorder="1" applyAlignment="1">
      <alignment horizontal="left" vertical="center" indent="1"/>
    </xf>
    <xf numFmtId="0" fontId="17" fillId="2" borderId="14" xfId="7" applyNumberFormat="1" applyFont="1" applyFill="1" applyBorder="1" applyAlignment="1">
      <alignment horizontal="left" vertical="center" indent="1"/>
    </xf>
    <xf numFmtId="0" fontId="16" fillId="2" borderId="15" xfId="7" applyNumberFormat="1" applyFont="1" applyFill="1" applyBorder="1" applyAlignment="1">
      <alignment horizontal="right" vertical="center" indent="1"/>
    </xf>
    <xf numFmtId="165" fontId="6" fillId="2" borderId="16" xfId="4" applyFont="1" applyFill="1" applyBorder="1" applyAlignment="1" applyProtection="1">
      <alignment horizontal="left" vertical="center"/>
    </xf>
    <xf numFmtId="165" fontId="7" fillId="2" borderId="16" xfId="4" applyFont="1" applyFill="1" applyBorder="1" applyAlignment="1">
      <alignment horizontal="left" vertical="center" indent="1"/>
    </xf>
    <xf numFmtId="0" fontId="8" fillId="2" borderId="4" xfId="6" applyFont="1" applyFill="1" applyBorder="1" applyAlignment="1">
      <alignment horizontal="center" vertical="center"/>
    </xf>
    <xf numFmtId="0" fontId="11" fillId="2" borderId="4" xfId="7" applyNumberFormat="1" applyFont="1" applyFill="1" applyBorder="1" applyAlignment="1">
      <alignment horizontal="center" vertical="center"/>
    </xf>
    <xf numFmtId="0" fontId="13" fillId="2" borderId="5" xfId="7" applyNumberFormat="1" applyFont="1" applyFill="1" applyBorder="1" applyAlignment="1">
      <alignment horizontal="center" vertical="center"/>
    </xf>
    <xf numFmtId="0" fontId="13" fillId="2" borderId="6" xfId="7" applyNumberFormat="1" applyFont="1" applyFill="1" applyBorder="1" applyAlignment="1">
      <alignment horizontal="left" vertical="center"/>
    </xf>
    <xf numFmtId="0" fontId="13" fillId="2" borderId="8" xfId="7" applyNumberFormat="1" applyFont="1" applyFill="1" applyBorder="1" applyAlignment="1">
      <alignment horizontal="left" vertical="center"/>
    </xf>
    <xf numFmtId="0" fontId="12" fillId="2" borderId="7" xfId="7" applyNumberFormat="1" applyFont="1" applyFill="1" applyBorder="1" applyAlignment="1">
      <alignment horizontal="right" vertical="center"/>
    </xf>
    <xf numFmtId="0" fontId="12" fillId="2" borderId="9" xfId="7" applyNumberFormat="1" applyFont="1" applyFill="1" applyBorder="1" applyAlignment="1">
      <alignment horizontal="right" vertical="center"/>
    </xf>
    <xf numFmtId="0" fontId="18" fillId="2" borderId="4" xfId="7" applyNumberFormat="1" applyFont="1" applyFill="1" applyBorder="1" applyAlignment="1">
      <alignment horizontal="center" vertical="center"/>
    </xf>
    <xf numFmtId="0" fontId="14" fillId="2" borderId="4" xfId="7" applyNumberFormat="1" applyFont="1" applyFill="1" applyBorder="1" applyAlignment="1">
      <alignment horizontal="center" vertical="center"/>
    </xf>
  </cellXfs>
  <cellStyles count="8">
    <cellStyle name="Comma 2" xfId="1"/>
    <cellStyle name="Normal" xfId="0" builtinId="0"/>
    <cellStyle name="Normal 2" xfId="5"/>
    <cellStyle name="Normal 3_agri planning 2009 year book(final)" xfId="3"/>
    <cellStyle name="Normal 4_agri planning 2009 year book(final)" xfId="2"/>
    <cellStyle name="Normal_agri planning 2009 year book(final)" xfId="7"/>
    <cellStyle name="Normal_Fish &amp;  Agri - 8" xfId="4"/>
    <cellStyle name="Normal_mmifco" xfId="6"/>
  </cellStyles>
  <dxfs count="0"/>
  <tableStyles count="0" defaultTableStyle="TableStyleMedium9" defaultPivotStyle="PivotStyleLight16"/>
  <colors>
    <mruColors>
      <color rgb="FF33CCCC"/>
      <color rgb="FF1C706E"/>
      <color rgb="FF81E1DF"/>
      <color rgb="FFFF3399"/>
      <color rgb="FFE8F5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AT34"/>
  <sheetViews>
    <sheetView tabSelected="1" zoomScaleNormal="100" workbookViewId="0">
      <selection activeCell="A2" sqref="A2:I2"/>
    </sheetView>
  </sheetViews>
  <sheetFormatPr defaultColWidth="8.85546875" defaultRowHeight="15" x14ac:dyDescent="0.25"/>
  <cols>
    <col min="1" max="1" width="40.85546875" style="4" customWidth="1"/>
    <col min="2" max="8" width="15.7109375" style="4" customWidth="1"/>
    <col min="9" max="9" width="24.5703125" style="4" customWidth="1"/>
    <col min="10" max="16384" width="8.85546875" style="4"/>
  </cols>
  <sheetData>
    <row r="1" spans="1:46" ht="18" x14ac:dyDescent="0.25">
      <c r="A1" s="30" t="s">
        <v>66</v>
      </c>
      <c r="B1" s="30"/>
      <c r="C1" s="30"/>
      <c r="D1" s="30"/>
      <c r="E1" s="30"/>
      <c r="F1" s="30"/>
      <c r="G1" s="30"/>
      <c r="H1" s="30"/>
      <c r="I1" s="30"/>
    </row>
    <row r="2" spans="1:46" s="5" customFormat="1" ht="15.75" x14ac:dyDescent="0.25">
      <c r="A2" s="31" t="s">
        <v>65</v>
      </c>
      <c r="B2" s="31"/>
      <c r="C2" s="31"/>
      <c r="D2" s="31"/>
      <c r="E2" s="31"/>
      <c r="F2" s="31"/>
      <c r="G2" s="31"/>
      <c r="H2" s="31"/>
      <c r="I2" s="31"/>
    </row>
    <row r="3" spans="1:46" ht="18.75" x14ac:dyDescent="0.25">
      <c r="A3" s="37" t="s">
        <v>49</v>
      </c>
      <c r="B3" s="37"/>
      <c r="C3" s="38"/>
      <c r="D3" s="38"/>
      <c r="E3" s="38"/>
      <c r="F3" s="38"/>
      <c r="G3" s="38"/>
      <c r="H3" s="38"/>
      <c r="I3" s="38"/>
    </row>
    <row r="4" spans="1:46" x14ac:dyDescent="0.25">
      <c r="A4" s="32" t="s">
        <v>50</v>
      </c>
      <c r="B4" s="32"/>
      <c r="C4" s="32"/>
      <c r="D4" s="32"/>
      <c r="E4" s="32"/>
      <c r="F4" s="32"/>
      <c r="G4" s="32"/>
      <c r="H4" s="32"/>
      <c r="I4" s="32"/>
    </row>
    <row r="5" spans="1:46" ht="18.75" x14ac:dyDescent="0.25">
      <c r="A5" s="33" t="s">
        <v>51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5</v>
      </c>
      <c r="G5" s="6" t="s">
        <v>6</v>
      </c>
      <c r="H5" s="6" t="s">
        <v>7</v>
      </c>
      <c r="I5" s="35" t="s">
        <v>8</v>
      </c>
    </row>
    <row r="6" spans="1:46" x14ac:dyDescent="0.25">
      <c r="A6" s="34"/>
      <c r="B6" s="7" t="s">
        <v>9</v>
      </c>
      <c r="C6" s="7" t="s">
        <v>10</v>
      </c>
      <c r="D6" s="7" t="s">
        <v>11</v>
      </c>
      <c r="E6" s="7" t="s">
        <v>12</v>
      </c>
      <c r="F6" s="7" t="s">
        <v>13</v>
      </c>
      <c r="G6" s="7" t="s">
        <v>14</v>
      </c>
      <c r="H6" s="7" t="s">
        <v>15</v>
      </c>
      <c r="I6" s="36"/>
    </row>
    <row r="7" spans="1:46" ht="21" x14ac:dyDescent="0.25">
      <c r="A7" s="9" t="s">
        <v>0</v>
      </c>
      <c r="B7" s="10">
        <f>SUM(B8:B29)</f>
        <v>11010605.789999999</v>
      </c>
      <c r="C7" s="10">
        <f t="shared" ref="C7:H7" si="0">SUM(C8:C29)</f>
        <v>6169430.4099999992</v>
      </c>
      <c r="D7" s="10">
        <f t="shared" si="0"/>
        <v>1978300.0399999998</v>
      </c>
      <c r="E7" s="10">
        <f t="shared" si="0"/>
        <v>1061442.3700000001</v>
      </c>
      <c r="F7" s="10">
        <f t="shared" si="0"/>
        <v>337321.93</v>
      </c>
      <c r="G7" s="10">
        <f t="shared" si="0"/>
        <v>752922.05999999994</v>
      </c>
      <c r="H7" s="10">
        <f t="shared" si="0"/>
        <v>711188.98</v>
      </c>
      <c r="I7" s="11" t="s">
        <v>1</v>
      </c>
      <c r="J7" s="8"/>
      <c r="K7" s="8"/>
      <c r="AO7" s="20"/>
      <c r="AP7" s="20"/>
      <c r="AQ7" s="20"/>
      <c r="AR7" s="20"/>
      <c r="AS7" s="20"/>
      <c r="AT7" s="20"/>
    </row>
    <row r="8" spans="1:46" ht="21" x14ac:dyDescent="0.25">
      <c r="A8" s="21" t="s">
        <v>16</v>
      </c>
      <c r="B8" s="2">
        <f t="shared" ref="B8:B29" si="1">SUM(C8:H8)</f>
        <v>1228024.3999999999</v>
      </c>
      <c r="C8" s="3">
        <v>995272.51</v>
      </c>
      <c r="D8" s="3">
        <v>143013.32999999999</v>
      </c>
      <c r="E8" s="3">
        <v>45925.15</v>
      </c>
      <c r="F8" s="3">
        <v>995.25</v>
      </c>
      <c r="G8" s="3">
        <v>11167.16</v>
      </c>
      <c r="H8" s="3">
        <v>31651</v>
      </c>
      <c r="I8" s="22" t="s">
        <v>17</v>
      </c>
      <c r="J8" s="12"/>
      <c r="K8" s="13"/>
    </row>
    <row r="9" spans="1:46" ht="21" x14ac:dyDescent="0.25">
      <c r="A9" s="23" t="s">
        <v>18</v>
      </c>
      <c r="B9" s="2">
        <f t="shared" si="1"/>
        <v>515736.31</v>
      </c>
      <c r="C9" s="3">
        <v>272183</v>
      </c>
      <c r="D9" s="3">
        <v>172337.12</v>
      </c>
      <c r="E9" s="3">
        <v>35722.29</v>
      </c>
      <c r="F9" s="3">
        <v>3303.13</v>
      </c>
      <c r="G9" s="3">
        <v>10223.84</v>
      </c>
      <c r="H9" s="3">
        <v>21966.93</v>
      </c>
      <c r="I9" s="24" t="s">
        <v>19</v>
      </c>
      <c r="J9" s="14"/>
      <c r="K9" s="13"/>
    </row>
    <row r="10" spans="1:46" ht="21" x14ac:dyDescent="0.25">
      <c r="A10" s="25" t="s">
        <v>52</v>
      </c>
      <c r="B10" s="2">
        <f t="shared" si="1"/>
        <v>94405.909999999989</v>
      </c>
      <c r="C10" s="3">
        <v>23023.5</v>
      </c>
      <c r="D10" s="3">
        <v>62641.06</v>
      </c>
      <c r="E10" s="3">
        <v>521.4</v>
      </c>
      <c r="F10" s="3">
        <v>0</v>
      </c>
      <c r="G10" s="3">
        <v>521.4</v>
      </c>
      <c r="H10" s="3">
        <v>7698.55</v>
      </c>
      <c r="I10" s="24" t="s">
        <v>20</v>
      </c>
      <c r="J10" s="16"/>
      <c r="K10" s="13"/>
    </row>
    <row r="11" spans="1:46" ht="21" x14ac:dyDescent="0.25">
      <c r="A11" s="25" t="s">
        <v>53</v>
      </c>
      <c r="B11" s="2">
        <f t="shared" si="1"/>
        <v>14608.930000000002</v>
      </c>
      <c r="C11" s="3">
        <v>2921.35</v>
      </c>
      <c r="D11" s="3">
        <v>8681.0400000000009</v>
      </c>
      <c r="E11" s="3">
        <v>1822.8</v>
      </c>
      <c r="F11" s="3">
        <v>0</v>
      </c>
      <c r="G11" s="3">
        <v>660.96</v>
      </c>
      <c r="H11" s="3">
        <v>522.78</v>
      </c>
      <c r="I11" s="24" t="s">
        <v>21</v>
      </c>
      <c r="J11" s="16"/>
      <c r="K11" s="13"/>
    </row>
    <row r="12" spans="1:46" ht="21" x14ac:dyDescent="0.25">
      <c r="A12" s="25" t="s">
        <v>54</v>
      </c>
      <c r="B12" s="2">
        <f t="shared" si="1"/>
        <v>5610.9400000000005</v>
      </c>
      <c r="C12" s="3">
        <v>88</v>
      </c>
      <c r="D12" s="3">
        <v>4421.92</v>
      </c>
      <c r="E12" s="3">
        <v>659</v>
      </c>
      <c r="F12" s="3">
        <v>0</v>
      </c>
      <c r="G12" s="3">
        <v>58</v>
      </c>
      <c r="H12" s="3">
        <v>384.02</v>
      </c>
      <c r="I12" s="24" t="s">
        <v>22</v>
      </c>
      <c r="J12" s="16"/>
      <c r="K12" s="13"/>
    </row>
    <row r="13" spans="1:46" ht="21" x14ac:dyDescent="0.25">
      <c r="A13" s="25" t="s">
        <v>55</v>
      </c>
      <c r="B13" s="2">
        <f t="shared" si="1"/>
        <v>3220669.64</v>
      </c>
      <c r="C13" s="3">
        <v>2682842.1</v>
      </c>
      <c r="D13" s="3">
        <v>297641.65000000002</v>
      </c>
      <c r="E13" s="3">
        <v>87136.07</v>
      </c>
      <c r="F13" s="3">
        <v>29619.68</v>
      </c>
      <c r="G13" s="3">
        <v>14932.04</v>
      </c>
      <c r="H13" s="3">
        <v>108498.1</v>
      </c>
      <c r="I13" s="24" t="s">
        <v>23</v>
      </c>
      <c r="J13" s="16"/>
      <c r="K13" s="13"/>
    </row>
    <row r="14" spans="1:46" ht="21" x14ac:dyDescent="0.25">
      <c r="A14" s="25" t="s">
        <v>24</v>
      </c>
      <c r="B14" s="2">
        <f t="shared" si="1"/>
        <v>38780.950000000004</v>
      </c>
      <c r="C14" s="3">
        <v>267.5</v>
      </c>
      <c r="D14" s="3">
        <v>6886.25</v>
      </c>
      <c r="E14" s="3">
        <v>7672.6</v>
      </c>
      <c r="F14" s="3">
        <v>791.59</v>
      </c>
      <c r="G14" s="3">
        <v>18614.07</v>
      </c>
      <c r="H14" s="3">
        <v>4548.9399999999996</v>
      </c>
      <c r="I14" s="24" t="s">
        <v>25</v>
      </c>
      <c r="J14" s="16"/>
      <c r="K14" s="13"/>
    </row>
    <row r="15" spans="1:46" ht="21" x14ac:dyDescent="0.25">
      <c r="A15" s="25" t="s">
        <v>56</v>
      </c>
      <c r="B15" s="2">
        <f t="shared" si="1"/>
        <v>73308.260000000009</v>
      </c>
      <c r="C15" s="3">
        <v>6569.8</v>
      </c>
      <c r="D15" s="3">
        <v>55179.85</v>
      </c>
      <c r="E15" s="3">
        <v>4860.8100000000004</v>
      </c>
      <c r="F15" s="3">
        <v>0</v>
      </c>
      <c r="G15" s="3">
        <v>64</v>
      </c>
      <c r="H15" s="3">
        <v>6633.8</v>
      </c>
      <c r="I15" s="24" t="s">
        <v>26</v>
      </c>
      <c r="J15" s="16"/>
      <c r="K15" s="13"/>
    </row>
    <row r="16" spans="1:46" ht="21" x14ac:dyDescent="0.25">
      <c r="A16" s="25" t="s">
        <v>57</v>
      </c>
      <c r="B16" s="2">
        <f t="shared" si="1"/>
        <v>324759.78000000003</v>
      </c>
      <c r="C16" s="3">
        <v>166050.04999999999</v>
      </c>
      <c r="D16" s="3">
        <v>90569.71</v>
      </c>
      <c r="E16" s="3">
        <v>20224.28</v>
      </c>
      <c r="F16" s="3">
        <v>302.66000000000003</v>
      </c>
      <c r="G16" s="3">
        <v>21023.62</v>
      </c>
      <c r="H16" s="3">
        <v>26589.46</v>
      </c>
      <c r="I16" s="24" t="s">
        <v>27</v>
      </c>
      <c r="J16" s="16"/>
      <c r="K16" s="13"/>
    </row>
    <row r="17" spans="1:11" ht="21" x14ac:dyDescent="0.25">
      <c r="A17" s="25" t="s">
        <v>58</v>
      </c>
      <c r="B17" s="2">
        <f t="shared" si="1"/>
        <v>513226.66999999993</v>
      </c>
      <c r="C17" s="3">
        <v>55549.5</v>
      </c>
      <c r="D17" s="3">
        <v>258365.33</v>
      </c>
      <c r="E17" s="3">
        <v>136346.64000000001</v>
      </c>
      <c r="F17" s="3">
        <v>9776.6</v>
      </c>
      <c r="G17" s="3">
        <v>10881.32</v>
      </c>
      <c r="H17" s="3">
        <v>42307.28</v>
      </c>
      <c r="I17" s="24" t="s">
        <v>28</v>
      </c>
      <c r="J17" s="16"/>
      <c r="K17" s="13"/>
    </row>
    <row r="18" spans="1:11" ht="21" x14ac:dyDescent="0.25">
      <c r="A18" s="25" t="s">
        <v>59</v>
      </c>
      <c r="B18" s="2">
        <f t="shared" si="1"/>
        <v>68689.41</v>
      </c>
      <c r="C18" s="3">
        <v>46943.1</v>
      </c>
      <c r="D18" s="3">
        <v>16782.2</v>
      </c>
      <c r="E18" s="3">
        <v>3236.51</v>
      </c>
      <c r="F18" s="3">
        <v>0</v>
      </c>
      <c r="G18" s="3">
        <v>357</v>
      </c>
      <c r="H18" s="3">
        <v>1370.6</v>
      </c>
      <c r="I18" s="24" t="s">
        <v>29</v>
      </c>
      <c r="J18" s="16"/>
      <c r="K18" s="13"/>
    </row>
    <row r="19" spans="1:11" ht="21" x14ac:dyDescent="0.25">
      <c r="A19" s="25" t="s">
        <v>60</v>
      </c>
      <c r="B19" s="2">
        <f t="shared" si="1"/>
        <v>282245.43</v>
      </c>
      <c r="C19" s="3">
        <v>46809.75</v>
      </c>
      <c r="D19" s="3">
        <v>99495.28</v>
      </c>
      <c r="E19" s="3">
        <v>28157.98</v>
      </c>
      <c r="F19" s="3">
        <v>0</v>
      </c>
      <c r="G19" s="3">
        <v>74713.31</v>
      </c>
      <c r="H19" s="3">
        <v>33069.11</v>
      </c>
      <c r="I19" s="24" t="s">
        <v>30</v>
      </c>
      <c r="J19" s="16"/>
      <c r="K19" s="13"/>
    </row>
    <row r="20" spans="1:11" ht="21" x14ac:dyDescent="0.25">
      <c r="A20" s="25" t="s">
        <v>31</v>
      </c>
      <c r="B20" s="2">
        <f t="shared" si="1"/>
        <v>490790.10000000003</v>
      </c>
      <c r="C20" s="3">
        <v>36173.300000000003</v>
      </c>
      <c r="D20" s="3">
        <v>49197.43</v>
      </c>
      <c r="E20" s="3">
        <v>203930.94</v>
      </c>
      <c r="F20" s="3">
        <v>89746.76</v>
      </c>
      <c r="G20" s="3">
        <v>44395.59</v>
      </c>
      <c r="H20" s="3">
        <v>67346.080000000016</v>
      </c>
      <c r="I20" s="24" t="s">
        <v>32</v>
      </c>
      <c r="J20" s="16"/>
      <c r="K20" s="13"/>
    </row>
    <row r="21" spans="1:11" ht="21" x14ac:dyDescent="0.25">
      <c r="A21" s="25" t="s">
        <v>61</v>
      </c>
      <c r="B21" s="2">
        <f t="shared" si="1"/>
        <v>639113.05000000005</v>
      </c>
      <c r="C21" s="3">
        <v>84439.5</v>
      </c>
      <c r="D21" s="3">
        <v>148868.51</v>
      </c>
      <c r="E21" s="3">
        <v>94322.54</v>
      </c>
      <c r="F21" s="3">
        <v>4357</v>
      </c>
      <c r="G21" s="3">
        <v>174604.18</v>
      </c>
      <c r="H21" s="3">
        <v>132521.32</v>
      </c>
      <c r="I21" s="24" t="s">
        <v>33</v>
      </c>
      <c r="J21" s="16"/>
      <c r="K21" s="13"/>
    </row>
    <row r="22" spans="1:11" ht="21" x14ac:dyDescent="0.25">
      <c r="A22" s="25" t="s">
        <v>34</v>
      </c>
      <c r="B22" s="2">
        <f t="shared" si="1"/>
        <v>792893.74000000011</v>
      </c>
      <c r="C22" s="3">
        <v>90772.9</v>
      </c>
      <c r="D22" s="3">
        <v>58215.7</v>
      </c>
      <c r="E22" s="3">
        <v>285582.26</v>
      </c>
      <c r="F22" s="3">
        <v>107770.3</v>
      </c>
      <c r="G22" s="3">
        <v>147866.29</v>
      </c>
      <c r="H22" s="3">
        <v>102686.29000000001</v>
      </c>
      <c r="I22" s="24" t="s">
        <v>35</v>
      </c>
      <c r="J22" s="16"/>
      <c r="K22" s="13"/>
    </row>
    <row r="23" spans="1:11" ht="21" x14ac:dyDescent="0.25">
      <c r="A23" s="25" t="s">
        <v>36</v>
      </c>
      <c r="B23" s="2">
        <f t="shared" si="1"/>
        <v>114703.54999999999</v>
      </c>
      <c r="C23" s="3">
        <v>450</v>
      </c>
      <c r="D23" s="3">
        <v>81424.45</v>
      </c>
      <c r="E23" s="3">
        <v>2485.5</v>
      </c>
      <c r="F23" s="3">
        <v>0</v>
      </c>
      <c r="G23" s="3">
        <v>22438.6</v>
      </c>
      <c r="H23" s="3">
        <v>7905</v>
      </c>
      <c r="I23" s="24" t="s">
        <v>37</v>
      </c>
      <c r="J23" s="16"/>
      <c r="K23" s="13"/>
    </row>
    <row r="24" spans="1:11" ht="21" x14ac:dyDescent="0.25">
      <c r="A24" s="25" t="s">
        <v>62</v>
      </c>
      <c r="B24" s="2">
        <f t="shared" si="1"/>
        <v>216455.86</v>
      </c>
      <c r="C24" s="3">
        <v>3876.15</v>
      </c>
      <c r="D24" s="3">
        <v>137125.49</v>
      </c>
      <c r="E24" s="3">
        <v>30251.62</v>
      </c>
      <c r="F24" s="3">
        <v>1141.0999999999999</v>
      </c>
      <c r="G24" s="3">
        <v>22724.5</v>
      </c>
      <c r="H24" s="3">
        <v>21337</v>
      </c>
      <c r="I24" s="24" t="s">
        <v>38</v>
      </c>
      <c r="J24" s="16"/>
      <c r="K24" s="13"/>
    </row>
    <row r="25" spans="1:11" ht="21" x14ac:dyDescent="0.25">
      <c r="A25" s="25" t="s">
        <v>39</v>
      </c>
      <c r="B25" s="2">
        <f t="shared" si="1"/>
        <v>357891.47000000003</v>
      </c>
      <c r="C25" s="3">
        <v>282732.09999999998</v>
      </c>
      <c r="D25" s="3">
        <v>43363.07</v>
      </c>
      <c r="E25" s="3">
        <v>15468.93</v>
      </c>
      <c r="F25" s="3">
        <v>8860.4</v>
      </c>
      <c r="G25" s="3">
        <v>1434.7</v>
      </c>
      <c r="H25" s="3">
        <v>6032.27</v>
      </c>
      <c r="I25" s="24" t="s">
        <v>40</v>
      </c>
      <c r="J25" s="16"/>
      <c r="K25" s="13"/>
    </row>
    <row r="26" spans="1:11" ht="21" x14ac:dyDescent="0.25">
      <c r="A26" s="25" t="s">
        <v>41</v>
      </c>
      <c r="B26" s="2">
        <f t="shared" si="1"/>
        <v>6109.4699999999993</v>
      </c>
      <c r="C26" s="3">
        <v>1006.5</v>
      </c>
      <c r="D26" s="3">
        <v>418.45</v>
      </c>
      <c r="E26" s="3">
        <v>1621.45</v>
      </c>
      <c r="F26" s="3">
        <v>4.12</v>
      </c>
      <c r="G26" s="3">
        <v>2553.4499999999998</v>
      </c>
      <c r="H26" s="3">
        <v>505.5</v>
      </c>
      <c r="I26" s="24" t="s">
        <v>42</v>
      </c>
      <c r="J26" s="16"/>
      <c r="K26" s="13"/>
    </row>
    <row r="27" spans="1:11" ht="21" x14ac:dyDescent="0.25">
      <c r="A27" s="25" t="s">
        <v>63</v>
      </c>
      <c r="B27" s="2">
        <f t="shared" si="1"/>
        <v>41217.769999999997</v>
      </c>
      <c r="C27" s="3">
        <v>7813.5</v>
      </c>
      <c r="D27" s="3">
        <v>29578.1</v>
      </c>
      <c r="E27" s="3">
        <v>625.05999999999995</v>
      </c>
      <c r="F27" s="3">
        <v>0</v>
      </c>
      <c r="G27" s="3">
        <v>138.66</v>
      </c>
      <c r="H27" s="3">
        <v>3062.45</v>
      </c>
      <c r="I27" s="24" t="s">
        <v>43</v>
      </c>
      <c r="J27" s="16"/>
      <c r="K27" s="13"/>
    </row>
    <row r="28" spans="1:11" ht="21" x14ac:dyDescent="0.25">
      <c r="A28" s="25" t="s">
        <v>64</v>
      </c>
      <c r="B28" s="2">
        <f t="shared" si="1"/>
        <v>277838.03000000003</v>
      </c>
      <c r="C28" s="3">
        <v>111860.1</v>
      </c>
      <c r="D28" s="3">
        <v>116580.25</v>
      </c>
      <c r="E28" s="3">
        <v>14081.04</v>
      </c>
      <c r="F28" s="3">
        <v>13396.2</v>
      </c>
      <c r="G28" s="3">
        <v>3169.04</v>
      </c>
      <c r="H28" s="3">
        <v>18751.400000000001</v>
      </c>
      <c r="I28" s="24" t="s">
        <v>44</v>
      </c>
      <c r="J28" s="16"/>
      <c r="K28" s="13"/>
    </row>
    <row r="29" spans="1:11" ht="21" x14ac:dyDescent="0.25">
      <c r="A29" s="26" t="s">
        <v>45</v>
      </c>
      <c r="B29" s="17">
        <f t="shared" si="1"/>
        <v>1693526.12</v>
      </c>
      <c r="C29" s="1">
        <v>1251786.2</v>
      </c>
      <c r="D29" s="1">
        <v>97513.85</v>
      </c>
      <c r="E29" s="1">
        <v>40787.5</v>
      </c>
      <c r="F29" s="1">
        <v>67257.14</v>
      </c>
      <c r="G29" s="1">
        <v>170380.33</v>
      </c>
      <c r="H29" s="1">
        <v>65801.100000000006</v>
      </c>
      <c r="I29" s="27" t="s">
        <v>46</v>
      </c>
      <c r="J29" s="16"/>
      <c r="K29" s="13"/>
    </row>
    <row r="30" spans="1:11" s="8" customFormat="1" ht="21" x14ac:dyDescent="0.15">
      <c r="A30" s="28" t="s">
        <v>47</v>
      </c>
      <c r="B30" s="28"/>
      <c r="C30" s="19"/>
      <c r="D30" s="19"/>
      <c r="E30" s="19"/>
      <c r="F30" s="19"/>
      <c r="G30" s="19"/>
      <c r="H30" s="29"/>
      <c r="I30" s="18" t="s">
        <v>48</v>
      </c>
      <c r="J30" s="16"/>
      <c r="K30" s="13"/>
    </row>
    <row r="31" spans="1:11" s="8" customFormat="1" ht="21" x14ac:dyDescent="0.15">
      <c r="A31" s="28"/>
      <c r="B31" s="28"/>
      <c r="C31" s="19"/>
      <c r="D31" s="19"/>
      <c r="E31" s="19"/>
      <c r="F31" s="19"/>
      <c r="G31" s="19"/>
      <c r="H31" s="29"/>
      <c r="J31" s="16"/>
      <c r="K31" s="15"/>
    </row>
    <row r="32" spans="1:11" ht="21" x14ac:dyDescent="0.25">
      <c r="J32" s="16"/>
      <c r="K32" s="15"/>
    </row>
    <row r="33" spans="10:11" ht="21" x14ac:dyDescent="0.25">
      <c r="J33" s="16"/>
      <c r="K33" s="15"/>
    </row>
    <row r="34" spans="10:11" ht="21" x14ac:dyDescent="0.25">
      <c r="K34" s="15"/>
    </row>
  </sheetData>
  <mergeCells count="6">
    <mergeCell ref="A1:I1"/>
    <mergeCell ref="A2:I2"/>
    <mergeCell ref="A3:I3"/>
    <mergeCell ref="A4:I4"/>
    <mergeCell ref="A5:A6"/>
    <mergeCell ref="I5:I6"/>
  </mergeCells>
  <pageMargins left="0.7" right="0.7" top="0.75" bottom="0.75" header="0.3" footer="0.3"/>
  <pageSetup paperSize="9"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9.12</vt:lpstr>
      <vt:lpstr>'9.12'!Print_Area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2016-09-22T08:26:06Z</cp:lastPrinted>
  <dcterms:created xsi:type="dcterms:W3CDTF">2014-03-04T03:52:57Z</dcterms:created>
  <dcterms:modified xsi:type="dcterms:W3CDTF">2016-09-22T08:26:09Z</dcterms:modified>
</cp:coreProperties>
</file>