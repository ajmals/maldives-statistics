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8" sheetId="24" r:id="rId1"/>
  </sheets>
  <definedNames>
    <definedName name="_xlnm.Print_Area" localSheetId="0">'9.8'!$A$1:$K$59</definedName>
  </definedNames>
  <calcPr calcId="144525"/>
</workbook>
</file>

<file path=xl/calcChain.xml><?xml version="1.0" encoding="utf-8"?>
<calcChain xmlns="http://schemas.openxmlformats.org/spreadsheetml/2006/main">
  <c r="B15" i="24" l="1"/>
  <c r="C6" i="24"/>
  <c r="C20" i="24" l="1"/>
  <c r="B10" i="24" l="1"/>
  <c r="G30" i="24" l="1"/>
  <c r="H30" i="24"/>
  <c r="I30" i="24"/>
  <c r="J30" i="24"/>
  <c r="D30" i="24"/>
  <c r="E30" i="24"/>
  <c r="C30" i="24"/>
  <c r="F30" i="24"/>
  <c r="B14" i="24"/>
  <c r="B13" i="24"/>
  <c r="B12" i="24"/>
  <c r="B11" i="24"/>
  <c r="B9" i="24"/>
  <c r="B8" i="24"/>
  <c r="B7" i="24"/>
  <c r="J6" i="24"/>
  <c r="I6" i="24"/>
  <c r="H6" i="24"/>
  <c r="G6" i="24"/>
  <c r="F6" i="24"/>
  <c r="E6" i="24"/>
  <c r="D6" i="24"/>
  <c r="B30" i="24" l="1"/>
  <c r="F23" i="24"/>
  <c r="F20" i="24"/>
  <c r="H31" i="24"/>
  <c r="J31" i="24"/>
  <c r="C31" i="24"/>
  <c r="F31" i="24"/>
  <c r="D31" i="24"/>
  <c r="E31" i="24"/>
  <c r="G31" i="24"/>
  <c r="I31" i="24"/>
  <c r="H21" i="24"/>
  <c r="H20" i="24"/>
  <c r="J33" i="24"/>
  <c r="C33" i="24"/>
  <c r="E33" i="24"/>
  <c r="G33" i="24"/>
  <c r="H33" i="24"/>
  <c r="F33" i="24"/>
  <c r="I33" i="24"/>
  <c r="D33" i="24"/>
  <c r="G22" i="24"/>
  <c r="G20" i="24"/>
  <c r="I19" i="24"/>
  <c r="I20" i="24"/>
  <c r="C34" i="24"/>
  <c r="E34" i="24"/>
  <c r="F34" i="24"/>
  <c r="I34" i="24"/>
  <c r="G34" i="24"/>
  <c r="H34" i="24"/>
  <c r="J34" i="24"/>
  <c r="D34" i="24"/>
  <c r="J18" i="24"/>
  <c r="J20" i="24"/>
  <c r="D27" i="24"/>
  <c r="G27" i="24"/>
  <c r="I27" i="24"/>
  <c r="J27" i="24"/>
  <c r="H27" i="24"/>
  <c r="C27" i="24"/>
  <c r="E27" i="24"/>
  <c r="F27" i="24"/>
  <c r="I32" i="24"/>
  <c r="J32" i="24"/>
  <c r="D32" i="24"/>
  <c r="F32" i="24"/>
  <c r="G32" i="24"/>
  <c r="E32" i="24"/>
  <c r="H32" i="24"/>
  <c r="C32" i="24"/>
  <c r="D25" i="24"/>
  <c r="D20" i="24"/>
  <c r="E28" i="24"/>
  <c r="F28" i="24"/>
  <c r="G28" i="24"/>
  <c r="H28" i="24"/>
  <c r="C28" i="24"/>
  <c r="I28" i="24"/>
  <c r="J28" i="24"/>
  <c r="D28" i="24"/>
  <c r="F29" i="24"/>
  <c r="I29" i="24"/>
  <c r="C29" i="24"/>
  <c r="D29" i="24"/>
  <c r="J29" i="24"/>
  <c r="E29" i="24"/>
  <c r="G29" i="24"/>
  <c r="H29" i="24"/>
  <c r="E24" i="24"/>
  <c r="E20" i="24"/>
  <c r="E22" i="24"/>
  <c r="I18" i="24"/>
  <c r="I16" i="24"/>
  <c r="I22" i="24"/>
  <c r="I17" i="24"/>
  <c r="I25" i="24"/>
  <c r="H17" i="24"/>
  <c r="E23" i="24"/>
  <c r="E16" i="24"/>
  <c r="E17" i="24"/>
  <c r="E21" i="24"/>
  <c r="E25" i="24"/>
  <c r="E18" i="24"/>
  <c r="I23" i="24"/>
  <c r="H18" i="24"/>
  <c r="D17" i="24"/>
  <c r="I21" i="24"/>
  <c r="B6" i="24"/>
  <c r="AG17" i="24" s="1"/>
  <c r="C18" i="24"/>
  <c r="J19" i="24"/>
  <c r="H22" i="24"/>
  <c r="G23" i="24"/>
  <c r="F24" i="24"/>
  <c r="F16" i="24"/>
  <c r="D18" i="24"/>
  <c r="C19" i="24"/>
  <c r="J21" i="24"/>
  <c r="H23" i="24"/>
  <c r="G24" i="24"/>
  <c r="F25" i="24"/>
  <c r="C21" i="24"/>
  <c r="H24" i="24"/>
  <c r="G25" i="24"/>
  <c r="G16" i="24"/>
  <c r="F17" i="24"/>
  <c r="D19" i="24"/>
  <c r="J22" i="24"/>
  <c r="H16" i="24"/>
  <c r="G17" i="24"/>
  <c r="F18" i="24"/>
  <c r="E19" i="24"/>
  <c r="D21" i="24"/>
  <c r="C22" i="24"/>
  <c r="J23" i="24"/>
  <c r="I24" i="24"/>
  <c r="H25" i="24"/>
  <c r="G18" i="24"/>
  <c r="F19" i="24"/>
  <c r="D22" i="24"/>
  <c r="C23" i="24"/>
  <c r="J24" i="24"/>
  <c r="J16" i="24"/>
  <c r="G19" i="24"/>
  <c r="F21" i="24"/>
  <c r="D23" i="24"/>
  <c r="C24" i="24"/>
  <c r="J25" i="24"/>
  <c r="C16" i="24"/>
  <c r="G21" i="24"/>
  <c r="D24" i="24"/>
  <c r="C25" i="24"/>
  <c r="J17" i="24"/>
  <c r="H19" i="24"/>
  <c r="F22" i="24"/>
  <c r="D16" i="24"/>
  <c r="C17" i="24"/>
  <c r="I26" i="24" l="1"/>
  <c r="AF17" i="24"/>
  <c r="G26" i="24"/>
  <c r="B32" i="24"/>
  <c r="B27" i="24"/>
  <c r="H26" i="24"/>
  <c r="J26" i="24"/>
  <c r="E26" i="24"/>
  <c r="B16" i="24"/>
  <c r="C26" i="24"/>
  <c r="F26" i="24"/>
  <c r="D26" i="24"/>
  <c r="B20" i="24"/>
  <c r="B19" i="24"/>
  <c r="B21" i="24"/>
  <c r="B25" i="24"/>
  <c r="B23" i="24"/>
  <c r="B18" i="24"/>
  <c r="B24" i="24"/>
  <c r="B22" i="24"/>
  <c r="B17" i="24"/>
  <c r="B26" i="24" l="1"/>
  <c r="B35" i="24" l="1"/>
  <c r="B28" i="24" l="1"/>
  <c r="B31" i="24"/>
  <c r="B34" i="24"/>
  <c r="B33" i="24"/>
  <c r="B29" i="24"/>
</calcChain>
</file>

<file path=xl/sharedStrings.xml><?xml version="1.0" encoding="utf-8"?>
<sst xmlns="http://schemas.openxmlformats.org/spreadsheetml/2006/main" count="79" uniqueCount="38">
  <si>
    <t>Total</t>
  </si>
  <si>
    <t>Source: Ministry of Fisheries  and Agriculture</t>
  </si>
  <si>
    <t xml:space="preserve"> rwCclwkircgea cDcnea  czIrwxif cfoa IrcTcsinim :ctWrwf ivcaedutWmUluAwm</t>
  </si>
  <si>
    <t>Type of fish</t>
  </si>
  <si>
    <t>ilencnwk</t>
  </si>
  <si>
    <t>ilencnwk uDobOl</t>
  </si>
  <si>
    <t>cswm iSov</t>
  </si>
  <si>
    <t>iTcawl</t>
  </si>
  <si>
    <t>iDnogWr</t>
  </si>
  <si>
    <t>cswmurwf cnehinehea</t>
  </si>
  <si>
    <t>Yellowfin tuna</t>
  </si>
  <si>
    <t>Bigeye tuna</t>
  </si>
  <si>
    <t>Dogtooth tuna</t>
  </si>
  <si>
    <t>Frigate tuna</t>
  </si>
  <si>
    <t>Other marine fish</t>
  </si>
  <si>
    <t>Skipjack</t>
  </si>
  <si>
    <t>ctwvWbeguhwm</t>
  </si>
  <si>
    <t xml:space="preserve">        wlcmuj</t>
  </si>
  <si>
    <t xml:space="preserve">       cswmwlibuLwk</t>
  </si>
  <si>
    <t>Little tuna</t>
  </si>
  <si>
    <t>Other tuna</t>
  </si>
  <si>
    <t>Miscellaneous</t>
  </si>
  <si>
    <r>
      <t xml:space="preserve">Fishing methods  </t>
    </r>
    <r>
      <rPr>
        <b/>
        <sz val="10"/>
        <rFont val="Faruma"/>
      </rPr>
      <t xml:space="preserve">   މަސްބޭނިގޮތް</t>
    </r>
  </si>
  <si>
    <t>Pole and Line</t>
  </si>
  <si>
    <t>Trolling</t>
  </si>
  <si>
    <t>Long Line</t>
  </si>
  <si>
    <t>Hand  Line</t>
  </si>
  <si>
    <t>Hand line (Reef )</t>
  </si>
  <si>
    <t>Percentage share ( % )</t>
  </si>
  <si>
    <t xml:space="preserve"> (%) cniawtcaws ctogWviawfiheb</t>
  </si>
  <si>
    <t>Hand line  (Grouper )</t>
  </si>
  <si>
    <t>Fixed Net</t>
  </si>
  <si>
    <t>cswmuDnwk cnehinehea</t>
  </si>
  <si>
    <t>ތާވަލު 9.8: މަހުގެ ބާވަތުންނާއި މަސްބާނާފައިވާގޮތުން ބޭނުނު އަދަދު، 2015</t>
  </si>
  <si>
    <t>Table 9.8 :  FISH CATCH BY TYPE AND FISHING METHODS, 2015 (In metric tons)</t>
  </si>
  <si>
    <t>Albacore</t>
  </si>
  <si>
    <t>ilencnwk ugid ctwfcnwk</t>
  </si>
  <si>
    <t>Other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</si>
</sst>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11"/>
      <name val="Courier"/>
      <family val="3"/>
    </font>
    <font>
      <b/>
      <sz val="10"/>
      <name val="Calibri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2"/>
      <name val="Faruma"/>
    </font>
    <font>
      <b/>
      <sz val="11"/>
      <name val="Arial"/>
      <family val="2"/>
    </font>
    <font>
      <b/>
      <sz val="8"/>
      <name val="A_Faseyha"/>
    </font>
    <font>
      <b/>
      <sz val="10"/>
      <name val="A_Waheed"/>
    </font>
    <font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  <font>
      <sz val="9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</cellStyleXfs>
  <cellXfs count="61">
    <xf numFmtId="0" fontId="0" fillId="0" borderId="0" xfId="0"/>
    <xf numFmtId="165" fontId="11" fillId="2" borderId="0" xfId="4" applyFont="1" applyFill="1" applyAlignment="1" applyProtection="1">
      <alignment horizontal="left" vertical="center"/>
    </xf>
    <xf numFmtId="165" fontId="15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8" fillId="2" borderId="0" xfId="4" applyFont="1" applyFill="1" applyAlignment="1" applyProtection="1">
      <alignment horizontal="left" vertical="center"/>
    </xf>
    <xf numFmtId="165" fontId="15" fillId="2" borderId="0" xfId="4" applyFont="1" applyFill="1" applyAlignment="1">
      <alignment horizontal="left" vertical="center"/>
    </xf>
    <xf numFmtId="165" fontId="2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3" fillId="2" borderId="0" xfId="4" applyFont="1" applyFill="1" applyAlignment="1">
      <alignment vertical="center"/>
    </xf>
    <xf numFmtId="165" fontId="8" fillId="2" borderId="2" xfId="4" applyFont="1" applyFill="1" applyBorder="1" applyAlignment="1" applyProtection="1">
      <alignment horizontal="right" vertical="center" wrapText="1"/>
    </xf>
    <xf numFmtId="1" fontId="3" fillId="2" borderId="0" xfId="4" applyNumberFormat="1" applyFont="1" applyFill="1" applyAlignment="1">
      <alignment vertical="center"/>
    </xf>
    <xf numFmtId="165" fontId="3" fillId="2" borderId="0" xfId="4" applyFont="1" applyFill="1" applyAlignment="1">
      <alignment horizontal="center" vertical="center"/>
    </xf>
    <xf numFmtId="165" fontId="12" fillId="2" borderId="0" xfId="4" applyFont="1" applyFill="1" applyAlignment="1">
      <alignment horizontal="center" vertical="center"/>
    </xf>
    <xf numFmtId="165" fontId="19" fillId="2" borderId="0" xfId="4" applyFont="1" applyFill="1" applyAlignment="1">
      <alignment horizontal="center" vertical="center"/>
    </xf>
    <xf numFmtId="165" fontId="1" fillId="2" borderId="0" xfId="4" applyFont="1" applyFill="1" applyBorder="1" applyAlignment="1">
      <alignment vertical="center"/>
    </xf>
    <xf numFmtId="165" fontId="2" fillId="2" borderId="0" xfId="4" applyFont="1" applyFill="1" applyBorder="1" applyAlignment="1">
      <alignment vertical="center"/>
    </xf>
    <xf numFmtId="3" fontId="4" fillId="2" borderId="0" xfId="4" applyNumberFormat="1" applyFont="1" applyFill="1" applyAlignment="1" applyProtection="1">
      <alignment horizontal="right" vertical="center"/>
    </xf>
    <xf numFmtId="165" fontId="17" fillId="2" borderId="0" xfId="4" applyFont="1" applyFill="1" applyBorder="1" applyAlignment="1" applyProtection="1">
      <alignment horizontal="left" vertical="center" wrapText="1"/>
    </xf>
    <xf numFmtId="3" fontId="10" fillId="2" borderId="0" xfId="4" applyNumberFormat="1" applyFont="1" applyFill="1" applyAlignment="1">
      <alignment horizontal="right" vertical="center"/>
    </xf>
    <xf numFmtId="165" fontId="17" fillId="2" borderId="0" xfId="4" applyFont="1" applyFill="1" applyBorder="1" applyAlignment="1" applyProtection="1">
      <alignment horizontal="left" vertical="center"/>
    </xf>
    <xf numFmtId="3" fontId="4" fillId="2" borderId="0" xfId="4" applyNumberFormat="1" applyFont="1" applyFill="1" applyBorder="1" applyAlignment="1" applyProtection="1">
      <alignment horizontal="right" vertical="center"/>
    </xf>
    <xf numFmtId="3" fontId="10" fillId="2" borderId="0" xfId="4" applyNumberFormat="1" applyFont="1" applyFill="1" applyBorder="1" applyAlignment="1">
      <alignment horizontal="right" vertical="center"/>
    </xf>
    <xf numFmtId="3" fontId="10" fillId="2" borderId="0" xfId="4" applyNumberFormat="1" applyFont="1" applyFill="1" applyBorder="1" applyAlignment="1" applyProtection="1">
      <alignment horizontal="right" vertical="center"/>
    </xf>
    <xf numFmtId="165" fontId="8" fillId="2" borderId="0" xfId="4" applyFont="1" applyFill="1" applyAlignment="1">
      <alignment horizontal="left" vertical="center"/>
    </xf>
    <xf numFmtId="165" fontId="17" fillId="2" borderId="0" xfId="4" applyFont="1" applyFill="1" applyAlignment="1">
      <alignment horizontal="left" vertical="center"/>
    </xf>
    <xf numFmtId="165" fontId="8" fillId="2" borderId="4" xfId="4" applyFont="1" applyFill="1" applyBorder="1" applyAlignment="1">
      <alignment horizontal="right" vertical="center" wrapText="1"/>
    </xf>
    <xf numFmtId="165" fontId="14" fillId="2" borderId="2" xfId="4" applyFont="1" applyFill="1" applyBorder="1" applyAlignment="1">
      <alignment horizontal="right" vertical="center" wrapText="1"/>
    </xf>
    <xf numFmtId="165" fontId="9" fillId="2" borderId="0" xfId="4" applyFont="1" applyFill="1" applyAlignment="1">
      <alignment horizontal="right" vertical="center" wrapText="1"/>
    </xf>
    <xf numFmtId="165" fontId="16" fillId="2" borderId="0" xfId="4" applyFont="1" applyFill="1" applyAlignment="1">
      <alignment horizontal="right" vertical="center" wrapText="1"/>
    </xf>
    <xf numFmtId="3" fontId="10" fillId="2" borderId="0" xfId="1" applyNumberFormat="1" applyFont="1" applyFill="1" applyBorder="1" applyAlignment="1">
      <alignment horizontal="right" vertical="center"/>
    </xf>
    <xf numFmtId="165" fontId="9" fillId="2" borderId="0" xfId="4" applyFont="1" applyFill="1" applyBorder="1" applyAlignment="1">
      <alignment vertical="center"/>
    </xf>
    <xf numFmtId="165" fontId="16" fillId="2" borderId="0" xfId="4" applyFont="1" applyFill="1" applyBorder="1" applyAlignment="1">
      <alignment vertical="center"/>
    </xf>
    <xf numFmtId="3" fontId="10" fillId="2" borderId="2" xfId="4" applyNumberFormat="1" applyFont="1" applyFill="1" applyBorder="1" applyAlignment="1" applyProtection="1">
      <alignment horizontal="right" vertical="center"/>
    </xf>
    <xf numFmtId="1" fontId="4" fillId="2" borderId="0" xfId="4" applyNumberFormat="1" applyFont="1" applyFill="1" applyAlignment="1">
      <alignment vertical="center"/>
    </xf>
    <xf numFmtId="165" fontId="17" fillId="2" borderId="2" xfId="4" applyFont="1" applyFill="1" applyBorder="1" applyAlignment="1" applyProtection="1">
      <alignment horizontal="left" vertical="center" wrapText="1"/>
    </xf>
    <xf numFmtId="1" fontId="4" fillId="2" borderId="2" xfId="4" applyNumberFormat="1" applyFont="1" applyFill="1" applyBorder="1" applyAlignment="1">
      <alignment vertical="center"/>
    </xf>
    <xf numFmtId="165" fontId="17" fillId="2" borderId="5" xfId="4" applyFont="1" applyFill="1" applyBorder="1" applyAlignment="1" applyProtection="1">
      <alignment horizontal="left" vertical="center" wrapText="1"/>
    </xf>
    <xf numFmtId="3" fontId="4" fillId="2" borderId="5" xfId="4" applyNumberFormat="1" applyFont="1" applyFill="1" applyBorder="1" applyAlignment="1" applyProtection="1">
      <alignment horizontal="right" vertical="center"/>
    </xf>
    <xf numFmtId="3" fontId="10" fillId="2" borderId="5" xfId="4" applyNumberFormat="1" applyFont="1" applyFill="1" applyBorder="1" applyAlignment="1">
      <alignment horizontal="right" vertical="center"/>
    </xf>
    <xf numFmtId="3" fontId="10" fillId="2" borderId="5" xfId="4" applyNumberFormat="1" applyFont="1" applyFill="1" applyBorder="1" applyAlignment="1" applyProtection="1">
      <alignment horizontal="right" vertical="center"/>
    </xf>
    <xf numFmtId="165" fontId="13" fillId="2" borderId="0" xfId="4" applyFont="1" applyFill="1" applyBorder="1" applyAlignment="1" applyProtection="1">
      <alignment horizontal="center" vertical="center"/>
    </xf>
    <xf numFmtId="165" fontId="13" fillId="2" borderId="1" xfId="4" applyFont="1" applyFill="1" applyBorder="1" applyAlignment="1" applyProtection="1">
      <alignment horizontal="center" vertical="center"/>
    </xf>
    <xf numFmtId="165" fontId="21" fillId="2" borderId="0" xfId="0" applyNumberFormat="1" applyFont="1" applyFill="1" applyAlignment="1">
      <alignment horizontal="right"/>
    </xf>
    <xf numFmtId="165" fontId="22" fillId="2" borderId="0" xfId="0" applyNumberFormat="1" applyFont="1" applyFill="1" applyAlignment="1">
      <alignment horizontal="right" vertical="center"/>
    </xf>
    <xf numFmtId="165" fontId="22" fillId="2" borderId="0" xfId="0" applyNumberFormat="1" applyFont="1" applyFill="1" applyBorder="1" applyAlignment="1">
      <alignment horizontal="right" vertical="center"/>
    </xf>
    <xf numFmtId="165" fontId="22" fillId="2" borderId="5" xfId="0" applyNumberFormat="1" applyFont="1" applyFill="1" applyBorder="1" applyAlignment="1">
      <alignment horizontal="right" vertical="center"/>
    </xf>
    <xf numFmtId="165" fontId="23" fillId="2" borderId="0" xfId="4" applyFont="1" applyFill="1" applyAlignment="1">
      <alignment horizontal="right" vertical="center"/>
    </xf>
    <xf numFmtId="165" fontId="22" fillId="2" borderId="2" xfId="0" applyNumberFormat="1" applyFont="1" applyFill="1" applyBorder="1" applyAlignment="1">
      <alignment horizontal="right" vertical="center"/>
    </xf>
    <xf numFmtId="165" fontId="24" fillId="2" borderId="0" xfId="4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/>
    </xf>
    <xf numFmtId="166" fontId="26" fillId="2" borderId="0" xfId="4" applyNumberFormat="1" applyFont="1" applyFill="1" applyAlignment="1">
      <alignment vertical="center"/>
    </xf>
    <xf numFmtId="165" fontId="8" fillId="2" borderId="1" xfId="4" applyFont="1" applyFill="1" applyBorder="1" applyAlignment="1" applyProtection="1">
      <alignment horizontal="left" vertical="center"/>
    </xf>
    <xf numFmtId="165" fontId="8" fillId="2" borderId="2" xfId="4" applyFont="1" applyFill="1" applyBorder="1" applyAlignment="1" applyProtection="1">
      <alignment horizontal="left" vertical="center"/>
    </xf>
    <xf numFmtId="165" fontId="18" fillId="2" borderId="0" xfId="4" applyFont="1" applyFill="1" applyAlignment="1">
      <alignment horizontal="center" vertical="center"/>
    </xf>
    <xf numFmtId="165" fontId="7" fillId="2" borderId="0" xfId="4" applyFont="1" applyFill="1" applyBorder="1" applyAlignment="1" applyProtection="1">
      <alignment horizontal="center" vertical="center"/>
    </xf>
    <xf numFmtId="165" fontId="13" fillId="2" borderId="2" xfId="4" applyFont="1" applyFill="1" applyBorder="1" applyAlignment="1">
      <alignment horizontal="center" vertical="center"/>
    </xf>
    <xf numFmtId="165" fontId="13" fillId="2" borderId="0" xfId="4" applyFont="1" applyFill="1" applyBorder="1" applyAlignment="1">
      <alignment horizontal="center" vertical="center"/>
    </xf>
    <xf numFmtId="165" fontId="13" fillId="2" borderId="3" xfId="4" applyFont="1" applyFill="1" applyBorder="1" applyAlignment="1" applyProtection="1">
      <alignment horizontal="center" vertical="center"/>
    </xf>
    <xf numFmtId="165" fontId="20" fillId="2" borderId="1" xfId="4" applyFont="1" applyFill="1" applyBorder="1" applyAlignment="1">
      <alignment horizontal="right" vertical="center"/>
    </xf>
    <xf numFmtId="165" fontId="20" fillId="2" borderId="2" xfId="4" applyFont="1" applyFill="1" applyBorder="1" applyAlignment="1">
      <alignment horizontal="right" vertical="center"/>
    </xf>
  </cellXfs>
  <cellStyles count="6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556066257268082"/>
          <c:y val="0.25845048242209162"/>
          <c:w val="0.40462545052681814"/>
          <c:h val="0.7146483309304646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1C706E"/>
              </a:solidFill>
            </c:spPr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</c:dPt>
          <c:dLbls>
            <c:dLbl>
              <c:idx val="0"/>
              <c:layout>
                <c:manualLayout>
                  <c:x val="-0.16595081021315633"/>
                  <c:y val="-0.100953310413663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2781275507181919"/>
                  <c:y val="0.132289083582862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1.828119583477535E-2"/>
                  <c:y val="7.44283020960408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-0.17770075391293791"/>
                  <c:y val="0.11253912979187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-8.9605043388715166E-2"/>
                  <c:y val="1.15958744593545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Hand line (Reef)
1%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0.11981999857673285"/>
                  <c:y val="5.120106465565044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layout>
                <c:manualLayout>
                  <c:x val="0.18697760866016142"/>
                  <c:y val="0.155963772134117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'9.8'!$AF$16:$AH$16</c:f>
              <c:strCache>
                <c:ptCount val="3"/>
                <c:pt idx="0">
                  <c:v>Pole and Line</c:v>
                </c:pt>
                <c:pt idx="1">
                  <c:v>Hand  Line</c:v>
                </c:pt>
                <c:pt idx="2">
                  <c:v>Other methods</c:v>
                </c:pt>
              </c:strCache>
            </c:strRef>
          </c:cat>
          <c:val>
            <c:numRef>
              <c:f>'9.8'!$AF$17:$AH$17</c:f>
              <c:numCache>
                <c:formatCode>0.0</c:formatCode>
                <c:ptCount val="3"/>
                <c:pt idx="0">
                  <c:v>67.454437697072322</c:v>
                </c:pt>
                <c:pt idx="1">
                  <c:v>29.926699402472341</c:v>
                </c:pt>
                <c:pt idx="2">
                  <c:v>2.6188629004553108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466724</xdr:colOff>
      <xdr:row>37</xdr:row>
      <xdr:rowOff>9524</xdr:rowOff>
    </xdr:from>
    <xdr:to>
      <xdr:col>10</xdr:col>
      <xdr:colOff>457200</xdr:colOff>
      <xdr:row>57</xdr:row>
      <xdr:rowOff>152399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447675</xdr:colOff>
      <xdr:row>39</xdr:row>
      <xdr:rowOff>47625</xdr:rowOff>
    </xdr:from>
    <xdr:to>
      <xdr:col>9</xdr:col>
      <xdr:colOff>247650</xdr:colOff>
      <xdr:row>39</xdr:row>
      <xdr:rowOff>47625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2390775" y="7581900"/>
          <a:ext cx="514350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0.1066</cdr:x>
      <cdr:y>0.0338</cdr:y>
    </cdr:from>
    <cdr:to>
      <cdr:x>0.89071</cdr:x>
      <cdr:y>0.11267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3250" y="114303"/>
          <a:ext cx="5467051" cy="2666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9.4: Percentage share of fish catch by fishing method, 2015</a:t>
          </a:r>
          <a:endParaRPr lang="en-US" sz="11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I68"/>
  <sheetViews>
    <sheetView tabSelected="1" topLeftCell="A4" zoomScaleNormal="100" workbookViewId="0">
      <selection activeCell="M50" sqref="M50"/>
    </sheetView>
  </sheetViews>
  <sheetFormatPr defaultColWidth="8.85546875" defaultRowHeight="12.75" x14ac:dyDescent="0.25"/>
  <cols>
    <col min="1" max="1" width="16.85546875" style="9" customWidth="1"/>
    <col min="2" max="2" width="12.28515625" style="6" customWidth="1"/>
    <col min="3" max="3" width="12.28515625" style="9" customWidth="1"/>
    <col min="4" max="5" width="10.7109375" style="9" customWidth="1"/>
    <col min="6" max="6" width="11" style="9" customWidth="1"/>
    <col min="7" max="7" width="11.85546875" style="9" customWidth="1"/>
    <col min="8" max="8" width="11.28515625" style="9" customWidth="1"/>
    <col min="9" max="10" width="12.28515625" style="9" customWidth="1"/>
    <col min="11" max="11" width="21.5703125" style="9" customWidth="1"/>
    <col min="12" max="19" width="8.85546875" style="9"/>
    <col min="20" max="20" width="25.5703125" style="9" bestFit="1" customWidth="1"/>
    <col min="21" max="16384" width="8.85546875" style="9"/>
  </cols>
  <sheetData>
    <row r="1" spans="1:35" s="12" customFormat="1" ht="21.75" x14ac:dyDescent="0.25">
      <c r="A1" s="54" t="s">
        <v>33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35" s="14" customFormat="1" ht="15" x14ac:dyDescent="0.25">
      <c r="A2" s="55" t="s">
        <v>34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s="16" customFormat="1" x14ac:dyDescent="0.25">
      <c r="A3" s="56"/>
      <c r="B3" s="57"/>
      <c r="C3" s="57"/>
      <c r="D3" s="57"/>
      <c r="E3" s="57"/>
      <c r="F3" s="57"/>
      <c r="G3" s="57"/>
      <c r="H3" s="41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s="7" customFormat="1" ht="18.75" x14ac:dyDescent="0.25">
      <c r="A4" s="52" t="s">
        <v>3</v>
      </c>
      <c r="B4" s="58" t="s">
        <v>22</v>
      </c>
      <c r="C4" s="58"/>
      <c r="D4" s="58"/>
      <c r="E4" s="58"/>
      <c r="F4" s="58"/>
      <c r="G4" s="58"/>
      <c r="H4" s="58"/>
      <c r="I4" s="58"/>
      <c r="J4" s="42"/>
      <c r="K4" s="59" t="s">
        <v>16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s="29" customFormat="1" ht="24" x14ac:dyDescent="0.25">
      <c r="A5" s="53"/>
      <c r="B5" s="10" t="s">
        <v>0</v>
      </c>
      <c r="C5" s="10" t="s">
        <v>23</v>
      </c>
      <c r="D5" s="10" t="s">
        <v>24</v>
      </c>
      <c r="E5" s="10" t="s">
        <v>25</v>
      </c>
      <c r="F5" s="10" t="s">
        <v>26</v>
      </c>
      <c r="G5" s="10" t="s">
        <v>30</v>
      </c>
      <c r="H5" s="26" t="s">
        <v>27</v>
      </c>
      <c r="I5" s="27" t="s">
        <v>21</v>
      </c>
      <c r="J5" s="27" t="s">
        <v>31</v>
      </c>
      <c r="K5" s="60"/>
      <c r="L5" s="28"/>
      <c r="M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5" s="7" customFormat="1" ht="15" x14ac:dyDescent="0.35">
      <c r="A6" s="4" t="s">
        <v>0</v>
      </c>
      <c r="B6" s="17">
        <f>SUM(B7:B15)</f>
        <v>127351.81848143277</v>
      </c>
      <c r="C6" s="17">
        <f>SUM(C7:C14)</f>
        <v>85904.453053646706</v>
      </c>
      <c r="D6" s="17">
        <f>SUM(D7:D14)</f>
        <v>632.47125905592952</v>
      </c>
      <c r="E6" s="17">
        <f>SUM(E7:E15)</f>
        <v>483.87768999999992</v>
      </c>
      <c r="F6" s="17">
        <f>SUM(F7:F14)</f>
        <v>38112.195900520601</v>
      </c>
      <c r="G6" s="17">
        <f>SUM(G7:G14)</f>
        <v>1708.1457849817295</v>
      </c>
      <c r="H6" s="17">
        <f>SUM(H7:H14)</f>
        <v>488.49976289143871</v>
      </c>
      <c r="I6" s="17">
        <f>SUM(I7:I14)</f>
        <v>15.722435679352731</v>
      </c>
      <c r="J6" s="17">
        <f>SUM(J7:J14)</f>
        <v>6.4525946569823569</v>
      </c>
      <c r="K6" s="43" t="s">
        <v>17</v>
      </c>
      <c r="L6" s="3"/>
      <c r="M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5" s="7" customFormat="1" ht="15" x14ac:dyDescent="0.25">
      <c r="A7" s="18" t="s">
        <v>15</v>
      </c>
      <c r="B7" s="17">
        <f>SUM(C7:J7)</f>
        <v>69244.324399131307</v>
      </c>
      <c r="C7" s="19">
        <v>67952.607653647341</v>
      </c>
      <c r="D7" s="19">
        <v>248.17818249132429</v>
      </c>
      <c r="E7" s="19">
        <v>0.32600000000000001</v>
      </c>
      <c r="F7" s="19">
        <v>1043.2069380662149</v>
      </c>
      <c r="G7" s="19">
        <v>0</v>
      </c>
      <c r="H7" s="22">
        <v>5.6249264308558897E-3</v>
      </c>
      <c r="I7" s="19">
        <v>0</v>
      </c>
      <c r="J7" s="19">
        <v>0</v>
      </c>
      <c r="K7" s="44" t="s">
        <v>18</v>
      </c>
      <c r="L7" s="3"/>
      <c r="M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5" s="7" customFormat="1" ht="15" x14ac:dyDescent="0.25">
      <c r="A8" s="20" t="s">
        <v>10</v>
      </c>
      <c r="B8" s="17">
        <f t="shared" ref="B8:B15" si="0">SUM(C8:J8)</f>
        <v>51472.456475637977</v>
      </c>
      <c r="C8" s="19">
        <v>15578.43634581325</v>
      </c>
      <c r="D8" s="19">
        <v>227.40812936170687</v>
      </c>
      <c r="E8" s="19">
        <v>112.06659000000001</v>
      </c>
      <c r="F8" s="19">
        <v>35550.777857530156</v>
      </c>
      <c r="G8" s="19">
        <v>0</v>
      </c>
      <c r="H8" s="22">
        <v>3.7675529328630897</v>
      </c>
      <c r="I8" s="19">
        <v>0</v>
      </c>
      <c r="J8" s="19">
        <v>0</v>
      </c>
      <c r="K8" s="44" t="s">
        <v>4</v>
      </c>
      <c r="L8" s="3"/>
      <c r="M8" s="3"/>
      <c r="N8" s="51"/>
      <c r="O8" s="51"/>
      <c r="P8" s="51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5" s="7" customFormat="1" ht="15" x14ac:dyDescent="0.25">
      <c r="A9" s="20" t="s">
        <v>11</v>
      </c>
      <c r="B9" s="17">
        <f t="shared" si="0"/>
        <v>1828.2678227461429</v>
      </c>
      <c r="C9" s="19">
        <v>181.52824625722533</v>
      </c>
      <c r="D9" s="19">
        <v>2.3647650966898244</v>
      </c>
      <c r="E9" s="19">
        <v>231.21609999999993</v>
      </c>
      <c r="F9" s="19">
        <v>1413.1587113922278</v>
      </c>
      <c r="G9" s="19">
        <v>0</v>
      </c>
      <c r="H9" s="22">
        <v>0</v>
      </c>
      <c r="I9" s="19">
        <v>0</v>
      </c>
      <c r="J9" s="19">
        <v>0</v>
      </c>
      <c r="K9" s="44" t="s">
        <v>5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5" s="7" customFormat="1" ht="15" x14ac:dyDescent="0.2">
      <c r="A10" s="50" t="s">
        <v>35</v>
      </c>
      <c r="B10" s="17">
        <f t="shared" si="0"/>
        <v>1.2469999999999999</v>
      </c>
      <c r="C10" s="19">
        <v>0</v>
      </c>
      <c r="D10" s="19">
        <v>0</v>
      </c>
      <c r="E10" s="19">
        <v>1.2469999999999999</v>
      </c>
      <c r="F10" s="19">
        <v>0</v>
      </c>
      <c r="G10" s="19">
        <v>0</v>
      </c>
      <c r="H10" s="22">
        <v>0</v>
      </c>
      <c r="I10" s="19">
        <v>0</v>
      </c>
      <c r="J10" s="19">
        <v>0</v>
      </c>
      <c r="K10" s="44" t="s">
        <v>36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5" s="7" customFormat="1" ht="15" x14ac:dyDescent="0.25">
      <c r="A11" s="18" t="s">
        <v>12</v>
      </c>
      <c r="B11" s="17">
        <f t="shared" si="0"/>
        <v>46.027014892861473</v>
      </c>
      <c r="C11" s="19">
        <v>6.8417475612967742</v>
      </c>
      <c r="D11" s="19">
        <v>11.70903106127972</v>
      </c>
      <c r="E11" s="19">
        <v>0</v>
      </c>
      <c r="F11" s="19">
        <v>2.1485689349374377</v>
      </c>
      <c r="G11" s="19">
        <v>0</v>
      </c>
      <c r="H11" s="22">
        <v>25.327667335347542</v>
      </c>
      <c r="I11" s="19">
        <v>0</v>
      </c>
      <c r="J11" s="19">
        <v>0</v>
      </c>
      <c r="K11" s="44" t="s">
        <v>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5" s="7" customFormat="1" ht="15" x14ac:dyDescent="0.25">
      <c r="A12" s="18" t="s">
        <v>19</v>
      </c>
      <c r="B12" s="17">
        <f t="shared" si="0"/>
        <v>226.33633645749671</v>
      </c>
      <c r="C12" s="19">
        <v>177.22339820929759</v>
      </c>
      <c r="D12" s="19">
        <v>22.746132476832095</v>
      </c>
      <c r="E12" s="19">
        <v>0</v>
      </c>
      <c r="F12" s="19">
        <v>19.040242906303142</v>
      </c>
      <c r="G12" s="19">
        <v>2.6785365172862091E-2</v>
      </c>
      <c r="H12" s="22">
        <v>0.84718284290867085</v>
      </c>
      <c r="I12" s="19">
        <v>0</v>
      </c>
      <c r="J12" s="19">
        <v>6.4525946569823569</v>
      </c>
      <c r="K12" s="44" t="s">
        <v>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5" s="7" customFormat="1" ht="15" x14ac:dyDescent="0.25">
      <c r="A13" s="18" t="s">
        <v>13</v>
      </c>
      <c r="B13" s="17">
        <f t="shared" si="0"/>
        <v>115.7784986591458</v>
      </c>
      <c r="C13" s="19">
        <v>94.230494765178406</v>
      </c>
      <c r="D13" s="19">
        <v>13.894717164824677</v>
      </c>
      <c r="E13" s="19">
        <v>0</v>
      </c>
      <c r="F13" s="19">
        <v>7.5059672203726695</v>
      </c>
      <c r="G13" s="19">
        <v>0</v>
      </c>
      <c r="H13" s="22">
        <v>0.1473195087700479</v>
      </c>
      <c r="I13" s="19">
        <v>0</v>
      </c>
      <c r="J13" s="19">
        <v>0</v>
      </c>
      <c r="K13" s="44" t="s">
        <v>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5" s="7" customFormat="1" ht="15" x14ac:dyDescent="0.25">
      <c r="A14" s="18" t="s">
        <v>14</v>
      </c>
      <c r="B14" s="17">
        <f t="shared" si="0"/>
        <v>4417.3809339078252</v>
      </c>
      <c r="C14" s="22">
        <v>1913.5851673931361</v>
      </c>
      <c r="D14" s="22">
        <v>106.17030140327195</v>
      </c>
      <c r="E14" s="22">
        <v>139.02200000000002</v>
      </c>
      <c r="F14" s="22">
        <v>76.357614470388796</v>
      </c>
      <c r="G14" s="22">
        <v>1708.1189996165567</v>
      </c>
      <c r="H14" s="22">
        <v>458.40441534511848</v>
      </c>
      <c r="I14" s="30">
        <v>15.722435679352731</v>
      </c>
      <c r="J14" s="30">
        <v>0</v>
      </c>
      <c r="K14" s="45" t="s">
        <v>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5" s="7" customFormat="1" ht="15" x14ac:dyDescent="0.25">
      <c r="A15" s="37" t="s">
        <v>20</v>
      </c>
      <c r="B15" s="38">
        <f t="shared" si="0"/>
        <v>0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46" t="s">
        <v>32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28"/>
      <c r="AG15" s="28"/>
      <c r="AH15" s="28"/>
      <c r="AI15" s="28"/>
    </row>
    <row r="16" spans="1:35" s="2" customFormat="1" ht="24" x14ac:dyDescent="0.25">
      <c r="A16" s="8" t="s">
        <v>28</v>
      </c>
      <c r="B16" s="21">
        <f t="shared" ref="B16:J16" si="1">B6/B6*100</f>
        <v>100</v>
      </c>
      <c r="C16" s="21">
        <f t="shared" si="1"/>
        <v>100</v>
      </c>
      <c r="D16" s="21">
        <f t="shared" si="1"/>
        <v>100</v>
      </c>
      <c r="E16" s="21">
        <f t="shared" si="1"/>
        <v>100</v>
      </c>
      <c r="F16" s="21">
        <f t="shared" si="1"/>
        <v>100</v>
      </c>
      <c r="G16" s="21">
        <f t="shared" si="1"/>
        <v>100</v>
      </c>
      <c r="H16" s="21">
        <f t="shared" si="1"/>
        <v>100</v>
      </c>
      <c r="I16" s="21">
        <f t="shared" si="1"/>
        <v>100</v>
      </c>
      <c r="J16" s="21">
        <f t="shared" si="1"/>
        <v>100</v>
      </c>
      <c r="K16" s="47" t="s">
        <v>29</v>
      </c>
      <c r="AF16" s="10" t="s">
        <v>23</v>
      </c>
      <c r="AG16" s="10" t="s">
        <v>26</v>
      </c>
      <c r="AH16" s="10" t="s">
        <v>37</v>
      </c>
      <c r="AI16" s="3"/>
    </row>
    <row r="17" spans="1:35" s="2" customFormat="1" ht="15" x14ac:dyDescent="0.25">
      <c r="A17" s="18" t="s">
        <v>15</v>
      </c>
      <c r="B17" s="21">
        <f t="shared" ref="B17:J17" si="2">B7/B6*100</f>
        <v>54.372466153066178</v>
      </c>
      <c r="C17" s="23">
        <f t="shared" si="2"/>
        <v>79.102543859060987</v>
      </c>
      <c r="D17" s="23">
        <f t="shared" si="2"/>
        <v>39.23944035998921</v>
      </c>
      <c r="E17" s="23">
        <f t="shared" si="2"/>
        <v>6.7372397351074406E-2</v>
      </c>
      <c r="F17" s="23">
        <f t="shared" si="2"/>
        <v>2.7371997687804837</v>
      </c>
      <c r="G17" s="23">
        <f t="shared" si="2"/>
        <v>0</v>
      </c>
      <c r="H17" s="23">
        <f t="shared" si="2"/>
        <v>1.1514696337950813E-3</v>
      </c>
      <c r="I17" s="23">
        <f t="shared" si="2"/>
        <v>0</v>
      </c>
      <c r="J17" s="23">
        <f t="shared" si="2"/>
        <v>0</v>
      </c>
      <c r="K17" s="44" t="s">
        <v>18</v>
      </c>
      <c r="AF17" s="51">
        <f>C6/$B$6*100</f>
        <v>67.454437697072322</v>
      </c>
      <c r="AG17" s="51">
        <f>F6/$B$6*100</f>
        <v>29.926699402472341</v>
      </c>
      <c r="AH17" s="51">
        <v>2.6188629004553108</v>
      </c>
      <c r="AI17" s="3"/>
    </row>
    <row r="18" spans="1:35" s="7" customFormat="1" ht="15" x14ac:dyDescent="0.25">
      <c r="A18" s="20" t="s">
        <v>10</v>
      </c>
      <c r="B18" s="21">
        <f t="shared" ref="B18:J18" si="3">B8/B6*100</f>
        <v>40.417527672086123</v>
      </c>
      <c r="C18" s="23">
        <f t="shared" si="3"/>
        <v>18.134608616953336</v>
      </c>
      <c r="D18" s="23">
        <f t="shared" si="3"/>
        <v>35.955488270115552</v>
      </c>
      <c r="E18" s="23">
        <f t="shared" si="3"/>
        <v>23.160106844355653</v>
      </c>
      <c r="F18" s="23">
        <f t="shared" si="3"/>
        <v>93.279269319258887</v>
      </c>
      <c r="G18" s="23">
        <f t="shared" si="3"/>
        <v>0</v>
      </c>
      <c r="H18" s="23">
        <f t="shared" si="3"/>
        <v>0.77124969530443122</v>
      </c>
      <c r="I18" s="23">
        <f t="shared" si="3"/>
        <v>0</v>
      </c>
      <c r="J18" s="23">
        <f t="shared" si="3"/>
        <v>0</v>
      </c>
      <c r="K18" s="44" t="s">
        <v>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s="7" customFormat="1" ht="15" x14ac:dyDescent="0.25">
      <c r="A19" s="20" t="s">
        <v>11</v>
      </c>
      <c r="B19" s="21">
        <f t="shared" ref="B19:J19" si="4">B9/B6*100</f>
        <v>1.4356040177099589</v>
      </c>
      <c r="C19" s="23">
        <f t="shared" si="4"/>
        <v>0.21131412843506756</v>
      </c>
      <c r="D19" s="23">
        <f t="shared" si="4"/>
        <v>0.37389289439327833</v>
      </c>
      <c r="E19" s="23">
        <f t="shared" si="4"/>
        <v>47.783996819526848</v>
      </c>
      <c r="F19" s="23">
        <f t="shared" si="4"/>
        <v>3.7078910779132634</v>
      </c>
      <c r="G19" s="23">
        <f t="shared" si="4"/>
        <v>0</v>
      </c>
      <c r="H19" s="23">
        <f t="shared" si="4"/>
        <v>0</v>
      </c>
      <c r="I19" s="23">
        <f t="shared" si="4"/>
        <v>0</v>
      </c>
      <c r="J19" s="23">
        <f t="shared" si="4"/>
        <v>0</v>
      </c>
      <c r="K19" s="44" t="s">
        <v>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s="7" customFormat="1" ht="15" x14ac:dyDescent="0.2">
      <c r="A20" s="50" t="s">
        <v>35</v>
      </c>
      <c r="B20" s="21">
        <f t="shared" ref="B20:J20" si="5">B10/B6*100</f>
        <v>9.7917722327758188E-4</v>
      </c>
      <c r="C20" s="23">
        <f t="shared" si="5"/>
        <v>0</v>
      </c>
      <c r="D20" s="23">
        <f t="shared" si="5"/>
        <v>0</v>
      </c>
      <c r="E20" s="23">
        <f t="shared" si="5"/>
        <v>0.25770975305763738</v>
      </c>
      <c r="F20" s="23">
        <f t="shared" si="5"/>
        <v>0</v>
      </c>
      <c r="G20" s="23">
        <f t="shared" si="5"/>
        <v>0</v>
      </c>
      <c r="H20" s="23">
        <f t="shared" si="5"/>
        <v>0</v>
      </c>
      <c r="I20" s="23">
        <f t="shared" si="5"/>
        <v>0</v>
      </c>
      <c r="J20" s="23">
        <f t="shared" si="5"/>
        <v>0</v>
      </c>
      <c r="K20" s="44" t="s">
        <v>36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s="7" customFormat="1" ht="15" x14ac:dyDescent="0.25">
      <c r="A21" s="18" t="s">
        <v>12</v>
      </c>
      <c r="B21" s="21">
        <f t="shared" ref="B21:J21" si="6">B11/B6*100</f>
        <v>3.6141623607496405E-2</v>
      </c>
      <c r="C21" s="23">
        <f t="shared" si="6"/>
        <v>7.9643689216252304E-3</v>
      </c>
      <c r="D21" s="23">
        <f t="shared" si="6"/>
        <v>1.8513143314618645</v>
      </c>
      <c r="E21" s="23">
        <f t="shared" si="6"/>
        <v>0</v>
      </c>
      <c r="F21" s="23">
        <f t="shared" si="6"/>
        <v>5.6374839711298003E-3</v>
      </c>
      <c r="G21" s="23">
        <f t="shared" si="6"/>
        <v>0</v>
      </c>
      <c r="H21" s="23">
        <f t="shared" si="6"/>
        <v>5.184786003872885</v>
      </c>
      <c r="I21" s="23">
        <f t="shared" si="6"/>
        <v>0</v>
      </c>
      <c r="J21" s="23">
        <f t="shared" si="6"/>
        <v>0</v>
      </c>
      <c r="K21" s="44" t="s">
        <v>6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s="7" customFormat="1" ht="15" x14ac:dyDescent="0.25">
      <c r="A22" s="18" t="s">
        <v>19</v>
      </c>
      <c r="B22" s="21">
        <f t="shared" ref="B22:J22" si="7">B12/B6*100</f>
        <v>0.17772524896493361</v>
      </c>
      <c r="C22" s="23">
        <f t="shared" si="7"/>
        <v>0.20630292366639347</v>
      </c>
      <c r="D22" s="23">
        <f t="shared" si="7"/>
        <v>3.5963898993267378</v>
      </c>
      <c r="E22" s="23">
        <f t="shared" si="7"/>
        <v>0</v>
      </c>
      <c r="F22" s="23">
        <f t="shared" si="7"/>
        <v>4.9958399027968524E-2</v>
      </c>
      <c r="G22" s="23">
        <f t="shared" si="7"/>
        <v>1.568095967473209E-3</v>
      </c>
      <c r="H22" s="23">
        <f t="shared" si="7"/>
        <v>0.17342543584753872</v>
      </c>
      <c r="I22" s="23">
        <f t="shared" si="7"/>
        <v>0</v>
      </c>
      <c r="J22" s="23">
        <f t="shared" si="7"/>
        <v>100</v>
      </c>
      <c r="K22" s="44" t="s">
        <v>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s="7" customFormat="1" ht="15" x14ac:dyDescent="0.25">
      <c r="A23" s="18" t="s">
        <v>13</v>
      </c>
      <c r="B23" s="21">
        <f t="shared" ref="B23:J23" si="8">B13/B6*100</f>
        <v>9.0912324644995712E-2</v>
      </c>
      <c r="C23" s="23">
        <f t="shared" si="8"/>
        <v>0.10969221200480975</v>
      </c>
      <c r="D23" s="23">
        <f t="shared" si="8"/>
        <v>2.1968930549610897</v>
      </c>
      <c r="E23" s="23">
        <f t="shared" si="8"/>
        <v>0</v>
      </c>
      <c r="F23" s="23">
        <f t="shared" si="8"/>
        <v>1.9694397142490917E-2</v>
      </c>
      <c r="G23" s="23">
        <f t="shared" si="8"/>
        <v>0</v>
      </c>
      <c r="H23" s="23">
        <f t="shared" si="8"/>
        <v>3.0157539462877352E-2</v>
      </c>
      <c r="I23" s="23">
        <f t="shared" si="8"/>
        <v>0</v>
      </c>
      <c r="J23" s="23">
        <f t="shared" si="8"/>
        <v>0</v>
      </c>
      <c r="K23" s="44" t="s">
        <v>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s="32" customFormat="1" ht="15" x14ac:dyDescent="0.25">
      <c r="A24" s="18" t="s">
        <v>14</v>
      </c>
      <c r="B24" s="21">
        <f t="shared" ref="B24:J24" si="9">B14/B6*100</f>
        <v>3.4686437826970304</v>
      </c>
      <c r="C24" s="23">
        <f t="shared" si="9"/>
        <v>2.2275738909578018</v>
      </c>
      <c r="D24" s="23">
        <f t="shared" si="9"/>
        <v>16.786581189752258</v>
      </c>
      <c r="E24" s="23">
        <f t="shared" si="9"/>
        <v>28.730814185708798</v>
      </c>
      <c r="F24" s="23">
        <f t="shared" si="9"/>
        <v>0.20034955390577686</v>
      </c>
      <c r="G24" s="23">
        <f t="shared" si="9"/>
        <v>99.998431904032529</v>
      </c>
      <c r="H24" s="23">
        <f t="shared" si="9"/>
        <v>93.839229855878472</v>
      </c>
      <c r="I24" s="23">
        <f t="shared" si="9"/>
        <v>100</v>
      </c>
      <c r="J24" s="23">
        <f t="shared" si="9"/>
        <v>0</v>
      </c>
      <c r="K24" s="45" t="s">
        <v>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</row>
    <row r="25" spans="1:35" s="7" customFormat="1" ht="15" x14ac:dyDescent="0.25">
      <c r="A25" s="37" t="s">
        <v>20</v>
      </c>
      <c r="B25" s="38">
        <f t="shared" ref="B25:J25" si="10">B15/B6*100</f>
        <v>0</v>
      </c>
      <c r="C25" s="40">
        <f t="shared" si="10"/>
        <v>0</v>
      </c>
      <c r="D25" s="40">
        <f t="shared" si="10"/>
        <v>0</v>
      </c>
      <c r="E25" s="40">
        <f t="shared" si="10"/>
        <v>0</v>
      </c>
      <c r="F25" s="40">
        <f t="shared" si="10"/>
        <v>0</v>
      </c>
      <c r="G25" s="40">
        <f t="shared" si="10"/>
        <v>0</v>
      </c>
      <c r="H25" s="40">
        <f t="shared" si="10"/>
        <v>0</v>
      </c>
      <c r="I25" s="40">
        <f t="shared" si="10"/>
        <v>0</v>
      </c>
      <c r="J25" s="40">
        <f t="shared" si="10"/>
        <v>0</v>
      </c>
      <c r="K25" s="46" t="s">
        <v>32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4.25" x14ac:dyDescent="0.25">
      <c r="A26" s="8" t="s">
        <v>28</v>
      </c>
      <c r="B26" s="34">
        <f>SUM(C26:I26)</f>
        <v>99.994933252831444</v>
      </c>
      <c r="C26" s="21">
        <f>(C6/$B$6)*100</f>
        <v>67.454437697072322</v>
      </c>
      <c r="D26" s="21">
        <f t="shared" ref="D26:J26" si="11">(D6/$B$6)*100</f>
        <v>0.49663308038914306</v>
      </c>
      <c r="E26" s="21">
        <f t="shared" si="11"/>
        <v>0.37995349871705736</v>
      </c>
      <c r="F26" s="21">
        <f t="shared" si="11"/>
        <v>29.926699402472341</v>
      </c>
      <c r="G26" s="21">
        <f t="shared" si="11"/>
        <v>1.3412810318297641</v>
      </c>
      <c r="H26" s="21">
        <f t="shared" si="11"/>
        <v>0.38358287201266733</v>
      </c>
      <c r="I26" s="21">
        <f t="shared" si="11"/>
        <v>1.2345670338146746E-2</v>
      </c>
      <c r="J26" s="21">
        <f t="shared" si="11"/>
        <v>5.0667471685322749E-3</v>
      </c>
      <c r="K26" s="47" t="s">
        <v>29</v>
      </c>
    </row>
    <row r="27" spans="1:35" ht="15" x14ac:dyDescent="0.25">
      <c r="A27" s="18" t="s">
        <v>15</v>
      </c>
      <c r="B27" s="34">
        <f>SUM(C27:J27)</f>
        <v>100.00000000000003</v>
      </c>
      <c r="C27" s="23">
        <f>(C7/$B$7)*100</f>
        <v>98.13455217204752</v>
      </c>
      <c r="D27" s="23">
        <f t="shared" ref="D27:J27" si="12">(D7/$B$7)*100</f>
        <v>0.35840942148673455</v>
      </c>
      <c r="E27" s="23">
        <f t="shared" si="12"/>
        <v>4.7079670836399956E-4</v>
      </c>
      <c r="F27" s="23">
        <f t="shared" si="12"/>
        <v>1.506559486454174</v>
      </c>
      <c r="G27" s="23">
        <f t="shared" si="12"/>
        <v>0</v>
      </c>
      <c r="H27" s="23">
        <f t="shared" si="12"/>
        <v>8.1233032160632298E-6</v>
      </c>
      <c r="I27" s="23">
        <f t="shared" si="12"/>
        <v>0</v>
      </c>
      <c r="J27" s="23">
        <f t="shared" si="12"/>
        <v>0</v>
      </c>
      <c r="K27" s="44" t="s">
        <v>18</v>
      </c>
    </row>
    <row r="28" spans="1:35" ht="15" x14ac:dyDescent="0.25">
      <c r="A28" s="20" t="s">
        <v>10</v>
      </c>
      <c r="B28" s="34">
        <f t="shared" ref="B28:B33" si="13">SUM(C28:I28)</f>
        <v>100</v>
      </c>
      <c r="C28" s="23">
        <f>(C8/$B$8)*100</f>
        <v>30.265577772039222</v>
      </c>
      <c r="D28" s="23">
        <f t="shared" ref="D28:J28" si="14">(D8/$B$8)*100</f>
        <v>0.44180547215449029</v>
      </c>
      <c r="E28" s="23">
        <f t="shared" si="14"/>
        <v>0.21772147216840401</v>
      </c>
      <c r="F28" s="23">
        <f t="shared" si="14"/>
        <v>69.067575732190704</v>
      </c>
      <c r="G28" s="23">
        <f t="shared" si="14"/>
        <v>0</v>
      </c>
      <c r="H28" s="23">
        <f t="shared" si="14"/>
        <v>7.319551447182787E-3</v>
      </c>
      <c r="I28" s="23">
        <f t="shared" si="14"/>
        <v>0</v>
      </c>
      <c r="J28" s="23">
        <f t="shared" si="14"/>
        <v>0</v>
      </c>
      <c r="K28" s="44" t="s">
        <v>4</v>
      </c>
    </row>
    <row r="29" spans="1:35" ht="15" x14ac:dyDescent="0.25">
      <c r="A29" s="20" t="s">
        <v>11</v>
      </c>
      <c r="B29" s="34">
        <f t="shared" si="13"/>
        <v>100</v>
      </c>
      <c r="C29" s="23">
        <f>(C9/$B$9)*100</f>
        <v>9.9289745188733622</v>
      </c>
      <c r="D29" s="23">
        <f t="shared" ref="D29:J29" si="15">(D9/$B$9)*100</f>
        <v>0.12934456687739754</v>
      </c>
      <c r="E29" s="23">
        <f t="shared" si="15"/>
        <v>12.646730261472449</v>
      </c>
      <c r="F29" s="23">
        <f t="shared" si="15"/>
        <v>77.294950652776791</v>
      </c>
      <c r="G29" s="23">
        <f t="shared" si="15"/>
        <v>0</v>
      </c>
      <c r="H29" s="23">
        <f t="shared" si="15"/>
        <v>0</v>
      </c>
      <c r="I29" s="23">
        <f t="shared" si="15"/>
        <v>0</v>
      </c>
      <c r="J29" s="23">
        <f t="shared" si="15"/>
        <v>0</v>
      </c>
      <c r="K29" s="44" t="s">
        <v>5</v>
      </c>
    </row>
    <row r="30" spans="1:35" ht="15" x14ac:dyDescent="0.2">
      <c r="A30" s="50" t="s">
        <v>35</v>
      </c>
      <c r="B30" s="34">
        <f t="shared" si="13"/>
        <v>100</v>
      </c>
      <c r="C30" s="23">
        <f>(C10/$B$10)*100</f>
        <v>0</v>
      </c>
      <c r="D30" s="23">
        <f t="shared" ref="D30:J30" si="16">(D10/$B$10)*100</f>
        <v>0</v>
      </c>
      <c r="E30" s="23">
        <f t="shared" si="16"/>
        <v>100</v>
      </c>
      <c r="F30" s="23">
        <f t="shared" si="16"/>
        <v>0</v>
      </c>
      <c r="G30" s="23">
        <f t="shared" si="16"/>
        <v>0</v>
      </c>
      <c r="H30" s="23">
        <f t="shared" si="16"/>
        <v>0</v>
      </c>
      <c r="I30" s="23">
        <f t="shared" si="16"/>
        <v>0</v>
      </c>
      <c r="J30" s="23">
        <f t="shared" si="16"/>
        <v>0</v>
      </c>
      <c r="K30" s="44" t="s">
        <v>36</v>
      </c>
    </row>
    <row r="31" spans="1:35" ht="15" x14ac:dyDescent="0.25">
      <c r="A31" s="18" t="s">
        <v>12</v>
      </c>
      <c r="B31" s="34">
        <f t="shared" si="13"/>
        <v>100</v>
      </c>
      <c r="C31" s="23">
        <f>(C11/$B$11)*100</f>
        <v>14.864634556949923</v>
      </c>
      <c r="D31" s="23">
        <f t="shared" ref="D31:J31" si="17">(D11/$B$11)*100</f>
        <v>25.439475248471361</v>
      </c>
      <c r="E31" s="23">
        <f t="shared" si="17"/>
        <v>0</v>
      </c>
      <c r="F31" s="23">
        <f t="shared" si="17"/>
        <v>4.6680605725544639</v>
      </c>
      <c r="G31" s="23">
        <f t="shared" si="17"/>
        <v>0</v>
      </c>
      <c r="H31" s="23">
        <f t="shared" si="17"/>
        <v>55.027829622024257</v>
      </c>
      <c r="I31" s="23">
        <f t="shared" si="17"/>
        <v>0</v>
      </c>
      <c r="J31" s="23">
        <f t="shared" si="17"/>
        <v>0</v>
      </c>
      <c r="K31" s="44" t="s">
        <v>6</v>
      </c>
    </row>
    <row r="32" spans="1:35" ht="15" x14ac:dyDescent="0.25">
      <c r="A32" s="18" t="s">
        <v>19</v>
      </c>
      <c r="B32" s="34">
        <f>SUM(C32:J32)</f>
        <v>99.999999999999986</v>
      </c>
      <c r="C32" s="23">
        <f>(C12/$B$12)*100</f>
        <v>78.300904301584836</v>
      </c>
      <c r="D32" s="23">
        <f t="shared" ref="D32:J32" si="18">(D12/$B$12)*100</f>
        <v>10.049704273225943</v>
      </c>
      <c r="E32" s="23">
        <f t="shared" si="18"/>
        <v>0</v>
      </c>
      <c r="F32" s="23">
        <f t="shared" si="18"/>
        <v>8.4123668361481467</v>
      </c>
      <c r="G32" s="23">
        <f t="shared" si="18"/>
        <v>1.1834319487579081E-2</v>
      </c>
      <c r="H32" s="23">
        <f t="shared" si="18"/>
        <v>0.37430262244602597</v>
      </c>
      <c r="I32" s="23">
        <f t="shared" si="18"/>
        <v>0</v>
      </c>
      <c r="J32" s="23">
        <f t="shared" si="18"/>
        <v>2.850887647107462</v>
      </c>
      <c r="K32" s="44" t="s">
        <v>7</v>
      </c>
    </row>
    <row r="33" spans="1:11" ht="15" x14ac:dyDescent="0.25">
      <c r="A33" s="18" t="s">
        <v>13</v>
      </c>
      <c r="B33" s="34">
        <f t="shared" si="13"/>
        <v>100</v>
      </c>
      <c r="C33" s="23">
        <f>(C13/$B$13)*100</f>
        <v>81.388596204373712</v>
      </c>
      <c r="D33" s="23">
        <f t="shared" ref="D33:J33" si="19">(D13/$B$13)*100</f>
        <v>12.001120523881555</v>
      </c>
      <c r="E33" s="23">
        <f t="shared" si="19"/>
        <v>0</v>
      </c>
      <c r="F33" s="23">
        <f t="shared" si="19"/>
        <v>6.4830407263013363</v>
      </c>
      <c r="G33" s="23">
        <f t="shared" si="19"/>
        <v>0</v>
      </c>
      <c r="H33" s="23">
        <f t="shared" si="19"/>
        <v>0.12724254544339833</v>
      </c>
      <c r="I33" s="23">
        <f t="shared" si="19"/>
        <v>0</v>
      </c>
      <c r="J33" s="23">
        <f t="shared" si="19"/>
        <v>0</v>
      </c>
      <c r="K33" s="44" t="s">
        <v>8</v>
      </c>
    </row>
    <row r="34" spans="1:11" ht="15" x14ac:dyDescent="0.25">
      <c r="A34" s="18" t="s">
        <v>14</v>
      </c>
      <c r="B34" s="34">
        <f>SUM(C34:J34)</f>
        <v>100</v>
      </c>
      <c r="C34" s="23">
        <f>(C14/$B$14)*100</f>
        <v>43.319450960284009</v>
      </c>
      <c r="D34" s="23">
        <f t="shared" ref="D34:J34" si="20">(D14/$B$14)*100</f>
        <v>2.4034671899882687</v>
      </c>
      <c r="E34" s="23">
        <f t="shared" si="20"/>
        <v>3.1471589631961976</v>
      </c>
      <c r="F34" s="23">
        <f t="shared" si="20"/>
        <v>1.7285721021763729</v>
      </c>
      <c r="G34" s="23">
        <f t="shared" si="20"/>
        <v>38.66813899849641</v>
      </c>
      <c r="H34" s="23">
        <f t="shared" si="20"/>
        <v>10.377289670139273</v>
      </c>
      <c r="I34" s="23">
        <f t="shared" si="20"/>
        <v>0.35592211571945909</v>
      </c>
      <c r="J34" s="23">
        <f t="shared" si="20"/>
        <v>0</v>
      </c>
      <c r="K34" s="45" t="s">
        <v>9</v>
      </c>
    </row>
    <row r="35" spans="1:11" ht="15" x14ac:dyDescent="0.25">
      <c r="A35" s="35" t="s">
        <v>20</v>
      </c>
      <c r="B35" s="36">
        <f>SUM(C35:J35)</f>
        <v>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48" t="s">
        <v>32</v>
      </c>
    </row>
    <row r="36" spans="1:11" s="5" customFormat="1" ht="14.25" x14ac:dyDescent="0.25">
      <c r="A36" s="1" t="s">
        <v>1</v>
      </c>
      <c r="B36" s="24"/>
      <c r="C36" s="25"/>
      <c r="D36" s="25"/>
      <c r="E36" s="25"/>
      <c r="F36" s="25"/>
      <c r="G36" s="25"/>
      <c r="H36" s="25"/>
      <c r="K36" s="49" t="s">
        <v>2</v>
      </c>
    </row>
    <row r="47" spans="1:11" x14ac:dyDescent="0.25">
      <c r="B47" s="9"/>
    </row>
    <row r="66" spans="2:10" x14ac:dyDescent="0.25">
      <c r="B66" s="9"/>
    </row>
    <row r="67" spans="2:10" x14ac:dyDescent="0.25">
      <c r="B67" s="9"/>
    </row>
    <row r="68" spans="2:10" x14ac:dyDescent="0.25">
      <c r="C68" s="11"/>
      <c r="D68" s="11"/>
      <c r="E68" s="11"/>
      <c r="F68" s="11"/>
      <c r="G68" s="11"/>
      <c r="H68" s="11"/>
      <c r="I68" s="11"/>
      <c r="J68" s="11"/>
    </row>
  </sheetData>
  <mergeCells count="6">
    <mergeCell ref="A1:K1"/>
    <mergeCell ref="A2:K2"/>
    <mergeCell ref="A3:G3"/>
    <mergeCell ref="A4:A5"/>
    <mergeCell ref="B4:I4"/>
    <mergeCell ref="K4:K5"/>
  </mergeCells>
  <pageMargins left="0.7" right="0.7" top="0.75" bottom="0.75" header="0.3" footer="0.3"/>
  <pageSetup paperSize="9" scale="59" orientation="landscape" r:id="rId1"/>
  <rowBreaks count="1" manualBreakCount="1">
    <brk id="6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2016-09-22T08:22:35Z</cp:lastPrinted>
  <dcterms:created xsi:type="dcterms:W3CDTF">2014-03-04T03:52:57Z</dcterms:created>
  <dcterms:modified xsi:type="dcterms:W3CDTF">2016-09-22T08:22:58Z</dcterms:modified>
</cp:coreProperties>
</file>