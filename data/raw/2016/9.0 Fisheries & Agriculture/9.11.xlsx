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1" sheetId="25" r:id="rId1"/>
  </sheets>
  <definedNames>
    <definedName name="_xlnm.Print_Area" localSheetId="0">'9.11'!$A$1:$I$45</definedName>
  </definedNames>
  <calcPr calcId="144525"/>
</workbook>
</file>

<file path=xl/calcChain.xml><?xml version="1.0" encoding="utf-8"?>
<calcChain xmlns="http://schemas.openxmlformats.org/spreadsheetml/2006/main">
  <c r="B8" i="25" l="1"/>
  <c r="C7" i="25"/>
  <c r="B7" i="25"/>
  <c r="B29" i="25" l="1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H7" i="25"/>
  <c r="G7" i="25"/>
  <c r="F7" i="25"/>
  <c r="E7" i="25"/>
  <c r="D7" i="25"/>
</calcChain>
</file>

<file path=xl/sharedStrings.xml><?xml version="1.0" encoding="utf-8"?>
<sst xmlns="http://schemas.openxmlformats.org/spreadsheetml/2006/main" count="74" uniqueCount="67">
  <si>
    <t>Total</t>
  </si>
  <si>
    <t>(ރުފިޔާއިން )</t>
  </si>
  <si>
    <t>(Value in MVR)</t>
  </si>
  <si>
    <t>Agricultural crops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</si>
  <si>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</si>
  <si>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</si>
  <si>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</si>
  <si>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</si>
  <si>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</si>
  <si>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</si>
  <si>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</si>
  <si>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</si>
  <si>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</si>
  <si>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</si>
  <si>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</si>
  <si>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</si>
  <si>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</si>
  <si>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</si>
  <si>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</si>
  <si>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</si>
  <si>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</si>
  <si>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</si>
  <si>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</si>
  <si>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</si>
  <si>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</si>
  <si>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</si>
  <si>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</si>
  <si>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</si>
  <si>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</si>
  <si>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</si>
  <si>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</si>
  <si>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</si>
  <si>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</si>
  <si>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</si>
  <si>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</si>
  <si>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</si>
  <si>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</si>
  <si>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</si>
  <si>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</si>
  <si>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</si>
  <si>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</si>
  <si>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</si>
  <si>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</si>
  <si>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</si>
  <si>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</si>
  <si>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</si>
  <si>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</si>
  <si>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</si>
  <si>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</si>
  <si>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</si>
  <si>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</si>
  <si>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</si>
  <si>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</si>
  <si>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</si>
  <si>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</si>
  <si>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</si>
  <si>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</si>
  <si>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Snake Gourd (Fresh Or Chilled )</t>
  </si>
  <si>
    <t>ޗިޗަންޑާ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</si>
  <si>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</si>
  <si>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</si>
  <si>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</si>
  <si>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</si>
  <si>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</si>
  <si>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</si>
  <si>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Table 9.11: IMPORTS OF FRESH AGRICULTURAL CROPS MAINLY PRODUCED IN MALDIVES, 2015</t>
  </si>
  <si>
    <t>2015 ,cawtctwvWb egumwkirevuDnwd Wdcawh cSokumcaWa iawgEjcaWr cniaeret egukwtctwvWb unuveruk cTrOpcmia cSwaejcaWr  : 9.11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</si>
</sst>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8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2" fillId="0" borderId="0"/>
    <xf numFmtId="0" fontId="10" fillId="0" borderId="0"/>
  </cellStyleXfs>
  <cellXfs count="67">
    <xf numFmtId="0" fontId="0" fillId="0" borderId="0" xfId="0"/>
    <xf numFmtId="165" fontId="9" fillId="2" borderId="0" xfId="4" applyFont="1" applyFill="1" applyBorder="1" applyAlignment="1" applyProtection="1">
      <alignment horizontal="left" vertical="center"/>
    </xf>
    <xf numFmtId="38" fontId="5" fillId="2" borderId="2" xfId="1" applyNumberFormat="1" applyFont="1" applyFill="1" applyBorder="1"/>
    <xf numFmtId="38" fontId="3" fillId="2" borderId="0" xfId="1" applyNumberFormat="1" applyFont="1" applyFill="1" applyBorder="1"/>
    <xf numFmtId="38" fontId="5" fillId="2" borderId="0" xfId="1" applyNumberFormat="1" applyFont="1" applyFill="1" applyBorder="1"/>
    <xf numFmtId="165" fontId="10" fillId="2" borderId="4" xfId="7" applyNumberFormat="1" applyFill="1" applyBorder="1"/>
    <xf numFmtId="165" fontId="10" fillId="2" borderId="4" xfId="7" applyNumberFormat="1" applyFont="1" applyFill="1" applyBorder="1"/>
    <xf numFmtId="2" fontId="14" fillId="2" borderId="3" xfId="7" applyNumberFormat="1" applyFont="1" applyFill="1" applyBorder="1" applyAlignment="1">
      <alignment horizontal="right" vertical="center"/>
    </xf>
    <xf numFmtId="0" fontId="15" fillId="2" borderId="2" xfId="7" applyNumberFormat="1" applyFont="1" applyFill="1" applyBorder="1" applyAlignment="1">
      <alignment horizontal="right" vertical="center"/>
    </xf>
    <xf numFmtId="165" fontId="1" fillId="2" borderId="4" xfId="7" applyNumberFormat="1" applyFont="1" applyFill="1" applyBorder="1"/>
    <xf numFmtId="0" fontId="13" fillId="2" borderId="1" xfId="7" applyNumberFormat="1" applyFont="1" applyFill="1" applyBorder="1" applyAlignment="1">
      <alignment horizontal="left" vertical="center"/>
    </xf>
    <xf numFmtId="38" fontId="15" fillId="2" borderId="1" xfId="7" applyNumberFormat="1" applyFont="1" applyFill="1" applyBorder="1" applyAlignment="1">
      <alignment horizontal="right" vertical="center"/>
    </xf>
    <xf numFmtId="0" fontId="12" fillId="2" borderId="7" xfId="7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0" fontId="16" fillId="2" borderId="10" xfId="7" applyNumberFormat="1" applyFont="1" applyFill="1" applyBorder="1" applyAlignment="1">
      <alignment vertical="center"/>
    </xf>
    <xf numFmtId="0" fontId="17" fillId="2" borderId="11" xfId="7" applyNumberFormat="1" applyFont="1" applyFill="1" applyBorder="1" applyAlignment="1">
      <alignment horizontal="left" vertical="center"/>
    </xf>
    <xf numFmtId="0" fontId="16" fillId="2" borderId="12" xfId="7" applyNumberFormat="1" applyFont="1" applyFill="1" applyBorder="1" applyAlignment="1">
      <alignment vertical="center"/>
    </xf>
    <xf numFmtId="0" fontId="17" fillId="2" borderId="13" xfId="7" applyNumberFormat="1" applyFont="1" applyFill="1" applyBorder="1" applyAlignment="1">
      <alignment horizontal="left" vertical="center"/>
    </xf>
    <xf numFmtId="0" fontId="17" fillId="2" borderId="14" xfId="7" applyNumberFormat="1" applyFont="1" applyFill="1" applyBorder="1" applyAlignment="1">
      <alignment horizontal="left" vertical="center"/>
    </xf>
    <xf numFmtId="38" fontId="3" fillId="2" borderId="2" xfId="1" applyNumberFormat="1" applyFont="1" applyFill="1" applyBorder="1"/>
    <xf numFmtId="0" fontId="16" fillId="2" borderId="15" xfId="7" applyNumberFormat="1" applyFont="1" applyFill="1" applyBorder="1" applyAlignment="1">
      <alignment vertical="center"/>
    </xf>
    <xf numFmtId="165" fontId="6" fillId="2" borderId="11" xfId="4" applyFont="1" applyFill="1" applyBorder="1" applyAlignment="1" applyProtection="1">
      <alignment horizontal="left" vertical="center"/>
    </xf>
    <xf numFmtId="165" fontId="1" fillId="2" borderId="16" xfId="7" applyNumberFormat="1" applyFont="1" applyFill="1" applyBorder="1"/>
    <xf numFmtId="165" fontId="7" fillId="2" borderId="16" xfId="4" applyFont="1" applyFill="1" applyBorder="1" applyAlignment="1">
      <alignment horizontal="right" vertical="center" indent="1"/>
    </xf>
    <xf numFmtId="165" fontId="6" fillId="2" borderId="0" xfId="4" applyFont="1" applyFill="1" applyBorder="1" applyAlignment="1" applyProtection="1">
      <alignment horizontal="left" vertical="center"/>
    </xf>
    <xf numFmtId="165" fontId="1" fillId="2" borderId="12" xfId="7" applyNumberFormat="1" applyFont="1" applyFill="1" applyBorder="1"/>
    <xf numFmtId="165" fontId="9" fillId="2" borderId="16" xfId="4" applyFont="1" applyFill="1" applyBorder="1" applyAlignment="1" applyProtection="1">
      <alignment horizontal="left" vertical="center"/>
    </xf>
    <xf numFmtId="165" fontId="7" fillId="2" borderId="16" xfId="4" applyFont="1" applyFill="1" applyBorder="1" applyAlignment="1">
      <alignment horizontal="left" vertical="center" indent="1" readingOrder="2"/>
    </xf>
    <xf numFmtId="165" fontId="6" fillId="2" borderId="17" xfId="4" applyFont="1" applyFill="1" applyBorder="1" applyAlignment="1" applyProtection="1">
      <alignment horizontal="left" vertical="center"/>
    </xf>
    <xf numFmtId="165" fontId="1" fillId="2" borderId="18" xfId="7" applyNumberFormat="1" applyFont="1" applyFill="1" applyBorder="1"/>
    <xf numFmtId="165" fontId="9" fillId="2" borderId="19" xfId="4" applyFont="1" applyFill="1" applyBorder="1" applyAlignment="1" applyProtection="1">
      <alignment horizontal="left" vertical="center"/>
    </xf>
    <xf numFmtId="165" fontId="7" fillId="2" borderId="19" xfId="4" applyFont="1" applyFill="1" applyBorder="1" applyAlignment="1">
      <alignment horizontal="left" vertical="center" indent="1" readingOrder="2"/>
    </xf>
    <xf numFmtId="165" fontId="1" fillId="2" borderId="5" xfId="7" applyNumberFormat="1" applyFont="1" applyFill="1" applyBorder="1"/>
    <xf numFmtId="165" fontId="1" fillId="2" borderId="0" xfId="7" applyNumberFormat="1" applyFont="1" applyFill="1" applyBorder="1"/>
    <xf numFmtId="165" fontId="7" fillId="2" borderId="0" xfId="4" applyFont="1" applyFill="1" applyBorder="1" applyAlignment="1">
      <alignment horizontal="left" vertical="center" indent="1" readingOrder="2"/>
    </xf>
    <xf numFmtId="165" fontId="10" fillId="2" borderId="12" xfId="7" applyNumberFormat="1" applyFill="1" applyBorder="1"/>
    <xf numFmtId="165" fontId="10" fillId="2" borderId="12" xfId="7" applyNumberFormat="1" applyFont="1" applyFill="1" applyBorder="1"/>
    <xf numFmtId="2" fontId="14" fillId="2" borderId="0" xfId="7" applyNumberFormat="1" applyFont="1" applyFill="1" applyBorder="1" applyAlignment="1">
      <alignment horizontal="right" vertical="center"/>
    </xf>
    <xf numFmtId="0" fontId="15" fillId="2" borderId="0" xfId="7" applyNumberFormat="1" applyFont="1" applyFill="1" applyBorder="1" applyAlignment="1">
      <alignment horizontal="right" vertical="center"/>
    </xf>
    <xf numFmtId="0" fontId="13" fillId="2" borderId="0" xfId="7" applyNumberFormat="1" applyFont="1" applyFill="1" applyBorder="1" applyAlignment="1">
      <alignment horizontal="left" vertical="center"/>
    </xf>
    <xf numFmtId="38" fontId="15" fillId="2" borderId="0" xfId="7" applyNumberFormat="1" applyFont="1" applyFill="1" applyBorder="1" applyAlignment="1">
      <alignment horizontal="right" vertical="center"/>
    </xf>
    <xf numFmtId="0" fontId="12" fillId="2" borderId="0" xfId="7" applyNumberFormat="1" applyFont="1" applyFill="1" applyBorder="1" applyAlignment="1">
      <alignment horizontal="right" vertical="center"/>
    </xf>
    <xf numFmtId="0" fontId="16" fillId="2" borderId="0" xfId="7" applyNumberFormat="1" applyFont="1" applyFill="1" applyBorder="1" applyAlignment="1">
      <alignment vertical="center"/>
    </xf>
    <xf numFmtId="0" fontId="17" fillId="2" borderId="0" xfId="7" applyNumberFormat="1" applyFont="1" applyFill="1" applyBorder="1" applyAlignment="1">
      <alignment horizontal="left" vertical="center"/>
    </xf>
    <xf numFmtId="165" fontId="1" fillId="2" borderId="10" xfId="7" applyNumberFormat="1" applyFont="1" applyFill="1" applyBorder="1"/>
    <xf numFmtId="165" fontId="1" fillId="2" borderId="13" xfId="7" applyNumberFormat="1" applyFont="1" applyFill="1" applyBorder="1"/>
    <xf numFmtId="0" fontId="13" fillId="2" borderId="0" xfId="7" applyNumberFormat="1" applyFont="1" applyFill="1" applyBorder="1" applyAlignment="1">
      <alignment horizontal="right" vertical="center"/>
    </xf>
    <xf numFmtId="165" fontId="10" fillId="2" borderId="13" xfId="7" applyNumberFormat="1" applyFill="1" applyBorder="1"/>
    <xf numFmtId="165" fontId="10" fillId="2" borderId="0" xfId="7" applyNumberFormat="1" applyFill="1" applyBorder="1"/>
    <xf numFmtId="165" fontId="10" fillId="2" borderId="16" xfId="7" applyNumberFormat="1" applyFill="1" applyBorder="1"/>
    <xf numFmtId="1" fontId="5" fillId="2" borderId="13" xfId="0" applyNumberFormat="1" applyFont="1" applyFill="1" applyBorder="1"/>
    <xf numFmtId="0" fontId="8" fillId="2" borderId="0" xfId="6" applyFont="1" applyFill="1" applyBorder="1" applyAlignment="1">
      <alignment horizontal="center" vertical="center"/>
    </xf>
    <xf numFmtId="0" fontId="11" fillId="2" borderId="0" xfId="7" applyNumberFormat="1" applyFont="1" applyFill="1" applyBorder="1" applyAlignment="1">
      <alignment horizontal="center" vertical="center"/>
    </xf>
    <xf numFmtId="0" fontId="12" fillId="2" borderId="0" xfId="7" applyNumberFormat="1" applyFont="1" applyFill="1" applyBorder="1" applyAlignment="1">
      <alignment horizontal="center" vertical="center"/>
    </xf>
    <xf numFmtId="0" fontId="13" fillId="2" borderId="0" xfId="7" applyNumberFormat="1" applyFont="1" applyFill="1" applyBorder="1" applyAlignment="1">
      <alignment horizontal="center" vertical="center"/>
    </xf>
    <xf numFmtId="0" fontId="13" fillId="2" borderId="0" xfId="7" applyNumberFormat="1" applyFont="1" applyFill="1" applyBorder="1" applyAlignment="1">
      <alignment horizontal="left" vertical="center"/>
    </xf>
    <xf numFmtId="0" fontId="12" fillId="2" borderId="0" xfId="7" applyNumberFormat="1" applyFont="1" applyFill="1" applyBorder="1" applyAlignment="1">
      <alignment horizontal="right" vertical="center"/>
    </xf>
    <xf numFmtId="0" fontId="8" fillId="2" borderId="4" xfId="6" applyFont="1" applyFill="1" applyBorder="1" applyAlignment="1">
      <alignment horizontal="center" vertical="center"/>
    </xf>
    <xf numFmtId="0" fontId="11" fillId="2" borderId="4" xfId="7" applyNumberFormat="1" applyFont="1" applyFill="1" applyBorder="1" applyAlignment="1">
      <alignment horizontal="center" vertical="center"/>
    </xf>
    <xf numFmtId="0" fontId="12" fillId="2" borderId="4" xfId="7" applyNumberFormat="1" applyFont="1" applyFill="1" applyBorder="1" applyAlignment="1">
      <alignment horizontal="center" vertical="center"/>
    </xf>
    <xf numFmtId="0" fontId="13" fillId="2" borderId="5" xfId="7" applyNumberFormat="1" applyFont="1" applyFill="1" applyBorder="1" applyAlignment="1">
      <alignment horizontal="center" vertical="center"/>
    </xf>
    <xf numFmtId="0" fontId="13" fillId="2" borderId="6" xfId="7" applyNumberFormat="1" applyFont="1" applyFill="1" applyBorder="1" applyAlignment="1">
      <alignment horizontal="left" vertical="center"/>
    </xf>
    <xf numFmtId="0" fontId="13" fillId="2" borderId="8" xfId="7" applyNumberFormat="1" applyFont="1" applyFill="1" applyBorder="1" applyAlignment="1">
      <alignment horizontal="left" vertical="center"/>
    </xf>
    <xf numFmtId="0" fontId="12" fillId="2" borderId="7" xfId="7" applyNumberFormat="1" applyFont="1" applyFill="1" applyBorder="1" applyAlignment="1">
      <alignment horizontal="right" vertical="center"/>
    </xf>
    <xf numFmtId="0" fontId="12" fillId="2" borderId="9" xfId="7" applyNumberFormat="1" applyFont="1" applyFill="1" applyBorder="1" applyAlignment="1">
      <alignment horizontal="right" vertical="center"/>
    </xf>
    <xf numFmtId="0" fontId="17" fillId="2" borderId="20" xfId="7" applyNumberFormat="1" applyFont="1" applyFill="1" applyBorder="1" applyAlignment="1">
      <alignment horizontal="left" vertical="center"/>
    </xf>
    <xf numFmtId="165" fontId="10" fillId="2" borderId="5" xfId="7" applyNumberFormat="1" applyFill="1" applyBorder="1"/>
  </cellXfs>
  <cellStyles count="8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agri planning 2009 year book(final)" xfId="7"/>
    <cellStyle name="Normal_Fish &amp;  Agri - 8" xfId="4"/>
    <cellStyle name="Normal_mmifco" xfId="6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9.7: Imports of fresh agricultural crops by Country, 2015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'9.11'!$Z$16:$Z$21</c:f>
              <c:strCache>
                <c:ptCount val="6"/>
                <c:pt idx="0">
                  <c:v>U.A.E</c:v>
                </c:pt>
                <c:pt idx="1">
                  <c:v>India</c:v>
                </c:pt>
                <c:pt idx="2">
                  <c:v>Srilanka</c:v>
                </c:pt>
                <c:pt idx="3">
                  <c:v>Thailand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'9.11'!$AA$16:$AA$21</c:f>
              <c:numCache>
                <c:formatCode>#,##0_);[Red]\(#,##0\)</c:formatCode>
                <c:ptCount val="6"/>
                <c:pt idx="0">
                  <c:v>72025547.820000008</c:v>
                </c:pt>
                <c:pt idx="1">
                  <c:v>71190328.840000004</c:v>
                </c:pt>
                <c:pt idx="2">
                  <c:v>68312202.899999991</c:v>
                </c:pt>
                <c:pt idx="3">
                  <c:v>64536698.329999991</c:v>
                </c:pt>
                <c:pt idx="4">
                  <c:v>37770732.709999993</c:v>
                </c:pt>
                <c:pt idx="5">
                  <c:v>16668205.339999996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751488"/>
        <c:axId val="128753024"/>
      </c:barChart>
      <c:catAx>
        <c:axId val="12875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8753024"/>
        <c:crosses val="autoZero"/>
        <c:auto val="1"/>
        <c:lblAlgn val="ctr"/>
        <c:lblOffset val="100"/>
        <c:noMultiLvlLbl val="0"/>
      </c:catAx>
      <c:valAx>
        <c:axId val="1287530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875148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31</xdr:row>
      <xdr:rowOff>114300</xdr:rowOff>
    </xdr:from>
    <xdr:to>
      <xdr:col>7</xdr:col>
      <xdr:colOff>962025</xdr:colOff>
      <xdr:row>43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428626</xdr:colOff>
      <xdr:row>33</xdr:row>
      <xdr:rowOff>104775</xdr:rowOff>
    </xdr:from>
    <xdr:to>
      <xdr:col>6</xdr:col>
      <xdr:colOff>619126</xdr:colOff>
      <xdr:row>33</xdr:row>
      <xdr:rowOff>104775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3000376" y="8315325"/>
          <a:ext cx="48387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N85"/>
  <sheetViews>
    <sheetView tabSelected="1" zoomScaleNormal="100" workbookViewId="0">
      <selection activeCell="E58" sqref="E58"/>
    </sheetView>
  </sheetViews>
  <sheetFormatPr defaultColWidth="8.85546875" defaultRowHeight="15" x14ac:dyDescent="0.25"/>
  <cols>
    <col min="1" max="1" width="38.5703125" style="5" customWidth="1"/>
    <col min="2" max="2" width="18.85546875" style="5" customWidth="1"/>
    <col min="3" max="7" width="12.7109375" style="5" customWidth="1"/>
    <col min="8" max="8" width="17.140625" style="5" customWidth="1"/>
    <col min="9" max="9" width="25.5703125" style="5" customWidth="1"/>
    <col min="10" max="10" width="13.85546875" style="5" customWidth="1"/>
    <col min="11" max="23" width="8.85546875" style="5"/>
    <col min="24" max="29" width="11.140625" style="5" customWidth="1"/>
    <col min="30" max="32" width="8.85546875" style="5"/>
    <col min="33" max="33" width="9" style="5" bestFit="1" customWidth="1"/>
    <col min="34" max="16384" width="8.85546875" style="5"/>
  </cols>
  <sheetData>
    <row r="1" spans="1:27" ht="18" x14ac:dyDescent="0.25">
      <c r="A1" s="57" t="s">
        <v>66</v>
      </c>
      <c r="B1" s="57"/>
      <c r="C1" s="57"/>
      <c r="D1" s="57"/>
      <c r="E1" s="57"/>
      <c r="F1" s="57"/>
      <c r="G1" s="57"/>
      <c r="H1" s="57"/>
      <c r="I1" s="57"/>
    </row>
    <row r="2" spans="1:27" s="6" customFormat="1" ht="15.75" x14ac:dyDescent="0.25">
      <c r="A2" s="58" t="s">
        <v>65</v>
      </c>
      <c r="B2" s="58"/>
      <c r="C2" s="58"/>
      <c r="D2" s="58"/>
      <c r="E2" s="58"/>
      <c r="F2" s="58"/>
      <c r="G2" s="58"/>
      <c r="H2" s="58"/>
      <c r="I2" s="58"/>
    </row>
    <row r="3" spans="1:27" ht="21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</row>
    <row r="4" spans="1:27" x14ac:dyDescent="0.25">
      <c r="A4" s="60" t="s">
        <v>2</v>
      </c>
      <c r="B4" s="60"/>
      <c r="C4" s="60"/>
      <c r="D4" s="60"/>
      <c r="E4" s="60"/>
      <c r="F4" s="60"/>
      <c r="G4" s="60"/>
      <c r="H4" s="60"/>
      <c r="I4" s="60"/>
    </row>
    <row r="5" spans="1:27" ht="18.75" x14ac:dyDescent="0.25">
      <c r="A5" s="61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63" t="s">
        <v>11</v>
      </c>
    </row>
    <row r="6" spans="1:27" x14ac:dyDescent="0.25">
      <c r="A6" s="62"/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64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7" ht="21" x14ac:dyDescent="0.25">
      <c r="A7" s="10" t="s">
        <v>0</v>
      </c>
      <c r="B7" s="11">
        <f>SUM(B8:B29)</f>
        <v>330503715.94</v>
      </c>
      <c r="C7" s="11">
        <f>SUM(C8:C29)</f>
        <v>71190328.840000004</v>
      </c>
      <c r="D7" s="11">
        <f t="shared" ref="D7:H7" si="0">SUM(D8:D29)</f>
        <v>68312202.899999991</v>
      </c>
      <c r="E7" s="11">
        <f t="shared" si="0"/>
        <v>72025547.820000008</v>
      </c>
      <c r="F7" s="11">
        <f t="shared" si="0"/>
        <v>16668205.339999996</v>
      </c>
      <c r="G7" s="11">
        <f t="shared" si="0"/>
        <v>64536698.329999991</v>
      </c>
      <c r="H7" s="11">
        <f t="shared" si="0"/>
        <v>37770732.709999993</v>
      </c>
      <c r="I7" s="12" t="s">
        <v>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7" ht="21" x14ac:dyDescent="0.25">
      <c r="A8" s="13" t="s">
        <v>19</v>
      </c>
      <c r="B8" s="3">
        <f>SUM(C8:H8)</f>
        <v>13238111.77</v>
      </c>
      <c r="C8" s="4">
        <v>7005150.8799999999</v>
      </c>
      <c r="D8" s="4">
        <v>3769114.79</v>
      </c>
      <c r="E8" s="4">
        <v>961053.49</v>
      </c>
      <c r="F8" s="4">
        <v>82527.61</v>
      </c>
      <c r="G8" s="4">
        <v>671293.33</v>
      </c>
      <c r="H8" s="4">
        <v>748971.67000000016</v>
      </c>
      <c r="I8" s="14" t="s">
        <v>20</v>
      </c>
    </row>
    <row r="9" spans="1:27" ht="21" x14ac:dyDescent="0.25">
      <c r="A9" s="15" t="s">
        <v>21</v>
      </c>
      <c r="B9" s="3">
        <f t="shared" ref="B9:B29" si="1">SUM(C9:H9)</f>
        <v>20715561.630000003</v>
      </c>
      <c r="C9" s="4">
        <v>9167234.3399999999</v>
      </c>
      <c r="D9" s="4">
        <v>6915133.7199999997</v>
      </c>
      <c r="E9" s="4">
        <v>2050477.46</v>
      </c>
      <c r="F9" s="4">
        <v>307284.14</v>
      </c>
      <c r="G9" s="4">
        <v>937851.62</v>
      </c>
      <c r="H9" s="4">
        <v>1337580.3500000003</v>
      </c>
      <c r="I9" s="16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7" ht="21" x14ac:dyDescent="0.25">
      <c r="A10" s="17" t="s">
        <v>23</v>
      </c>
      <c r="B10" s="3">
        <f t="shared" si="1"/>
        <v>3467316.6799999997</v>
      </c>
      <c r="C10" s="4">
        <v>772654.03</v>
      </c>
      <c r="D10" s="4">
        <v>2185923.5099999998</v>
      </c>
      <c r="E10" s="4">
        <v>203600.26</v>
      </c>
      <c r="F10" s="4">
        <v>0</v>
      </c>
      <c r="G10" s="4">
        <v>28822.83</v>
      </c>
      <c r="H10" s="4">
        <v>276316.05</v>
      </c>
      <c r="I10" s="16" t="s">
        <v>24</v>
      </c>
    </row>
    <row r="11" spans="1:27" ht="21" x14ac:dyDescent="0.25">
      <c r="A11" s="17" t="s">
        <v>25</v>
      </c>
      <c r="B11" s="3">
        <f t="shared" si="1"/>
        <v>452155.69999999995</v>
      </c>
      <c r="C11" s="4">
        <v>95214.62</v>
      </c>
      <c r="D11" s="4">
        <v>253246.35</v>
      </c>
      <c r="E11" s="4">
        <v>55864.28</v>
      </c>
      <c r="F11" s="4">
        <v>0</v>
      </c>
      <c r="G11" s="4">
        <v>29909.97</v>
      </c>
      <c r="H11" s="4">
        <v>17920.48</v>
      </c>
      <c r="I11" s="16" t="s">
        <v>26</v>
      </c>
    </row>
    <row r="12" spans="1:27" ht="21" x14ac:dyDescent="0.25">
      <c r="A12" s="17" t="s">
        <v>27</v>
      </c>
      <c r="B12" s="3">
        <f t="shared" si="1"/>
        <v>224452.07</v>
      </c>
      <c r="C12" s="4">
        <v>2767.42</v>
      </c>
      <c r="D12" s="4">
        <v>159161.65</v>
      </c>
      <c r="E12" s="4">
        <v>41586.79</v>
      </c>
      <c r="F12" s="4">
        <v>0</v>
      </c>
      <c r="G12" s="4">
        <v>4750.21</v>
      </c>
      <c r="H12" s="4">
        <v>16186</v>
      </c>
      <c r="I12" s="16" t="s">
        <v>28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7" ht="21" x14ac:dyDescent="0.25">
      <c r="A13" s="17" t="s">
        <v>29</v>
      </c>
      <c r="B13" s="3">
        <f t="shared" si="1"/>
        <v>40422165.909999996</v>
      </c>
      <c r="C13" s="4">
        <v>23277839.129999999</v>
      </c>
      <c r="D13" s="4">
        <v>10150223.060000001</v>
      </c>
      <c r="E13" s="4">
        <v>2831845.68</v>
      </c>
      <c r="F13" s="4">
        <v>680653.94</v>
      </c>
      <c r="G13" s="4">
        <v>905403.75</v>
      </c>
      <c r="H13" s="4">
        <v>2576200.3499999996</v>
      </c>
      <c r="I13" s="16" t="s">
        <v>30</v>
      </c>
    </row>
    <row r="14" spans="1:27" ht="21" x14ac:dyDescent="0.25">
      <c r="A14" s="17" t="s">
        <v>31</v>
      </c>
      <c r="B14" s="3">
        <f t="shared" si="1"/>
        <v>4069700.3699999996</v>
      </c>
      <c r="C14" s="4">
        <v>14070.85</v>
      </c>
      <c r="D14" s="4">
        <v>330892.38</v>
      </c>
      <c r="E14" s="4">
        <v>968779.42</v>
      </c>
      <c r="F14" s="4">
        <v>56347.13</v>
      </c>
      <c r="G14" s="4">
        <v>2248649.5499999998</v>
      </c>
      <c r="H14" s="4">
        <v>450961.04</v>
      </c>
      <c r="I14" s="16" t="s">
        <v>32</v>
      </c>
    </row>
    <row r="15" spans="1:27" ht="21" x14ac:dyDescent="0.25">
      <c r="A15" s="17" t="s">
        <v>33</v>
      </c>
      <c r="B15" s="3">
        <f t="shared" si="1"/>
        <v>1908585.6300000001</v>
      </c>
      <c r="C15" s="4">
        <v>180683.35</v>
      </c>
      <c r="D15" s="4">
        <v>1389522.56</v>
      </c>
      <c r="E15" s="4">
        <v>155974.54999999999</v>
      </c>
      <c r="F15" s="4">
        <v>0</v>
      </c>
      <c r="G15" s="4">
        <v>3189.47</v>
      </c>
      <c r="H15" s="4">
        <v>179215.7</v>
      </c>
      <c r="I15" s="16" t="s">
        <v>34</v>
      </c>
    </row>
    <row r="16" spans="1:27" ht="21" x14ac:dyDescent="0.25">
      <c r="A16" s="17" t="s">
        <v>35</v>
      </c>
      <c r="B16" s="3">
        <f t="shared" si="1"/>
        <v>16994521.91</v>
      </c>
      <c r="C16" s="4">
        <v>7180508.5599999996</v>
      </c>
      <c r="D16" s="4">
        <v>4074057.23</v>
      </c>
      <c r="E16" s="4">
        <v>1582253.44</v>
      </c>
      <c r="F16" s="4">
        <v>55133.33</v>
      </c>
      <c r="G16" s="4">
        <v>1966849.15</v>
      </c>
      <c r="H16" s="4">
        <v>2135720.1999999997</v>
      </c>
      <c r="I16" s="16" t="s">
        <v>36</v>
      </c>
      <c r="Z16" s="8" t="s">
        <v>15</v>
      </c>
      <c r="AA16" s="11">
        <v>72025547.820000008</v>
      </c>
    </row>
    <row r="17" spans="1:27" ht="21" x14ac:dyDescent="0.25">
      <c r="A17" s="17" t="s">
        <v>37</v>
      </c>
      <c r="B17" s="3">
        <f t="shared" si="1"/>
        <v>17227099.289999999</v>
      </c>
      <c r="C17" s="4">
        <v>1701978.18</v>
      </c>
      <c r="D17" s="4">
        <v>7417447.6200000001</v>
      </c>
      <c r="E17" s="4">
        <v>5347232.84</v>
      </c>
      <c r="F17" s="4">
        <v>593805.68999999994</v>
      </c>
      <c r="G17" s="4">
        <v>491454.71</v>
      </c>
      <c r="H17" s="4">
        <v>1675180.25</v>
      </c>
      <c r="I17" s="16" t="s">
        <v>38</v>
      </c>
      <c r="Z17" s="8" t="s">
        <v>13</v>
      </c>
      <c r="AA17" s="11">
        <v>71190328.840000004</v>
      </c>
    </row>
    <row r="18" spans="1:27" ht="21" x14ac:dyDescent="0.25">
      <c r="A18" s="17" t="s">
        <v>39</v>
      </c>
      <c r="B18" s="3">
        <f t="shared" si="1"/>
        <v>2964794.07</v>
      </c>
      <c r="C18" s="4">
        <v>1948428.76</v>
      </c>
      <c r="D18" s="4">
        <v>752066.07</v>
      </c>
      <c r="E18" s="4">
        <v>168182.03</v>
      </c>
      <c r="F18" s="4">
        <v>0</v>
      </c>
      <c r="G18" s="4">
        <v>27684.92</v>
      </c>
      <c r="H18" s="4">
        <v>68432.290000000008</v>
      </c>
      <c r="I18" s="16" t="s">
        <v>40</v>
      </c>
      <c r="Z18" s="8" t="s">
        <v>14</v>
      </c>
      <c r="AA18" s="11">
        <v>68312202.899999991</v>
      </c>
    </row>
    <row r="19" spans="1:27" ht="21" x14ac:dyDescent="0.25">
      <c r="A19" s="17" t="s">
        <v>41</v>
      </c>
      <c r="B19" s="3">
        <f t="shared" si="1"/>
        <v>15382242.399999999</v>
      </c>
      <c r="C19" s="4">
        <v>1701794.18</v>
      </c>
      <c r="D19" s="4">
        <v>3134497.23</v>
      </c>
      <c r="E19" s="4">
        <v>2642591.5099999998</v>
      </c>
      <c r="F19" s="4">
        <v>0</v>
      </c>
      <c r="G19" s="4">
        <v>6048500.7999999998</v>
      </c>
      <c r="H19" s="4">
        <v>1854858.6799999997</v>
      </c>
      <c r="I19" s="16" t="s">
        <v>42</v>
      </c>
      <c r="Z19" s="8" t="s">
        <v>17</v>
      </c>
      <c r="AA19" s="11">
        <v>64536698.329999991</v>
      </c>
    </row>
    <row r="20" spans="1:27" ht="21" x14ac:dyDescent="0.25">
      <c r="A20" s="17" t="s">
        <v>43</v>
      </c>
      <c r="B20" s="3">
        <f t="shared" si="1"/>
        <v>43191210.880000003</v>
      </c>
      <c r="C20" s="4">
        <v>1741827.55</v>
      </c>
      <c r="D20" s="4">
        <v>3397454.38</v>
      </c>
      <c r="E20" s="4">
        <v>18708743.649999999</v>
      </c>
      <c r="F20" s="4">
        <v>7103493.7000000002</v>
      </c>
      <c r="G20" s="4">
        <v>4933255.9000000004</v>
      </c>
      <c r="H20" s="4">
        <v>7306435.7000000002</v>
      </c>
      <c r="I20" s="16" t="s">
        <v>44</v>
      </c>
      <c r="Z20" s="8" t="s">
        <v>18</v>
      </c>
      <c r="AA20" s="11">
        <v>37770732.709999993</v>
      </c>
    </row>
    <row r="21" spans="1:27" ht="21" x14ac:dyDescent="0.25">
      <c r="A21" s="17" t="s">
        <v>45</v>
      </c>
      <c r="B21" s="3">
        <f t="shared" si="1"/>
        <v>50645238.269999996</v>
      </c>
      <c r="C21" s="4">
        <v>3079101.62</v>
      </c>
      <c r="D21" s="4">
        <v>6799084.2199999997</v>
      </c>
      <c r="E21" s="4">
        <v>10211270.689999999</v>
      </c>
      <c r="F21" s="4">
        <v>588000.82999999996</v>
      </c>
      <c r="G21" s="4">
        <v>22015607.43</v>
      </c>
      <c r="H21" s="4">
        <v>7952173.4799999995</v>
      </c>
      <c r="I21" s="16" t="s">
        <v>46</v>
      </c>
      <c r="Z21" s="8" t="s">
        <v>16</v>
      </c>
      <c r="AA21" s="11">
        <v>16668205.339999996</v>
      </c>
    </row>
    <row r="22" spans="1:27" ht="21" x14ac:dyDescent="0.25">
      <c r="A22" s="17" t="s">
        <v>47</v>
      </c>
      <c r="B22" s="3">
        <f t="shared" si="1"/>
        <v>46656649.280000001</v>
      </c>
      <c r="C22" s="4">
        <v>3323847.33</v>
      </c>
      <c r="D22" s="4">
        <v>2583031.1</v>
      </c>
      <c r="E22" s="4">
        <v>20134908</v>
      </c>
      <c r="F22" s="4">
        <v>3816957.87</v>
      </c>
      <c r="G22" s="4">
        <v>11489028.289999999</v>
      </c>
      <c r="H22" s="4">
        <v>5308876.6900000004</v>
      </c>
      <c r="I22" s="16" t="s">
        <v>48</v>
      </c>
    </row>
    <row r="23" spans="1:27" ht="21" x14ac:dyDescent="0.25">
      <c r="A23" s="17" t="s">
        <v>49</v>
      </c>
      <c r="B23" s="3">
        <f t="shared" si="1"/>
        <v>4107271.37</v>
      </c>
      <c r="C23" s="4">
        <v>10653.99</v>
      </c>
      <c r="D23" s="4">
        <v>2079716.23</v>
      </c>
      <c r="E23" s="4">
        <v>142770.48000000001</v>
      </c>
      <c r="F23" s="4">
        <v>0</v>
      </c>
      <c r="G23" s="4">
        <v>1464756.91</v>
      </c>
      <c r="H23" s="4">
        <v>409373.75999999995</v>
      </c>
      <c r="I23" s="16" t="s">
        <v>50</v>
      </c>
    </row>
    <row r="24" spans="1:27" ht="21" x14ac:dyDescent="0.25">
      <c r="A24" s="17" t="s">
        <v>51</v>
      </c>
      <c r="B24" s="3">
        <f t="shared" si="1"/>
        <v>13374230.660000002</v>
      </c>
      <c r="C24" s="4">
        <v>141391.71</v>
      </c>
      <c r="D24" s="4">
        <v>5602036.4400000004</v>
      </c>
      <c r="E24" s="4">
        <v>2558060.0499999998</v>
      </c>
      <c r="F24" s="4">
        <v>265092.84999999998</v>
      </c>
      <c r="G24" s="4">
        <v>3164129.97</v>
      </c>
      <c r="H24" s="4">
        <v>1643519.64</v>
      </c>
      <c r="I24" s="16" t="s">
        <v>52</v>
      </c>
    </row>
    <row r="25" spans="1:27" ht="21" x14ac:dyDescent="0.25">
      <c r="A25" s="17" t="s">
        <v>53</v>
      </c>
      <c r="B25" s="3">
        <f t="shared" si="1"/>
        <v>4002983.0299999993</v>
      </c>
      <c r="C25" s="4">
        <v>1731241.68</v>
      </c>
      <c r="D25" s="4">
        <v>1015926.51</v>
      </c>
      <c r="E25" s="4">
        <v>673559.45</v>
      </c>
      <c r="F25" s="4">
        <v>298836.51</v>
      </c>
      <c r="G25" s="4">
        <v>79400.05</v>
      </c>
      <c r="H25" s="4">
        <v>204018.83</v>
      </c>
      <c r="I25" s="16" t="s">
        <v>54</v>
      </c>
    </row>
    <row r="26" spans="1:27" ht="21" x14ac:dyDescent="0.25">
      <c r="A26" s="17" t="s">
        <v>55</v>
      </c>
      <c r="B26" s="3">
        <f t="shared" si="1"/>
        <v>528890.76</v>
      </c>
      <c r="C26" s="4">
        <v>38192.82</v>
      </c>
      <c r="D26" s="4">
        <v>20108.14</v>
      </c>
      <c r="E26" s="4">
        <v>180889.01</v>
      </c>
      <c r="F26" s="4">
        <v>821.37</v>
      </c>
      <c r="G26" s="4">
        <v>240808.31</v>
      </c>
      <c r="H26" s="4">
        <v>48071.11</v>
      </c>
      <c r="I26" s="16" t="s">
        <v>56</v>
      </c>
    </row>
    <row r="27" spans="1:27" ht="21" x14ac:dyDescent="0.25">
      <c r="A27" s="17" t="s">
        <v>57</v>
      </c>
      <c r="B27" s="3">
        <f t="shared" si="1"/>
        <v>1131382.94</v>
      </c>
      <c r="C27" s="4">
        <v>219201.35</v>
      </c>
      <c r="D27" s="4">
        <v>788482.2</v>
      </c>
      <c r="E27" s="4">
        <v>29393.84</v>
      </c>
      <c r="F27" s="4">
        <v>0</v>
      </c>
      <c r="G27" s="4">
        <v>7030.54</v>
      </c>
      <c r="H27" s="4">
        <v>87275.010000000009</v>
      </c>
      <c r="I27" s="16" t="s">
        <v>58</v>
      </c>
    </row>
    <row r="28" spans="1:27" ht="21" x14ac:dyDescent="0.25">
      <c r="A28" s="17" t="s">
        <v>59</v>
      </c>
      <c r="B28" s="3">
        <f t="shared" si="1"/>
        <v>6000472.2100000009</v>
      </c>
      <c r="C28" s="4">
        <v>977492.21</v>
      </c>
      <c r="D28" s="4">
        <v>3167044.05</v>
      </c>
      <c r="E28" s="4">
        <v>761927.54</v>
      </c>
      <c r="F28" s="4">
        <v>294330.02</v>
      </c>
      <c r="G28" s="4">
        <v>192767.23</v>
      </c>
      <c r="H28" s="4">
        <v>606911.15999999992</v>
      </c>
      <c r="I28" s="16" t="s">
        <v>60</v>
      </c>
    </row>
    <row r="29" spans="1:27" ht="21" x14ac:dyDescent="0.25">
      <c r="A29" s="18" t="s">
        <v>61</v>
      </c>
      <c r="B29" s="19">
        <f t="shared" si="1"/>
        <v>23798679.109999999</v>
      </c>
      <c r="C29" s="2">
        <v>6879054.2800000003</v>
      </c>
      <c r="D29" s="2">
        <v>2328033.46</v>
      </c>
      <c r="E29" s="2">
        <v>1614583.36</v>
      </c>
      <c r="F29" s="2">
        <v>2524920.35</v>
      </c>
      <c r="G29" s="2">
        <v>7585553.3899999997</v>
      </c>
      <c r="H29" s="2">
        <v>2866534.27</v>
      </c>
      <c r="I29" s="20" t="s">
        <v>62</v>
      </c>
    </row>
    <row r="30" spans="1:27" s="9" customFormat="1" x14ac:dyDescent="0.25">
      <c r="A30" s="21" t="s">
        <v>63</v>
      </c>
      <c r="B30" s="21"/>
      <c r="C30" s="22"/>
      <c r="D30" s="22"/>
      <c r="E30" s="22"/>
      <c r="F30" s="22"/>
      <c r="G30" s="22"/>
      <c r="H30" s="22"/>
      <c r="I30" s="23" t="s">
        <v>64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7" s="9" customFormat="1" x14ac:dyDescent="0.25">
      <c r="A31" s="21"/>
      <c r="B31" s="24"/>
      <c r="C31" s="13"/>
      <c r="D31" s="25"/>
      <c r="E31" s="26"/>
      <c r="F31" s="26"/>
      <c r="G31" s="26"/>
      <c r="H31" s="2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7" s="9" customFormat="1" x14ac:dyDescent="0.25">
      <c r="A32" s="28"/>
      <c r="B32" s="24"/>
      <c r="C32" s="13"/>
      <c r="D32" s="29"/>
      <c r="E32" s="30"/>
      <c r="F32" s="30"/>
      <c r="G32" s="30"/>
      <c r="H32" s="31"/>
      <c r="I32" s="3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s="9" customFormat="1" x14ac:dyDescent="0.25">
      <c r="A33" s="24"/>
      <c r="B33" s="24"/>
      <c r="C33" s="13"/>
      <c r="D33" s="33"/>
      <c r="E33" s="1"/>
      <c r="F33" s="1"/>
      <c r="G33" s="1"/>
      <c r="H33" s="34"/>
      <c r="I33" s="33"/>
      <c r="J33" s="3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8" x14ac:dyDescent="0.25">
      <c r="A34" s="51"/>
      <c r="B34" s="51"/>
      <c r="C34" s="51"/>
      <c r="D34" s="51"/>
      <c r="E34" s="51"/>
      <c r="F34" s="51"/>
      <c r="G34" s="51"/>
      <c r="H34" s="51"/>
      <c r="I34" s="51"/>
      <c r="J34" s="35"/>
    </row>
    <row r="35" spans="1:24" s="6" customFormat="1" ht="15.75" x14ac:dyDescent="0.25">
      <c r="A35" s="52"/>
      <c r="B35" s="52"/>
      <c r="C35" s="52"/>
      <c r="D35" s="52"/>
      <c r="E35" s="52"/>
      <c r="F35" s="52"/>
      <c r="G35" s="52"/>
      <c r="H35" s="52"/>
      <c r="I35" s="52"/>
      <c r="J35" s="36"/>
    </row>
    <row r="36" spans="1:24" ht="2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35"/>
    </row>
    <row r="37" spans="1:24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35"/>
    </row>
    <row r="38" spans="1:24" ht="18.75" x14ac:dyDescent="0.25">
      <c r="A38" s="55"/>
      <c r="B38" s="37"/>
      <c r="C38" s="37"/>
      <c r="D38" s="37"/>
      <c r="E38" s="37"/>
      <c r="F38" s="37"/>
      <c r="G38" s="37"/>
      <c r="H38" s="37"/>
      <c r="I38" s="56"/>
      <c r="J38" s="35"/>
    </row>
    <row r="39" spans="1:24" x14ac:dyDescent="0.25">
      <c r="A39" s="55"/>
      <c r="B39" s="38"/>
      <c r="C39" s="38"/>
      <c r="D39" s="38"/>
      <c r="E39" s="38"/>
      <c r="F39" s="38"/>
      <c r="G39" s="38"/>
      <c r="H39" s="38"/>
      <c r="I39" s="56"/>
      <c r="J39" s="2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4" ht="21" x14ac:dyDescent="0.25">
      <c r="A40" s="39"/>
      <c r="B40" s="40"/>
      <c r="C40" s="40"/>
      <c r="D40" s="40"/>
      <c r="E40" s="40"/>
      <c r="F40" s="40"/>
      <c r="G40" s="40"/>
      <c r="H40" s="40"/>
      <c r="I40" s="41"/>
      <c r="J40" s="25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4" ht="21" x14ac:dyDescent="0.25">
      <c r="A41" s="13"/>
      <c r="B41" s="3"/>
      <c r="C41" s="4"/>
      <c r="D41" s="4"/>
      <c r="E41" s="4"/>
      <c r="F41" s="4"/>
      <c r="G41" s="4"/>
      <c r="H41" s="4"/>
      <c r="I41" s="42"/>
      <c r="J41" s="35"/>
    </row>
    <row r="42" spans="1:24" ht="21" x14ac:dyDescent="0.25">
      <c r="A42" s="43"/>
      <c r="B42" s="3"/>
      <c r="C42" s="4"/>
      <c r="D42" s="4"/>
      <c r="E42" s="4"/>
      <c r="F42" s="4"/>
      <c r="G42" s="4"/>
      <c r="H42" s="4"/>
      <c r="I42" s="42"/>
      <c r="J42" s="3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4" ht="21" x14ac:dyDescent="0.25">
      <c r="A43" s="43"/>
      <c r="B43" s="3"/>
      <c r="C43" s="4"/>
      <c r="D43" s="4"/>
      <c r="E43" s="4"/>
      <c r="F43" s="4"/>
      <c r="G43" s="4"/>
      <c r="H43" s="4"/>
      <c r="I43" s="42"/>
      <c r="J43" s="35"/>
    </row>
    <row r="44" spans="1:24" ht="21" x14ac:dyDescent="0.25">
      <c r="A44" s="43"/>
      <c r="B44" s="3"/>
      <c r="C44" s="4"/>
      <c r="D44" s="4"/>
      <c r="E44" s="4"/>
      <c r="F44" s="4"/>
      <c r="G44" s="4"/>
      <c r="H44" s="4"/>
      <c r="I44" s="42"/>
      <c r="J44" s="35"/>
    </row>
    <row r="45" spans="1:24" ht="21" x14ac:dyDescent="0.25">
      <c r="A45" s="43"/>
      <c r="B45" s="3"/>
      <c r="C45" s="4"/>
      <c r="D45" s="4"/>
      <c r="E45" s="4"/>
      <c r="F45" s="4"/>
      <c r="G45" s="4"/>
      <c r="H45" s="4"/>
      <c r="I45" s="42"/>
      <c r="J45" s="2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21" x14ac:dyDescent="0.25">
      <c r="A46" s="43"/>
      <c r="B46" s="3"/>
      <c r="C46" s="4"/>
      <c r="D46" s="4"/>
      <c r="E46" s="4"/>
      <c r="F46" s="4"/>
      <c r="G46" s="4"/>
      <c r="H46" s="4"/>
      <c r="I46" s="42"/>
      <c r="J46" s="35"/>
    </row>
    <row r="47" spans="1:24" ht="21" x14ac:dyDescent="0.25">
      <c r="A47" s="43"/>
      <c r="B47" s="3"/>
      <c r="C47" s="4"/>
      <c r="D47" s="4"/>
      <c r="E47" s="4"/>
      <c r="F47" s="4"/>
      <c r="G47" s="4"/>
      <c r="H47" s="4"/>
      <c r="I47" s="42"/>
      <c r="J47" s="35"/>
    </row>
    <row r="48" spans="1:24" ht="21" x14ac:dyDescent="0.25">
      <c r="A48" s="43"/>
      <c r="B48" s="3"/>
      <c r="C48" s="4"/>
      <c r="D48" s="4"/>
      <c r="E48" s="4"/>
      <c r="F48" s="4"/>
      <c r="G48" s="4"/>
      <c r="H48" s="4"/>
      <c r="I48" s="42"/>
      <c r="J48" s="35"/>
    </row>
    <row r="49" spans="1:24" ht="21" x14ac:dyDescent="0.25">
      <c r="A49" s="43"/>
      <c r="B49" s="3"/>
      <c r="C49" s="4"/>
      <c r="D49" s="4"/>
      <c r="E49" s="4"/>
      <c r="F49" s="4"/>
      <c r="G49" s="4"/>
      <c r="H49" s="4"/>
      <c r="I49" s="42"/>
      <c r="J49" s="35"/>
    </row>
    <row r="50" spans="1:24" ht="21" x14ac:dyDescent="0.25">
      <c r="A50" s="43"/>
      <c r="B50" s="3"/>
      <c r="C50" s="4"/>
      <c r="D50" s="4"/>
      <c r="E50" s="4"/>
      <c r="F50" s="4"/>
      <c r="G50" s="4"/>
      <c r="H50" s="4"/>
      <c r="I50" s="42"/>
      <c r="J50" s="35"/>
    </row>
    <row r="51" spans="1:24" ht="21" x14ac:dyDescent="0.25">
      <c r="A51" s="43"/>
      <c r="B51" s="3"/>
      <c r="C51" s="4"/>
      <c r="D51" s="4"/>
      <c r="E51" s="4"/>
      <c r="F51" s="4"/>
      <c r="G51" s="4"/>
      <c r="H51" s="4"/>
      <c r="I51" s="42"/>
      <c r="J51" s="35"/>
    </row>
    <row r="52" spans="1:24" ht="21" x14ac:dyDescent="0.25">
      <c r="A52" s="43"/>
      <c r="B52" s="3"/>
      <c r="C52" s="4"/>
      <c r="D52" s="4"/>
      <c r="E52" s="4"/>
      <c r="F52" s="4"/>
      <c r="G52" s="4"/>
      <c r="H52" s="4"/>
      <c r="I52" s="42"/>
      <c r="J52" s="35"/>
    </row>
    <row r="53" spans="1:24" ht="21" x14ac:dyDescent="0.25">
      <c r="A53" s="43"/>
      <c r="B53" s="3"/>
      <c r="C53" s="4"/>
      <c r="D53" s="4"/>
      <c r="E53" s="4"/>
      <c r="F53" s="4"/>
      <c r="G53" s="4"/>
      <c r="H53" s="4"/>
      <c r="I53" s="42"/>
      <c r="J53" s="35"/>
    </row>
    <row r="54" spans="1:24" x14ac:dyDescent="0.25">
      <c r="A54" s="43"/>
      <c r="B54" s="3"/>
      <c r="C54" s="4"/>
      <c r="D54" s="4"/>
      <c r="E54" s="4"/>
      <c r="F54" s="4"/>
      <c r="G54" s="4"/>
      <c r="H54" s="4"/>
      <c r="I54" s="43"/>
      <c r="J54" s="3"/>
    </row>
    <row r="55" spans="1:24" x14ac:dyDescent="0.25">
      <c r="A55" s="43"/>
      <c r="B55" s="3"/>
      <c r="C55" s="4"/>
      <c r="D55" s="4"/>
      <c r="E55" s="4"/>
      <c r="F55" s="4"/>
      <c r="G55" s="4"/>
      <c r="H55" s="4"/>
      <c r="I55" s="15"/>
      <c r="J55" s="3"/>
    </row>
    <row r="56" spans="1:24" x14ac:dyDescent="0.25">
      <c r="A56" s="43"/>
      <c r="B56" s="3"/>
      <c r="C56" s="4"/>
      <c r="D56" s="4"/>
      <c r="E56" s="4"/>
      <c r="F56" s="4"/>
      <c r="G56" s="4"/>
      <c r="H56" s="4"/>
      <c r="I56" s="17"/>
      <c r="J56" s="3"/>
    </row>
    <row r="57" spans="1:24" x14ac:dyDescent="0.25">
      <c r="A57" s="43"/>
      <c r="B57" s="3"/>
      <c r="C57" s="4"/>
      <c r="D57" s="4"/>
      <c r="E57" s="4"/>
      <c r="F57" s="4"/>
      <c r="G57" s="4"/>
      <c r="H57" s="4"/>
      <c r="I57" s="17"/>
      <c r="J57" s="3"/>
    </row>
    <row r="58" spans="1:24" x14ac:dyDescent="0.25">
      <c r="A58" s="43"/>
      <c r="B58" s="3"/>
      <c r="C58" s="4"/>
      <c r="D58" s="4"/>
      <c r="E58" s="4"/>
      <c r="F58" s="4"/>
      <c r="G58" s="4"/>
      <c r="H58" s="4"/>
      <c r="I58" s="17"/>
      <c r="J58" s="3"/>
    </row>
    <row r="59" spans="1:24" x14ac:dyDescent="0.25">
      <c r="A59" s="43"/>
      <c r="B59" s="3"/>
      <c r="C59" s="4"/>
      <c r="D59" s="4"/>
      <c r="E59" s="4"/>
      <c r="F59" s="4"/>
      <c r="G59" s="4"/>
      <c r="H59" s="4"/>
      <c r="I59" s="17"/>
      <c r="J59" s="3"/>
    </row>
    <row r="60" spans="1:24" x14ac:dyDescent="0.25">
      <c r="A60" s="43"/>
      <c r="B60" s="3"/>
      <c r="C60" s="4"/>
      <c r="D60" s="4"/>
      <c r="E60" s="4"/>
      <c r="F60" s="4"/>
      <c r="G60" s="4"/>
      <c r="H60" s="4"/>
      <c r="I60" s="17"/>
      <c r="J60" s="3"/>
    </row>
    <row r="61" spans="1:24" x14ac:dyDescent="0.25">
      <c r="A61" s="43"/>
      <c r="B61" s="3"/>
      <c r="C61" s="4"/>
      <c r="D61" s="4"/>
      <c r="E61" s="4"/>
      <c r="F61" s="4"/>
      <c r="G61" s="4"/>
      <c r="H61" s="4"/>
      <c r="I61" s="17"/>
      <c r="J61" s="3"/>
    </row>
    <row r="62" spans="1:24" x14ac:dyDescent="0.25">
      <c r="A62" s="43"/>
      <c r="B62" s="3"/>
      <c r="C62" s="4"/>
      <c r="D62" s="4"/>
      <c r="E62" s="4"/>
      <c r="F62" s="4"/>
      <c r="G62" s="4"/>
      <c r="H62" s="4"/>
      <c r="I62" s="17"/>
      <c r="J62" s="3"/>
    </row>
    <row r="63" spans="1:24" s="9" customFormat="1" x14ac:dyDescent="0.25">
      <c r="A63" s="24"/>
      <c r="B63" s="24"/>
      <c r="C63" s="33"/>
      <c r="D63" s="33"/>
      <c r="E63" s="33"/>
      <c r="F63" s="33"/>
      <c r="G63" s="33"/>
      <c r="H63" s="33"/>
      <c r="I63" s="17"/>
      <c r="J63" s="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s="9" customFormat="1" x14ac:dyDescent="0.25">
      <c r="A64" s="21"/>
      <c r="B64" s="24"/>
      <c r="C64" s="13"/>
      <c r="D64" s="44"/>
      <c r="E64" s="26"/>
      <c r="F64" s="26"/>
      <c r="G64" s="26"/>
      <c r="H64" s="27"/>
      <c r="I64" s="50"/>
      <c r="J64" s="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40" s="9" customFormat="1" x14ac:dyDescent="0.25">
      <c r="A65" s="21"/>
      <c r="B65" s="24"/>
      <c r="C65" s="13"/>
      <c r="D65" s="25"/>
      <c r="E65" s="26"/>
      <c r="F65" s="26"/>
      <c r="G65" s="26"/>
      <c r="H65" s="27"/>
      <c r="I65" s="17"/>
      <c r="J65" s="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AF65" s="32"/>
      <c r="AG65" s="32"/>
      <c r="AH65" s="32"/>
      <c r="AI65" s="32"/>
      <c r="AJ65" s="32"/>
      <c r="AK65" s="32"/>
      <c r="AL65" s="32"/>
      <c r="AM65" s="32"/>
    </row>
    <row r="66" spans="1:40" s="9" customFormat="1" x14ac:dyDescent="0.25">
      <c r="A66" s="21"/>
      <c r="B66" s="24"/>
      <c r="C66" s="13"/>
      <c r="D66" s="25"/>
      <c r="E66" s="26"/>
      <c r="F66" s="26"/>
      <c r="G66" s="26"/>
      <c r="H66" s="27"/>
      <c r="I66" s="17"/>
      <c r="J66" s="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AE66" s="45"/>
      <c r="AF66" s="33"/>
      <c r="AG66" s="33"/>
      <c r="AH66" s="33"/>
      <c r="AI66" s="33"/>
      <c r="AJ66" s="33"/>
      <c r="AK66" s="33"/>
      <c r="AL66" s="33"/>
      <c r="AM66" s="33"/>
      <c r="AN66" s="25"/>
    </row>
    <row r="67" spans="1:40" s="9" customFormat="1" x14ac:dyDescent="0.25">
      <c r="A67" s="21"/>
      <c r="B67" s="24"/>
      <c r="C67" s="13"/>
      <c r="D67" s="25"/>
      <c r="E67" s="26"/>
      <c r="F67" s="26"/>
      <c r="G67" s="26"/>
      <c r="H67" s="27"/>
      <c r="I67" s="17"/>
      <c r="J67" s="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AE67" s="45"/>
      <c r="AF67" s="33"/>
      <c r="AG67" s="33"/>
      <c r="AH67" s="33"/>
      <c r="AI67" s="33"/>
      <c r="AJ67" s="33"/>
      <c r="AK67" s="33"/>
      <c r="AL67" s="33"/>
      <c r="AM67" s="33"/>
      <c r="AN67" s="25"/>
    </row>
    <row r="68" spans="1:40" s="9" customFormat="1" x14ac:dyDescent="0.25">
      <c r="A68" s="21"/>
      <c r="B68" s="21"/>
      <c r="C68" s="22"/>
      <c r="F68" s="26"/>
      <c r="G68" s="26"/>
      <c r="H68" s="27"/>
      <c r="I68" s="17"/>
      <c r="J68" s="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AE68" s="45"/>
      <c r="AF68" s="33"/>
      <c r="AG68" s="33"/>
      <c r="AH68" s="33"/>
      <c r="AI68" s="33"/>
      <c r="AJ68" s="33"/>
      <c r="AK68" s="33"/>
      <c r="AL68" s="33"/>
      <c r="AM68" s="33"/>
      <c r="AN68" s="25"/>
    </row>
    <row r="69" spans="1:40" s="9" customFormat="1" x14ac:dyDescent="0.25">
      <c r="A69" s="21"/>
      <c r="B69" s="21"/>
      <c r="I69" s="17"/>
      <c r="J69" s="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AE69" s="45"/>
      <c r="AF69" s="33"/>
      <c r="AG69" s="46"/>
      <c r="AH69" s="46"/>
      <c r="AI69" s="46"/>
      <c r="AJ69" s="46"/>
      <c r="AK69" s="46"/>
      <c r="AL69" s="46"/>
      <c r="AM69" s="33"/>
      <c r="AN69" s="25"/>
    </row>
    <row r="70" spans="1:40" x14ac:dyDescent="0.25">
      <c r="I70" s="17"/>
      <c r="J70" s="3"/>
      <c r="AE70" s="47"/>
      <c r="AF70" s="48"/>
      <c r="AG70" s="13"/>
      <c r="AH70" s="13"/>
      <c r="AI70" s="13"/>
      <c r="AJ70" s="13"/>
      <c r="AK70" s="13"/>
      <c r="AL70" s="13"/>
      <c r="AM70" s="48"/>
      <c r="AN70" s="35"/>
    </row>
    <row r="71" spans="1:40" x14ac:dyDescent="0.25">
      <c r="I71" s="17"/>
      <c r="J71" s="3"/>
      <c r="AE71" s="47"/>
      <c r="AF71" s="48"/>
      <c r="AG71" s="48"/>
      <c r="AH71" s="48"/>
      <c r="AI71" s="48"/>
      <c r="AJ71" s="48"/>
      <c r="AK71" s="48"/>
      <c r="AL71" s="48"/>
      <c r="AM71" s="48"/>
      <c r="AN71" s="35"/>
    </row>
    <row r="72" spans="1:40" x14ac:dyDescent="0.25">
      <c r="I72" s="17"/>
      <c r="J72" s="3"/>
      <c r="AE72" s="47"/>
      <c r="AF72" s="48"/>
      <c r="AG72" s="48"/>
      <c r="AH72" s="48"/>
      <c r="AI72" s="48"/>
      <c r="AJ72" s="48"/>
      <c r="AK72" s="48"/>
      <c r="AL72" s="48"/>
      <c r="AM72" s="48"/>
      <c r="AN72" s="35"/>
    </row>
    <row r="73" spans="1:40" x14ac:dyDescent="0.25">
      <c r="I73" s="65"/>
      <c r="J73" s="3"/>
      <c r="K73" s="66"/>
      <c r="L73" s="66"/>
      <c r="AF73" s="49"/>
      <c r="AG73" s="49"/>
      <c r="AH73" s="49"/>
      <c r="AI73" s="49"/>
      <c r="AJ73" s="49"/>
      <c r="AK73" s="49"/>
      <c r="AL73" s="49"/>
      <c r="AM73" s="49"/>
    </row>
    <row r="74" spans="1:40" x14ac:dyDescent="0.25">
      <c r="H74" s="47"/>
      <c r="I74" s="43"/>
      <c r="J74" s="3"/>
      <c r="K74" s="48"/>
      <c r="L74" s="48"/>
      <c r="M74" s="35"/>
    </row>
    <row r="75" spans="1:40" x14ac:dyDescent="0.25">
      <c r="H75" s="47"/>
      <c r="I75" s="43"/>
      <c r="J75" s="3"/>
      <c r="K75" s="48"/>
      <c r="L75" s="48"/>
      <c r="M75" s="35"/>
    </row>
    <row r="76" spans="1:40" x14ac:dyDescent="0.25">
      <c r="H76" s="47"/>
      <c r="I76" s="48"/>
      <c r="J76" s="48"/>
      <c r="K76" s="48"/>
      <c r="L76" s="48"/>
      <c r="M76" s="35"/>
    </row>
    <row r="77" spans="1:40" x14ac:dyDescent="0.25">
      <c r="H77" s="47"/>
      <c r="I77" s="48"/>
      <c r="J77" s="48"/>
      <c r="K77" s="48"/>
      <c r="L77" s="48"/>
      <c r="M77" s="35"/>
    </row>
    <row r="78" spans="1:40" x14ac:dyDescent="0.25">
      <c r="H78" s="47"/>
      <c r="I78" s="48"/>
      <c r="J78" s="48"/>
      <c r="K78" s="48"/>
      <c r="L78" s="48"/>
      <c r="M78" s="35"/>
    </row>
    <row r="79" spans="1:40" x14ac:dyDescent="0.25">
      <c r="H79" s="47"/>
      <c r="I79" s="48"/>
      <c r="J79" s="48"/>
      <c r="K79" s="48"/>
      <c r="L79" s="48"/>
      <c r="M79" s="35"/>
    </row>
    <row r="80" spans="1:40" x14ac:dyDescent="0.25">
      <c r="H80" s="47"/>
      <c r="I80" s="48"/>
      <c r="J80" s="48"/>
      <c r="K80" s="48"/>
      <c r="L80" s="48"/>
      <c r="M80" s="35"/>
    </row>
    <row r="81" spans="8:13" x14ac:dyDescent="0.25">
      <c r="H81" s="47"/>
      <c r="I81" s="48"/>
      <c r="J81" s="48"/>
      <c r="K81" s="48"/>
      <c r="L81" s="48"/>
      <c r="M81" s="35"/>
    </row>
    <row r="82" spans="8:13" x14ac:dyDescent="0.25">
      <c r="H82" s="47"/>
      <c r="I82" s="48"/>
      <c r="J82" s="48"/>
      <c r="K82" s="48"/>
      <c r="L82" s="48"/>
      <c r="M82" s="35"/>
    </row>
    <row r="83" spans="8:13" x14ac:dyDescent="0.25">
      <c r="H83" s="47"/>
      <c r="I83" s="48"/>
      <c r="J83" s="48"/>
      <c r="K83" s="48"/>
      <c r="L83" s="48"/>
      <c r="M83" s="35"/>
    </row>
    <row r="84" spans="8:13" x14ac:dyDescent="0.25">
      <c r="H84" s="47"/>
      <c r="I84" s="48"/>
      <c r="J84" s="48"/>
      <c r="K84" s="48"/>
      <c r="L84" s="48"/>
      <c r="M84" s="35"/>
    </row>
    <row r="85" spans="8:13" x14ac:dyDescent="0.25">
      <c r="I85" s="49"/>
      <c r="J85" s="49"/>
      <c r="K85" s="49"/>
      <c r="L85" s="49"/>
    </row>
  </sheetData>
  <sortState ref="I54:J75">
    <sortCondition descending="1" ref="J54:J75"/>
  </sortState>
  <mergeCells count="12">
    <mergeCell ref="A1:I1"/>
    <mergeCell ref="A2:I2"/>
    <mergeCell ref="A3:I3"/>
    <mergeCell ref="A4:I4"/>
    <mergeCell ref="A5:A6"/>
    <mergeCell ref="I5:I6"/>
    <mergeCell ref="A34:I34"/>
    <mergeCell ref="A35:I35"/>
    <mergeCell ref="A36:I36"/>
    <mergeCell ref="A37:I37"/>
    <mergeCell ref="A38:A39"/>
    <mergeCell ref="I38:I39"/>
  </mergeCells>
  <pageMargins left="0.7" right="0.7" top="0.75" bottom="0.75" header="0.3" footer="0.3"/>
  <pageSetup paperSize="9" scale="76" orientation="landscape" r:id="rId1"/>
  <rowBreaks count="1" manualBreakCount="1">
    <brk id="30" max="8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9.11</vt:lpstr>
      <vt:lpstr>'9.11'!Print_Area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2016-09-22T08:25:32Z</cp:lastPrinted>
  <dcterms:created xsi:type="dcterms:W3CDTF">2014-03-04T03:52:57Z</dcterms:created>
  <dcterms:modified xsi:type="dcterms:W3CDTF">2016-09-22T08:25:34Z</dcterms:modified>
</cp:coreProperties>
</file>