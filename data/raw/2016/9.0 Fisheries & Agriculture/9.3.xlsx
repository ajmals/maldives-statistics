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3" sheetId="8" r:id="rId1"/>
  </sheets>
  <definedNames>
    <definedName name="_xlnm.Print_Area" localSheetId="0">'9.3'!$A$1:$L$72</definedName>
  </definedNames>
  <calcPr calcId="144525"/>
</workbook>
</file>

<file path=xl/calcChain.xml><?xml version="1.0" encoding="utf-8"?>
<calcChain xmlns="http://schemas.openxmlformats.org/spreadsheetml/2006/main">
  <c r="G11" i="8" l="1"/>
  <c r="G9" i="8" s="1"/>
  <c r="B32" i="8" l="1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K11" i="8"/>
  <c r="K9" i="8" s="1"/>
  <c r="J11" i="8"/>
  <c r="J9" i="8" s="1"/>
  <c r="I11" i="8"/>
  <c r="I9" i="8" s="1"/>
  <c r="H11" i="8"/>
  <c r="H9" i="8" s="1"/>
  <c r="F11" i="8"/>
  <c r="F9" i="8" s="1"/>
  <c r="E11" i="8"/>
  <c r="E9" i="8" s="1"/>
  <c r="D11" i="8"/>
  <c r="D9" i="8" s="1"/>
  <c r="B10" i="8"/>
  <c r="B11" i="8" l="1"/>
  <c r="B9" i="8"/>
</calcChain>
</file>

<file path=xl/sharedStrings.xml><?xml version="1.0" encoding="utf-8"?>
<sst xmlns="http://schemas.openxmlformats.org/spreadsheetml/2006/main" count="76" uniqueCount="75">
  <si>
    <t>Total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</si>
  <si>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</si>
  <si>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</si>
  <si>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</si>
  <si>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</si>
  <si>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</si>
  <si>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</si>
  <si>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</si>
  <si>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</si>
  <si>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</si>
  <si>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</si>
  <si>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</si>
  <si>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</si>
  <si>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</si>
  <si>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</si>
  <si>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</si>
  <si>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</si>
  <si>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</si>
  <si>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</si>
  <si>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</si>
  <si>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</si>
  <si>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</si>
  <si>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</si>
  <si>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</si>
  <si>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</si>
  <si>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</si>
  <si>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</si>
  <si>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</si>
  <si>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</si>
  <si>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</si>
  <si>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</si>
  <si>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</si>
  <si>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</si>
  <si>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</si>
  <si>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</si>
  <si>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</si>
  <si>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</si>
  <si>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</si>
  <si>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</si>
  <si>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</si>
  <si>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wlcmuj</t>
  </si>
  <si>
    <t xml:space="preserve"> rwCclwkircgea cDcnea  czIrwxif cfoa IrcTcsinim :ctWrwf ivcaedutWmUluAwm</t>
  </si>
  <si>
    <t>cnwt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</si>
  <si>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</si>
  <si>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</si>
  <si>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</si>
  <si>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</si>
  <si>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</si>
  <si>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</si>
  <si>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</si>
  <si>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</si>
  <si>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>AA</t>
  </si>
  <si>
    <t>(cnunwT ckircTem)</t>
  </si>
  <si>
    <t>(In  metric tons)</t>
  </si>
  <si>
    <t>Type of fish</t>
  </si>
  <si>
    <t>މަހުގެ ބާވަތް</t>
  </si>
  <si>
    <t>Locality</t>
  </si>
  <si>
    <t>cswmwlibuLwk</t>
  </si>
  <si>
    <t>ilencnwk</t>
  </si>
  <si>
    <t>ilencnwk uDobOl</t>
  </si>
  <si>
    <t>cswm iSov</t>
  </si>
  <si>
    <t>iTcawl</t>
  </si>
  <si>
    <t>iDnogWr</t>
  </si>
  <si>
    <t>cswmurwf cnehinehea</t>
  </si>
  <si>
    <t>Skipjack tuna</t>
  </si>
  <si>
    <t>Yellowfin tuna</t>
  </si>
  <si>
    <t>Dogtooth tuna</t>
  </si>
  <si>
    <t xml:space="preserve">   Little tuna</t>
  </si>
  <si>
    <t>Frigate tuna</t>
  </si>
  <si>
    <t>Other marine fish</t>
  </si>
  <si>
    <t>Big eye tuna</t>
  </si>
  <si>
    <t>2015 ,ctwvWb egEa iaWhwm inEb wtwvun ifih cnutogegunwt : 9.3 ulwvWt</t>
  </si>
  <si>
    <t>Table 9.3 :  FISH LANDING BY TYPE AND LOCALITY, 2015</t>
  </si>
  <si>
    <t>ކަންފަތް ދިގު ކަންނެލި</t>
  </si>
  <si>
    <t>Albacore tuna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</si>
</sst>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General_)"/>
    <numFmt numFmtId="166" formatCode="0.0"/>
    <numFmt numFmtId="167" formatCode="#,##0.0"/>
  </numFmts>
  <fonts count="30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9"/>
      <name val="Faruma"/>
    </font>
    <font>
      <b/>
      <sz val="10"/>
      <name val="Calibri"/>
      <family val="2"/>
    </font>
    <font>
      <b/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8"/>
      <name val="A_Randhoo"/>
    </font>
    <font>
      <b/>
      <sz val="12"/>
      <name val="A_Waheed"/>
    </font>
    <font>
      <b/>
      <sz val="10"/>
      <name val="A_Waheed"/>
    </font>
    <font>
      <b/>
      <sz val="9"/>
      <name val="A_Waheed"/>
    </font>
    <font>
      <sz val="9"/>
      <name val="A_Waheed"/>
    </font>
    <font>
      <b/>
      <sz val="8"/>
      <name val="A_Waheed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</borders>
  <cellStyleXfs count="7">
    <xf numFmtId="0" fontId="0" fillId="0" borderId="0"/>
    <xf numFmtId="40" fontId="5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/>
  </cellStyleXfs>
  <cellXfs count="100">
    <xf numFmtId="0" fontId="0" fillId="0" borderId="0" xfId="0"/>
    <xf numFmtId="165" fontId="10" fillId="2" borderId="0" xfId="4" applyFont="1" applyFill="1" applyAlignment="1" applyProtection="1">
      <alignment horizontal="left" vertical="center"/>
    </xf>
    <xf numFmtId="165" fontId="1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8" fillId="2" borderId="0" xfId="4" applyFont="1" applyFill="1" applyAlignment="1">
      <alignment vertical="center"/>
    </xf>
    <xf numFmtId="165" fontId="20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4" applyFont="1" applyFill="1" applyAlignment="1">
      <alignment vertical="center"/>
    </xf>
    <xf numFmtId="165" fontId="7" fillId="2" borderId="0" xfId="4" applyFont="1" applyFill="1" applyAlignment="1">
      <alignment vertical="center"/>
    </xf>
    <xf numFmtId="165" fontId="8" fillId="2" borderId="0" xfId="4" applyFont="1" applyFill="1" applyAlignment="1">
      <alignment horizontal="right" vertical="center"/>
    </xf>
    <xf numFmtId="165" fontId="18" fillId="2" borderId="0" xfId="4" applyFont="1" applyFill="1" applyAlignment="1">
      <alignment horizontal="right" vertical="center"/>
    </xf>
    <xf numFmtId="165" fontId="14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6" fillId="2" borderId="0" xfId="4" applyFont="1" applyFill="1" applyAlignment="1">
      <alignment horizontal="right" vertical="center"/>
    </xf>
    <xf numFmtId="165" fontId="11" fillId="2" borderId="0" xfId="0" applyNumberFormat="1" applyFont="1" applyFill="1" applyAlignment="1">
      <alignment horizontal="right" vertical="center"/>
    </xf>
    <xf numFmtId="165" fontId="8" fillId="2" borderId="1" xfId="4" applyFont="1" applyFill="1" applyBorder="1" applyAlignment="1">
      <alignment vertical="center"/>
    </xf>
    <xf numFmtId="165" fontId="18" fillId="2" borderId="1" xfId="4" applyFont="1" applyFill="1" applyBorder="1" applyAlignment="1">
      <alignment vertical="center"/>
    </xf>
    <xf numFmtId="165" fontId="23" fillId="2" borderId="1" xfId="4" applyFont="1" applyFill="1" applyBorder="1"/>
    <xf numFmtId="165" fontId="19" fillId="2" borderId="2" xfId="4" applyFont="1" applyFill="1" applyBorder="1" applyAlignment="1">
      <alignment horizontal="right" vertical="center"/>
    </xf>
    <xf numFmtId="165" fontId="7" fillId="2" borderId="2" xfId="4" applyFont="1" applyFill="1" applyBorder="1" applyAlignment="1" applyProtection="1">
      <alignment horizontal="right" vertical="center"/>
    </xf>
    <xf numFmtId="165" fontId="7" fillId="2" borderId="2" xfId="4" applyFont="1" applyFill="1" applyBorder="1" applyAlignment="1" applyProtection="1">
      <alignment horizontal="right" vertical="center" wrapText="1"/>
    </xf>
    <xf numFmtId="165" fontId="4" fillId="2" borderId="0" xfId="4" applyFont="1" applyFill="1" applyAlignment="1" applyProtection="1">
      <alignment horizontal="left" vertical="center"/>
    </xf>
    <xf numFmtId="38" fontId="4" fillId="2" borderId="1" xfId="1" applyNumberFormat="1" applyFont="1" applyFill="1" applyBorder="1" applyAlignment="1" applyProtection="1">
      <alignment vertical="center"/>
    </xf>
    <xf numFmtId="38" fontId="4" fillId="2" borderId="0" xfId="1" applyNumberFormat="1" applyFont="1" applyFill="1" applyAlignment="1" applyProtection="1">
      <alignment vertical="center"/>
    </xf>
    <xf numFmtId="38" fontId="4" fillId="2" borderId="0" xfId="1" applyNumberFormat="1" applyFont="1" applyFill="1" applyBorder="1" applyAlignment="1" applyProtection="1">
      <alignment vertical="center"/>
    </xf>
    <xf numFmtId="38" fontId="4" fillId="2" borderId="0" xfId="1" applyNumberFormat="1" applyFont="1" applyFill="1"/>
    <xf numFmtId="165" fontId="3" fillId="2" borderId="0" xfId="0" applyNumberFormat="1" applyFont="1" applyFill="1"/>
    <xf numFmtId="38" fontId="4" fillId="2" borderId="2" xfId="1" applyNumberFormat="1" applyFont="1" applyFill="1" applyBorder="1" applyAlignment="1" applyProtection="1">
      <alignment vertical="center"/>
    </xf>
    <xf numFmtId="38" fontId="9" fillId="2" borderId="2" xfId="1" applyNumberFormat="1" applyFont="1" applyFill="1" applyBorder="1"/>
    <xf numFmtId="165" fontId="11" fillId="2" borderId="0" xfId="0" applyNumberFormat="1" applyFont="1" applyFill="1" applyBorder="1" applyAlignment="1">
      <alignment horizontal="right" vertical="center"/>
    </xf>
    <xf numFmtId="165" fontId="8" fillId="2" borderId="4" xfId="4" applyFont="1" applyFill="1" applyBorder="1" applyAlignment="1">
      <alignment vertical="center"/>
    </xf>
    <xf numFmtId="165" fontId="7" fillId="2" borderId="4" xfId="4" applyFont="1" applyFill="1" applyBorder="1" applyAlignment="1" applyProtection="1">
      <alignment horizontal="left" vertical="center"/>
    </xf>
    <xf numFmtId="165" fontId="22" fillId="2" borderId="4" xfId="4" applyFont="1" applyFill="1" applyBorder="1" applyAlignment="1">
      <alignment horizontal="centerContinuous" vertical="center"/>
    </xf>
    <xf numFmtId="165" fontId="18" fillId="2" borderId="4" xfId="4" applyFont="1" applyFill="1" applyBorder="1" applyAlignment="1" applyProtection="1">
      <alignment horizontal="centerContinuous" vertical="center"/>
    </xf>
    <xf numFmtId="165" fontId="22" fillId="2" borderId="4" xfId="4" applyFont="1" applyFill="1" applyBorder="1" applyAlignment="1">
      <alignment horizontal="right" vertical="center"/>
    </xf>
    <xf numFmtId="165" fontId="18" fillId="2" borderId="4" xfId="4" applyFont="1" applyFill="1" applyBorder="1" applyAlignment="1" applyProtection="1">
      <alignment horizontal="right" vertical="center"/>
    </xf>
    <xf numFmtId="165" fontId="6" fillId="2" borderId="4" xfId="4" applyFont="1" applyFill="1" applyBorder="1" applyAlignment="1">
      <alignment horizontal="right" vertical="center"/>
    </xf>
    <xf numFmtId="165" fontId="23" fillId="2" borderId="4" xfId="4" applyFont="1" applyFill="1" applyBorder="1"/>
    <xf numFmtId="165" fontId="24" fillId="2" borderId="4" xfId="4" applyFont="1" applyFill="1" applyBorder="1" applyAlignment="1">
      <alignment horizontal="right" vertical="center"/>
    </xf>
    <xf numFmtId="165" fontId="19" fillId="2" borderId="4" xfId="4" applyFont="1" applyFill="1" applyBorder="1" applyAlignment="1">
      <alignment horizontal="right" vertical="center"/>
    </xf>
    <xf numFmtId="165" fontId="7" fillId="2" borderId="4" xfId="4" applyFont="1" applyFill="1" applyBorder="1" applyAlignment="1" applyProtection="1">
      <alignment horizontal="right" vertical="center"/>
    </xf>
    <xf numFmtId="165" fontId="7" fillId="2" borderId="4" xfId="4" applyFont="1" applyFill="1" applyBorder="1" applyAlignment="1" applyProtection="1">
      <alignment horizontal="right" vertical="center" wrapText="1"/>
    </xf>
    <xf numFmtId="38" fontId="7" fillId="2" borderId="4" xfId="1" applyNumberFormat="1" applyFont="1" applyFill="1" applyBorder="1" applyAlignment="1" applyProtection="1">
      <alignment vertical="center"/>
    </xf>
    <xf numFmtId="3" fontId="7" fillId="2" borderId="4" xfId="4" applyNumberFormat="1" applyFont="1" applyFill="1" applyBorder="1" applyAlignment="1" applyProtection="1">
      <alignment vertical="center"/>
    </xf>
    <xf numFmtId="3" fontId="7" fillId="2" borderId="4" xfId="4" applyNumberFormat="1" applyFont="1" applyFill="1" applyBorder="1"/>
    <xf numFmtId="3" fontId="7" fillId="2" borderId="4" xfId="6" applyNumberFormat="1" applyFont="1" applyFill="1" applyBorder="1"/>
    <xf numFmtId="167" fontId="7" fillId="2" borderId="4" xfId="6" applyNumberFormat="1" applyFont="1" applyFill="1" applyBorder="1"/>
    <xf numFmtId="167" fontId="7" fillId="2" borderId="4" xfId="6" applyNumberFormat="1" applyFont="1" applyFill="1" applyBorder="1" applyAlignment="1">
      <alignment horizontal="right"/>
    </xf>
    <xf numFmtId="165" fontId="19" fillId="2" borderId="4" xfId="0" applyNumberFormat="1" applyFont="1" applyFill="1" applyBorder="1" applyAlignment="1" applyProtection="1">
      <alignment horizontal="left" vertical="center"/>
    </xf>
    <xf numFmtId="3" fontId="19" fillId="2" borderId="4" xfId="6" applyNumberFormat="1" applyFont="1" applyFill="1" applyBorder="1"/>
    <xf numFmtId="3" fontId="19" fillId="2" borderId="4" xfId="4" applyNumberFormat="1" applyFont="1" applyFill="1" applyBorder="1"/>
    <xf numFmtId="165" fontId="11" fillId="2" borderId="4" xfId="0" applyNumberFormat="1" applyFont="1" applyFill="1" applyBorder="1" applyAlignment="1">
      <alignment horizontal="right" vertical="center"/>
    </xf>
    <xf numFmtId="167" fontId="19" fillId="2" borderId="4" xfId="4" applyNumberFormat="1" applyFont="1" applyFill="1" applyBorder="1"/>
    <xf numFmtId="167" fontId="19" fillId="2" borderId="4" xfId="4" applyNumberFormat="1" applyFont="1" applyFill="1" applyBorder="1" applyAlignment="1">
      <alignment horizontal="right"/>
    </xf>
    <xf numFmtId="3" fontId="19" fillId="2" borderId="4" xfId="4" applyNumberFormat="1" applyFont="1" applyFill="1" applyBorder="1" applyAlignment="1">
      <alignment horizontal="right"/>
    </xf>
    <xf numFmtId="165" fontId="10" fillId="2" borderId="4" xfId="4" applyFont="1" applyFill="1" applyBorder="1" applyAlignment="1" applyProtection="1">
      <alignment horizontal="left" vertical="center"/>
    </xf>
    <xf numFmtId="165" fontId="20" fillId="2" borderId="4" xfId="4" applyFont="1" applyFill="1" applyBorder="1" applyAlignment="1" applyProtection="1">
      <alignment horizontal="left" vertical="center"/>
    </xf>
    <xf numFmtId="165" fontId="11" fillId="2" borderId="4" xfId="4" applyFont="1" applyFill="1" applyBorder="1" applyAlignment="1">
      <alignment horizontal="right" vertical="center"/>
    </xf>
    <xf numFmtId="165" fontId="3" fillId="2" borderId="0" xfId="4" applyFont="1" applyFill="1" applyAlignment="1">
      <alignment horizontal="right" vertical="center"/>
    </xf>
    <xf numFmtId="1" fontId="3" fillId="2" borderId="0" xfId="4" applyNumberFormat="1" applyFont="1" applyFill="1" applyAlignment="1">
      <alignment vertical="center"/>
    </xf>
    <xf numFmtId="165" fontId="7" fillId="2" borderId="0" xfId="4" applyFont="1" applyFill="1" applyBorder="1" applyAlignment="1" applyProtection="1">
      <alignment horizontal="left" vertical="center" wrapText="1"/>
    </xf>
    <xf numFmtId="165" fontId="8" fillId="2" borderId="0" xfId="4" applyFont="1" applyFill="1" applyAlignment="1">
      <alignment vertical="center" wrapText="1"/>
    </xf>
    <xf numFmtId="165" fontId="18" fillId="2" borderId="0" xfId="4" applyFont="1" applyFill="1" applyAlignment="1">
      <alignment vertical="center" wrapText="1"/>
    </xf>
    <xf numFmtId="38" fontId="9" fillId="2" borderId="0" xfId="1" applyNumberFormat="1" applyFont="1" applyFill="1" applyBorder="1" applyAlignment="1" applyProtection="1">
      <alignment vertical="center"/>
    </xf>
    <xf numFmtId="38" fontId="9" fillId="2" borderId="2" xfId="1" applyNumberFormat="1" applyFont="1" applyFill="1" applyBorder="1" applyAlignment="1" applyProtection="1">
      <alignment vertical="center"/>
    </xf>
    <xf numFmtId="165" fontId="19" fillId="2" borderId="0" xfId="4" applyFont="1" applyFill="1" applyBorder="1" applyAlignment="1">
      <alignment vertical="center"/>
    </xf>
    <xf numFmtId="165" fontId="7" fillId="2" borderId="0" xfId="4" applyFont="1" applyFill="1" applyBorder="1" applyAlignment="1">
      <alignment vertical="center"/>
    </xf>
    <xf numFmtId="165" fontId="4" fillId="2" borderId="0" xfId="4" applyFont="1" applyFill="1" applyAlignment="1" applyProtection="1">
      <alignment horizontal="left" vertical="center" indent="2"/>
    </xf>
    <xf numFmtId="165" fontId="9" fillId="2" borderId="0" xfId="0" applyNumberFormat="1" applyFont="1" applyFill="1" applyAlignment="1" applyProtection="1">
      <alignment horizontal="left" vertical="center" indent="2"/>
    </xf>
    <xf numFmtId="165" fontId="9" fillId="2" borderId="2" xfId="0" applyNumberFormat="1" applyFont="1" applyFill="1" applyBorder="1" applyAlignment="1" applyProtection="1">
      <alignment horizontal="left" vertical="center" indent="2"/>
    </xf>
    <xf numFmtId="166" fontId="8" fillId="2" borderId="0" xfId="4" applyNumberFormat="1" applyFont="1" applyFill="1" applyAlignment="1">
      <alignment vertical="center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2" xfId="4" applyFont="1" applyFill="1" applyBorder="1" applyAlignment="1" applyProtection="1">
      <alignment horizontal="center" vertical="center"/>
    </xf>
    <xf numFmtId="165" fontId="27" fillId="2" borderId="0" xfId="4" applyFont="1" applyFill="1" applyAlignment="1">
      <alignment horizontal="right" vertical="center"/>
    </xf>
    <xf numFmtId="165" fontId="28" fillId="2" borderId="0" xfId="4" applyFont="1" applyFill="1" applyBorder="1" applyAlignment="1">
      <alignment horizontal="right" vertical="center"/>
    </xf>
    <xf numFmtId="165" fontId="28" fillId="2" borderId="2" xfId="4" applyFont="1" applyFill="1" applyBorder="1" applyAlignment="1">
      <alignment horizontal="right" vertical="center"/>
    </xf>
    <xf numFmtId="165" fontId="26" fillId="2" borderId="0" xfId="4" applyFont="1" applyFill="1" applyAlignment="1">
      <alignment horizontal="right" vertical="center"/>
    </xf>
    <xf numFmtId="165" fontId="29" fillId="2" borderId="0" xfId="4" applyFont="1" applyFill="1" applyBorder="1" applyAlignment="1">
      <alignment horizontal="right" vertical="center" wrapText="1"/>
    </xf>
    <xf numFmtId="165" fontId="27" fillId="2" borderId="0" xfId="4" applyFont="1" applyFill="1" applyBorder="1" applyAlignment="1">
      <alignment horizontal="right" vertical="center" wrapText="1"/>
    </xf>
    <xf numFmtId="165" fontId="28" fillId="2" borderId="0" xfId="0" applyNumberFormat="1" applyFont="1" applyFill="1" applyAlignment="1">
      <alignment horizontal="right" vertical="center" indent="2"/>
    </xf>
    <xf numFmtId="165" fontId="28" fillId="2" borderId="2" xfId="0" applyNumberFormat="1" applyFont="1" applyFill="1" applyBorder="1" applyAlignment="1">
      <alignment horizontal="right" vertical="center" indent="2"/>
    </xf>
    <xf numFmtId="38" fontId="4" fillId="2" borderId="0" xfId="1" applyNumberFormat="1" applyFont="1" applyFill="1" applyBorder="1"/>
    <xf numFmtId="38" fontId="4" fillId="2" borderId="0" xfId="1" applyNumberFormat="1" applyFont="1" applyFill="1" applyBorder="1" applyAlignment="1">
      <alignment horizontal="right"/>
    </xf>
    <xf numFmtId="38" fontId="9" fillId="2" borderId="0" xfId="1" applyNumberFormat="1" applyFont="1" applyFill="1" applyBorder="1"/>
    <xf numFmtId="38" fontId="9" fillId="2" borderId="0" xfId="1" applyNumberFormat="1" applyFont="1" applyFill="1" applyBorder="1" applyAlignment="1">
      <alignment horizontal="right"/>
    </xf>
    <xf numFmtId="165" fontId="29" fillId="2" borderId="5" xfId="4" applyFont="1" applyFill="1" applyBorder="1" applyAlignment="1">
      <alignment horizontal="right" vertical="center" wrapText="1"/>
    </xf>
    <xf numFmtId="0" fontId="12" fillId="2" borderId="5" xfId="0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right" vertical="center" wrapText="1"/>
    </xf>
    <xf numFmtId="2" fontId="8" fillId="2" borderId="0" xfId="4" applyNumberFormat="1" applyFont="1" applyFill="1" applyAlignment="1">
      <alignment vertical="center"/>
    </xf>
    <xf numFmtId="165" fontId="25" fillId="2" borderId="0" xfId="4" applyFont="1" applyFill="1" applyAlignment="1">
      <alignment horizontal="center" vertical="center"/>
    </xf>
    <xf numFmtId="165" fontId="21" fillId="2" borderId="0" xfId="4" applyFont="1" applyFill="1" applyBorder="1" applyAlignment="1" applyProtection="1">
      <alignment horizontal="center" vertical="center"/>
    </xf>
    <xf numFmtId="165" fontId="27" fillId="2" borderId="0" xfId="4" applyFont="1" applyFill="1" applyBorder="1" applyAlignment="1">
      <alignment horizontal="center" vertical="center" wrapText="1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3" xfId="4" applyFont="1" applyFill="1" applyBorder="1" applyAlignment="1" applyProtection="1">
      <alignment horizontal="right" vertical="center"/>
    </xf>
    <xf numFmtId="165" fontId="12" fillId="2" borderId="3" xfId="4" applyFont="1" applyFill="1" applyBorder="1" applyAlignment="1" applyProtection="1">
      <alignment horizontal="left" vertical="center"/>
    </xf>
    <xf numFmtId="165" fontId="16" fillId="2" borderId="4" xfId="4" applyFont="1" applyFill="1" applyBorder="1" applyAlignment="1">
      <alignment horizontal="center" vertical="center"/>
    </xf>
    <xf numFmtId="165" fontId="13" fillId="2" borderId="4" xfId="4" applyFont="1" applyFill="1" applyBorder="1" applyAlignment="1" applyProtection="1">
      <alignment horizontal="center" vertical="center"/>
    </xf>
    <xf numFmtId="165" fontId="6" fillId="2" borderId="4" xfId="4" applyFont="1" applyFill="1" applyBorder="1" applyAlignment="1">
      <alignment horizontal="center" vertical="center" wrapText="1"/>
    </xf>
    <xf numFmtId="165" fontId="7" fillId="2" borderId="4" xfId="4" applyFont="1" applyFill="1" applyBorder="1" applyAlignment="1" applyProtection="1">
      <alignment horizontal="center" vertical="center"/>
    </xf>
  </cellXfs>
  <cellStyles count="7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9.3fig9.1" xfId="6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 : Fish catch by type of species,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5981897290463"/>
          <c:y val="0.18584695018972208"/>
          <c:w val="0.35276694462156449"/>
          <c:h val="0.69592290127820711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33CCCC"/>
              </a:solidFill>
            </c:spPr>
          </c:dPt>
          <c:dPt>
            <c:idx val="1"/>
            <c:bubble3D val="0"/>
            <c:spPr>
              <a:solidFill>
                <a:srgbClr val="1C706E"/>
              </a:solidFill>
            </c:spPr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</c:dPt>
          <c:dPt>
            <c:idx val="7"/>
            <c:bubble3D val="0"/>
            <c:spPr>
              <a:solidFill>
                <a:srgbClr val="81E1DF"/>
              </a:solidFill>
            </c:spPr>
          </c:dPt>
          <c:dLbls>
            <c:dLbl>
              <c:idx val="0"/>
              <c:layout>
                <c:manualLayout>
                  <c:x val="5.9392636091392991E-3"/>
                  <c:y val="-5.111982610466335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1.6618650455135241E-2"/>
                  <c:y val="0.115491265703544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6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4.1127340980049561E-2"/>
                  <c:y val="-8.742085687971529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3.0821633320260999E-3"/>
                  <c:y val="-0.118394869725821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700"/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'9.3'!$D$8:$K$8</c:f>
              <c:strCache>
                <c:ptCount val="8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Albacore tuna</c:v>
                </c:pt>
                <c:pt idx="4">
                  <c:v>Dogtooth tuna</c:v>
                </c:pt>
                <c:pt idx="5">
                  <c:v>   Little tuna</c:v>
                </c:pt>
                <c:pt idx="6">
                  <c:v>Frigate tuna</c:v>
                </c:pt>
                <c:pt idx="7">
                  <c:v>Other marine fish</c:v>
                </c:pt>
              </c:strCache>
            </c:strRef>
          </c:cat>
          <c:val>
            <c:numRef>
              <c:f>'9.3'!$D$9:$K$9</c:f>
              <c:numCache>
                <c:formatCode>#,##0_);[Red]\(#,##0\)</c:formatCode>
                <c:ptCount val="8"/>
                <c:pt idx="0">
                  <c:v>69244.324399131277</c:v>
                </c:pt>
                <c:pt idx="1">
                  <c:v>51472.45647563805</c:v>
                </c:pt>
                <c:pt idx="2">
                  <c:v>1828.2678227461436</c:v>
                </c:pt>
                <c:pt idx="3">
                  <c:v>1.2469999999999999</c:v>
                </c:pt>
                <c:pt idx="4">
                  <c:v>46.027014892861466</c:v>
                </c:pt>
                <c:pt idx="5">
                  <c:v>226.3363364574968</c:v>
                </c:pt>
                <c:pt idx="6">
                  <c:v>115.77849865914584</c:v>
                </c:pt>
                <c:pt idx="7">
                  <c:v>4417.3809339078225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2015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3487.8232343030295</c:v>
                </c:pt>
                <c:pt idx="1">
                  <c:v>2143.1918991752941</c:v>
                </c:pt>
                <c:pt idx="2">
                  <c:v>2543.8052719791081</c:v>
                </c:pt>
                <c:pt idx="3">
                  <c:v>1644.0892896197709</c:v>
                </c:pt>
                <c:pt idx="4">
                  <c:v>4787.9967742133631</c:v>
                </c:pt>
                <c:pt idx="5">
                  <c:v>3849.5688450349667</c:v>
                </c:pt>
                <c:pt idx="6">
                  <c:v>4965.5628535871401</c:v>
                </c:pt>
                <c:pt idx="7">
                  <c:v>3264.3403035589013</c:v>
                </c:pt>
                <c:pt idx="8">
                  <c:v>2906.3640120344198</c:v>
                </c:pt>
                <c:pt idx="9">
                  <c:v>3966.0017230785825</c:v>
                </c:pt>
                <c:pt idx="10">
                  <c:v>303.94247344899168</c:v>
                </c:pt>
                <c:pt idx="11">
                  <c:v>3846.4425361310637</c:v>
                </c:pt>
                <c:pt idx="12">
                  <c:v>3864.2766938192217</c:v>
                </c:pt>
                <c:pt idx="13">
                  <c:v>8220.3993305057247</c:v>
                </c:pt>
                <c:pt idx="14">
                  <c:v>3578.9821165928565</c:v>
                </c:pt>
                <c:pt idx="15">
                  <c:v>12555.886331006292</c:v>
                </c:pt>
                <c:pt idx="16">
                  <c:v>20006.961722130814</c:v>
                </c:pt>
                <c:pt idx="17">
                  <c:v>12824.944463209524</c:v>
                </c:pt>
                <c:pt idx="18">
                  <c:v>4175.7914603981244</c:v>
                </c:pt>
                <c:pt idx="19">
                  <c:v>9143.0560234572295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140264960"/>
        <c:axId val="140266496"/>
      </c:barChart>
      <c:catAx>
        <c:axId val="1402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0266496"/>
        <c:crosses val="autoZero"/>
        <c:auto val="1"/>
        <c:lblAlgn val="ctr"/>
        <c:lblOffset val="100"/>
        <c:noMultiLvlLbl val="0"/>
      </c:catAx>
      <c:valAx>
        <c:axId val="140266496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40264960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35</xdr:row>
      <xdr:rowOff>83820</xdr:rowOff>
    </xdr:from>
    <xdr:to>
      <xdr:col>8</xdr:col>
      <xdr:colOff>220980</xdr:colOff>
      <xdr:row>36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1988820" y="13213080"/>
          <a:ext cx="4091940" cy="21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220980</xdr:colOff>
      <xdr:row>68</xdr:row>
      <xdr:rowOff>144780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988820" y="18806160"/>
          <a:ext cx="409194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220980</xdr:colOff>
      <xdr:row>36</xdr:row>
      <xdr:rowOff>129540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2101215" y="7113270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236220</xdr:colOff>
      <xdr:row>33</xdr:row>
      <xdr:rowOff>238125</xdr:rowOff>
    </xdr:from>
    <xdr:to>
      <xdr:col>11</xdr:col>
      <xdr:colOff>476250</xdr:colOff>
      <xdr:row>52</xdr:row>
      <xdr:rowOff>28575</xdr:rowOff>
    </xdr:to>
    <xdr:graphicFrame macro="">
      <xdr:nvGraphicFramePr>
        <xdr:cNvPr id="7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220980</xdr:colOff>
      <xdr:row>68</xdr:row>
      <xdr:rowOff>144780</xdr:rowOff>
    </xdr:to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2101215" y="130778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248841</xdr:colOff>
      <xdr:row>35</xdr:row>
      <xdr:rowOff>64294</xdr:rowOff>
    </xdr:from>
    <xdr:to>
      <xdr:col>9</xdr:col>
      <xdr:colOff>610791</xdr:colOff>
      <xdr:row>35</xdr:row>
      <xdr:rowOff>64294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2511029" y="7071122"/>
          <a:ext cx="4320778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648890</xdr:colOff>
      <xdr:row>55</xdr:row>
      <xdr:rowOff>184547</xdr:rowOff>
    </xdr:from>
    <xdr:to>
      <xdr:col>8</xdr:col>
      <xdr:colOff>541733</xdr:colOff>
      <xdr:row>55</xdr:row>
      <xdr:rowOff>184547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911078" y="10900172"/>
          <a:ext cx="305990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F119"/>
  <sheetViews>
    <sheetView tabSelected="1" zoomScaleNormal="100" workbookViewId="0">
      <selection activeCell="W33" sqref="W33"/>
    </sheetView>
  </sheetViews>
  <sheetFormatPr defaultColWidth="8.85546875" defaultRowHeight="12.75"/>
  <cols>
    <col min="1" max="1" width="12" style="13" customWidth="1"/>
    <col min="2" max="2" width="8.85546875" style="13"/>
    <col min="3" max="3" width="1.28515625" style="13" customWidth="1"/>
    <col min="4" max="5" width="11.85546875" style="13" customWidth="1"/>
    <col min="6" max="7" width="11.85546875" style="59" customWidth="1"/>
    <col min="8" max="8" width="11.85546875" style="13" customWidth="1"/>
    <col min="9" max="10" width="11.85546875" style="59" customWidth="1"/>
    <col min="11" max="11" width="11.85546875" style="60" customWidth="1"/>
    <col min="12" max="12" width="22.5703125" style="13" customWidth="1"/>
    <col min="13" max="13" width="4.5703125" style="13" customWidth="1"/>
    <col min="14" max="21" width="3.140625" style="13" customWidth="1"/>
    <col min="22" max="22" width="18.42578125" style="13" customWidth="1"/>
    <col min="23" max="25" width="3.140625" style="13" customWidth="1"/>
    <col min="26" max="16384" width="8.85546875" style="13"/>
  </cols>
  <sheetData>
    <row r="1" spans="1:32" s="6" customFormat="1" ht="18.75">
      <c r="A1" s="90" t="s">
        <v>71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2" s="9" customFormat="1" ht="15.75">
      <c r="A2" s="91" t="s">
        <v>72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2" s="11" customFormat="1" ht="14.25">
      <c r="A3" s="92" t="s">
        <v>52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2" s="67" customFormat="1" ht="12">
      <c r="A4" s="93" t="s">
        <v>53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2" s="9" customFormat="1" ht="6" customHeight="1">
      <c r="A5" s="72"/>
      <c r="B5" s="72"/>
      <c r="C5" s="72"/>
      <c r="D5" s="73"/>
      <c r="E5" s="73"/>
      <c r="F5" s="73"/>
      <c r="G5" s="73"/>
      <c r="H5" s="73"/>
      <c r="I5" s="73"/>
      <c r="J5" s="73"/>
      <c r="K5" s="73"/>
      <c r="L5" s="72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2" s="7" customFormat="1" ht="17.25" customHeight="1">
      <c r="A6" s="16"/>
      <c r="B6" s="17"/>
      <c r="C6" s="17"/>
      <c r="D6" s="94" t="s">
        <v>54</v>
      </c>
      <c r="E6" s="94"/>
      <c r="F6" s="94"/>
      <c r="G6" s="94"/>
      <c r="H6" s="95" t="s">
        <v>55</v>
      </c>
      <c r="I6" s="95"/>
      <c r="J6" s="95"/>
      <c r="K6" s="95"/>
      <c r="L6" s="1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2" s="63" customFormat="1" ht="29.45" customHeight="1">
      <c r="A7" s="61" t="s">
        <v>56</v>
      </c>
      <c r="B7" s="78" t="s">
        <v>40</v>
      </c>
      <c r="C7" s="86"/>
      <c r="D7" s="86" t="s">
        <v>57</v>
      </c>
      <c r="E7" s="86" t="s">
        <v>58</v>
      </c>
      <c r="F7" s="86" t="s">
        <v>59</v>
      </c>
      <c r="G7" s="87" t="s">
        <v>73</v>
      </c>
      <c r="H7" s="86" t="s">
        <v>60</v>
      </c>
      <c r="I7" s="86" t="s">
        <v>61</v>
      </c>
      <c r="J7" s="86" t="s">
        <v>62</v>
      </c>
      <c r="K7" s="86" t="s">
        <v>63</v>
      </c>
      <c r="L7" s="79" t="s">
        <v>42</v>
      </c>
      <c r="M7" s="62"/>
      <c r="N7" s="62"/>
      <c r="O7" s="62"/>
      <c r="P7" s="62"/>
      <c r="Q7" s="62"/>
      <c r="R7" s="62"/>
      <c r="S7" s="62"/>
      <c r="T7" s="62"/>
      <c r="U7" s="62"/>
      <c r="V7" s="4"/>
      <c r="W7" s="62"/>
      <c r="X7" s="62"/>
      <c r="Y7" s="62"/>
      <c r="Z7" s="62"/>
      <c r="AA7" s="62"/>
      <c r="AB7" s="62"/>
      <c r="AC7" s="62"/>
      <c r="AD7" s="62"/>
      <c r="AE7" s="62"/>
    </row>
    <row r="8" spans="1:32" s="9" customFormat="1" ht="24">
      <c r="A8" s="19"/>
      <c r="B8" s="20" t="s">
        <v>0</v>
      </c>
      <c r="C8" s="20"/>
      <c r="D8" s="21" t="s">
        <v>64</v>
      </c>
      <c r="E8" s="21" t="s">
        <v>65</v>
      </c>
      <c r="F8" s="21" t="s">
        <v>70</v>
      </c>
      <c r="G8" s="88" t="s">
        <v>74</v>
      </c>
      <c r="H8" s="21" t="s">
        <v>66</v>
      </c>
      <c r="I8" s="21" t="s">
        <v>67</v>
      </c>
      <c r="J8" s="21" t="s">
        <v>68</v>
      </c>
      <c r="K8" s="21" t="s">
        <v>69</v>
      </c>
      <c r="L8" s="76"/>
      <c r="M8" s="8"/>
      <c r="N8" s="8"/>
      <c r="O8" s="8"/>
      <c r="P8" s="8"/>
      <c r="Q8" s="8"/>
      <c r="R8" s="8"/>
      <c r="S8" s="8"/>
      <c r="T8" s="8"/>
      <c r="U8" s="8"/>
      <c r="V8" s="71"/>
      <c r="W8" s="8"/>
      <c r="X8" s="8"/>
      <c r="Y8" s="8"/>
      <c r="Z8" s="8"/>
      <c r="AA8" s="8"/>
      <c r="AB8" s="8"/>
      <c r="AC8" s="8"/>
      <c r="AD8" s="8"/>
      <c r="AE8" s="8"/>
    </row>
    <row r="9" spans="1:32" s="7" customFormat="1" ht="15">
      <c r="A9" s="22" t="s">
        <v>43</v>
      </c>
      <c r="B9" s="23">
        <f t="shared" ref="B9:B32" si="0">SUM(D9:K9)</f>
        <v>127351.8184814328</v>
      </c>
      <c r="C9" s="24"/>
      <c r="D9" s="23">
        <f t="shared" ref="D9:K9" si="1">D10+D11+D12</f>
        <v>69244.324399131277</v>
      </c>
      <c r="E9" s="23">
        <f t="shared" si="1"/>
        <v>51472.45647563805</v>
      </c>
      <c r="F9" s="23">
        <f t="shared" si="1"/>
        <v>1828.2678227461436</v>
      </c>
      <c r="G9" s="23">
        <f>G10+G11+G12</f>
        <v>1.2469999999999999</v>
      </c>
      <c r="H9" s="23">
        <f t="shared" si="1"/>
        <v>46.027014892861466</v>
      </c>
      <c r="I9" s="23">
        <f t="shared" si="1"/>
        <v>226.3363364574968</v>
      </c>
      <c r="J9" s="23">
        <f t="shared" si="1"/>
        <v>115.77849865914584</v>
      </c>
      <c r="K9" s="23">
        <f t="shared" si="1"/>
        <v>4417.3809339078225</v>
      </c>
      <c r="L9" s="74" t="s">
        <v>44</v>
      </c>
      <c r="M9" s="1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7" customFormat="1" ht="15">
      <c r="A10" s="22" t="s">
        <v>45</v>
      </c>
      <c r="B10" s="25">
        <f t="shared" si="0"/>
        <v>14788.513434148374</v>
      </c>
      <c r="C10" s="26"/>
      <c r="D10" s="82">
        <v>8188.0008692048541</v>
      </c>
      <c r="E10" s="82">
        <v>6359.1665715481295</v>
      </c>
      <c r="F10" s="82">
        <v>12.323181219886052</v>
      </c>
      <c r="G10" s="82">
        <v>0</v>
      </c>
      <c r="H10" s="82">
        <v>0.20739525605273218</v>
      </c>
      <c r="I10" s="82">
        <v>9.4915854730406348</v>
      </c>
      <c r="J10" s="82">
        <v>7.2664869233235878</v>
      </c>
      <c r="K10" s="82">
        <v>212.05734452308738</v>
      </c>
      <c r="L10" s="74" t="s">
        <v>46</v>
      </c>
      <c r="M10" s="1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7" customFormat="1" ht="15">
      <c r="A11" s="22" t="s">
        <v>47</v>
      </c>
      <c r="B11" s="25">
        <f t="shared" si="0"/>
        <v>112079.42735728441</v>
      </c>
      <c r="C11" s="26"/>
      <c r="D11" s="82">
        <f t="shared" ref="D11:K11" si="2">SUM(D13:D32)</f>
        <v>61055.997529926419</v>
      </c>
      <c r="E11" s="82">
        <f t="shared" si="2"/>
        <v>45001.223314089919</v>
      </c>
      <c r="F11" s="82">
        <f t="shared" si="2"/>
        <v>1584.7285415262577</v>
      </c>
      <c r="G11" s="82">
        <f>SUM(G13:G32)</f>
        <v>0</v>
      </c>
      <c r="H11" s="82">
        <f t="shared" si="2"/>
        <v>45.819619636808731</v>
      </c>
      <c r="I11" s="82">
        <f t="shared" si="2"/>
        <v>216.84475098445617</v>
      </c>
      <c r="J11" s="82">
        <f t="shared" si="2"/>
        <v>108.51201173582226</v>
      </c>
      <c r="K11" s="82">
        <f t="shared" si="2"/>
        <v>4066.3015893847351</v>
      </c>
      <c r="L11" s="74" t="s">
        <v>48</v>
      </c>
      <c r="M11" s="14"/>
      <c r="N11" s="4"/>
      <c r="O11" s="4"/>
      <c r="P11" s="4"/>
      <c r="Q11" s="4"/>
      <c r="R11" s="4"/>
      <c r="S11" s="4"/>
      <c r="T11" s="4"/>
      <c r="U11" s="4"/>
      <c r="V11" s="71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7" customFormat="1" ht="15.75">
      <c r="A12" s="68" t="s">
        <v>49</v>
      </c>
      <c r="B12" s="25">
        <f t="shared" si="0"/>
        <v>483.87768999999992</v>
      </c>
      <c r="C12" s="24"/>
      <c r="D12" s="82">
        <v>0.32600000000000001</v>
      </c>
      <c r="E12" s="82">
        <v>112.06659000000001</v>
      </c>
      <c r="F12" s="82">
        <v>231.21609999999993</v>
      </c>
      <c r="G12" s="82">
        <v>1.2469999999999999</v>
      </c>
      <c r="H12" s="82">
        <v>0</v>
      </c>
      <c r="I12" s="82">
        <v>0</v>
      </c>
      <c r="J12" s="82">
        <v>0</v>
      </c>
      <c r="K12" s="83">
        <v>139.02200000000002</v>
      </c>
      <c r="L12" s="77" t="s">
        <v>50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7" customFormat="1" ht="15">
      <c r="A13" s="69" t="s">
        <v>21</v>
      </c>
      <c r="B13" s="64">
        <f t="shared" si="0"/>
        <v>3487.8232343030295</v>
      </c>
      <c r="C13" s="24"/>
      <c r="D13" s="84">
        <v>527.39097604416474</v>
      </c>
      <c r="E13" s="84">
        <v>2929.2452154255166</v>
      </c>
      <c r="F13" s="84">
        <v>0</v>
      </c>
      <c r="G13" s="84">
        <v>0</v>
      </c>
      <c r="H13" s="84">
        <v>0.15497246992870209</v>
      </c>
      <c r="I13" s="84">
        <v>11.677654179044282</v>
      </c>
      <c r="J13" s="84">
        <v>0.28698605542352235</v>
      </c>
      <c r="K13" s="84">
        <v>19.067430128952068</v>
      </c>
      <c r="L13" s="80" t="s">
        <v>1</v>
      </c>
      <c r="M13" s="15"/>
      <c r="N13" s="4"/>
      <c r="O13" s="4"/>
      <c r="P13" s="4"/>
      <c r="Q13" s="4"/>
      <c r="R13" s="4"/>
      <c r="S13" s="4"/>
      <c r="T13" s="4"/>
      <c r="U13" s="4"/>
      <c r="V13" s="89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7" customFormat="1" ht="15">
      <c r="A14" s="69" t="s">
        <v>22</v>
      </c>
      <c r="B14" s="64">
        <f t="shared" si="0"/>
        <v>2143.1918991752941</v>
      </c>
      <c r="C14" s="24"/>
      <c r="D14" s="84">
        <v>481.17765703832919</v>
      </c>
      <c r="E14" s="84">
        <v>1527.2612790811086</v>
      </c>
      <c r="F14" s="84">
        <v>116.25996429243841</v>
      </c>
      <c r="G14" s="84">
        <v>0</v>
      </c>
      <c r="H14" s="84">
        <v>0</v>
      </c>
      <c r="I14" s="84">
        <v>5.0471280947150134</v>
      </c>
      <c r="J14" s="84">
        <v>6.6940454047721341</v>
      </c>
      <c r="K14" s="84">
        <v>6.751825263930737</v>
      </c>
      <c r="L14" s="80" t="s">
        <v>2</v>
      </c>
      <c r="M14" s="1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7" customFormat="1" ht="15">
      <c r="A15" s="69" t="s">
        <v>23</v>
      </c>
      <c r="B15" s="64">
        <f t="shared" si="0"/>
        <v>2543.8052719791081</v>
      </c>
      <c r="C15" s="24"/>
      <c r="D15" s="84">
        <v>77.810950118839131</v>
      </c>
      <c r="E15" s="84">
        <v>2307.2206259577893</v>
      </c>
      <c r="F15" s="84">
        <v>0</v>
      </c>
      <c r="G15" s="84">
        <v>0</v>
      </c>
      <c r="H15" s="84">
        <v>1.9132403694901493E-2</v>
      </c>
      <c r="I15" s="84">
        <v>0.31166686221115236</v>
      </c>
      <c r="J15" s="84">
        <v>3.4438326650822686E-2</v>
      </c>
      <c r="K15" s="84">
        <v>158.40845830992296</v>
      </c>
      <c r="L15" s="80" t="s">
        <v>3</v>
      </c>
      <c r="M15" s="1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7" customFormat="1" ht="15">
      <c r="A16" s="69" t="s">
        <v>24</v>
      </c>
      <c r="B16" s="64">
        <f t="shared" si="0"/>
        <v>1644.0892896197709</v>
      </c>
      <c r="C16" s="24"/>
      <c r="D16" s="84">
        <v>70.935682587290671</v>
      </c>
      <c r="E16" s="84">
        <v>1557.5424648404139</v>
      </c>
      <c r="F16" s="84">
        <v>12.514505256835065</v>
      </c>
      <c r="G16" s="84">
        <v>0</v>
      </c>
      <c r="H16" s="84">
        <v>1.1479442216940895E-2</v>
      </c>
      <c r="I16" s="84">
        <v>4.3296629561562078E-2</v>
      </c>
      <c r="J16" s="84">
        <v>0</v>
      </c>
      <c r="K16" s="84">
        <v>3.041860863452388</v>
      </c>
      <c r="L16" s="80" t="s">
        <v>4</v>
      </c>
      <c r="M16" s="1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3" customFormat="1" ht="15">
      <c r="A17" s="69" t="s">
        <v>25</v>
      </c>
      <c r="B17" s="64">
        <f t="shared" si="0"/>
        <v>4787.9967742133631</v>
      </c>
      <c r="C17" s="24"/>
      <c r="D17" s="84">
        <v>736.96195714688372</v>
      </c>
      <c r="E17" s="84">
        <v>3617.0772715289395</v>
      </c>
      <c r="F17" s="84">
        <v>143.09890019564622</v>
      </c>
      <c r="G17" s="84">
        <v>0</v>
      </c>
      <c r="H17" s="84">
        <v>0</v>
      </c>
      <c r="I17" s="84">
        <v>7.2282221363693946</v>
      </c>
      <c r="J17" s="84">
        <v>0.92868692753431292</v>
      </c>
      <c r="K17" s="84">
        <v>282.70173627799016</v>
      </c>
      <c r="L17" s="80" t="s">
        <v>5</v>
      </c>
      <c r="M17" s="1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3" customFormat="1" ht="15">
      <c r="A18" s="69" t="s">
        <v>26</v>
      </c>
      <c r="B18" s="64">
        <f t="shared" si="0"/>
        <v>3849.5688450349667</v>
      </c>
      <c r="C18" s="24"/>
      <c r="D18" s="84">
        <v>128.333505489217</v>
      </c>
      <c r="E18" s="84">
        <v>1576.7956725441529</v>
      </c>
      <c r="F18" s="84">
        <v>0.13392682586431046</v>
      </c>
      <c r="G18" s="84">
        <v>0</v>
      </c>
      <c r="H18" s="84">
        <v>24.087122279770131</v>
      </c>
      <c r="I18" s="84">
        <v>10.989461696961751</v>
      </c>
      <c r="J18" s="84">
        <v>10.117980956805704</v>
      </c>
      <c r="K18" s="84">
        <v>2099.1111752421948</v>
      </c>
      <c r="L18" s="80" t="s">
        <v>6</v>
      </c>
      <c r="M18" s="1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3" customFormat="1" ht="15">
      <c r="A19" s="69" t="s">
        <v>27</v>
      </c>
      <c r="B19" s="64">
        <f t="shared" si="0"/>
        <v>4965.5628535871401</v>
      </c>
      <c r="C19" s="24"/>
      <c r="D19" s="84">
        <v>1953.2781446417778</v>
      </c>
      <c r="E19" s="84">
        <v>2428.0731636170608</v>
      </c>
      <c r="F19" s="84">
        <v>81.739368305727652</v>
      </c>
      <c r="G19" s="84">
        <v>0</v>
      </c>
      <c r="H19" s="84">
        <v>5.7397211084704476E-2</v>
      </c>
      <c r="I19" s="84">
        <v>41.418401490833588</v>
      </c>
      <c r="J19" s="84">
        <v>44.27425735911401</v>
      </c>
      <c r="K19" s="84">
        <v>416.72212096154044</v>
      </c>
      <c r="L19" s="80" t="s">
        <v>7</v>
      </c>
      <c r="M19" s="1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3" customFormat="1" ht="15">
      <c r="A20" s="69" t="s">
        <v>28</v>
      </c>
      <c r="B20" s="64">
        <f t="shared" si="0"/>
        <v>3264.3403035589013</v>
      </c>
      <c r="C20" s="24"/>
      <c r="D20" s="84">
        <v>1378.3529813667708</v>
      </c>
      <c r="E20" s="84">
        <v>1844.2347231438678</v>
      </c>
      <c r="F20" s="84">
        <v>10.222443294185869</v>
      </c>
      <c r="G20" s="84">
        <v>0</v>
      </c>
      <c r="H20" s="84">
        <v>1.9706375805748535</v>
      </c>
      <c r="I20" s="84">
        <v>19.360595873770581</v>
      </c>
      <c r="J20" s="84">
        <v>4.8106515850460312</v>
      </c>
      <c r="K20" s="84">
        <v>5.3882707146853983</v>
      </c>
      <c r="L20" s="80" t="s">
        <v>8</v>
      </c>
      <c r="M20" s="15"/>
      <c r="Y20" s="4"/>
      <c r="Z20" s="4"/>
      <c r="AA20" s="4"/>
      <c r="AB20" s="4"/>
      <c r="AC20" s="4"/>
      <c r="AD20" s="4"/>
      <c r="AE20" s="4"/>
      <c r="AF20" s="4"/>
    </row>
    <row r="21" spans="1:32" s="3" customFormat="1" ht="15">
      <c r="A21" s="69" t="s">
        <v>51</v>
      </c>
      <c r="B21" s="64">
        <f t="shared" si="0"/>
        <v>2906.3640120344198</v>
      </c>
      <c r="C21" s="24"/>
      <c r="D21" s="84">
        <v>102.96642582195433</v>
      </c>
      <c r="E21" s="84">
        <v>2767.8046189986553</v>
      </c>
      <c r="F21" s="84">
        <v>31.66604135543146</v>
      </c>
      <c r="G21" s="84">
        <v>0</v>
      </c>
      <c r="H21" s="84">
        <v>0</v>
      </c>
      <c r="I21" s="84">
        <v>3.5746983063553959</v>
      </c>
      <c r="J21" s="84">
        <v>0</v>
      </c>
      <c r="K21" s="84">
        <v>0.35222755202313649</v>
      </c>
      <c r="L21" s="80" t="s">
        <v>9</v>
      </c>
      <c r="M21" s="15"/>
      <c r="Y21" s="4"/>
      <c r="Z21" s="4"/>
      <c r="AA21" s="4"/>
      <c r="AB21" s="4"/>
      <c r="AC21" s="4"/>
      <c r="AD21" s="4"/>
      <c r="AE21" s="4"/>
      <c r="AF21" s="4"/>
    </row>
    <row r="22" spans="1:32" s="3" customFormat="1" ht="15">
      <c r="A22" s="69" t="s">
        <v>29</v>
      </c>
      <c r="B22" s="64">
        <f t="shared" si="0"/>
        <v>3966.0017230785825</v>
      </c>
      <c r="C22" s="24"/>
      <c r="D22" s="84">
        <v>87.220916758739079</v>
      </c>
      <c r="E22" s="84">
        <v>3648.2912084150698</v>
      </c>
      <c r="F22" s="84">
        <v>7.555386219116599</v>
      </c>
      <c r="G22" s="84">
        <v>0</v>
      </c>
      <c r="H22" s="84">
        <v>14.961539689412966</v>
      </c>
      <c r="I22" s="84">
        <v>2.8315957468454209E-2</v>
      </c>
      <c r="J22" s="84">
        <v>0</v>
      </c>
      <c r="K22" s="84">
        <v>207.94435603877582</v>
      </c>
      <c r="L22" s="80" t="s">
        <v>10</v>
      </c>
      <c r="M22" s="15"/>
      <c r="Y22" s="4"/>
      <c r="Z22" s="4"/>
      <c r="AA22" s="4"/>
      <c r="AB22" s="4"/>
      <c r="AC22" s="4"/>
      <c r="AD22" s="4"/>
      <c r="AE22" s="4"/>
      <c r="AF22" s="4"/>
    </row>
    <row r="23" spans="1:32" s="3" customFormat="1" ht="15">
      <c r="A23" s="69" t="s">
        <v>30</v>
      </c>
      <c r="B23" s="64">
        <f t="shared" si="0"/>
        <v>303.94247344899168</v>
      </c>
      <c r="C23" s="24"/>
      <c r="D23" s="84">
        <v>182.86100949861225</v>
      </c>
      <c r="E23" s="84">
        <v>116.74204346833884</v>
      </c>
      <c r="F23" s="84">
        <v>0</v>
      </c>
      <c r="G23" s="84">
        <v>0</v>
      </c>
      <c r="H23" s="84">
        <v>0</v>
      </c>
      <c r="I23" s="84">
        <v>4.2326616694230577</v>
      </c>
      <c r="J23" s="84">
        <v>0</v>
      </c>
      <c r="K23" s="84">
        <v>0.10675881261755032</v>
      </c>
      <c r="L23" s="80" t="s">
        <v>11</v>
      </c>
      <c r="M23" s="15"/>
      <c r="Y23" s="4"/>
      <c r="Z23" s="4"/>
      <c r="AA23" s="4"/>
      <c r="AB23" s="4"/>
      <c r="AC23" s="4"/>
      <c r="AD23" s="4"/>
      <c r="AE23" s="4"/>
      <c r="AF23" s="4"/>
    </row>
    <row r="24" spans="1:32" s="3" customFormat="1" ht="15">
      <c r="A24" s="69" t="s">
        <v>31</v>
      </c>
      <c r="B24" s="64">
        <f t="shared" si="0"/>
        <v>3846.4425361310637</v>
      </c>
      <c r="C24" s="24"/>
      <c r="D24" s="84">
        <v>2118.6176088844372</v>
      </c>
      <c r="E24" s="84">
        <v>1654.6943741863261</v>
      </c>
      <c r="F24" s="84">
        <v>0</v>
      </c>
      <c r="G24" s="84">
        <v>0</v>
      </c>
      <c r="H24" s="85">
        <v>1.5497246992870211</v>
      </c>
      <c r="I24" s="84">
        <v>24.375065077262228</v>
      </c>
      <c r="J24" s="84">
        <v>13.489492982289233</v>
      </c>
      <c r="K24" s="84">
        <v>33.716270301461819</v>
      </c>
      <c r="L24" s="80" t="s">
        <v>12</v>
      </c>
      <c r="M24" s="15"/>
      <c r="Y24" s="4"/>
      <c r="Z24" s="4"/>
      <c r="AA24" s="4"/>
      <c r="AB24" s="4"/>
      <c r="AC24" s="4"/>
      <c r="AD24" s="4"/>
      <c r="AE24" s="4"/>
      <c r="AF24" s="4"/>
    </row>
    <row r="25" spans="1:32" s="3" customFormat="1" ht="15">
      <c r="A25" s="69" t="s">
        <v>32</v>
      </c>
      <c r="B25" s="64">
        <f t="shared" si="0"/>
        <v>3864.2766938192217</v>
      </c>
      <c r="C25" s="24"/>
      <c r="D25" s="84">
        <v>35.858639771517396</v>
      </c>
      <c r="E25" s="84">
        <v>2655.2643837669266</v>
      </c>
      <c r="F25" s="84">
        <v>419.78045344553533</v>
      </c>
      <c r="G25" s="84">
        <v>0</v>
      </c>
      <c r="H25" s="84">
        <v>0</v>
      </c>
      <c r="I25" s="84">
        <v>5.9013899196923658</v>
      </c>
      <c r="J25" s="84">
        <v>0</v>
      </c>
      <c r="K25" s="84">
        <v>747.47182691554974</v>
      </c>
      <c r="L25" s="80" t="s">
        <v>13</v>
      </c>
      <c r="M25" s="15"/>
      <c r="Y25" s="4"/>
      <c r="Z25" s="4"/>
      <c r="AA25" s="4"/>
      <c r="AB25" s="4"/>
      <c r="AC25" s="4"/>
      <c r="AD25" s="4"/>
      <c r="AE25" s="4"/>
      <c r="AF25" s="4"/>
    </row>
    <row r="26" spans="1:32" s="3" customFormat="1" ht="15">
      <c r="A26" s="69" t="s">
        <v>33</v>
      </c>
      <c r="B26" s="64">
        <f t="shared" si="0"/>
        <v>8220.3993305057247</v>
      </c>
      <c r="C26" s="24"/>
      <c r="D26" s="84">
        <v>2252.2364485603885</v>
      </c>
      <c r="E26" s="84">
        <v>5403.1987276707332</v>
      </c>
      <c r="F26" s="84">
        <v>562.57872618192357</v>
      </c>
      <c r="G26" s="84">
        <v>0</v>
      </c>
      <c r="H26" s="84">
        <v>0</v>
      </c>
      <c r="I26" s="84">
        <v>3.5203622798618744E-2</v>
      </c>
      <c r="J26" s="84">
        <v>2.1168091448038999</v>
      </c>
      <c r="K26" s="84">
        <v>0.23341532507779819</v>
      </c>
      <c r="L26" s="80" t="s">
        <v>14</v>
      </c>
      <c r="M26" s="15"/>
      <c r="N26" s="27"/>
      <c r="O26" s="27"/>
      <c r="P26" s="27"/>
      <c r="Q26" s="27"/>
      <c r="R26" s="27"/>
      <c r="S26" s="27"/>
      <c r="T26" s="27"/>
      <c r="U26" s="27"/>
    </row>
    <row r="27" spans="1:32" ht="15">
      <c r="A27" s="69" t="s">
        <v>34</v>
      </c>
      <c r="B27" s="64">
        <f t="shared" si="0"/>
        <v>3578.9821165928565</v>
      </c>
      <c r="C27" s="24"/>
      <c r="D27" s="84">
        <v>2164.4586640597058</v>
      </c>
      <c r="E27" s="84">
        <v>1358.8892924489312</v>
      </c>
      <c r="F27" s="84">
        <v>12.790011870041635</v>
      </c>
      <c r="G27" s="84">
        <v>0</v>
      </c>
      <c r="H27" s="84">
        <v>3.0076138608385148</v>
      </c>
      <c r="I27" s="84">
        <v>0.94475809445423564</v>
      </c>
      <c r="J27" s="84">
        <v>0.13928389889888285</v>
      </c>
      <c r="K27" s="84">
        <v>38.752492359986029</v>
      </c>
      <c r="L27" s="80" t="s">
        <v>15</v>
      </c>
      <c r="M27" s="15"/>
    </row>
    <row r="28" spans="1:32" ht="15">
      <c r="A28" s="69" t="s">
        <v>35</v>
      </c>
      <c r="B28" s="64">
        <f t="shared" si="0"/>
        <v>12555.886331006292</v>
      </c>
      <c r="C28" s="24"/>
      <c r="D28" s="84">
        <v>9432.3069727006041</v>
      </c>
      <c r="E28" s="84">
        <v>2989.4847412609724</v>
      </c>
      <c r="F28" s="84">
        <v>61.386317255091427</v>
      </c>
      <c r="G28" s="84">
        <v>0</v>
      </c>
      <c r="H28" s="84">
        <v>0</v>
      </c>
      <c r="I28" s="84">
        <v>68.123027920103198</v>
      </c>
      <c r="J28" s="84">
        <v>4.0461207333977667</v>
      </c>
      <c r="K28" s="84">
        <v>0.53915113612232413</v>
      </c>
      <c r="L28" s="80" t="s">
        <v>16</v>
      </c>
      <c r="M28" s="15"/>
    </row>
    <row r="29" spans="1:32" ht="15">
      <c r="A29" s="69" t="s">
        <v>36</v>
      </c>
      <c r="B29" s="64">
        <f t="shared" si="0"/>
        <v>20006.961722130814</v>
      </c>
      <c r="C29" s="24"/>
      <c r="D29" s="84">
        <v>17330.510215934471</v>
      </c>
      <c r="E29" s="84">
        <v>2549.3302676503477</v>
      </c>
      <c r="F29" s="84">
        <v>106.63827847427244</v>
      </c>
      <c r="G29" s="84">
        <v>0</v>
      </c>
      <c r="H29" s="85">
        <v>0</v>
      </c>
      <c r="I29" s="84">
        <v>1.8604349352922209</v>
      </c>
      <c r="J29" s="84">
        <v>4.4987934048191383</v>
      </c>
      <c r="K29" s="84">
        <v>14.12373173161323</v>
      </c>
      <c r="L29" s="80" t="s">
        <v>17</v>
      </c>
      <c r="M29" s="15"/>
    </row>
    <row r="30" spans="1:32" ht="15">
      <c r="A30" s="69" t="s">
        <v>37</v>
      </c>
      <c r="B30" s="64">
        <f t="shared" si="0"/>
        <v>12824.944463209524</v>
      </c>
      <c r="C30" s="24"/>
      <c r="D30" s="84">
        <v>11525.277104235853</v>
      </c>
      <c r="E30" s="84">
        <v>1281.0987872156586</v>
      </c>
      <c r="F30" s="84">
        <v>4.0522431025801362</v>
      </c>
      <c r="G30" s="84">
        <v>0</v>
      </c>
      <c r="H30" s="84">
        <v>0</v>
      </c>
      <c r="I30" s="84">
        <v>0.64304008818563918</v>
      </c>
      <c r="J30" s="84">
        <v>8.9539649292138979E-2</v>
      </c>
      <c r="K30" s="84">
        <v>13.783748917954831</v>
      </c>
      <c r="L30" s="80" t="s">
        <v>18</v>
      </c>
      <c r="M30" s="15"/>
    </row>
    <row r="31" spans="1:32" ht="15">
      <c r="A31" s="69" t="s">
        <v>38</v>
      </c>
      <c r="B31" s="64">
        <f t="shared" si="0"/>
        <v>4175.7914603981244</v>
      </c>
      <c r="C31" s="24"/>
      <c r="D31" s="84">
        <v>2734.5621263500252</v>
      </c>
      <c r="E31" s="84">
        <v>1441.2293340480992</v>
      </c>
      <c r="F31" s="84">
        <v>0</v>
      </c>
      <c r="G31" s="84">
        <v>0</v>
      </c>
      <c r="H31" s="84">
        <v>0</v>
      </c>
      <c r="I31" s="84">
        <v>0</v>
      </c>
      <c r="J31" s="84">
        <v>0</v>
      </c>
      <c r="K31" s="84">
        <v>0</v>
      </c>
      <c r="L31" s="80" t="s">
        <v>19</v>
      </c>
      <c r="M31" s="15"/>
    </row>
    <row r="32" spans="1:32" ht="15">
      <c r="A32" s="70" t="s">
        <v>3</v>
      </c>
      <c r="B32" s="65">
        <f t="shared" si="0"/>
        <v>9143.0560234572295</v>
      </c>
      <c r="C32" s="28"/>
      <c r="D32" s="29">
        <v>7734.8795429168367</v>
      </c>
      <c r="E32" s="29">
        <v>1347.7451188210141</v>
      </c>
      <c r="F32" s="29">
        <v>14.311975451567369</v>
      </c>
      <c r="G32" s="29">
        <v>0</v>
      </c>
      <c r="H32" s="29">
        <v>0</v>
      </c>
      <c r="I32" s="29">
        <v>11.049728429953408</v>
      </c>
      <c r="J32" s="29">
        <v>16.984925306974667</v>
      </c>
      <c r="K32" s="29">
        <v>18.084732530884487</v>
      </c>
      <c r="L32" s="81" t="s">
        <v>20</v>
      </c>
      <c r="M32" s="30"/>
    </row>
    <row r="33" spans="1:30" ht="14.25">
      <c r="A33" s="1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75" t="s">
        <v>41</v>
      </c>
    </row>
    <row r="34" spans="1:30" s="6" customFormat="1" ht="19.5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2"/>
      <c r="M34" s="2"/>
      <c r="N34" s="2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s="6" customFormat="1" ht="19.5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s="9" customFormat="1">
      <c r="A36" s="97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spans="1:30" s="11" customFormat="1" ht="15">
      <c r="A37" s="98"/>
      <c r="B37" s="98"/>
      <c r="C37" s="98"/>
      <c r="D37" s="98"/>
      <c r="E37" s="98"/>
      <c r="F37" s="98"/>
      <c r="G37" s="98"/>
      <c r="H37" s="98"/>
      <c r="I37" s="98"/>
      <c r="J37" s="98"/>
      <c r="K37" s="98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s="9" customFormat="1" ht="12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s="7" customFormat="1" ht="15">
      <c r="A39" s="31"/>
      <c r="B39" s="32"/>
      <c r="C39" s="32"/>
      <c r="D39" s="33"/>
      <c r="E39" s="34"/>
      <c r="F39" s="35"/>
      <c r="G39" s="35"/>
      <c r="H39" s="34"/>
      <c r="I39" s="36"/>
      <c r="J39" s="37"/>
      <c r="K39" s="38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s="7" customFormat="1" ht="15">
      <c r="A40" s="32"/>
      <c r="B40" s="39"/>
      <c r="C40" s="39"/>
      <c r="D40" s="39"/>
      <c r="E40" s="39"/>
      <c r="F40" s="39"/>
      <c r="G40" s="39"/>
      <c r="H40" s="39"/>
      <c r="I40" s="39"/>
      <c r="J40" s="39"/>
      <c r="K40" s="3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s="9" customFormat="1" ht="12">
      <c r="A41" s="40"/>
      <c r="B41" s="41"/>
      <c r="C41" s="41"/>
      <c r="D41" s="42"/>
      <c r="E41" s="42"/>
      <c r="F41" s="42"/>
      <c r="G41" s="42"/>
      <c r="H41" s="42"/>
      <c r="I41" s="42"/>
      <c r="J41" s="42"/>
      <c r="K41" s="40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s="7" customFormat="1" ht="15">
      <c r="A42" s="32"/>
      <c r="B42" s="43"/>
      <c r="C42" s="43"/>
      <c r="D42" s="44"/>
      <c r="E42" s="44"/>
      <c r="F42" s="44"/>
      <c r="G42" s="44"/>
      <c r="H42" s="44"/>
      <c r="I42" s="44"/>
      <c r="J42" s="44"/>
      <c r="K42" s="3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s="7" customFormat="1" ht="15">
      <c r="A43" s="32"/>
      <c r="B43" s="45"/>
      <c r="C43" s="45"/>
      <c r="D43" s="46"/>
      <c r="E43" s="46"/>
      <c r="F43" s="46"/>
      <c r="G43" s="46"/>
      <c r="H43" s="46"/>
      <c r="I43" s="46"/>
      <c r="J43" s="46"/>
      <c r="K43" s="3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s="7" customFormat="1" ht="15">
      <c r="A44" s="32"/>
      <c r="B44" s="45"/>
      <c r="C44" s="45"/>
      <c r="D44" s="45"/>
      <c r="E44" s="45"/>
      <c r="F44" s="45"/>
      <c r="G44" s="45"/>
      <c r="H44" s="45"/>
      <c r="I44" s="45"/>
      <c r="J44" s="45"/>
      <c r="K44" s="3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s="7" customFormat="1" ht="15">
      <c r="A45" s="32"/>
      <c r="B45" s="44"/>
      <c r="C45" s="44"/>
      <c r="D45" s="47"/>
      <c r="E45" s="46"/>
      <c r="F45" s="48"/>
      <c r="G45" s="48"/>
      <c r="H45" s="48"/>
      <c r="I45" s="48"/>
      <c r="J45" s="46"/>
      <c r="K45" s="37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s="7" customFormat="1" ht="15">
      <c r="A46" s="49"/>
      <c r="B46" s="44"/>
      <c r="C46" s="44"/>
      <c r="D46" s="50"/>
      <c r="E46" s="51"/>
      <c r="F46" s="51"/>
      <c r="G46" s="51"/>
      <c r="H46" s="51"/>
      <c r="I46" s="51"/>
      <c r="J46" s="51"/>
      <c r="K46" s="5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s="7" customFormat="1" ht="15">
      <c r="A47" s="49"/>
      <c r="B47" s="44"/>
      <c r="C47" s="44"/>
      <c r="D47" s="50"/>
      <c r="E47" s="51"/>
      <c r="F47" s="51"/>
      <c r="G47" s="51"/>
      <c r="H47" s="51"/>
      <c r="I47" s="51"/>
      <c r="J47" s="51"/>
      <c r="K47" s="52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s="7" customFormat="1" ht="15">
      <c r="A48" s="49"/>
      <c r="B48" s="44"/>
      <c r="C48" s="44"/>
      <c r="D48" s="50"/>
      <c r="E48" s="51"/>
      <c r="F48" s="51"/>
      <c r="G48" s="51"/>
      <c r="H48" s="51"/>
      <c r="I48" s="51"/>
      <c r="J48" s="51"/>
      <c r="K48" s="52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s="7" customFormat="1" ht="15">
      <c r="A49" s="49"/>
      <c r="B49" s="44"/>
      <c r="C49" s="44"/>
      <c r="D49" s="50"/>
      <c r="E49" s="51"/>
      <c r="F49" s="53"/>
      <c r="G49" s="53"/>
      <c r="H49" s="51"/>
      <c r="I49" s="51"/>
      <c r="J49" s="51"/>
      <c r="K49" s="52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s="3" customFormat="1" ht="15">
      <c r="A50" s="49"/>
      <c r="B50" s="44"/>
      <c r="C50" s="44"/>
      <c r="D50" s="50"/>
      <c r="E50" s="51"/>
      <c r="F50" s="51"/>
      <c r="G50" s="51"/>
      <c r="H50" s="51"/>
      <c r="I50" s="51"/>
      <c r="J50" s="51"/>
      <c r="K50" s="52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s="3" customFormat="1" ht="15">
      <c r="A51" s="49"/>
      <c r="B51" s="44"/>
      <c r="C51" s="44"/>
      <c r="D51" s="50"/>
      <c r="E51" s="51"/>
      <c r="F51" s="51"/>
      <c r="G51" s="51"/>
      <c r="H51" s="51"/>
      <c r="I51" s="51"/>
      <c r="J51" s="51"/>
      <c r="K51" s="52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s="3" customFormat="1" ht="15">
      <c r="A52" s="49"/>
      <c r="B52" s="44"/>
      <c r="C52" s="44"/>
      <c r="D52" s="50"/>
      <c r="E52" s="51"/>
      <c r="F52" s="51"/>
      <c r="G52" s="51"/>
      <c r="H52" s="51"/>
      <c r="I52" s="51"/>
      <c r="J52" s="51"/>
      <c r="K52" s="52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s="3" customFormat="1" ht="15">
      <c r="A53" s="49"/>
      <c r="B53" s="44"/>
      <c r="C53" s="44"/>
      <c r="D53" s="50"/>
      <c r="E53" s="51"/>
      <c r="F53" s="51"/>
      <c r="G53" s="51"/>
      <c r="H53" s="51"/>
      <c r="I53" s="51"/>
      <c r="J53" s="51"/>
      <c r="K53" s="52"/>
      <c r="W53" s="4"/>
      <c r="X53" s="4"/>
      <c r="Y53" s="4"/>
      <c r="Z53" s="4"/>
      <c r="AA53" s="4"/>
      <c r="AB53" s="4"/>
      <c r="AC53" s="4"/>
      <c r="AD53" s="4"/>
    </row>
    <row r="54" spans="1:30" s="3" customFormat="1" ht="15">
      <c r="A54" s="49"/>
      <c r="B54" s="44"/>
      <c r="C54" s="44"/>
      <c r="D54" s="50"/>
      <c r="E54" s="51"/>
      <c r="F54" s="51"/>
      <c r="G54" s="51"/>
      <c r="H54" s="51"/>
      <c r="I54" s="51"/>
      <c r="J54" s="51"/>
      <c r="K54" s="52"/>
      <c r="W54" s="4"/>
      <c r="X54" s="4"/>
      <c r="Y54" s="4"/>
      <c r="Z54" s="4"/>
      <c r="AA54" s="4"/>
      <c r="AB54" s="4"/>
      <c r="AC54" s="4"/>
      <c r="AD54" s="4"/>
    </row>
    <row r="55" spans="1:30" s="3" customFormat="1" ht="15">
      <c r="A55" s="49"/>
      <c r="B55" s="44"/>
      <c r="C55" s="44"/>
      <c r="D55" s="50"/>
      <c r="E55" s="51"/>
      <c r="F55" s="51"/>
      <c r="G55" s="51"/>
      <c r="H55" s="51"/>
      <c r="I55" s="51"/>
      <c r="J55" s="51"/>
      <c r="K55" s="52"/>
      <c r="W55" s="4"/>
      <c r="X55" s="4"/>
      <c r="Y55" s="4"/>
      <c r="Z55" s="4"/>
      <c r="AA55" s="4"/>
      <c r="AB55" s="4"/>
      <c r="AC55" s="4"/>
      <c r="AD55" s="4"/>
    </row>
    <row r="56" spans="1:30" s="3" customFormat="1" ht="15">
      <c r="A56" s="49"/>
      <c r="B56" s="44"/>
      <c r="C56" s="44"/>
      <c r="D56" s="50"/>
      <c r="E56" s="51"/>
      <c r="F56" s="51"/>
      <c r="G56" s="51"/>
      <c r="H56" s="51"/>
      <c r="I56" s="51"/>
      <c r="J56" s="51"/>
      <c r="K56" s="52"/>
      <c r="W56" s="4"/>
      <c r="X56" s="4"/>
      <c r="Y56" s="4"/>
      <c r="Z56" s="4"/>
      <c r="AA56" s="4"/>
      <c r="AB56" s="4"/>
      <c r="AC56" s="4"/>
      <c r="AD56" s="4"/>
    </row>
    <row r="57" spans="1:30" s="3" customFormat="1" ht="15">
      <c r="A57" s="49"/>
      <c r="B57" s="44"/>
      <c r="C57" s="44"/>
      <c r="D57" s="50"/>
      <c r="E57" s="51"/>
      <c r="F57" s="54"/>
      <c r="G57" s="54"/>
      <c r="H57" s="51"/>
      <c r="I57" s="51"/>
      <c r="J57" s="51"/>
      <c r="K57" s="52"/>
      <c r="W57" s="4"/>
      <c r="X57" s="4"/>
      <c r="Y57" s="4"/>
      <c r="Z57" s="4"/>
      <c r="AA57" s="4"/>
      <c r="AB57" s="4"/>
      <c r="AC57" s="4"/>
      <c r="AD57" s="4"/>
    </row>
    <row r="58" spans="1:30" s="3" customFormat="1" ht="15">
      <c r="A58" s="49"/>
      <c r="B58" s="44"/>
      <c r="C58" s="44"/>
      <c r="D58" s="50"/>
      <c r="E58" s="51"/>
      <c r="F58" s="51"/>
      <c r="G58" s="51"/>
      <c r="H58" s="51"/>
      <c r="I58" s="51"/>
      <c r="J58" s="51"/>
      <c r="K58" s="52"/>
      <c r="W58" s="4"/>
      <c r="X58" s="4"/>
      <c r="Y58" s="4"/>
      <c r="Z58" s="4"/>
      <c r="AA58" s="4"/>
      <c r="AB58" s="4"/>
      <c r="AC58" s="4"/>
      <c r="AD58" s="4"/>
    </row>
    <row r="59" spans="1:30" s="3" customFormat="1" ht="15">
      <c r="A59" s="49"/>
      <c r="B59" s="44"/>
      <c r="C59" s="44"/>
      <c r="D59" s="50"/>
      <c r="E59" s="51"/>
      <c r="F59" s="51"/>
      <c r="G59" s="51"/>
      <c r="H59" s="51"/>
      <c r="I59" s="51"/>
      <c r="J59" s="51"/>
      <c r="K59" s="52"/>
      <c r="L59" s="27"/>
      <c r="M59" s="27"/>
      <c r="N59" s="27"/>
      <c r="O59" s="27"/>
      <c r="P59" s="27"/>
      <c r="Q59" s="27"/>
      <c r="R59" s="27"/>
      <c r="S59" s="27"/>
    </row>
    <row r="60" spans="1:30" ht="15">
      <c r="A60" s="49"/>
      <c r="B60" s="44"/>
      <c r="C60" s="44"/>
      <c r="D60" s="50"/>
      <c r="E60" s="51"/>
      <c r="F60" s="51"/>
      <c r="G60" s="51"/>
      <c r="H60" s="51"/>
      <c r="I60" s="51"/>
      <c r="J60" s="51"/>
      <c r="K60" s="52"/>
    </row>
    <row r="61" spans="1:30" ht="15">
      <c r="A61" s="49"/>
      <c r="B61" s="44"/>
      <c r="C61" s="44"/>
      <c r="D61" s="50"/>
      <c r="E61" s="51"/>
      <c r="F61" s="51"/>
      <c r="G61" s="51"/>
      <c r="H61" s="51"/>
      <c r="I61" s="51"/>
      <c r="J61" s="51"/>
      <c r="K61" s="52"/>
    </row>
    <row r="62" spans="1:30" ht="15">
      <c r="A62" s="49"/>
      <c r="B62" s="44"/>
      <c r="C62" s="44"/>
      <c r="D62" s="50"/>
      <c r="E62" s="51"/>
      <c r="F62" s="55"/>
      <c r="G62" s="55"/>
      <c r="H62" s="53"/>
      <c r="I62" s="51"/>
      <c r="J62" s="51"/>
      <c r="K62" s="52"/>
    </row>
    <row r="63" spans="1:30" ht="15">
      <c r="A63" s="49"/>
      <c r="B63" s="44"/>
      <c r="C63" s="44"/>
      <c r="D63" s="50"/>
      <c r="E63" s="51"/>
      <c r="F63" s="53"/>
      <c r="G63" s="53"/>
      <c r="H63" s="51"/>
      <c r="I63" s="51"/>
      <c r="J63" s="51"/>
      <c r="K63" s="52"/>
    </row>
    <row r="64" spans="1:30" ht="15">
      <c r="A64" s="49"/>
      <c r="B64" s="44"/>
      <c r="C64" s="44"/>
      <c r="D64" s="50"/>
      <c r="E64" s="51"/>
      <c r="F64" s="53"/>
      <c r="G64" s="53"/>
      <c r="H64" s="53"/>
      <c r="I64" s="53"/>
      <c r="J64" s="51"/>
      <c r="K64" s="52"/>
    </row>
    <row r="65" spans="1:11" ht="15">
      <c r="A65" s="49"/>
      <c r="B65" s="44"/>
      <c r="C65" s="44"/>
      <c r="D65" s="50"/>
      <c r="E65" s="51"/>
      <c r="F65" s="53"/>
      <c r="G65" s="53"/>
      <c r="H65" s="53"/>
      <c r="I65" s="53"/>
      <c r="J65" s="51"/>
      <c r="K65" s="52"/>
    </row>
    <row r="66" spans="1:11" ht="1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8"/>
    </row>
    <row r="67" spans="1:11">
      <c r="A67" s="5"/>
    </row>
    <row r="71" spans="1:11">
      <c r="B71" s="60"/>
      <c r="C71" s="60"/>
      <c r="D71" s="60"/>
      <c r="E71" s="60"/>
      <c r="F71" s="60"/>
      <c r="G71" s="60"/>
      <c r="H71" s="60"/>
      <c r="I71" s="60"/>
      <c r="J71" s="60"/>
    </row>
    <row r="72" spans="1:11">
      <c r="B72" s="60"/>
      <c r="C72" s="60"/>
      <c r="D72" s="60"/>
      <c r="E72" s="60"/>
      <c r="F72" s="60"/>
      <c r="G72" s="60"/>
      <c r="H72" s="60"/>
      <c r="I72" s="60"/>
      <c r="J72" s="60"/>
    </row>
    <row r="73" spans="1:11">
      <c r="B73" s="60"/>
      <c r="C73" s="60"/>
      <c r="D73" s="60"/>
      <c r="E73" s="60"/>
      <c r="F73" s="60"/>
      <c r="G73" s="60"/>
      <c r="H73" s="60"/>
      <c r="I73" s="60"/>
      <c r="J73" s="60"/>
    </row>
    <row r="74" spans="1:11">
      <c r="B74" s="60"/>
      <c r="C74" s="60"/>
      <c r="D74" s="60"/>
      <c r="E74" s="60"/>
      <c r="F74" s="60"/>
      <c r="G74" s="60"/>
      <c r="H74" s="60"/>
      <c r="I74" s="60"/>
      <c r="J74" s="60"/>
    </row>
    <row r="75" spans="1:11">
      <c r="B75" s="60"/>
      <c r="C75" s="60"/>
      <c r="D75" s="60"/>
      <c r="E75" s="60"/>
      <c r="F75" s="60"/>
      <c r="G75" s="60"/>
      <c r="H75" s="60"/>
      <c r="I75" s="60"/>
      <c r="J75" s="60"/>
    </row>
    <row r="76" spans="1:11">
      <c r="B76" s="60"/>
      <c r="C76" s="60"/>
      <c r="D76" s="60"/>
      <c r="E76" s="60"/>
      <c r="F76" s="60"/>
      <c r="G76" s="60"/>
      <c r="H76" s="60"/>
      <c r="I76" s="60"/>
      <c r="J76" s="60"/>
    </row>
    <row r="77" spans="1:11">
      <c r="B77" s="60"/>
      <c r="C77" s="60"/>
      <c r="D77" s="60"/>
      <c r="E77" s="60"/>
      <c r="F77" s="60"/>
      <c r="G77" s="60"/>
      <c r="H77" s="60"/>
      <c r="I77" s="60"/>
      <c r="J77" s="60"/>
    </row>
    <row r="78" spans="1:11">
      <c r="B78" s="60"/>
      <c r="C78" s="60"/>
      <c r="D78" s="60"/>
      <c r="E78" s="60"/>
      <c r="F78" s="60"/>
      <c r="G78" s="60"/>
      <c r="H78" s="60"/>
      <c r="I78" s="60"/>
      <c r="J78" s="60"/>
    </row>
    <row r="79" spans="1:11">
      <c r="B79" s="60"/>
      <c r="C79" s="60"/>
      <c r="D79" s="60"/>
      <c r="E79" s="60"/>
      <c r="F79" s="60"/>
      <c r="G79" s="60"/>
      <c r="H79" s="60"/>
      <c r="I79" s="60"/>
      <c r="J79" s="60"/>
    </row>
    <row r="80" spans="1:11">
      <c r="B80" s="60"/>
      <c r="C80" s="60"/>
      <c r="D80" s="60"/>
      <c r="E80" s="60"/>
      <c r="F80" s="60"/>
      <c r="G80" s="60"/>
      <c r="H80" s="60"/>
      <c r="I80" s="60"/>
      <c r="J80" s="60"/>
    </row>
    <row r="81" spans="2:10">
      <c r="B81" s="60"/>
      <c r="C81" s="60"/>
      <c r="D81" s="60"/>
      <c r="E81" s="60"/>
      <c r="F81" s="60"/>
      <c r="G81" s="60"/>
      <c r="H81" s="60"/>
      <c r="I81" s="60"/>
      <c r="J81" s="60"/>
    </row>
    <row r="82" spans="2:10">
      <c r="B82" s="60"/>
      <c r="C82" s="60"/>
      <c r="D82" s="60"/>
      <c r="E82" s="60"/>
      <c r="F82" s="60"/>
      <c r="G82" s="60"/>
      <c r="H82" s="60"/>
      <c r="I82" s="60"/>
      <c r="J82" s="60"/>
    </row>
    <row r="83" spans="2:10">
      <c r="B83" s="60"/>
      <c r="C83" s="60"/>
      <c r="D83" s="60"/>
      <c r="E83" s="60"/>
      <c r="F83" s="60"/>
      <c r="G83" s="60"/>
      <c r="H83" s="60"/>
      <c r="I83" s="60"/>
      <c r="J83" s="60"/>
    </row>
    <row r="84" spans="2:10">
      <c r="B84" s="60"/>
      <c r="C84" s="60"/>
      <c r="D84" s="60"/>
      <c r="E84" s="60"/>
      <c r="F84" s="60"/>
      <c r="G84" s="60"/>
      <c r="H84" s="60"/>
      <c r="I84" s="60"/>
      <c r="J84" s="60"/>
    </row>
    <row r="85" spans="2:10">
      <c r="B85" s="60"/>
      <c r="C85" s="60"/>
      <c r="D85" s="60"/>
      <c r="E85" s="60"/>
      <c r="F85" s="60"/>
      <c r="G85" s="60"/>
      <c r="H85" s="60"/>
      <c r="I85" s="60"/>
      <c r="J85" s="60"/>
    </row>
    <row r="86" spans="2:10" ht="16.5" customHeight="1">
      <c r="B86" s="60"/>
      <c r="C86" s="60"/>
      <c r="D86" s="60"/>
      <c r="E86" s="60"/>
      <c r="F86" s="60"/>
      <c r="G86" s="60"/>
      <c r="H86" s="60"/>
      <c r="I86" s="60"/>
      <c r="J86" s="60"/>
    </row>
    <row r="87" spans="2:10" ht="16.5" customHeight="1">
      <c r="B87" s="60"/>
      <c r="C87" s="60"/>
      <c r="D87" s="60"/>
      <c r="E87" s="60"/>
      <c r="F87" s="60"/>
      <c r="G87" s="60"/>
      <c r="H87" s="60"/>
      <c r="I87" s="60"/>
      <c r="J87" s="60"/>
    </row>
    <row r="88" spans="2:10" ht="16.5" customHeight="1">
      <c r="B88" s="60"/>
      <c r="C88" s="60"/>
      <c r="D88" s="60"/>
      <c r="E88" s="60"/>
      <c r="F88" s="60"/>
      <c r="G88" s="60"/>
      <c r="H88" s="60"/>
      <c r="I88" s="60"/>
      <c r="J88" s="60"/>
    </row>
    <row r="89" spans="2:10" ht="16.5" customHeight="1">
      <c r="B89" s="60"/>
      <c r="C89" s="60"/>
      <c r="D89" s="60"/>
      <c r="E89" s="60"/>
      <c r="F89" s="60"/>
      <c r="G89" s="60"/>
      <c r="H89" s="60"/>
      <c r="I89" s="60"/>
      <c r="J89" s="60"/>
    </row>
    <row r="90" spans="2:10" ht="16.5" customHeight="1">
      <c r="B90" s="60"/>
      <c r="C90" s="60"/>
      <c r="D90" s="60"/>
      <c r="E90" s="60"/>
      <c r="F90" s="60"/>
      <c r="G90" s="60"/>
      <c r="H90" s="60"/>
      <c r="I90" s="60"/>
      <c r="J90" s="60"/>
    </row>
    <row r="91" spans="2:10" ht="16.5" customHeight="1">
      <c r="B91" s="60"/>
      <c r="C91" s="60"/>
      <c r="D91" s="60"/>
      <c r="E91" s="60"/>
      <c r="F91" s="60"/>
      <c r="G91" s="60"/>
      <c r="H91" s="60"/>
      <c r="I91" s="60"/>
      <c r="J91" s="60"/>
    </row>
    <row r="92" spans="2:10" ht="16.5" customHeight="1">
      <c r="B92" s="60"/>
      <c r="C92" s="60"/>
      <c r="D92" s="60"/>
      <c r="E92" s="60"/>
      <c r="F92" s="60"/>
      <c r="G92" s="60"/>
      <c r="H92" s="60"/>
      <c r="I92" s="60"/>
      <c r="J92" s="60"/>
    </row>
    <row r="93" spans="2:10" ht="16.5" customHeight="1"/>
    <row r="94" spans="2:10" ht="16.5" customHeight="1"/>
    <row r="95" spans="2:10" ht="16.5" customHeight="1"/>
    <row r="96" spans="2:10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</sheetData>
  <mergeCells count="11">
    <mergeCell ref="A35:K35"/>
    <mergeCell ref="A36:K36"/>
    <mergeCell ref="A37:K37"/>
    <mergeCell ref="A38:K38"/>
    <mergeCell ref="A34:K34"/>
    <mergeCell ref="A1:L1"/>
    <mergeCell ref="A2:L2"/>
    <mergeCell ref="A3:L3"/>
    <mergeCell ref="A4:L4"/>
    <mergeCell ref="D6:G6"/>
    <mergeCell ref="H6:K6"/>
  </mergeCells>
  <pageMargins left="0.25" right="0.33" top="0.53" bottom="0.51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2016-09-22T08:18:09Z</cp:lastPrinted>
  <dcterms:created xsi:type="dcterms:W3CDTF">2014-03-04T03:52:57Z</dcterms:created>
  <dcterms:modified xsi:type="dcterms:W3CDTF">2016-09-22T08:18:31Z</dcterms:modified>
</cp:coreProperties>
</file>