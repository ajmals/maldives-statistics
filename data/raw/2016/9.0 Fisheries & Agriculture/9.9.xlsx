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9" sheetId="18" r:id="rId1"/>
  </sheets>
  <definedNames>
    <definedName name="_xlnm.Print_Area" localSheetId="0">'9.9'!$A$1:$S$32</definedName>
  </definedNames>
  <calcPr calcId="144525"/>
</workbook>
</file>

<file path=xl/calcChain.xml><?xml version="1.0" encoding="utf-8"?>
<calcChain xmlns="http://schemas.openxmlformats.org/spreadsheetml/2006/main">
  <c r="J13" i="18" l="1"/>
  <c r="J15" i="18"/>
  <c r="J16" i="18"/>
  <c r="J18" i="18"/>
  <c r="J20" i="18"/>
  <c r="L25" i="18"/>
  <c r="L26" i="18"/>
  <c r="L29" i="18"/>
  <c r="J30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I11" i="18"/>
  <c r="H11" i="18"/>
  <c r="B9" i="18" l="1"/>
  <c r="B7" i="18" s="1"/>
  <c r="C9" i="18"/>
  <c r="C7" i="18" s="1"/>
  <c r="M9" i="18"/>
  <c r="M7" i="18" s="1"/>
  <c r="N9" i="18"/>
  <c r="N7" i="18" s="1"/>
  <c r="I9" i="18"/>
  <c r="I7" i="18" s="1"/>
  <c r="D9" i="18"/>
  <c r="D7" i="18" s="1"/>
  <c r="E9" i="18"/>
  <c r="E7" i="18" s="1"/>
  <c r="F9" i="18"/>
  <c r="F7" i="18" s="1"/>
  <c r="O9" i="18"/>
  <c r="O7" i="18" s="1"/>
  <c r="P9" i="18"/>
  <c r="P7" i="18" s="1"/>
  <c r="Q9" i="18"/>
  <c r="Q7" i="18" s="1"/>
  <c r="J9" i="18"/>
  <c r="J7" i="18" s="1"/>
  <c r="K9" i="18"/>
  <c r="K7" i="18" s="1"/>
  <c r="L9" i="18"/>
  <c r="L7" i="18" s="1"/>
  <c r="R7" i="18"/>
  <c r="G7" i="18"/>
  <c r="H9" i="18" l="1"/>
  <c r="H7" i="18" s="1"/>
</calcChain>
</file>

<file path=xl/sharedStrings.xml><?xml version="1.0" encoding="utf-8"?>
<sst xmlns="http://schemas.openxmlformats.org/spreadsheetml/2006/main" count="64" uniqueCount="40">
  <si>
    <t>S</t>
  </si>
  <si>
    <t xml:space="preserve"> HA</t>
  </si>
  <si>
    <t xml:space="preserve"> HDh</t>
  </si>
  <si>
    <t xml:space="preserve"> Sh</t>
  </si>
  <si>
    <t xml:space="preserve"> N</t>
  </si>
  <si>
    <t xml:space="preserve"> R</t>
  </si>
  <si>
    <t>B</t>
  </si>
  <si>
    <t>Lh</t>
  </si>
  <si>
    <t>K</t>
  </si>
  <si>
    <t xml:space="preserve"> AA</t>
  </si>
  <si>
    <t>ADh</t>
  </si>
  <si>
    <t>V</t>
  </si>
  <si>
    <t>M</t>
  </si>
  <si>
    <t>F</t>
  </si>
  <si>
    <t>Dh</t>
  </si>
  <si>
    <t>Th</t>
  </si>
  <si>
    <t xml:space="preserve"> L</t>
  </si>
  <si>
    <t>GA</t>
  </si>
  <si>
    <t>GDh</t>
  </si>
  <si>
    <t>Gn</t>
  </si>
  <si>
    <t>Source: Ministry of Fisheries  and Agriculture</t>
  </si>
  <si>
    <t>Republic</t>
  </si>
  <si>
    <t>Male'</t>
  </si>
  <si>
    <t>Atolls</t>
  </si>
  <si>
    <t>EEZ</t>
  </si>
  <si>
    <t>Locality</t>
  </si>
  <si>
    <t>Mechanised</t>
  </si>
  <si>
    <t>Sailing</t>
  </si>
  <si>
    <t>Rowing</t>
  </si>
  <si>
    <t>vadhu dhoni</t>
  </si>
  <si>
    <t>boats</t>
  </si>
  <si>
    <t>Fish Catch (metric tonnes)</t>
  </si>
  <si>
    <t>Fishing Trips</t>
  </si>
  <si>
    <t>EEZ Vessels</t>
  </si>
  <si>
    <t>Masdhonis</t>
  </si>
  <si>
    <t xml:space="preserve">މައުލޫމާތު ދެއްވި ފަރާތް: މިނިސްޓްރީ އޮފް ފިޝަރީޒް އެންޑް އެގްރިކަލްޗަރ </t>
  </si>
  <si>
    <t>Mas dhoni</t>
  </si>
  <si>
    <t>Catch per unit effort (metric tonnes)</t>
  </si>
  <si>
    <t>ތާވަލު 9.9: ބޭނުނު މަހުގެ އަދަދު، މަސްދަތުރުގެ އަދަދު އަދި ތަނުގެ ގޮތުން ބޭނިފައިވާ މަހުގެ ނިސްބަތް، 2015</t>
  </si>
  <si>
    <t>Table 9.9: FISH CATCH, FISHING TRIPS AND CATCH PER UNIT EFFORT BY LOCALITY,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</si>
</sst>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General_)"/>
    <numFmt numFmtId="167" formatCode="#,##0.0"/>
  </numFmts>
  <fonts count="16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  <font>
      <b/>
      <sz val="11"/>
      <name val="Faruma"/>
    </font>
    <font>
      <b/>
      <sz val="11"/>
      <color theme="1"/>
      <name val="Calibri"/>
      <family val="2"/>
    </font>
    <font>
      <sz val="8"/>
      <name val="Arial"/>
      <family val="2"/>
    </font>
    <font>
      <sz val="9"/>
      <color theme="1"/>
      <name val="Faruma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3" fillId="0" borderId="0"/>
  </cellStyleXfs>
  <cellXfs count="61">
    <xf numFmtId="0" fontId="0" fillId="0" borderId="0" xfId="0"/>
    <xf numFmtId="165" fontId="6" fillId="2" borderId="0" xfId="4" applyFont="1" applyFill="1" applyAlignment="1" applyProtection="1">
      <alignment horizontal="left" vertical="center"/>
    </xf>
    <xf numFmtId="165" fontId="2" fillId="2" borderId="0" xfId="4" applyFont="1" applyFill="1" applyAlignment="1">
      <alignment vertical="center"/>
    </xf>
    <xf numFmtId="165" fontId="9" fillId="2" borderId="0" xfId="4" applyFont="1" applyFill="1" applyAlignment="1">
      <alignment horizontal="right" vertical="center"/>
    </xf>
    <xf numFmtId="165" fontId="3" fillId="2" borderId="0" xfId="4" applyFont="1" applyFill="1" applyAlignment="1">
      <alignment vertical="center"/>
    </xf>
    <xf numFmtId="165" fontId="3" fillId="2" borderId="0" xfId="4" applyFont="1" applyFill="1" applyBorder="1" applyAlignment="1">
      <alignment vertical="center"/>
    </xf>
    <xf numFmtId="3" fontId="7" fillId="2" borderId="1" xfId="4" applyNumberFormat="1" applyFont="1" applyFill="1" applyBorder="1" applyAlignment="1" applyProtection="1">
      <alignment horizontal="right" vertical="center"/>
    </xf>
    <xf numFmtId="167" fontId="7" fillId="2" borderId="0" xfId="4" applyNumberFormat="1" applyFont="1" applyFill="1" applyBorder="1" applyAlignment="1" applyProtection="1">
      <alignment horizontal="right" vertical="center"/>
    </xf>
    <xf numFmtId="165" fontId="10" fillId="2" borderId="0" xfId="4" applyFont="1" applyFill="1" applyBorder="1" applyAlignment="1">
      <alignment horizontal="right" vertical="center"/>
    </xf>
    <xf numFmtId="165" fontId="2" fillId="2" borderId="0" xfId="4" applyFont="1" applyFill="1" applyAlignment="1">
      <alignment horizontal="right" vertical="center"/>
    </xf>
    <xf numFmtId="167" fontId="5" fillId="2" borderId="0" xfId="4" applyNumberFormat="1" applyFont="1" applyFill="1" applyBorder="1" applyAlignment="1" applyProtection="1">
      <alignment horizontal="right" vertical="center"/>
    </xf>
    <xf numFmtId="167" fontId="5" fillId="2" borderId="2" xfId="4" applyNumberFormat="1" applyFont="1" applyFill="1" applyBorder="1" applyAlignment="1" applyProtection="1">
      <alignment horizontal="right" vertical="center"/>
    </xf>
    <xf numFmtId="165" fontId="9" fillId="2" borderId="0" xfId="4" applyFont="1" applyFill="1" applyBorder="1" applyAlignment="1">
      <alignment horizontal="right" vertical="center"/>
    </xf>
    <xf numFmtId="165" fontId="7" fillId="2" borderId="2" xfId="4" applyFont="1" applyFill="1" applyBorder="1" applyAlignment="1" applyProtection="1">
      <alignment horizontal="right" vertical="center"/>
    </xf>
    <xf numFmtId="3" fontId="7" fillId="2" borderId="0" xfId="4" applyNumberFormat="1" applyFont="1" applyFill="1" applyBorder="1" applyAlignment="1">
      <alignment horizontal="right" vertical="center"/>
    </xf>
    <xf numFmtId="165" fontId="2" fillId="2" borderId="0" xfId="4" applyFont="1" applyFill="1" applyBorder="1" applyAlignment="1">
      <alignment vertical="center"/>
    </xf>
    <xf numFmtId="165" fontId="2" fillId="2" borderId="0" xfId="4" applyFont="1" applyFill="1" applyBorder="1" applyAlignment="1" applyProtection="1">
      <alignment vertical="center"/>
    </xf>
    <xf numFmtId="165" fontId="7" fillId="2" borderId="0" xfId="4" applyFont="1" applyFill="1" applyBorder="1" applyAlignment="1" applyProtection="1">
      <alignment horizontal="right" vertical="center"/>
    </xf>
    <xf numFmtId="165" fontId="2" fillId="2" borderId="0" xfId="4" applyFont="1" applyFill="1" applyBorder="1" applyAlignment="1">
      <alignment horizontal="right" vertical="center"/>
    </xf>
    <xf numFmtId="165" fontId="7" fillId="2" borderId="0" xfId="4" applyFont="1" applyFill="1" applyBorder="1" applyAlignment="1" applyProtection="1">
      <alignment horizontal="left" vertical="center"/>
    </xf>
    <xf numFmtId="3" fontId="7" fillId="2" borderId="0" xfId="4" applyNumberFormat="1" applyFont="1" applyFill="1" applyBorder="1" applyAlignment="1" applyProtection="1">
      <alignment horizontal="right" vertical="center"/>
    </xf>
    <xf numFmtId="3" fontId="9" fillId="2" borderId="0" xfId="4" applyNumberFormat="1" applyFont="1" applyFill="1" applyBorder="1" applyAlignment="1">
      <alignment horizontal="right" vertical="center"/>
    </xf>
    <xf numFmtId="3" fontId="5" fillId="2" borderId="0" xfId="4" applyNumberFormat="1" applyFont="1" applyFill="1" applyBorder="1" applyAlignment="1">
      <alignment horizontal="right" vertical="center"/>
    </xf>
    <xf numFmtId="165" fontId="8" fillId="2" borderId="0" xfId="4" applyFont="1" applyFill="1" applyAlignment="1">
      <alignment horizontal="right" vertical="center"/>
    </xf>
    <xf numFmtId="3" fontId="5" fillId="2" borderId="2" xfId="4" applyNumberFormat="1" applyFont="1" applyFill="1" applyBorder="1" applyAlignment="1">
      <alignment horizontal="right" vertical="center"/>
    </xf>
    <xf numFmtId="165" fontId="6" fillId="2" borderId="0" xfId="4" applyFont="1" applyFill="1" applyBorder="1" applyAlignment="1" applyProtection="1">
      <alignment horizontal="right" vertical="center"/>
    </xf>
    <xf numFmtId="165" fontId="6" fillId="2" borderId="0" xfId="4" applyFont="1" applyFill="1" applyAlignment="1" applyProtection="1">
      <alignment horizontal="right" vertical="center"/>
    </xf>
    <xf numFmtId="37" fontId="5" fillId="2" borderId="0" xfId="1" applyNumberFormat="1" applyFont="1" applyFill="1" applyAlignment="1">
      <alignment horizontal="right" vertical="center"/>
    </xf>
    <xf numFmtId="165" fontId="8" fillId="2" borderId="0" xfId="4" applyFont="1" applyFill="1" applyBorder="1" applyAlignment="1">
      <alignment horizontal="right" vertical="center"/>
    </xf>
    <xf numFmtId="0" fontId="13" fillId="2" borderId="0" xfId="6" applyFont="1" applyFill="1" applyBorder="1" applyAlignment="1">
      <alignment horizontal="right" vertical="center"/>
    </xf>
    <xf numFmtId="38" fontId="8" fillId="2" borderId="0" xfId="1" applyNumberFormat="1" applyFont="1" applyFill="1" applyBorder="1" applyAlignment="1">
      <alignment horizontal="right" vertical="center"/>
    </xf>
    <xf numFmtId="0" fontId="14" fillId="2" borderId="0" xfId="0" applyNumberFormat="1" applyFont="1" applyFill="1" applyBorder="1"/>
    <xf numFmtId="167" fontId="7" fillId="2" borderId="1" xfId="4" applyNumberFormat="1" applyFont="1" applyFill="1" applyBorder="1" applyAlignment="1" applyProtection="1">
      <alignment horizontal="right" vertical="center"/>
    </xf>
    <xf numFmtId="165" fontId="5" fillId="2" borderId="2" xfId="0" applyNumberFormat="1" applyFont="1" applyFill="1" applyBorder="1" applyAlignment="1" applyProtection="1">
      <alignment horizontal="left" vertical="center" indent="1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2" xfId="4" applyFont="1" applyFill="1" applyBorder="1" applyAlignment="1" applyProtection="1">
      <alignment horizontal="center" vertical="center"/>
    </xf>
    <xf numFmtId="165" fontId="5" fillId="2" borderId="0" xfId="0" applyNumberFormat="1" applyFont="1" applyFill="1" applyBorder="1" applyAlignment="1" applyProtection="1">
      <alignment horizontal="left" vertical="center" indent="1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2" xfId="4" applyFont="1" applyFill="1" applyBorder="1" applyAlignment="1" applyProtection="1">
      <alignment horizontal="center" vertical="center"/>
    </xf>
    <xf numFmtId="165" fontId="7" fillId="2" borderId="1" xfId="4" applyFont="1" applyFill="1" applyBorder="1" applyAlignment="1" applyProtection="1">
      <alignment horizontal="right" vertical="center"/>
    </xf>
    <xf numFmtId="165" fontId="12" fillId="2" borderId="0" xfId="4" applyFont="1" applyFill="1" applyBorder="1" applyAlignment="1" applyProtection="1">
      <alignment vertical="center"/>
    </xf>
    <xf numFmtId="165" fontId="11" fillId="2" borderId="0" xfId="4" applyFont="1" applyFill="1" applyAlignment="1">
      <alignment vertical="center"/>
    </xf>
    <xf numFmtId="165" fontId="7" fillId="2" borderId="5" xfId="4" applyFont="1" applyFill="1" applyBorder="1" applyAlignment="1" applyProtection="1">
      <alignment horizontal="right" vertical="center"/>
    </xf>
    <xf numFmtId="165" fontId="7" fillId="2" borderId="4" xfId="4" applyFont="1" applyFill="1" applyBorder="1" applyAlignment="1" applyProtection="1">
      <alignment horizontal="right" vertical="center"/>
    </xf>
    <xf numFmtId="165" fontId="7" fillId="2" borderId="6" xfId="4" applyFont="1" applyFill="1" applyBorder="1" applyAlignment="1" applyProtection="1">
      <alignment horizontal="right" vertical="center"/>
    </xf>
    <xf numFmtId="165" fontId="7" fillId="2" borderId="9" xfId="4" applyFont="1" applyFill="1" applyBorder="1" applyAlignment="1" applyProtection="1">
      <alignment horizontal="right" vertical="center"/>
    </xf>
    <xf numFmtId="167" fontId="7" fillId="2" borderId="5" xfId="4" applyNumberFormat="1" applyFont="1" applyFill="1" applyBorder="1" applyAlignment="1" applyProtection="1">
      <alignment horizontal="right" vertical="center"/>
    </xf>
    <xf numFmtId="167" fontId="7" fillId="2" borderId="8" xfId="4" applyNumberFormat="1" applyFont="1" applyFill="1" applyBorder="1" applyAlignment="1" applyProtection="1">
      <alignment horizontal="right" vertical="center"/>
    </xf>
    <xf numFmtId="167" fontId="7" fillId="2" borderId="4" xfId="4" applyNumberFormat="1" applyFont="1" applyFill="1" applyBorder="1" applyAlignment="1" applyProtection="1">
      <alignment horizontal="right" vertical="center"/>
    </xf>
    <xf numFmtId="167" fontId="5" fillId="2" borderId="5" xfId="4" applyNumberFormat="1" applyFont="1" applyFill="1" applyBorder="1" applyAlignment="1" applyProtection="1">
      <alignment horizontal="right" vertical="center"/>
    </xf>
    <xf numFmtId="167" fontId="5" fillId="2" borderId="4" xfId="4" applyNumberFormat="1" applyFont="1" applyFill="1" applyBorder="1" applyAlignment="1" applyProtection="1">
      <alignment horizontal="right" vertical="center"/>
    </xf>
    <xf numFmtId="167" fontId="5" fillId="2" borderId="6" xfId="4" applyNumberFormat="1" applyFont="1" applyFill="1" applyBorder="1" applyAlignment="1" applyProtection="1">
      <alignment horizontal="right" vertical="center"/>
    </xf>
    <xf numFmtId="167" fontId="5" fillId="2" borderId="9" xfId="4" applyNumberFormat="1" applyFont="1" applyFill="1" applyBorder="1" applyAlignment="1" applyProtection="1">
      <alignment horizontal="right" vertical="center"/>
    </xf>
    <xf numFmtId="165" fontId="7" fillId="2" borderId="0" xfId="4" applyFont="1" applyFill="1" applyBorder="1" applyAlignment="1" applyProtection="1">
      <alignment horizontal="center" vertical="center"/>
    </xf>
    <xf numFmtId="165" fontId="7" fillId="2" borderId="2" xfId="4" applyFont="1" applyFill="1" applyBorder="1" applyAlignment="1" applyProtection="1">
      <alignment horizontal="center" vertical="center"/>
    </xf>
    <xf numFmtId="165" fontId="7" fillId="2" borderId="1" xfId="4" applyFont="1" applyFill="1" applyBorder="1" applyAlignment="1" applyProtection="1">
      <alignment horizontal="center" vertical="center"/>
    </xf>
    <xf numFmtId="165" fontId="7" fillId="2" borderId="3" xfId="4" applyFont="1" applyFill="1" applyBorder="1" applyAlignment="1" applyProtection="1">
      <alignment horizontal="center" vertical="center"/>
    </xf>
    <xf numFmtId="165" fontId="7" fillId="2" borderId="10" xfId="4" applyFont="1" applyFill="1" applyBorder="1" applyAlignment="1" applyProtection="1">
      <alignment horizontal="center" vertical="center"/>
    </xf>
    <xf numFmtId="165" fontId="7" fillId="2" borderId="7" xfId="4" applyFont="1" applyFill="1" applyBorder="1" applyAlignment="1" applyProtection="1">
      <alignment horizontal="center" vertical="center"/>
    </xf>
    <xf numFmtId="165" fontId="12" fillId="2" borderId="0" xfId="4" applyFont="1" applyFill="1" applyBorder="1" applyAlignment="1" applyProtection="1">
      <alignment horizontal="center" vertical="center"/>
    </xf>
    <xf numFmtId="165" fontId="11" fillId="2" borderId="0" xfId="4" applyFont="1" applyFill="1" applyAlignment="1">
      <alignment horizontal="center" vertical="center"/>
    </xf>
  </cellXfs>
  <cellStyles count="7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9.16" xfId="6"/>
    <cellStyle name="Normal_Fish &amp;  Agri - 8" xfId="4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V36"/>
  <sheetViews>
    <sheetView tabSelected="1" zoomScaleNormal="100" workbookViewId="0">
      <selection activeCell="I39" sqref="I39"/>
    </sheetView>
  </sheetViews>
  <sheetFormatPr defaultColWidth="10" defaultRowHeight="12.75" x14ac:dyDescent="0.25"/>
  <cols>
    <col min="1" max="1" width="10" style="4"/>
    <col min="2" max="2" width="13.28515625" style="4" customWidth="1"/>
    <col min="3" max="12" width="11.5703125" style="5" customWidth="1"/>
    <col min="13" max="13" width="11" style="4" customWidth="1"/>
    <col min="14" max="14" width="11" style="5" customWidth="1"/>
    <col min="15" max="15" width="13.140625" style="4" customWidth="1"/>
    <col min="16" max="16" width="10" style="4"/>
    <col min="17" max="18" width="10" style="5"/>
    <col min="19" max="19" width="13.42578125" style="4" customWidth="1"/>
    <col min="20" max="20" width="12.28515625" style="4" customWidth="1"/>
    <col min="21" max="21" width="11.7109375" style="4" customWidth="1"/>
    <col min="22" max="16384" width="10" style="4"/>
  </cols>
  <sheetData>
    <row r="1" spans="1:22" ht="21" x14ac:dyDescent="0.25">
      <c r="A1" s="60" t="s">
        <v>38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41"/>
      <c r="T1" s="41"/>
      <c r="U1" s="41"/>
    </row>
    <row r="2" spans="1:22" s="2" customFormat="1" ht="15" x14ac:dyDescent="0.25">
      <c r="A2" s="59" t="s">
        <v>39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40"/>
      <c r="T2" s="40"/>
      <c r="U2" s="40"/>
    </row>
    <row r="3" spans="1:22" s="15" customFormat="1" x14ac:dyDescent="0.25">
      <c r="A3" s="34"/>
      <c r="B3" s="35"/>
      <c r="C3" s="35"/>
      <c r="D3" s="38"/>
      <c r="E3" s="38"/>
      <c r="F3" s="38"/>
      <c r="G3" s="38"/>
      <c r="H3" s="38"/>
      <c r="I3" s="38"/>
      <c r="J3" s="38"/>
      <c r="K3" s="38"/>
      <c r="L3" s="38"/>
      <c r="M3" s="35"/>
      <c r="N3" s="35"/>
      <c r="O3" s="35"/>
      <c r="P3" s="35"/>
      <c r="Q3" s="35"/>
      <c r="R3" s="35"/>
      <c r="S3" s="37"/>
      <c r="T3" s="37"/>
      <c r="U3" s="37"/>
    </row>
    <row r="4" spans="1:22" s="2" customFormat="1" x14ac:dyDescent="0.25">
      <c r="A4" s="55" t="s">
        <v>25</v>
      </c>
      <c r="B4" s="56" t="s">
        <v>31</v>
      </c>
      <c r="C4" s="56"/>
      <c r="D4" s="56"/>
      <c r="E4" s="56"/>
      <c r="F4" s="56"/>
      <c r="G4" s="56"/>
      <c r="H4" s="57" t="s">
        <v>37</v>
      </c>
      <c r="I4" s="56"/>
      <c r="J4" s="56"/>
      <c r="K4" s="56"/>
      <c r="L4" s="58"/>
      <c r="M4" s="56" t="s">
        <v>32</v>
      </c>
      <c r="N4" s="56"/>
      <c r="O4" s="56"/>
      <c r="P4" s="56"/>
      <c r="Q4" s="56"/>
      <c r="R4" s="56"/>
      <c r="S4" s="15"/>
      <c r="T4" s="15"/>
      <c r="U4" s="15"/>
      <c r="V4" s="16"/>
    </row>
    <row r="5" spans="1:22" s="2" customFormat="1" x14ac:dyDescent="0.25">
      <c r="A5" s="53"/>
      <c r="B5" s="17" t="s">
        <v>26</v>
      </c>
      <c r="C5" s="17" t="s">
        <v>27</v>
      </c>
      <c r="D5" s="39" t="s">
        <v>26</v>
      </c>
      <c r="E5" s="17" t="s">
        <v>27</v>
      </c>
      <c r="F5" s="17" t="s">
        <v>28</v>
      </c>
      <c r="G5" s="17" t="s">
        <v>33</v>
      </c>
      <c r="H5" s="42" t="s">
        <v>26</v>
      </c>
      <c r="I5" s="17" t="s">
        <v>27</v>
      </c>
      <c r="J5" s="39" t="s">
        <v>26</v>
      </c>
      <c r="K5" s="17" t="s">
        <v>27</v>
      </c>
      <c r="L5" s="43" t="s">
        <v>28</v>
      </c>
      <c r="M5" s="17" t="s">
        <v>26</v>
      </c>
      <c r="N5" s="17" t="s">
        <v>27</v>
      </c>
      <c r="O5" s="17" t="s">
        <v>26</v>
      </c>
      <c r="P5" s="17" t="s">
        <v>27</v>
      </c>
      <c r="Q5" s="17" t="s">
        <v>28</v>
      </c>
      <c r="R5" s="17" t="s">
        <v>33</v>
      </c>
      <c r="S5" s="15"/>
      <c r="T5" s="15"/>
      <c r="U5" s="15"/>
      <c r="V5" s="18"/>
    </row>
    <row r="6" spans="1:22" s="2" customFormat="1" x14ac:dyDescent="0.25">
      <c r="A6" s="54"/>
      <c r="B6" s="13" t="s">
        <v>34</v>
      </c>
      <c r="C6" s="13" t="s">
        <v>34</v>
      </c>
      <c r="D6" s="13" t="s">
        <v>29</v>
      </c>
      <c r="E6" s="17" t="s">
        <v>29</v>
      </c>
      <c r="F6" s="13" t="s">
        <v>30</v>
      </c>
      <c r="G6" s="13"/>
      <c r="H6" s="44" t="s">
        <v>34</v>
      </c>
      <c r="I6" s="13" t="s">
        <v>36</v>
      </c>
      <c r="J6" s="13" t="s">
        <v>29</v>
      </c>
      <c r="K6" s="13" t="s">
        <v>29</v>
      </c>
      <c r="L6" s="45" t="s">
        <v>30</v>
      </c>
      <c r="M6" s="17" t="s">
        <v>34</v>
      </c>
      <c r="N6" s="17" t="s">
        <v>34</v>
      </c>
      <c r="O6" s="13" t="s">
        <v>29</v>
      </c>
      <c r="P6" s="13" t="s">
        <v>29</v>
      </c>
      <c r="Q6" s="13" t="s">
        <v>30</v>
      </c>
      <c r="R6" s="13"/>
      <c r="S6" s="15"/>
      <c r="T6" s="15"/>
      <c r="U6" s="15"/>
      <c r="V6" s="15"/>
    </row>
    <row r="7" spans="1:22" s="3" customFormat="1" x14ac:dyDescent="0.25">
      <c r="A7" s="19" t="s">
        <v>21</v>
      </c>
      <c r="B7" s="20">
        <f>B8+B9+B10</f>
        <v>126033.20197139462</v>
      </c>
      <c r="C7" s="20">
        <f>C8+C9+C10</f>
        <v>28.506898816823021</v>
      </c>
      <c r="D7" s="20">
        <f>D8+D9+D10</f>
        <v>315.75266347874117</v>
      </c>
      <c r="E7" s="6">
        <f t="shared" ref="E7:G7" si="0">E8+E9+E10</f>
        <v>0</v>
      </c>
      <c r="F7" s="20">
        <f t="shared" si="0"/>
        <v>490.47925774267924</v>
      </c>
      <c r="G7" s="6">
        <f t="shared" si="0"/>
        <v>0</v>
      </c>
      <c r="H7" s="46">
        <f>H8+H9+H10</f>
        <v>2.4073332925973543</v>
      </c>
      <c r="I7" s="7">
        <f>I8+I9+I10</f>
        <v>0.29088672262064308</v>
      </c>
      <c r="J7" s="32">
        <f>J8+J9+J10</f>
        <v>5.966514166559965</v>
      </c>
      <c r="K7" s="32">
        <f t="shared" ref="K7:L7" si="1">K8+K9+K10</f>
        <v>0</v>
      </c>
      <c r="L7" s="47">
        <f t="shared" si="1"/>
        <v>7.0765638954687757</v>
      </c>
      <c r="M7" s="6">
        <f t="shared" ref="M7:N7" si="2">M8+M9+M10</f>
        <v>51178</v>
      </c>
      <c r="N7" s="6">
        <f t="shared" si="2"/>
        <v>98</v>
      </c>
      <c r="O7" s="20">
        <f>O8+O9+O10</f>
        <v>393</v>
      </c>
      <c r="P7" s="20">
        <f t="shared" ref="P7:R7" si="3">P8+P9+P10</f>
        <v>0</v>
      </c>
      <c r="Q7" s="6">
        <f t="shared" si="3"/>
        <v>405</v>
      </c>
      <c r="R7" s="6">
        <f t="shared" si="3"/>
        <v>841</v>
      </c>
      <c r="S7" s="12"/>
      <c r="T7" s="12"/>
      <c r="U7" s="12"/>
      <c r="V7" s="21"/>
    </row>
    <row r="8" spans="1:22" s="3" customFormat="1" x14ac:dyDescent="0.25">
      <c r="A8" s="19" t="s">
        <v>22</v>
      </c>
      <c r="B8" s="14">
        <v>14602.558523648291</v>
      </c>
      <c r="C8" s="14">
        <v>0</v>
      </c>
      <c r="D8" s="14">
        <v>8.4752721887674642</v>
      </c>
      <c r="E8" s="14">
        <v>0</v>
      </c>
      <c r="F8" s="14">
        <v>177.4796383113472</v>
      </c>
      <c r="G8" s="14">
        <v>0</v>
      </c>
      <c r="H8" s="46">
        <v>0</v>
      </c>
      <c r="I8" s="7">
        <v>0</v>
      </c>
      <c r="J8" s="7">
        <v>0</v>
      </c>
      <c r="K8" s="7">
        <v>0</v>
      </c>
      <c r="L8" s="48">
        <v>0</v>
      </c>
      <c r="M8" s="14">
        <v>4890</v>
      </c>
      <c r="N8" s="14">
        <v>0</v>
      </c>
      <c r="O8" s="14">
        <v>27</v>
      </c>
      <c r="P8" s="14">
        <v>0</v>
      </c>
      <c r="Q8" s="14">
        <v>66</v>
      </c>
      <c r="R8" s="14">
        <v>0</v>
      </c>
      <c r="S8" s="12"/>
      <c r="T8" s="12"/>
      <c r="U8" s="12"/>
      <c r="V8" s="21"/>
    </row>
    <row r="9" spans="1:22" s="3" customFormat="1" x14ac:dyDescent="0.25">
      <c r="A9" s="19" t="s">
        <v>23</v>
      </c>
      <c r="B9" s="20">
        <f>SUM(B11:B30)</f>
        <v>111430.64344774633</v>
      </c>
      <c r="C9" s="20">
        <f>SUM(C11:C30)</f>
        <v>28.506898816823021</v>
      </c>
      <c r="D9" s="20">
        <f t="shared" ref="D9:F9" si="4">SUM(D11:D30)</f>
        <v>307.27739128997371</v>
      </c>
      <c r="E9" s="20">
        <f t="shared" si="4"/>
        <v>0</v>
      </c>
      <c r="F9" s="20">
        <f t="shared" si="4"/>
        <v>312.99961943133206</v>
      </c>
      <c r="G9" s="20">
        <v>0</v>
      </c>
      <c r="H9" s="46">
        <f>B9/M9</f>
        <v>2.4073332925973543</v>
      </c>
      <c r="I9" s="7">
        <f>SUM(I11:I30)</f>
        <v>0.29088672262064308</v>
      </c>
      <c r="J9" s="7">
        <f>SUM(J11:J30)</f>
        <v>5.966514166559965</v>
      </c>
      <c r="K9" s="7">
        <f t="shared" ref="K9:L9" si="5">SUM(K11:K30)</f>
        <v>0</v>
      </c>
      <c r="L9" s="48">
        <f t="shared" si="5"/>
        <v>7.0765638954687757</v>
      </c>
      <c r="M9" s="20">
        <f>SUM(M11:M30)</f>
        <v>46288</v>
      </c>
      <c r="N9" s="20">
        <f>SUM(N11:N30)</f>
        <v>98</v>
      </c>
      <c r="O9" s="20">
        <f>SUM(O11:O30)</f>
        <v>366</v>
      </c>
      <c r="P9" s="20">
        <f>SUM(P11:P30)</f>
        <v>0</v>
      </c>
      <c r="Q9" s="20">
        <f>SUM(Q11:Q30)</f>
        <v>339</v>
      </c>
      <c r="R9" s="20">
        <v>0</v>
      </c>
      <c r="S9" s="12"/>
      <c r="T9" s="12"/>
      <c r="U9" s="12"/>
      <c r="V9" s="21"/>
    </row>
    <row r="10" spans="1:22" s="3" customFormat="1" x14ac:dyDescent="0.25">
      <c r="A10" s="19" t="s">
        <v>24</v>
      </c>
      <c r="B10" s="20">
        <v>0</v>
      </c>
      <c r="C10" s="20">
        <v>0</v>
      </c>
      <c r="D10" s="20">
        <v>0</v>
      </c>
      <c r="E10" s="20">
        <v>0</v>
      </c>
      <c r="F10" s="20">
        <v>0</v>
      </c>
      <c r="G10" s="20">
        <v>0</v>
      </c>
      <c r="H10" s="46">
        <v>0</v>
      </c>
      <c r="I10" s="7">
        <v>0</v>
      </c>
      <c r="J10" s="7">
        <v>0</v>
      </c>
      <c r="K10" s="7">
        <v>0</v>
      </c>
      <c r="L10" s="48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841</v>
      </c>
      <c r="S10" s="12"/>
      <c r="T10" s="12"/>
      <c r="U10" s="12"/>
      <c r="V10" s="21"/>
    </row>
    <row r="11" spans="1:22" s="3" customFormat="1" x14ac:dyDescent="0.25">
      <c r="A11" s="36" t="s">
        <v>1</v>
      </c>
      <c r="B11" s="22">
        <v>3459.316335486204</v>
      </c>
      <c r="C11" s="22">
        <v>28.506898816823021</v>
      </c>
      <c r="D11" s="22">
        <v>0</v>
      </c>
      <c r="E11" s="22">
        <v>0</v>
      </c>
      <c r="F11" s="22">
        <v>0</v>
      </c>
      <c r="G11" s="22">
        <v>0</v>
      </c>
      <c r="H11" s="49">
        <f>B11/M11</f>
        <v>1.398268526873971</v>
      </c>
      <c r="I11" s="10">
        <f>C11/N11</f>
        <v>0.29088672262064308</v>
      </c>
      <c r="J11" s="10">
        <v>0</v>
      </c>
      <c r="K11" s="10">
        <v>0</v>
      </c>
      <c r="L11" s="50">
        <v>0</v>
      </c>
      <c r="M11" s="22">
        <v>2474</v>
      </c>
      <c r="N11" s="22">
        <v>98</v>
      </c>
      <c r="O11" s="22">
        <v>0</v>
      </c>
      <c r="P11" s="22">
        <v>0</v>
      </c>
      <c r="Q11" s="22">
        <v>0</v>
      </c>
      <c r="R11" s="22">
        <v>0</v>
      </c>
      <c r="S11" s="12"/>
      <c r="T11" s="12"/>
      <c r="U11" s="12"/>
      <c r="V11" s="21"/>
    </row>
    <row r="12" spans="1:22" s="3" customFormat="1" x14ac:dyDescent="0.25">
      <c r="A12" s="36" t="s">
        <v>2</v>
      </c>
      <c r="B12" s="22">
        <v>2143.1918991752932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49">
        <f t="shared" ref="H12:H30" si="6">B12/M12</f>
        <v>1.3213266949292806</v>
      </c>
      <c r="I12" s="10">
        <v>0</v>
      </c>
      <c r="J12" s="10">
        <v>0</v>
      </c>
      <c r="K12" s="10">
        <v>0</v>
      </c>
      <c r="L12" s="50">
        <v>0</v>
      </c>
      <c r="M12" s="22">
        <v>1622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12"/>
      <c r="T12" s="12"/>
      <c r="U12" s="12"/>
      <c r="V12" s="21"/>
    </row>
    <row r="13" spans="1:22" s="3" customFormat="1" x14ac:dyDescent="0.25">
      <c r="A13" s="36" t="s">
        <v>3</v>
      </c>
      <c r="B13" s="22">
        <v>2349.3789100312442</v>
      </c>
      <c r="C13" s="22">
        <v>0</v>
      </c>
      <c r="D13" s="22">
        <v>194.42636194786428</v>
      </c>
      <c r="E13" s="22">
        <v>0</v>
      </c>
      <c r="F13" s="22">
        <v>0</v>
      </c>
      <c r="G13" s="22">
        <v>0</v>
      </c>
      <c r="H13" s="49">
        <f t="shared" si="6"/>
        <v>2.2831670651421225</v>
      </c>
      <c r="I13" s="10">
        <v>0</v>
      </c>
      <c r="J13" s="10">
        <f>D13/O13</f>
        <v>1.8516796375987075</v>
      </c>
      <c r="K13" s="10">
        <v>0</v>
      </c>
      <c r="L13" s="50">
        <v>0</v>
      </c>
      <c r="M13" s="22">
        <v>1029</v>
      </c>
      <c r="N13" s="22">
        <v>0</v>
      </c>
      <c r="O13" s="22">
        <v>105</v>
      </c>
      <c r="P13" s="22">
        <v>0</v>
      </c>
      <c r="Q13" s="22">
        <v>0</v>
      </c>
      <c r="R13" s="22">
        <v>0</v>
      </c>
      <c r="S13" s="12"/>
      <c r="T13" s="12"/>
      <c r="U13" s="12"/>
      <c r="V13" s="21"/>
    </row>
    <row r="14" spans="1:22" s="3" customFormat="1" x14ac:dyDescent="0.25">
      <c r="A14" s="36" t="s">
        <v>4</v>
      </c>
      <c r="B14" s="22">
        <v>1644.0892896197704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49">
        <f t="shared" si="6"/>
        <v>1.4601148220424249</v>
      </c>
      <c r="I14" s="10">
        <v>0</v>
      </c>
      <c r="J14" s="10">
        <v>0</v>
      </c>
      <c r="K14" s="10">
        <v>0</v>
      </c>
      <c r="L14" s="50">
        <v>0</v>
      </c>
      <c r="M14" s="22">
        <v>1126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12"/>
      <c r="T14" s="12"/>
      <c r="U14" s="12"/>
      <c r="V14" s="21"/>
    </row>
    <row r="15" spans="1:22" s="3" customFormat="1" x14ac:dyDescent="0.25">
      <c r="A15" s="36" t="s">
        <v>5</v>
      </c>
      <c r="B15" s="22">
        <v>4787.4746509026591</v>
      </c>
      <c r="C15" s="22">
        <v>0</v>
      </c>
      <c r="D15" s="22">
        <v>0.52212331070088402</v>
      </c>
      <c r="E15" s="22">
        <v>0</v>
      </c>
      <c r="F15" s="22">
        <v>0</v>
      </c>
      <c r="G15" s="22">
        <v>0</v>
      </c>
      <c r="H15" s="49">
        <f t="shared" si="6"/>
        <v>1.6964828670810272</v>
      </c>
      <c r="I15" s="10">
        <v>0</v>
      </c>
      <c r="J15" s="10">
        <f>D15/O15</f>
        <v>8.7020551783480674E-3</v>
      </c>
      <c r="K15" s="10">
        <v>0</v>
      </c>
      <c r="L15" s="50">
        <v>0</v>
      </c>
      <c r="M15" s="22">
        <v>2822</v>
      </c>
      <c r="N15" s="22">
        <v>0</v>
      </c>
      <c r="O15" s="22">
        <v>60</v>
      </c>
      <c r="P15" s="22">
        <v>0</v>
      </c>
      <c r="Q15" s="22">
        <v>0</v>
      </c>
      <c r="R15" s="22">
        <v>0</v>
      </c>
      <c r="S15" s="12"/>
      <c r="T15" s="12"/>
      <c r="U15" s="12"/>
      <c r="V15" s="21"/>
    </row>
    <row r="16" spans="1:22" s="3" customFormat="1" x14ac:dyDescent="0.25">
      <c r="A16" s="36" t="s">
        <v>6</v>
      </c>
      <c r="B16" s="22">
        <v>3845.5051606879756</v>
      </c>
      <c r="C16" s="22">
        <v>0</v>
      </c>
      <c r="D16" s="22">
        <v>4.0636843469893007</v>
      </c>
      <c r="E16" s="22">
        <v>0</v>
      </c>
      <c r="F16" s="22">
        <v>0</v>
      </c>
      <c r="G16" s="22">
        <v>0</v>
      </c>
      <c r="H16" s="49">
        <f t="shared" si="6"/>
        <v>1.8514709488146248</v>
      </c>
      <c r="I16" s="10">
        <v>0</v>
      </c>
      <c r="J16" s="10">
        <f>D16/O16</f>
        <v>9.675438921403097E-2</v>
      </c>
      <c r="K16" s="10">
        <v>0</v>
      </c>
      <c r="L16" s="50">
        <v>0</v>
      </c>
      <c r="M16" s="22">
        <v>2077</v>
      </c>
      <c r="N16" s="22">
        <v>0</v>
      </c>
      <c r="O16" s="22">
        <v>42</v>
      </c>
      <c r="P16" s="22">
        <v>0</v>
      </c>
      <c r="Q16" s="22">
        <v>0</v>
      </c>
      <c r="R16" s="22">
        <v>0</v>
      </c>
      <c r="S16" s="12"/>
      <c r="T16" s="12"/>
      <c r="U16" s="12"/>
      <c r="V16" s="21"/>
    </row>
    <row r="17" spans="1:22" s="3" customFormat="1" x14ac:dyDescent="0.25">
      <c r="A17" s="36" t="s">
        <v>7</v>
      </c>
      <c r="B17" s="22">
        <v>4965.5628535871429</v>
      </c>
      <c r="C17" s="22">
        <v>0</v>
      </c>
      <c r="D17" s="22">
        <v>0</v>
      </c>
      <c r="E17" s="22">
        <v>0</v>
      </c>
      <c r="F17" s="22">
        <v>0</v>
      </c>
      <c r="G17" s="22">
        <v>0</v>
      </c>
      <c r="H17" s="49">
        <f t="shared" si="6"/>
        <v>1.5910166144143361</v>
      </c>
      <c r="I17" s="10">
        <v>0</v>
      </c>
      <c r="J17" s="10">
        <v>0</v>
      </c>
      <c r="K17" s="10">
        <v>0</v>
      </c>
      <c r="L17" s="50">
        <v>0</v>
      </c>
      <c r="M17" s="22">
        <v>3121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12"/>
      <c r="T17" s="12"/>
      <c r="U17" s="12"/>
      <c r="V17" s="21"/>
    </row>
    <row r="18" spans="1:22" s="3" customFormat="1" x14ac:dyDescent="0.25">
      <c r="A18" s="36" t="s">
        <v>8</v>
      </c>
      <c r="B18" s="22">
        <v>3260.8712161209401</v>
      </c>
      <c r="C18" s="22">
        <v>0</v>
      </c>
      <c r="D18" s="22">
        <v>3.4690874379595384</v>
      </c>
      <c r="E18" s="22">
        <v>0</v>
      </c>
      <c r="F18" s="22">
        <v>0</v>
      </c>
      <c r="G18" s="22">
        <v>0</v>
      </c>
      <c r="H18" s="49">
        <f t="shared" si="6"/>
        <v>2.1340780210215575</v>
      </c>
      <c r="I18" s="10">
        <v>0</v>
      </c>
      <c r="J18" s="10">
        <f>D18/O18</f>
        <v>1.7345437189797692</v>
      </c>
      <c r="K18" s="10">
        <v>0</v>
      </c>
      <c r="L18" s="50">
        <v>0</v>
      </c>
      <c r="M18" s="22">
        <v>1528</v>
      </c>
      <c r="N18" s="22">
        <v>0</v>
      </c>
      <c r="O18" s="22">
        <v>2</v>
      </c>
      <c r="P18" s="22">
        <v>0</v>
      </c>
      <c r="Q18" s="22">
        <v>0</v>
      </c>
      <c r="R18" s="22">
        <v>0</v>
      </c>
      <c r="S18" s="12"/>
      <c r="T18" s="12"/>
      <c r="U18" s="12"/>
      <c r="V18" s="21"/>
    </row>
    <row r="19" spans="1:22" s="3" customFormat="1" x14ac:dyDescent="0.25">
      <c r="A19" s="36" t="s">
        <v>9</v>
      </c>
      <c r="B19" s="22">
        <v>2906.3640120344189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49">
        <f t="shared" si="6"/>
        <v>1.7056126831187906</v>
      </c>
      <c r="I19" s="10">
        <v>0</v>
      </c>
      <c r="J19" s="10">
        <v>0</v>
      </c>
      <c r="K19" s="10">
        <v>0</v>
      </c>
      <c r="L19" s="50">
        <v>0</v>
      </c>
      <c r="M19" s="22">
        <v>1704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12"/>
      <c r="T19" s="12"/>
      <c r="U19" s="12"/>
      <c r="V19" s="21"/>
    </row>
    <row r="20" spans="1:22" s="3" customFormat="1" x14ac:dyDescent="0.25">
      <c r="A20" s="36" t="s">
        <v>10</v>
      </c>
      <c r="B20" s="22">
        <v>3868.9082946892327</v>
      </c>
      <c r="C20" s="22">
        <v>0</v>
      </c>
      <c r="D20" s="22">
        <v>97.09342838934522</v>
      </c>
      <c r="E20" s="22">
        <v>0</v>
      </c>
      <c r="F20" s="22">
        <v>0</v>
      </c>
      <c r="G20" s="22">
        <v>0</v>
      </c>
      <c r="H20" s="49">
        <f t="shared" si="6"/>
        <v>1.5432422396047996</v>
      </c>
      <c r="I20" s="10">
        <v>0</v>
      </c>
      <c r="J20" s="10">
        <f>D20/O20</f>
        <v>2.206668827030573</v>
      </c>
      <c r="K20" s="10">
        <v>0</v>
      </c>
      <c r="L20" s="50">
        <v>0</v>
      </c>
      <c r="M20" s="22">
        <v>2507</v>
      </c>
      <c r="N20" s="22">
        <v>0</v>
      </c>
      <c r="O20" s="22">
        <v>44</v>
      </c>
      <c r="P20" s="22">
        <v>0</v>
      </c>
      <c r="Q20" s="22">
        <v>0</v>
      </c>
      <c r="R20" s="22">
        <v>0</v>
      </c>
      <c r="S20" s="12"/>
      <c r="T20" s="12"/>
      <c r="U20" s="12"/>
      <c r="V20" s="21"/>
    </row>
    <row r="21" spans="1:22" s="3" customFormat="1" x14ac:dyDescent="0.25">
      <c r="A21" s="36" t="s">
        <v>11</v>
      </c>
      <c r="B21" s="22">
        <v>303.94247344899179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49">
        <f t="shared" si="6"/>
        <v>2.7884630591650623</v>
      </c>
      <c r="I21" s="10">
        <v>0</v>
      </c>
      <c r="J21" s="10">
        <v>0</v>
      </c>
      <c r="K21" s="10">
        <v>0</v>
      </c>
      <c r="L21" s="50">
        <v>0</v>
      </c>
      <c r="M21" s="22">
        <v>109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12"/>
      <c r="T21" s="12"/>
      <c r="U21" s="12"/>
      <c r="V21" s="21"/>
    </row>
    <row r="22" spans="1:22" s="23" customFormat="1" x14ac:dyDescent="0.25">
      <c r="A22" s="36" t="s">
        <v>12</v>
      </c>
      <c r="B22" s="22">
        <v>3846.4425361310641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49">
        <f t="shared" si="6"/>
        <v>1.7118124326350974</v>
      </c>
      <c r="I22" s="10">
        <v>0</v>
      </c>
      <c r="J22" s="10">
        <v>0</v>
      </c>
      <c r="K22" s="10">
        <v>0</v>
      </c>
      <c r="L22" s="50">
        <v>0</v>
      </c>
      <c r="M22" s="22">
        <v>2247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8"/>
      <c r="T22" s="28"/>
      <c r="U22" s="28"/>
      <c r="V22" s="21"/>
    </row>
    <row r="23" spans="1:22" s="23" customFormat="1" x14ac:dyDescent="0.25">
      <c r="A23" s="36" t="s">
        <v>13</v>
      </c>
      <c r="B23" s="22">
        <v>3864.2766938192226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49">
        <f t="shared" si="6"/>
        <v>1.3915292379615494</v>
      </c>
      <c r="I23" s="10">
        <v>0</v>
      </c>
      <c r="J23" s="10">
        <v>0</v>
      </c>
      <c r="K23" s="10">
        <v>0</v>
      </c>
      <c r="L23" s="50">
        <v>0</v>
      </c>
      <c r="M23" s="22">
        <v>2777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8"/>
      <c r="T23" s="28"/>
      <c r="U23" s="28"/>
      <c r="V23" s="21"/>
    </row>
    <row r="24" spans="1:22" s="23" customFormat="1" x14ac:dyDescent="0.25">
      <c r="A24" s="36" t="s">
        <v>14</v>
      </c>
      <c r="B24" s="22">
        <v>8220.3993305057138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49">
        <f t="shared" si="6"/>
        <v>1.8332737133152797</v>
      </c>
      <c r="I24" s="10">
        <v>0</v>
      </c>
      <c r="J24" s="10">
        <v>0</v>
      </c>
      <c r="K24" s="10">
        <v>0</v>
      </c>
      <c r="L24" s="50">
        <v>0</v>
      </c>
      <c r="M24" s="22">
        <v>4484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8"/>
      <c r="T24" s="28"/>
      <c r="U24" s="28"/>
      <c r="V24" s="21"/>
    </row>
    <row r="25" spans="1:22" s="23" customFormat="1" x14ac:dyDescent="0.25">
      <c r="A25" s="36" t="s">
        <v>15</v>
      </c>
      <c r="B25" s="22">
        <v>3536.2449185153359</v>
      </c>
      <c r="C25" s="22">
        <v>0</v>
      </c>
      <c r="D25" s="22">
        <v>0</v>
      </c>
      <c r="E25" s="22">
        <v>0</v>
      </c>
      <c r="F25" s="22">
        <v>42.737198077523153</v>
      </c>
      <c r="G25" s="22">
        <v>0</v>
      </c>
      <c r="H25" s="49">
        <f t="shared" si="6"/>
        <v>2.3893546746725245</v>
      </c>
      <c r="I25" s="10">
        <v>0</v>
      </c>
      <c r="J25" s="10">
        <v>0</v>
      </c>
      <c r="K25" s="10">
        <v>0</v>
      </c>
      <c r="L25" s="50">
        <f>F25/Q25</f>
        <v>0.16825668534457935</v>
      </c>
      <c r="M25" s="22">
        <v>1480</v>
      </c>
      <c r="N25" s="22">
        <v>0</v>
      </c>
      <c r="O25" s="22">
        <v>0</v>
      </c>
      <c r="P25" s="22">
        <v>0</v>
      </c>
      <c r="Q25" s="22">
        <v>254</v>
      </c>
      <c r="R25" s="22">
        <v>0</v>
      </c>
      <c r="S25" s="28"/>
      <c r="T25" s="28"/>
      <c r="U25" s="28"/>
      <c r="V25" s="21"/>
    </row>
    <row r="26" spans="1:22" s="23" customFormat="1" x14ac:dyDescent="0.25">
      <c r="A26" s="36" t="s">
        <v>16</v>
      </c>
      <c r="B26" s="22">
        <v>12291.133659268562</v>
      </c>
      <c r="C26" s="22">
        <v>0</v>
      </c>
      <c r="D26" s="22">
        <v>0</v>
      </c>
      <c r="E26" s="22">
        <v>0</v>
      </c>
      <c r="F26" s="22">
        <v>264.7526717377512</v>
      </c>
      <c r="G26" s="22">
        <v>0</v>
      </c>
      <c r="H26" s="49">
        <f t="shared" si="6"/>
        <v>3.4467564944667868</v>
      </c>
      <c r="I26" s="10">
        <v>0</v>
      </c>
      <c r="J26" s="10">
        <v>0</v>
      </c>
      <c r="K26" s="10">
        <v>0</v>
      </c>
      <c r="L26" s="50">
        <f>F26/Q26</f>
        <v>6.7885300445577235</v>
      </c>
      <c r="M26" s="22">
        <v>3566</v>
      </c>
      <c r="N26" s="22">
        <v>0</v>
      </c>
      <c r="O26" s="22">
        <v>0</v>
      </c>
      <c r="P26" s="22">
        <v>0</v>
      </c>
      <c r="Q26" s="22">
        <v>39</v>
      </c>
      <c r="R26" s="22">
        <v>0</v>
      </c>
      <c r="S26" s="28"/>
      <c r="T26" s="28"/>
      <c r="U26" s="28"/>
      <c r="V26" s="21"/>
    </row>
    <row r="27" spans="1:22" s="23" customFormat="1" x14ac:dyDescent="0.25">
      <c r="A27" s="36" t="s">
        <v>17</v>
      </c>
      <c r="B27" s="22">
        <v>20006.961722130854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49">
        <f t="shared" si="6"/>
        <v>4.6832775566785712</v>
      </c>
      <c r="I27" s="10">
        <v>0</v>
      </c>
      <c r="J27" s="10">
        <v>0</v>
      </c>
      <c r="K27" s="10">
        <v>0</v>
      </c>
      <c r="L27" s="50">
        <v>0</v>
      </c>
      <c r="M27" s="22">
        <v>4272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8"/>
      <c r="T27" s="28"/>
      <c r="U27" s="28"/>
      <c r="V27" s="21"/>
    </row>
    <row r="28" spans="1:22" s="23" customFormat="1" x14ac:dyDescent="0.25">
      <c r="A28" s="36" t="s">
        <v>18</v>
      </c>
      <c r="B28" s="22">
        <v>12824.94446320952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49">
        <f t="shared" si="6"/>
        <v>6.0352679826868334</v>
      </c>
      <c r="I28" s="10">
        <v>0</v>
      </c>
      <c r="J28" s="10">
        <v>0</v>
      </c>
      <c r="K28" s="10">
        <v>0</v>
      </c>
      <c r="L28" s="50">
        <v>0</v>
      </c>
      <c r="M28" s="22">
        <v>2125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8"/>
      <c r="T28" s="28"/>
      <c r="U28" s="28"/>
      <c r="V28" s="21"/>
    </row>
    <row r="29" spans="1:22" s="23" customFormat="1" x14ac:dyDescent="0.25">
      <c r="A29" s="36" t="s">
        <v>19</v>
      </c>
      <c r="B29" s="22">
        <v>4170.2817107820774</v>
      </c>
      <c r="C29" s="22">
        <v>0</v>
      </c>
      <c r="D29" s="22">
        <v>0</v>
      </c>
      <c r="E29" s="22">
        <v>0</v>
      </c>
      <c r="F29" s="22">
        <v>5.5097496160577331</v>
      </c>
      <c r="G29" s="22">
        <v>0</v>
      </c>
      <c r="H29" s="49">
        <f t="shared" si="6"/>
        <v>1.2606655715786208</v>
      </c>
      <c r="I29" s="10">
        <v>0</v>
      </c>
      <c r="J29" s="10">
        <v>0</v>
      </c>
      <c r="K29" s="10">
        <v>0</v>
      </c>
      <c r="L29" s="50">
        <f>F29/Q29</f>
        <v>0.11977716556647246</v>
      </c>
      <c r="M29" s="22">
        <v>3308</v>
      </c>
      <c r="N29" s="22">
        <v>0</v>
      </c>
      <c r="O29" s="22">
        <v>0</v>
      </c>
      <c r="P29" s="22">
        <v>0</v>
      </c>
      <c r="Q29" s="22">
        <v>46</v>
      </c>
      <c r="R29" s="22">
        <v>0</v>
      </c>
      <c r="S29" s="28"/>
      <c r="T29" s="28"/>
      <c r="U29" s="28"/>
      <c r="V29" s="21"/>
    </row>
    <row r="30" spans="1:22" s="23" customFormat="1" x14ac:dyDescent="0.25">
      <c r="A30" s="33" t="s">
        <v>0</v>
      </c>
      <c r="B30" s="24">
        <v>9135.3533176001129</v>
      </c>
      <c r="C30" s="24">
        <v>0</v>
      </c>
      <c r="D30" s="24">
        <v>7.7027058571145233</v>
      </c>
      <c r="E30" s="24">
        <v>0</v>
      </c>
      <c r="F30" s="24">
        <v>0</v>
      </c>
      <c r="G30" s="24">
        <v>0</v>
      </c>
      <c r="H30" s="51">
        <f t="shared" si="6"/>
        <v>4.7829074961257136</v>
      </c>
      <c r="I30" s="11">
        <v>0</v>
      </c>
      <c r="J30" s="11">
        <f>D30/O30</f>
        <v>6.8165538558535604E-2</v>
      </c>
      <c r="K30" s="11">
        <v>0</v>
      </c>
      <c r="L30" s="52">
        <v>0</v>
      </c>
      <c r="M30" s="24">
        <v>1910</v>
      </c>
      <c r="N30" s="24">
        <v>0</v>
      </c>
      <c r="O30" s="24">
        <v>113</v>
      </c>
      <c r="P30" s="24">
        <v>0</v>
      </c>
      <c r="Q30" s="24">
        <v>0</v>
      </c>
      <c r="R30" s="24">
        <v>0</v>
      </c>
      <c r="S30" s="28"/>
      <c r="T30" s="28"/>
      <c r="U30" s="28"/>
      <c r="V30" s="21"/>
    </row>
    <row r="31" spans="1:22" s="23" customFormat="1" ht="17.25" x14ac:dyDescent="0.45">
      <c r="A31" s="1" t="s">
        <v>20</v>
      </c>
      <c r="B31" s="8"/>
      <c r="C31" s="8"/>
      <c r="D31" s="8"/>
      <c r="E31" s="8"/>
      <c r="F31" s="8"/>
      <c r="G31" s="8"/>
      <c r="H31" s="8"/>
      <c r="I31" s="8"/>
      <c r="J31" s="27"/>
      <c r="K31" s="27"/>
      <c r="L31" s="27"/>
      <c r="M31" s="8"/>
      <c r="O31" s="26"/>
      <c r="P31" s="26"/>
      <c r="Q31" s="25"/>
      <c r="R31" s="31" t="s">
        <v>35</v>
      </c>
      <c r="V31" s="28"/>
    </row>
    <row r="32" spans="1:22" s="9" customFormat="1" x14ac:dyDescent="0.25">
      <c r="A32" s="29"/>
      <c r="B32" s="30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30"/>
      <c r="N32" s="12"/>
      <c r="Q32" s="18"/>
      <c r="R32" s="18"/>
    </row>
    <row r="33" spans="1:18" s="9" customFormat="1" x14ac:dyDescent="0.25">
      <c r="A33" s="29"/>
      <c r="B33" s="30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30"/>
      <c r="N33" s="12"/>
      <c r="Q33" s="18"/>
      <c r="R33" s="18"/>
    </row>
    <row r="34" spans="1:18" s="9" customFormat="1" x14ac:dyDescent="0.25">
      <c r="A34" s="29"/>
      <c r="B34" s="30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30"/>
      <c r="N34" s="12"/>
      <c r="Q34" s="18"/>
      <c r="R34" s="18"/>
    </row>
    <row r="35" spans="1:18" s="9" customFormat="1" x14ac:dyDescent="0.25">
      <c r="A35" s="29"/>
      <c r="B35" s="30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30"/>
      <c r="N35" s="12"/>
      <c r="Q35" s="18"/>
      <c r="R35" s="18"/>
    </row>
    <row r="36" spans="1:18" s="9" customFormat="1" x14ac:dyDescent="0.25">
      <c r="A36" s="29"/>
      <c r="B36" s="30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30"/>
      <c r="N36" s="12"/>
      <c r="Q36" s="18"/>
      <c r="R36" s="18"/>
    </row>
  </sheetData>
  <mergeCells count="6">
    <mergeCell ref="A1:R1"/>
    <mergeCell ref="A4:A6"/>
    <mergeCell ref="B4:G4"/>
    <mergeCell ref="H4:L4"/>
    <mergeCell ref="M4:R4"/>
    <mergeCell ref="A2:R2"/>
  </mergeCells>
  <pageMargins left="0.17" right="0.17" top="0.75" bottom="0.75" header="0.3" footer="0.3"/>
  <pageSetup paperSize="9" scale="60" orientation="landscape" r:id="rId1"/>
  <colBreaks count="1" manualBreakCount="1">
    <brk id="2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9.9</vt:lpstr>
      <vt:lpstr>'9.9'!Print_Area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2016-09-22T08:23:53Z</cp:lastPrinted>
  <dcterms:created xsi:type="dcterms:W3CDTF">2014-03-04T03:52:57Z</dcterms:created>
  <dcterms:modified xsi:type="dcterms:W3CDTF">2016-09-22T08:23:54Z</dcterms:modified>
</cp:coreProperties>
</file>