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45" windowWidth="14130" windowHeight="12255" tabRatio="898"/>
  </bookViews>
  <sheets>
    <sheet name="9.7" sheetId="23" r:id="rId1"/>
  </sheets>
  <definedNames>
    <definedName name="_xlnm.Print_Area" localSheetId="0">'9.7'!$A$1:$K$69</definedName>
  </definedNames>
  <calcPr calcId="144525"/>
</workbook>
</file>

<file path=xl/calcChain.xml><?xml version="1.0" encoding="utf-8"?>
<calcChain xmlns="http://schemas.openxmlformats.org/spreadsheetml/2006/main">
  <c r="J43" i="23" l="1"/>
  <c r="J40" i="23" s="1"/>
  <c r="H43" i="23"/>
  <c r="H40" i="23" s="1"/>
  <c r="G43" i="23"/>
  <c r="G40" i="23" s="1"/>
  <c r="E43" i="23"/>
  <c r="E40" i="23" s="1"/>
  <c r="C43" i="23"/>
  <c r="C40" i="23" s="1"/>
  <c r="B43" i="23"/>
  <c r="B40" i="23" s="1"/>
  <c r="I40" i="23"/>
  <c r="J12" i="23"/>
  <c r="J9" i="23" s="1"/>
  <c r="H12" i="23"/>
  <c r="H9" i="23" s="1"/>
  <c r="G12" i="23"/>
  <c r="G9" i="23" s="1"/>
  <c r="E12" i="23"/>
  <c r="E9" i="23" s="1"/>
  <c r="C12" i="23"/>
  <c r="C9" i="23" s="1"/>
  <c r="B12" i="23"/>
  <c r="B9" i="23" s="1"/>
  <c r="I9" i="23"/>
</calcChain>
</file>

<file path=xl/sharedStrings.xml><?xml version="1.0" encoding="utf-8"?>
<sst xmlns="http://schemas.openxmlformats.org/spreadsheetml/2006/main" count="146" uniqueCount="72">
  <si>
    <t>ah</t>
  </si>
  <si>
    <t>dh</t>
  </si>
  <si>
    <t>S</t>
  </si>
  <si>
    <t>n</t>
  </si>
  <si>
    <t>r</t>
  </si>
  <si>
    <t>b</t>
  </si>
  <si>
    <t>L</t>
  </si>
  <si>
    <t>k</t>
  </si>
  <si>
    <t xml:space="preserve"> aa</t>
  </si>
  <si>
    <t>da</t>
  </si>
  <si>
    <t>v</t>
  </si>
  <si>
    <t>m</t>
  </si>
  <si>
    <t>f</t>
  </si>
  <si>
    <t>d</t>
  </si>
  <si>
    <t>t</t>
  </si>
  <si>
    <t>l</t>
  </si>
  <si>
    <t>ag</t>
  </si>
  <si>
    <t>dg</t>
  </si>
  <si>
    <t>N</t>
  </si>
  <si>
    <t>s</t>
  </si>
  <si>
    <t xml:space="preserve"> HA</t>
  </si>
  <si>
    <t xml:space="preserve"> HDh</t>
  </si>
  <si>
    <t xml:space="preserve"> Sh</t>
  </si>
  <si>
    <t xml:space="preserve"> N</t>
  </si>
  <si>
    <t xml:space="preserve"> R</t>
  </si>
  <si>
    <t>B</t>
  </si>
  <si>
    <t>Lh</t>
  </si>
  <si>
    <t>K</t>
  </si>
  <si>
    <t xml:space="preserve"> AA</t>
  </si>
  <si>
    <t>ADh</t>
  </si>
  <si>
    <t>V</t>
  </si>
  <si>
    <t>M</t>
  </si>
  <si>
    <t>F</t>
  </si>
  <si>
    <t>Dh</t>
  </si>
  <si>
    <t>Th</t>
  </si>
  <si>
    <t xml:space="preserve"> L</t>
  </si>
  <si>
    <t>GA</t>
  </si>
  <si>
    <t>GDh</t>
  </si>
  <si>
    <t>Gn</t>
  </si>
  <si>
    <t>އެހެނިހެން</t>
  </si>
  <si>
    <t>Source: Ministry of Fisheries  and Agriculture</t>
  </si>
  <si>
    <t xml:space="preserve"> rwCclwkircgea cDcnea  czIrwxif cfoa IrcTcsinim :ctWrwf ivcaedutWmUluAwm</t>
  </si>
  <si>
    <t xml:space="preserve"> Locality</t>
  </si>
  <si>
    <t>Republic</t>
  </si>
  <si>
    <t>ejcaWriLum</t>
  </si>
  <si>
    <t>Male'</t>
  </si>
  <si>
    <t>elWm</t>
  </si>
  <si>
    <t>Atolls</t>
  </si>
  <si>
    <t>cawtuLotwa</t>
  </si>
  <si>
    <t>EEZ</t>
  </si>
  <si>
    <t xml:space="preserve">      cnudcawHwrws IdWBitcqia</t>
  </si>
  <si>
    <t xml:space="preserve"> cnudcawHwrws IdWBitcqia</t>
  </si>
  <si>
    <t>Vadhu dhoni</t>
  </si>
  <si>
    <t>Wrukcaob</t>
  </si>
  <si>
    <t>Miscellaneous</t>
  </si>
  <si>
    <t>ތަން</t>
  </si>
  <si>
    <t>inOdcswm iLeaunIjcnia</t>
  </si>
  <si>
    <t>inOdigenWyir</t>
  </si>
  <si>
    <t>inOdudwv iLeaunIjcnia</t>
  </si>
  <si>
    <t>inOdudwvigenWyir</t>
  </si>
  <si>
    <t>Mechanised</t>
  </si>
  <si>
    <t>Sailing</t>
  </si>
  <si>
    <t>Rowing</t>
  </si>
  <si>
    <t>Masdhoni</t>
  </si>
  <si>
    <t>vadhu dhoni</t>
  </si>
  <si>
    <t>boats</t>
  </si>
  <si>
    <t>Table 9.7  ( continued )</t>
  </si>
  <si>
    <t>inOdcswmiLeaunIjcnia</t>
  </si>
  <si>
    <t>2015 ,udwdwA irufcSwhwm urwhwfinOd iaWdwdwA egurwhwfudnwLua Wrukcnwkirevcswm irufcSwhwm ukwhwm emcnok cSokcjercvea ,cnutogegunwt : 9.7 ulwvWt</t>
  </si>
  <si>
    <t>Table 9.7 :  NUMBER OF VESSELS ENGAGED PER MONTH IN FISHING AND NUMBER OF FISHING TRIPS BY LOCALITY, 2015</t>
  </si>
  <si>
    <r>
      <rPr>
        <b/>
        <sz val="11"/>
        <rFont val="Calibri"/>
        <family val="2"/>
      </rPr>
      <t xml:space="preserve">                         Average no. of vessels engaged per month  </t>
    </r>
    <r>
      <rPr>
        <b/>
        <sz val="11"/>
        <rFont val="A_Randhoo"/>
      </rPr>
      <t xml:space="preserve">              </t>
    </r>
    <r>
      <rPr>
        <b/>
        <sz val="11"/>
        <rFont val="A_Waheed"/>
      </rPr>
      <t xml:space="preserve"> udwdwA egInOdirufcSwhwm ukwhwm emcnok cSokcjercvea</t>
    </r>
  </si>
  <si>
    <r>
      <t xml:space="preserve">                               </t>
    </r>
    <r>
      <rPr>
        <b/>
        <sz val="10"/>
        <rFont val="Calibri"/>
        <family val="2"/>
      </rPr>
      <t xml:space="preserve">  Fishing Trips</t>
    </r>
    <r>
      <rPr>
        <b/>
        <sz val="10"/>
        <rFont val="A_Randhoo"/>
      </rPr>
      <t xml:space="preserve">                           </t>
    </r>
    <r>
      <rPr>
        <b/>
        <sz val="10"/>
        <rFont val="A_Waheed"/>
      </rPr>
      <t xml:space="preserve"> urwhwfirufcSwhwm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</si>
</sst>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$-409]mmmm\ d\,\ yyyy;@"/>
    <numFmt numFmtId="165" formatCode="General_)"/>
  </numFmts>
  <fonts count="24" x14ac:knownFonts="1">
    <font>
      <sz val="11"/>
      <color theme="1"/>
      <name val="Calibri"/>
      <family val="2"/>
      <scheme val="minor"/>
    </font>
    <font>
      <sz val="10"/>
      <name val="Courier"/>
      <family val="3"/>
    </font>
    <font>
      <sz val="10"/>
      <name val="Arial"/>
      <family val="2"/>
    </font>
    <font>
      <b/>
      <sz val="10"/>
      <name val="Calibri"/>
      <family val="2"/>
      <scheme val="minor"/>
    </font>
    <font>
      <b/>
      <sz val="10"/>
      <name val="Faruma"/>
    </font>
    <font>
      <sz val="10"/>
      <name val="MS Sans Serif"/>
      <family val="2"/>
    </font>
    <font>
      <b/>
      <sz val="11"/>
      <name val="Calibri"/>
      <family val="2"/>
    </font>
    <font>
      <sz val="10"/>
      <name val="Calibri"/>
      <family val="2"/>
    </font>
    <font>
      <b/>
      <sz val="10"/>
      <name val="Courier"/>
      <family val="3"/>
    </font>
    <font>
      <b/>
      <sz val="9"/>
      <name val="Calibri"/>
      <family val="2"/>
    </font>
    <font>
      <sz val="10"/>
      <name val="Calibri"/>
      <family val="2"/>
      <scheme val="minor"/>
    </font>
    <font>
      <i/>
      <sz val="9"/>
      <name val="Calibri"/>
      <family val="2"/>
    </font>
    <font>
      <sz val="9"/>
      <name val="A_Randhoo"/>
    </font>
    <font>
      <b/>
      <sz val="11"/>
      <name val="A_Randhoo"/>
    </font>
    <font>
      <b/>
      <sz val="10"/>
      <name val="Calibri"/>
      <family val="2"/>
    </font>
    <font>
      <b/>
      <sz val="10"/>
      <name val="A_Randhoo"/>
    </font>
    <font>
      <b/>
      <sz val="9"/>
      <name val="Courier"/>
      <family val="3"/>
    </font>
    <font>
      <sz val="9"/>
      <name val="Calibri"/>
      <family val="2"/>
    </font>
    <font>
      <i/>
      <sz val="9"/>
      <name val="Arial"/>
      <family val="2"/>
    </font>
    <font>
      <b/>
      <sz val="10"/>
      <name val="A_Waheed"/>
    </font>
    <font>
      <b/>
      <sz val="9"/>
      <name val="A_Waheed"/>
    </font>
    <font>
      <sz val="9"/>
      <name val="A_Waheed"/>
    </font>
    <font>
      <b/>
      <sz val="11"/>
      <name val="A_Waheed"/>
    </font>
    <font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</borders>
  <cellStyleXfs count="6">
    <xf numFmtId="0" fontId="0" fillId="0" borderId="0"/>
    <xf numFmtId="40" fontId="5" fillId="0" borderId="0" applyFont="0" applyFill="0" applyBorder="0" applyAlignment="0" applyProtection="0"/>
    <xf numFmtId="164" fontId="1" fillId="0" borderId="0"/>
    <xf numFmtId="164" fontId="1" fillId="0" borderId="0"/>
    <xf numFmtId="165" fontId="1" fillId="0" borderId="0"/>
    <xf numFmtId="0" fontId="1" fillId="0" borderId="0"/>
  </cellStyleXfs>
  <cellXfs count="59">
    <xf numFmtId="0" fontId="0" fillId="0" borderId="0" xfId="0"/>
    <xf numFmtId="165" fontId="11" fillId="2" borderId="0" xfId="4" applyFont="1" applyFill="1" applyAlignment="1" applyProtection="1">
      <alignment horizontal="left" vertical="center"/>
    </xf>
    <xf numFmtId="165" fontId="9" fillId="2" borderId="0" xfId="4" applyFont="1" applyFill="1" applyAlignment="1" applyProtection="1">
      <alignment horizontal="left" vertical="center"/>
    </xf>
    <xf numFmtId="165" fontId="18" fillId="2" borderId="0" xfId="4" applyFont="1" applyFill="1" applyAlignment="1" applyProtection="1">
      <alignment horizontal="left" vertical="center"/>
    </xf>
    <xf numFmtId="165" fontId="12" fillId="2" borderId="0" xfId="4" applyFont="1" applyFill="1" applyBorder="1" applyAlignment="1">
      <alignment horizontal="right" vertical="center"/>
    </xf>
    <xf numFmtId="165" fontId="2" fillId="2" borderId="0" xfId="4" applyFont="1" applyFill="1" applyAlignment="1">
      <alignment vertical="center"/>
    </xf>
    <xf numFmtId="165" fontId="1" fillId="2" borderId="0" xfId="0" applyNumberFormat="1" applyFont="1" applyFill="1"/>
    <xf numFmtId="165" fontId="7" fillId="2" borderId="0" xfId="0" applyNumberFormat="1" applyFont="1" applyFill="1"/>
    <xf numFmtId="165" fontId="14" fillId="2" borderId="0" xfId="0" applyNumberFormat="1" applyFont="1" applyFill="1" applyBorder="1" applyAlignment="1">
      <alignment vertical="center"/>
    </xf>
    <xf numFmtId="165" fontId="4" fillId="2" borderId="4" xfId="0" applyNumberFormat="1" applyFont="1" applyFill="1" applyBorder="1" applyAlignment="1">
      <alignment horizontal="right" vertical="center"/>
    </xf>
    <xf numFmtId="165" fontId="16" fillId="2" borderId="0" xfId="0" applyNumberFormat="1" applyFont="1" applyFill="1" applyBorder="1" applyAlignment="1">
      <alignment horizontal="center"/>
    </xf>
    <xf numFmtId="165" fontId="1" fillId="2" borderId="0" xfId="0" applyNumberFormat="1" applyFont="1" applyFill="1" applyBorder="1"/>
    <xf numFmtId="165" fontId="9" fillId="2" borderId="0" xfId="0" applyNumberFormat="1" applyFont="1" applyFill="1" applyBorder="1" applyAlignment="1">
      <alignment horizontal="right"/>
    </xf>
    <xf numFmtId="1" fontId="7" fillId="2" borderId="0" xfId="0" applyNumberFormat="1" applyFont="1" applyFill="1" applyAlignment="1">
      <alignment vertical="center"/>
    </xf>
    <xf numFmtId="165" fontId="9" fillId="2" borderId="2" xfId="0" applyNumberFormat="1" applyFont="1" applyFill="1" applyBorder="1" applyAlignment="1">
      <alignment horizontal="right"/>
    </xf>
    <xf numFmtId="3" fontId="14" fillId="2" borderId="1" xfId="0" applyNumberFormat="1" applyFont="1" applyFill="1" applyBorder="1" applyAlignment="1">
      <alignment horizontal="right" vertical="center"/>
    </xf>
    <xf numFmtId="1" fontId="8" fillId="2" borderId="0" xfId="0" applyNumberFormat="1" applyFont="1" applyFill="1" applyAlignment="1">
      <alignment vertical="center"/>
    </xf>
    <xf numFmtId="3" fontId="14" fillId="2" borderId="0" xfId="0" applyNumberFormat="1" applyFont="1" applyFill="1" applyBorder="1" applyAlignment="1">
      <alignment horizontal="right" vertical="center"/>
    </xf>
    <xf numFmtId="165" fontId="17" fillId="2" borderId="0" xfId="0" applyNumberFormat="1" applyFont="1" applyFill="1" applyAlignment="1" applyProtection="1">
      <alignment horizontal="left" vertical="center"/>
    </xf>
    <xf numFmtId="3" fontId="7" fillId="2" borderId="0" xfId="0" applyNumberFormat="1" applyFont="1" applyFill="1" applyBorder="1" applyAlignment="1">
      <alignment horizontal="right" vertical="center"/>
    </xf>
    <xf numFmtId="1" fontId="1" fillId="2" borderId="0" xfId="0" applyNumberFormat="1" applyFont="1" applyFill="1" applyAlignment="1">
      <alignment vertical="center"/>
    </xf>
    <xf numFmtId="165" fontId="1" fillId="2" borderId="0" xfId="0" applyNumberFormat="1" applyFont="1" applyFill="1" applyAlignment="1">
      <alignment vertical="center"/>
    </xf>
    <xf numFmtId="165" fontId="17" fillId="2" borderId="2" xfId="0" applyNumberFormat="1" applyFont="1" applyFill="1" applyBorder="1" applyAlignment="1" applyProtection="1">
      <alignment horizontal="left" vertical="center"/>
    </xf>
    <xf numFmtId="3" fontId="7" fillId="2" borderId="2" xfId="0" applyNumberFormat="1" applyFont="1" applyFill="1" applyBorder="1" applyAlignment="1">
      <alignment horizontal="right" vertical="center"/>
    </xf>
    <xf numFmtId="165" fontId="1" fillId="2" borderId="0" xfId="0" applyNumberFormat="1" applyFont="1" applyFill="1" applyBorder="1" applyAlignment="1">
      <alignment vertical="center"/>
    </xf>
    <xf numFmtId="165" fontId="17" fillId="2" borderId="0" xfId="0" applyNumberFormat="1" applyFont="1" applyFill="1" applyAlignment="1">
      <alignment vertical="center"/>
    </xf>
    <xf numFmtId="165" fontId="8" fillId="2" borderId="0" xfId="0" applyNumberFormat="1" applyFont="1" applyFill="1"/>
    <xf numFmtId="3" fontId="3" fillId="2" borderId="0" xfId="0" applyNumberFormat="1" applyFont="1" applyFill="1" applyBorder="1" applyAlignment="1">
      <alignment horizontal="right" vertical="center"/>
    </xf>
    <xf numFmtId="3" fontId="10" fillId="2" borderId="0" xfId="0" applyNumberFormat="1" applyFont="1" applyFill="1" applyBorder="1" applyAlignment="1">
      <alignment horizontal="right" vertical="center"/>
    </xf>
    <xf numFmtId="3" fontId="10" fillId="2" borderId="2" xfId="0" applyNumberFormat="1" applyFont="1" applyFill="1" applyBorder="1" applyAlignment="1">
      <alignment horizontal="right" vertical="center"/>
    </xf>
    <xf numFmtId="165" fontId="8" fillId="2" borderId="0" xfId="0" applyNumberFormat="1" applyFont="1" applyFill="1" applyBorder="1" applyAlignment="1">
      <alignment vertical="center"/>
    </xf>
    <xf numFmtId="165" fontId="1" fillId="2" borderId="2" xfId="0" applyNumberFormat="1" applyFont="1" applyFill="1" applyBorder="1"/>
    <xf numFmtId="165" fontId="4" fillId="2" borderId="4" xfId="0" applyNumberFormat="1" applyFont="1" applyFill="1" applyBorder="1" applyAlignment="1">
      <alignment horizontal="right" vertical="center" wrapText="1"/>
    </xf>
    <xf numFmtId="165" fontId="1" fillId="2" borderId="0" xfId="0" applyNumberFormat="1" applyFont="1" applyFill="1" applyAlignment="1">
      <alignment wrapText="1"/>
    </xf>
    <xf numFmtId="165" fontId="9" fillId="2" borderId="0" xfId="4" applyFont="1" applyFill="1" applyAlignment="1" applyProtection="1">
      <alignment horizontal="left" vertical="center" indent="2"/>
    </xf>
    <xf numFmtId="165" fontId="17" fillId="2" borderId="0" xfId="0" applyNumberFormat="1" applyFont="1" applyFill="1" applyAlignment="1" applyProtection="1">
      <alignment horizontal="left" vertical="center" indent="2"/>
    </xf>
    <xf numFmtId="165" fontId="17" fillId="2" borderId="2" xfId="0" applyNumberFormat="1" applyFont="1" applyFill="1" applyBorder="1" applyAlignment="1" applyProtection="1">
      <alignment horizontal="left" vertical="center" indent="2"/>
    </xf>
    <xf numFmtId="165" fontId="9" fillId="2" borderId="5" xfId="0" applyNumberFormat="1" applyFont="1" applyFill="1" applyBorder="1" applyAlignment="1">
      <alignment horizontal="right"/>
    </xf>
    <xf numFmtId="165" fontId="20" fillId="2" borderId="0" xfId="4" applyFont="1" applyFill="1" applyAlignment="1">
      <alignment horizontal="right" vertical="center"/>
    </xf>
    <xf numFmtId="165" fontId="21" fillId="2" borderId="0" xfId="4" applyFont="1" applyFill="1" applyBorder="1" applyAlignment="1">
      <alignment horizontal="right" vertical="center"/>
    </xf>
    <xf numFmtId="165" fontId="20" fillId="2" borderId="4" xfId="0" applyNumberFormat="1" applyFont="1" applyFill="1" applyBorder="1" applyAlignment="1">
      <alignment horizontal="right" vertical="center" wrapText="1"/>
    </xf>
    <xf numFmtId="165" fontId="19" fillId="2" borderId="4" xfId="0" applyNumberFormat="1" applyFont="1" applyFill="1" applyBorder="1" applyAlignment="1">
      <alignment horizontal="right" vertical="center" wrapText="1"/>
    </xf>
    <xf numFmtId="165" fontId="20" fillId="2" borderId="4" xfId="0" applyNumberFormat="1" applyFont="1" applyFill="1" applyBorder="1" applyAlignment="1">
      <alignment horizontal="right" vertical="center"/>
    </xf>
    <xf numFmtId="165" fontId="19" fillId="2" borderId="0" xfId="4" applyFont="1" applyFill="1" applyAlignment="1">
      <alignment horizontal="right" vertical="center"/>
    </xf>
    <xf numFmtId="165" fontId="21" fillId="2" borderId="0" xfId="0" applyNumberFormat="1" applyFont="1" applyFill="1" applyAlignment="1">
      <alignment horizontal="right" vertical="center"/>
    </xf>
    <xf numFmtId="165" fontId="21" fillId="2" borderId="2" xfId="0" applyNumberFormat="1" applyFont="1" applyFill="1" applyBorder="1" applyAlignment="1">
      <alignment horizontal="right" vertical="center"/>
    </xf>
    <xf numFmtId="165" fontId="19" fillId="2" borderId="4" xfId="0" applyNumberFormat="1" applyFont="1" applyFill="1" applyBorder="1" applyAlignment="1">
      <alignment horizontal="right" vertical="center"/>
    </xf>
    <xf numFmtId="165" fontId="14" fillId="2" borderId="1" xfId="0" applyNumberFormat="1" applyFont="1" applyFill="1" applyBorder="1" applyAlignment="1">
      <alignment horizontal="left" vertical="center"/>
    </xf>
    <xf numFmtId="165" fontId="14" fillId="2" borderId="0" xfId="0" applyNumberFormat="1" applyFont="1" applyFill="1" applyBorder="1" applyAlignment="1">
      <alignment horizontal="left" vertical="center"/>
    </xf>
    <xf numFmtId="165" fontId="14" fillId="2" borderId="2" xfId="0" applyNumberFormat="1" applyFont="1" applyFill="1" applyBorder="1" applyAlignment="1">
      <alignment horizontal="left" vertical="center"/>
    </xf>
    <xf numFmtId="165" fontId="13" fillId="2" borderId="3" xfId="0" applyNumberFormat="1" applyFont="1" applyFill="1" applyBorder="1" applyAlignment="1">
      <alignment horizontal="left" vertical="center"/>
    </xf>
    <xf numFmtId="165" fontId="4" fillId="2" borderId="1" xfId="0" applyNumberFormat="1" applyFont="1" applyFill="1" applyBorder="1" applyAlignment="1">
      <alignment horizontal="right" vertical="center"/>
    </xf>
    <xf numFmtId="165" fontId="4" fillId="2" borderId="0" xfId="0" applyNumberFormat="1" applyFont="1" applyFill="1" applyBorder="1" applyAlignment="1">
      <alignment horizontal="right" vertical="center"/>
    </xf>
    <xf numFmtId="165" fontId="4" fillId="2" borderId="2" xfId="0" applyNumberFormat="1" applyFont="1" applyFill="1" applyBorder="1" applyAlignment="1">
      <alignment horizontal="right" vertical="center"/>
    </xf>
    <xf numFmtId="165" fontId="19" fillId="2" borderId="0" xfId="0" applyNumberFormat="1" applyFont="1" applyFill="1" applyAlignment="1">
      <alignment horizontal="center" vertical="center"/>
    </xf>
    <xf numFmtId="165" fontId="6" fillId="2" borderId="0" xfId="0" applyNumberFormat="1" applyFont="1" applyFill="1" applyAlignment="1">
      <alignment horizontal="center" vertical="top"/>
    </xf>
    <xf numFmtId="165" fontId="14" fillId="2" borderId="2" xfId="0" applyNumberFormat="1" applyFont="1" applyFill="1" applyBorder="1" applyAlignment="1">
      <alignment horizontal="center" vertical="center"/>
    </xf>
    <xf numFmtId="165" fontId="14" fillId="2" borderId="0" xfId="0" applyNumberFormat="1" applyFont="1" applyFill="1" applyBorder="1" applyAlignment="1">
      <alignment horizontal="center" vertical="center"/>
    </xf>
    <xf numFmtId="165" fontId="15" fillId="2" borderId="3" xfId="0" applyNumberFormat="1" applyFont="1" applyFill="1" applyBorder="1" applyAlignment="1">
      <alignment horizontal="left" vertical="center"/>
    </xf>
  </cellXfs>
  <cellStyles count="6">
    <cellStyle name="Comma 2" xfId="1"/>
    <cellStyle name="Normal" xfId="0" builtinId="0"/>
    <cellStyle name="Normal 2" xfId="5"/>
    <cellStyle name="Normal 3_agri planning 2009 year book(final)" xfId="3"/>
    <cellStyle name="Normal 4_agri planning 2009 year book(final)" xfId="2"/>
    <cellStyle name="Normal_Fish &amp;  Agri - 8" xfId="4"/>
  </cellStyles>
  <dxfs count="0"/>
  <tableStyles count="0" defaultTableStyle="TableStyleMedium9" defaultPivotStyle="PivotStyleLight16"/>
  <colors>
    <mruColors>
      <color rgb="FF33CCCC"/>
      <color rgb="FF1C706E"/>
      <color rgb="FF81E1DF"/>
      <color rgb="FFFF3399"/>
      <color rgb="FFE8F5F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  <pageSetUpPr fitToPage="1"/>
  </sheetPr>
  <dimension ref="A1:IM64"/>
  <sheetViews>
    <sheetView tabSelected="1" zoomScaleNormal="100" workbookViewId="0">
      <selection activeCell="P20" sqref="P20"/>
    </sheetView>
  </sheetViews>
  <sheetFormatPr defaultColWidth="12.42578125" defaultRowHeight="12" x14ac:dyDescent="0.15"/>
  <cols>
    <col min="1" max="3" width="12.42578125" style="6"/>
    <col min="4" max="4" width="6.5703125" style="6" customWidth="1"/>
    <col min="5" max="5" width="12.42578125" style="6"/>
    <col min="6" max="6" width="6.140625" style="6" customWidth="1"/>
    <col min="7" max="7" width="14.42578125" style="6" customWidth="1"/>
    <col min="8" max="9" width="12.42578125" style="6"/>
    <col min="10" max="10" width="19.7109375" style="6" customWidth="1"/>
    <col min="11" max="11" width="24.7109375" style="6" customWidth="1"/>
    <col min="12" max="16384" width="12.42578125" style="6"/>
  </cols>
  <sheetData>
    <row r="1" spans="1:247" ht="15" x14ac:dyDescent="0.15">
      <c r="A1" s="54" t="s">
        <v>68</v>
      </c>
      <c r="B1" s="54"/>
      <c r="C1" s="54"/>
      <c r="D1" s="54"/>
      <c r="E1" s="54"/>
      <c r="F1" s="54"/>
      <c r="G1" s="54"/>
      <c r="H1" s="54"/>
      <c r="I1" s="54"/>
      <c r="J1" s="54"/>
      <c r="K1" s="54"/>
    </row>
    <row r="2" spans="1:247" s="7" customFormat="1" ht="15" x14ac:dyDescent="0.2">
      <c r="A2" s="55" t="s">
        <v>69</v>
      </c>
      <c r="B2" s="55"/>
      <c r="C2" s="55"/>
      <c r="D2" s="55"/>
      <c r="E2" s="55"/>
      <c r="F2" s="55"/>
      <c r="G2" s="55"/>
      <c r="H2" s="55"/>
      <c r="I2" s="55"/>
      <c r="J2" s="55"/>
      <c r="K2" s="55"/>
    </row>
    <row r="3" spans="1:247" s="7" customFormat="1" ht="12.75" x14ac:dyDescent="0.2">
      <c r="A3" s="56"/>
      <c r="B3" s="57"/>
      <c r="C3" s="57"/>
      <c r="D3" s="57"/>
      <c r="E3" s="57"/>
      <c r="F3" s="57"/>
      <c r="G3" s="57"/>
      <c r="H3" s="57"/>
      <c r="I3" s="8"/>
    </row>
    <row r="4" spans="1:247" ht="15.75" x14ac:dyDescent="0.15">
      <c r="A4" s="47" t="s">
        <v>42</v>
      </c>
      <c r="B4" s="58" t="s">
        <v>71</v>
      </c>
      <c r="C4" s="58"/>
      <c r="D4" s="58"/>
      <c r="E4" s="58"/>
      <c r="F4" s="58"/>
      <c r="G4" s="58"/>
      <c r="H4" s="58"/>
      <c r="I4" s="58"/>
      <c r="J4" s="58"/>
      <c r="K4" s="51" t="s">
        <v>55</v>
      </c>
    </row>
    <row r="5" spans="1:247" s="33" customFormat="1" ht="39" customHeight="1" x14ac:dyDescent="0.15">
      <c r="A5" s="48"/>
      <c r="B5" s="40" t="s">
        <v>56</v>
      </c>
      <c r="C5" s="40" t="s">
        <v>57</v>
      </c>
      <c r="D5" s="40"/>
      <c r="E5" s="41" t="s">
        <v>58</v>
      </c>
      <c r="F5" s="41"/>
      <c r="G5" s="41" t="s">
        <v>59</v>
      </c>
      <c r="H5" s="41" t="s">
        <v>53</v>
      </c>
      <c r="I5" s="32" t="s">
        <v>39</v>
      </c>
      <c r="J5" s="42" t="s">
        <v>51</v>
      </c>
      <c r="K5" s="52"/>
    </row>
    <row r="6" spans="1:247" ht="1.1499999999999999" customHeight="1" x14ac:dyDescent="0.15">
      <c r="A6" s="48"/>
      <c r="B6" s="10"/>
      <c r="C6" s="10"/>
      <c r="D6" s="10"/>
      <c r="E6" s="11"/>
      <c r="F6" s="11"/>
      <c r="G6" s="11"/>
      <c r="H6" s="11"/>
      <c r="I6" s="11"/>
      <c r="J6" s="11"/>
      <c r="K6" s="52"/>
    </row>
    <row r="7" spans="1:247" s="13" customFormat="1" ht="12" customHeight="1" x14ac:dyDescent="0.2">
      <c r="A7" s="48"/>
      <c r="B7" s="12" t="s">
        <v>60</v>
      </c>
      <c r="C7" s="12" t="s">
        <v>61</v>
      </c>
      <c r="D7" s="12"/>
      <c r="E7" s="12" t="s">
        <v>60</v>
      </c>
      <c r="F7" s="12"/>
      <c r="G7" s="12" t="s">
        <v>61</v>
      </c>
      <c r="H7" s="12" t="s">
        <v>62</v>
      </c>
      <c r="I7" s="12" t="s">
        <v>54</v>
      </c>
      <c r="J7" s="12" t="s">
        <v>49</v>
      </c>
      <c r="K7" s="52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7"/>
      <c r="BO7" s="7"/>
      <c r="BP7" s="7"/>
      <c r="BQ7" s="7"/>
      <c r="BR7" s="7"/>
      <c r="BS7" s="7"/>
      <c r="BT7" s="7"/>
      <c r="BU7" s="7"/>
      <c r="BV7" s="7"/>
      <c r="BW7" s="7"/>
      <c r="BX7" s="7"/>
      <c r="BY7" s="7"/>
      <c r="BZ7" s="7"/>
      <c r="CA7" s="7"/>
      <c r="CB7" s="7"/>
      <c r="CC7" s="7"/>
      <c r="CD7" s="7"/>
      <c r="CE7" s="7"/>
      <c r="CF7" s="7"/>
      <c r="CG7" s="7"/>
      <c r="CH7" s="7"/>
      <c r="CI7" s="7"/>
      <c r="CJ7" s="7"/>
      <c r="CK7" s="7"/>
      <c r="CL7" s="7"/>
      <c r="CM7" s="7"/>
      <c r="CN7" s="7"/>
      <c r="CO7" s="7"/>
      <c r="CP7" s="7"/>
      <c r="CQ7" s="7"/>
      <c r="CR7" s="7"/>
      <c r="CS7" s="7"/>
      <c r="CT7" s="7"/>
      <c r="CU7" s="7"/>
      <c r="CV7" s="7"/>
      <c r="CW7" s="7"/>
      <c r="CX7" s="7"/>
      <c r="CY7" s="7"/>
      <c r="CZ7" s="7"/>
      <c r="DA7" s="7"/>
      <c r="DB7" s="7"/>
      <c r="DC7" s="7"/>
      <c r="DD7" s="7"/>
      <c r="DE7" s="7"/>
      <c r="DF7" s="7"/>
      <c r="DG7" s="7"/>
      <c r="DH7" s="7"/>
      <c r="DI7" s="7"/>
      <c r="DJ7" s="7"/>
      <c r="DK7" s="7"/>
      <c r="DL7" s="7"/>
      <c r="DM7" s="7"/>
      <c r="DN7" s="7"/>
      <c r="DO7" s="7"/>
      <c r="DP7" s="7"/>
      <c r="DQ7" s="7"/>
      <c r="DR7" s="7"/>
      <c r="DS7" s="7"/>
      <c r="DT7" s="7"/>
      <c r="DU7" s="7"/>
      <c r="DV7" s="7"/>
      <c r="DW7" s="7"/>
      <c r="DX7" s="7"/>
      <c r="DY7" s="7"/>
      <c r="DZ7" s="7"/>
      <c r="EA7" s="7"/>
      <c r="EB7" s="7"/>
      <c r="EC7" s="7"/>
      <c r="ED7" s="7"/>
      <c r="EE7" s="7"/>
      <c r="EF7" s="7"/>
      <c r="EG7" s="7"/>
      <c r="EH7" s="7"/>
      <c r="EI7" s="7"/>
      <c r="EJ7" s="7"/>
      <c r="EK7" s="7"/>
      <c r="EL7" s="7"/>
      <c r="EM7" s="7"/>
      <c r="EN7" s="7"/>
      <c r="EO7" s="7"/>
      <c r="EP7" s="7"/>
      <c r="EQ7" s="7"/>
      <c r="ER7" s="7"/>
      <c r="ES7" s="7"/>
      <c r="ET7" s="7"/>
      <c r="EU7" s="7"/>
      <c r="EV7" s="7"/>
      <c r="EW7" s="7"/>
      <c r="EX7" s="7"/>
      <c r="EY7" s="7"/>
      <c r="EZ7" s="7"/>
      <c r="FA7" s="7"/>
      <c r="FB7" s="7"/>
      <c r="FC7" s="7"/>
      <c r="FD7" s="7"/>
      <c r="FE7" s="7"/>
      <c r="FF7" s="7"/>
      <c r="FG7" s="7"/>
      <c r="FH7" s="7"/>
      <c r="FI7" s="7"/>
      <c r="FJ7" s="7"/>
      <c r="FK7" s="7"/>
      <c r="FL7" s="7"/>
      <c r="FM7" s="7"/>
      <c r="FN7" s="7"/>
      <c r="FO7" s="7"/>
      <c r="FP7" s="7"/>
      <c r="FQ7" s="7"/>
      <c r="FR7" s="7"/>
      <c r="FS7" s="7"/>
      <c r="FT7" s="7"/>
      <c r="FU7" s="7"/>
      <c r="FV7" s="7"/>
      <c r="FW7" s="7"/>
      <c r="FX7" s="7"/>
      <c r="FY7" s="7"/>
      <c r="FZ7" s="7"/>
      <c r="GA7" s="7"/>
      <c r="GB7" s="7"/>
      <c r="GC7" s="7"/>
      <c r="GD7" s="7"/>
      <c r="GE7" s="7"/>
      <c r="GF7" s="7"/>
      <c r="GG7" s="7"/>
      <c r="GH7" s="7"/>
      <c r="GI7" s="7"/>
      <c r="GJ7" s="7"/>
      <c r="GK7" s="7"/>
      <c r="GL7" s="7"/>
      <c r="GM7" s="7"/>
      <c r="GN7" s="7"/>
      <c r="GO7" s="7"/>
      <c r="GP7" s="7"/>
      <c r="GQ7" s="7"/>
      <c r="GR7" s="7"/>
      <c r="GS7" s="7"/>
      <c r="GT7" s="7"/>
      <c r="GU7" s="7"/>
      <c r="GV7" s="7"/>
      <c r="GW7" s="7"/>
      <c r="GX7" s="7"/>
      <c r="GY7" s="7"/>
      <c r="GZ7" s="7"/>
      <c r="HA7" s="7"/>
      <c r="HB7" s="7"/>
      <c r="HC7" s="7"/>
      <c r="HD7" s="7"/>
      <c r="HE7" s="7"/>
      <c r="HF7" s="7"/>
      <c r="HG7" s="7"/>
      <c r="HH7" s="7"/>
      <c r="HI7" s="7"/>
      <c r="HJ7" s="7"/>
      <c r="HK7" s="7"/>
      <c r="HL7" s="7"/>
      <c r="HM7" s="7"/>
      <c r="HN7" s="7"/>
      <c r="HO7" s="7"/>
      <c r="HP7" s="7"/>
      <c r="HQ7" s="7"/>
      <c r="HR7" s="7"/>
      <c r="HS7" s="7"/>
      <c r="HT7" s="7"/>
      <c r="HU7" s="7"/>
      <c r="HV7" s="7"/>
      <c r="HW7" s="7"/>
      <c r="HX7" s="7"/>
      <c r="HY7" s="7"/>
      <c r="HZ7" s="7"/>
      <c r="IA7" s="7"/>
      <c r="IB7" s="7"/>
      <c r="IC7" s="7"/>
      <c r="ID7" s="7"/>
      <c r="IE7" s="7"/>
      <c r="IF7" s="7"/>
      <c r="IG7" s="7"/>
      <c r="IH7" s="7"/>
      <c r="II7" s="7"/>
      <c r="IJ7" s="7"/>
      <c r="IK7" s="7"/>
      <c r="IL7" s="7"/>
      <c r="IM7" s="7"/>
    </row>
    <row r="8" spans="1:247" s="13" customFormat="1" ht="12.75" x14ac:dyDescent="0.2">
      <c r="A8" s="49"/>
      <c r="B8" s="14" t="s">
        <v>63</v>
      </c>
      <c r="C8" s="14" t="s">
        <v>63</v>
      </c>
      <c r="D8" s="14"/>
      <c r="E8" s="12" t="s">
        <v>64</v>
      </c>
      <c r="F8" s="12"/>
      <c r="G8" s="12" t="s">
        <v>64</v>
      </c>
      <c r="H8" s="12" t="s">
        <v>65</v>
      </c>
      <c r="I8" s="12"/>
      <c r="J8" s="12"/>
      <c r="K8" s="53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 s="7"/>
      <c r="BN8" s="7"/>
      <c r="BO8" s="7"/>
      <c r="BP8" s="7"/>
      <c r="BQ8" s="7"/>
      <c r="BR8" s="7"/>
      <c r="BS8" s="7"/>
      <c r="BT8" s="7"/>
      <c r="BU8" s="7"/>
      <c r="BV8" s="7"/>
      <c r="BW8" s="7"/>
      <c r="BX8" s="7"/>
      <c r="BY8" s="7"/>
      <c r="BZ8" s="7"/>
      <c r="CA8" s="7"/>
      <c r="CB8" s="7"/>
      <c r="CC8" s="7"/>
      <c r="CD8" s="7"/>
      <c r="CE8" s="7"/>
      <c r="CF8" s="7"/>
      <c r="CG8" s="7"/>
      <c r="CH8" s="7"/>
      <c r="CI8" s="7"/>
      <c r="CJ8" s="7"/>
      <c r="CK8" s="7"/>
      <c r="CL8" s="7"/>
      <c r="CM8" s="7"/>
      <c r="CN8" s="7"/>
      <c r="CO8" s="7"/>
      <c r="CP8" s="7"/>
      <c r="CQ8" s="7"/>
      <c r="CR8" s="7"/>
      <c r="CS8" s="7"/>
      <c r="CT8" s="7"/>
      <c r="CU8" s="7"/>
      <c r="CV8" s="7"/>
      <c r="CW8" s="7"/>
      <c r="CX8" s="7"/>
      <c r="CY8" s="7"/>
      <c r="CZ8" s="7"/>
      <c r="DA8" s="7"/>
      <c r="DB8" s="7"/>
      <c r="DC8" s="7"/>
      <c r="DD8" s="7"/>
      <c r="DE8" s="7"/>
      <c r="DF8" s="7"/>
      <c r="DG8" s="7"/>
      <c r="DH8" s="7"/>
      <c r="DI8" s="7"/>
      <c r="DJ8" s="7"/>
      <c r="DK8" s="7"/>
      <c r="DL8" s="7"/>
      <c r="DM8" s="7"/>
      <c r="DN8" s="7"/>
      <c r="DO8" s="7"/>
      <c r="DP8" s="7"/>
      <c r="DQ8" s="7"/>
      <c r="DR8" s="7"/>
      <c r="DS8" s="7"/>
      <c r="DT8" s="7"/>
      <c r="DU8" s="7"/>
      <c r="DV8" s="7"/>
      <c r="DW8" s="7"/>
      <c r="DX8" s="7"/>
      <c r="DY8" s="7"/>
      <c r="DZ8" s="7"/>
      <c r="EA8" s="7"/>
      <c r="EB8" s="7"/>
      <c r="EC8" s="7"/>
      <c r="ED8" s="7"/>
      <c r="EE8" s="7"/>
      <c r="EF8" s="7"/>
      <c r="EG8" s="7"/>
      <c r="EH8" s="7"/>
      <c r="EI8" s="7"/>
      <c r="EJ8" s="7"/>
      <c r="EK8" s="7"/>
      <c r="EL8" s="7"/>
      <c r="EM8" s="7"/>
      <c r="EN8" s="7"/>
      <c r="EO8" s="7"/>
      <c r="EP8" s="7"/>
      <c r="EQ8" s="7"/>
      <c r="ER8" s="7"/>
      <c r="ES8" s="7"/>
      <c r="ET8" s="7"/>
      <c r="EU8" s="7"/>
      <c r="EV8" s="7"/>
      <c r="EW8" s="7"/>
      <c r="EX8" s="7"/>
      <c r="EY8" s="7"/>
      <c r="EZ8" s="7"/>
      <c r="FA8" s="7"/>
      <c r="FB8" s="7"/>
      <c r="FC8" s="7"/>
      <c r="FD8" s="7"/>
      <c r="FE8" s="7"/>
      <c r="FF8" s="7"/>
      <c r="FG8" s="7"/>
      <c r="FH8" s="7"/>
      <c r="FI8" s="7"/>
      <c r="FJ8" s="7"/>
      <c r="FK8" s="7"/>
      <c r="FL8" s="7"/>
      <c r="FM8" s="7"/>
      <c r="FN8" s="7"/>
      <c r="FO8" s="7"/>
      <c r="FP8" s="7"/>
      <c r="FQ8" s="7"/>
      <c r="FR8" s="7"/>
      <c r="FS8" s="7"/>
      <c r="FT8" s="7"/>
      <c r="FU8" s="7"/>
      <c r="FV8" s="7"/>
      <c r="FW8" s="7"/>
      <c r="FX8" s="7"/>
      <c r="FY8" s="7"/>
      <c r="FZ8" s="7"/>
      <c r="GA8" s="7"/>
      <c r="GB8" s="7"/>
      <c r="GC8" s="7"/>
      <c r="GD8" s="7"/>
      <c r="GE8" s="7"/>
      <c r="GF8" s="7"/>
      <c r="GG8" s="7"/>
      <c r="GH8" s="7"/>
      <c r="GI8" s="7"/>
      <c r="GJ8" s="7"/>
      <c r="GK8" s="7"/>
      <c r="GL8" s="7"/>
      <c r="GM8" s="7"/>
      <c r="GN8" s="7"/>
      <c r="GO8" s="7"/>
      <c r="GP8" s="7"/>
      <c r="GQ8" s="7"/>
      <c r="GR8" s="7"/>
      <c r="GS8" s="7"/>
      <c r="GT8" s="7"/>
      <c r="GU8" s="7"/>
      <c r="GV8" s="7"/>
      <c r="GW8" s="7"/>
      <c r="GX8" s="7"/>
      <c r="GY8" s="7"/>
      <c r="GZ8" s="7"/>
      <c r="HA8" s="7"/>
      <c r="HB8" s="7"/>
      <c r="HC8" s="7"/>
      <c r="HD8" s="7"/>
      <c r="HE8" s="7"/>
      <c r="HF8" s="7"/>
      <c r="HG8" s="7"/>
      <c r="HH8" s="7"/>
      <c r="HI8" s="7"/>
      <c r="HJ8" s="7"/>
      <c r="HK8" s="7"/>
      <c r="HL8" s="7"/>
      <c r="HM8" s="7"/>
      <c r="HN8" s="7"/>
      <c r="HO8" s="7"/>
      <c r="HP8" s="7"/>
      <c r="HQ8" s="7"/>
      <c r="HR8" s="7"/>
      <c r="HS8" s="7"/>
      <c r="HT8" s="7"/>
      <c r="HU8" s="7"/>
      <c r="HV8" s="7"/>
      <c r="HW8" s="7"/>
      <c r="HX8" s="7"/>
      <c r="HY8" s="7"/>
      <c r="HZ8" s="7"/>
      <c r="IA8" s="7"/>
      <c r="IB8" s="7"/>
      <c r="IC8" s="7"/>
      <c r="ID8" s="7"/>
      <c r="IE8" s="7"/>
      <c r="IF8" s="7"/>
      <c r="IG8" s="7"/>
      <c r="IH8" s="7"/>
      <c r="II8" s="7"/>
      <c r="IJ8" s="7"/>
      <c r="IK8" s="7"/>
      <c r="IL8" s="7"/>
      <c r="IM8" s="7"/>
    </row>
    <row r="9" spans="1:247" s="16" customFormat="1" ht="14.25" x14ac:dyDescent="0.25">
      <c r="A9" s="34" t="s">
        <v>43</v>
      </c>
      <c r="B9" s="15">
        <f>B10+B12+B11</f>
        <v>51178</v>
      </c>
      <c r="C9" s="15">
        <f>C10+C12+C11</f>
        <v>98</v>
      </c>
      <c r="D9" s="15"/>
      <c r="E9" s="15">
        <f t="shared" ref="E9" si="0">E10+E12+E11</f>
        <v>393</v>
      </c>
      <c r="F9" s="15"/>
      <c r="G9" s="15">
        <f t="shared" ref="G9:J9" si="1">G10+G12+G11</f>
        <v>0</v>
      </c>
      <c r="H9" s="15">
        <f t="shared" si="1"/>
        <v>405</v>
      </c>
      <c r="I9" s="15">
        <f t="shared" si="1"/>
        <v>0</v>
      </c>
      <c r="J9" s="15">
        <f t="shared" si="1"/>
        <v>841</v>
      </c>
      <c r="K9" s="38" t="s">
        <v>44</v>
      </c>
    </row>
    <row r="10" spans="1:247" s="16" customFormat="1" ht="14.25" x14ac:dyDescent="0.25">
      <c r="A10" s="34" t="s">
        <v>45</v>
      </c>
      <c r="B10" s="17">
        <v>4890</v>
      </c>
      <c r="C10" s="17"/>
      <c r="D10" s="17"/>
      <c r="E10" s="27">
        <v>27</v>
      </c>
      <c r="F10" s="27"/>
      <c r="G10" s="27">
        <v>0</v>
      </c>
      <c r="H10" s="27">
        <v>66</v>
      </c>
      <c r="I10" s="27">
        <v>0</v>
      </c>
      <c r="J10" s="27">
        <v>0</v>
      </c>
      <c r="K10" s="38" t="s">
        <v>46</v>
      </c>
    </row>
    <row r="11" spans="1:247" s="16" customFormat="1" ht="14.25" x14ac:dyDescent="0.25">
      <c r="A11" s="34" t="s">
        <v>49</v>
      </c>
      <c r="B11" s="17">
        <v>0</v>
      </c>
      <c r="C11" s="17">
        <v>0</v>
      </c>
      <c r="D11" s="17"/>
      <c r="E11" s="17">
        <v>0</v>
      </c>
      <c r="F11" s="17"/>
      <c r="G11" s="17">
        <v>0</v>
      </c>
      <c r="H11" s="17">
        <v>0</v>
      </c>
      <c r="I11" s="17">
        <v>0</v>
      </c>
      <c r="J11" s="27">
        <v>841</v>
      </c>
      <c r="K11" s="38" t="s">
        <v>48</v>
      </c>
    </row>
    <row r="12" spans="1:247" s="16" customFormat="1" ht="15" x14ac:dyDescent="0.25">
      <c r="A12" s="34" t="s">
        <v>47</v>
      </c>
      <c r="B12" s="17">
        <f>SUM(B13:B32)</f>
        <v>46288</v>
      </c>
      <c r="C12" s="17">
        <f>SUM(C13:C32)</f>
        <v>98</v>
      </c>
      <c r="D12" s="17"/>
      <c r="E12" s="17">
        <f t="shared" ref="E12" si="2">SUM(E13:E32)</f>
        <v>366</v>
      </c>
      <c r="F12" s="17"/>
      <c r="G12" s="17">
        <f t="shared" ref="G12:H12" si="3">SUM(G13:G32)</f>
        <v>0</v>
      </c>
      <c r="H12" s="17">
        <f t="shared" si="3"/>
        <v>339</v>
      </c>
      <c r="I12" s="17">
        <v>0</v>
      </c>
      <c r="J12" s="17">
        <f t="shared" ref="J12" si="4">SUM(J13:J32)</f>
        <v>0</v>
      </c>
      <c r="K12" s="43" t="s">
        <v>50</v>
      </c>
    </row>
    <row r="13" spans="1:247" s="20" customFormat="1" ht="14.25" x14ac:dyDescent="0.25">
      <c r="A13" s="35" t="s">
        <v>20</v>
      </c>
      <c r="B13" s="19">
        <v>2474</v>
      </c>
      <c r="C13" s="19">
        <v>98</v>
      </c>
      <c r="D13" s="19"/>
      <c r="E13" s="27">
        <v>0</v>
      </c>
      <c r="F13" s="27"/>
      <c r="G13" s="28">
        <v>0</v>
      </c>
      <c r="H13" s="28">
        <v>0</v>
      </c>
      <c r="I13" s="28">
        <v>0</v>
      </c>
      <c r="J13" s="28">
        <v>0</v>
      </c>
      <c r="K13" s="44" t="s">
        <v>0</v>
      </c>
    </row>
    <row r="14" spans="1:247" s="20" customFormat="1" ht="14.25" x14ac:dyDescent="0.25">
      <c r="A14" s="35" t="s">
        <v>21</v>
      </c>
      <c r="B14" s="19">
        <v>1622</v>
      </c>
      <c r="C14" s="19">
        <v>0</v>
      </c>
      <c r="D14" s="19"/>
      <c r="E14" s="28">
        <v>0</v>
      </c>
      <c r="F14" s="28"/>
      <c r="G14" s="28">
        <v>0</v>
      </c>
      <c r="H14" s="28">
        <v>0</v>
      </c>
      <c r="I14" s="28">
        <v>0</v>
      </c>
      <c r="J14" s="28">
        <v>0</v>
      </c>
      <c r="K14" s="44" t="s">
        <v>1</v>
      </c>
    </row>
    <row r="15" spans="1:247" s="20" customFormat="1" ht="14.25" x14ac:dyDescent="0.25">
      <c r="A15" s="35" t="s">
        <v>22</v>
      </c>
      <c r="B15" s="19">
        <v>1029</v>
      </c>
      <c r="C15" s="19">
        <v>0</v>
      </c>
      <c r="D15" s="19"/>
      <c r="E15" s="28">
        <v>105</v>
      </c>
      <c r="F15" s="28"/>
      <c r="G15" s="28">
        <v>0</v>
      </c>
      <c r="H15" s="28">
        <v>0</v>
      </c>
      <c r="I15" s="28">
        <v>0</v>
      </c>
      <c r="J15" s="28">
        <v>0</v>
      </c>
      <c r="K15" s="44" t="s">
        <v>2</v>
      </c>
    </row>
    <row r="16" spans="1:247" s="20" customFormat="1" ht="14.25" x14ac:dyDescent="0.25">
      <c r="A16" s="35" t="s">
        <v>23</v>
      </c>
      <c r="B16" s="19">
        <v>1126</v>
      </c>
      <c r="C16" s="19">
        <v>0</v>
      </c>
      <c r="D16" s="19"/>
      <c r="E16" s="28">
        <v>0</v>
      </c>
      <c r="F16" s="28"/>
      <c r="G16" s="28">
        <v>0</v>
      </c>
      <c r="H16" s="28">
        <v>0</v>
      </c>
      <c r="I16" s="28">
        <v>0</v>
      </c>
      <c r="J16" s="28">
        <v>0</v>
      </c>
      <c r="K16" s="44" t="s">
        <v>3</v>
      </c>
    </row>
    <row r="17" spans="1:247" s="20" customFormat="1" ht="14.25" x14ac:dyDescent="0.25">
      <c r="A17" s="35" t="s">
        <v>24</v>
      </c>
      <c r="B17" s="19">
        <v>2822</v>
      </c>
      <c r="C17" s="19">
        <v>0</v>
      </c>
      <c r="D17" s="19"/>
      <c r="E17" s="28">
        <v>60</v>
      </c>
      <c r="F17" s="28"/>
      <c r="G17" s="28">
        <v>0</v>
      </c>
      <c r="H17" s="28">
        <v>0</v>
      </c>
      <c r="I17" s="28">
        <v>0</v>
      </c>
      <c r="J17" s="28">
        <v>0</v>
      </c>
      <c r="K17" s="44" t="s">
        <v>4</v>
      </c>
    </row>
    <row r="18" spans="1:247" s="20" customFormat="1" ht="14.25" x14ac:dyDescent="0.25">
      <c r="A18" s="35" t="s">
        <v>25</v>
      </c>
      <c r="B18" s="19">
        <v>2077</v>
      </c>
      <c r="C18" s="19">
        <v>0</v>
      </c>
      <c r="D18" s="19"/>
      <c r="E18" s="28">
        <v>42</v>
      </c>
      <c r="F18" s="28"/>
      <c r="G18" s="28">
        <v>0</v>
      </c>
      <c r="H18" s="28">
        <v>0</v>
      </c>
      <c r="I18" s="28">
        <v>0</v>
      </c>
      <c r="J18" s="28">
        <v>0</v>
      </c>
      <c r="K18" s="44" t="s">
        <v>5</v>
      </c>
    </row>
    <row r="19" spans="1:247" s="20" customFormat="1" ht="14.25" x14ac:dyDescent="0.25">
      <c r="A19" s="35" t="s">
        <v>26</v>
      </c>
      <c r="B19" s="19">
        <v>3121</v>
      </c>
      <c r="C19" s="19">
        <v>0</v>
      </c>
      <c r="D19" s="19"/>
      <c r="E19" s="28">
        <v>0</v>
      </c>
      <c r="F19" s="28"/>
      <c r="G19" s="28">
        <v>0</v>
      </c>
      <c r="H19" s="28">
        <v>0</v>
      </c>
      <c r="I19" s="28">
        <v>0</v>
      </c>
      <c r="J19" s="28">
        <v>0</v>
      </c>
      <c r="K19" s="44" t="s">
        <v>6</v>
      </c>
    </row>
    <row r="20" spans="1:247" s="20" customFormat="1" ht="14.25" x14ac:dyDescent="0.25">
      <c r="A20" s="35" t="s">
        <v>27</v>
      </c>
      <c r="B20" s="19">
        <v>1528</v>
      </c>
      <c r="C20" s="19">
        <v>0</v>
      </c>
      <c r="D20" s="19"/>
      <c r="E20" s="28">
        <v>2</v>
      </c>
      <c r="F20" s="28"/>
      <c r="G20" s="28">
        <v>0</v>
      </c>
      <c r="H20" s="28">
        <v>0</v>
      </c>
      <c r="I20" s="28">
        <v>0</v>
      </c>
      <c r="J20" s="28">
        <v>0</v>
      </c>
      <c r="K20" s="44" t="s">
        <v>7</v>
      </c>
    </row>
    <row r="21" spans="1:247" s="20" customFormat="1" ht="14.25" x14ac:dyDescent="0.25">
      <c r="A21" s="35" t="s">
        <v>28</v>
      </c>
      <c r="B21" s="19">
        <v>1704</v>
      </c>
      <c r="C21" s="19">
        <v>0</v>
      </c>
      <c r="D21" s="19"/>
      <c r="E21" s="28">
        <v>0</v>
      </c>
      <c r="F21" s="28"/>
      <c r="G21" s="28">
        <v>0</v>
      </c>
      <c r="H21" s="28">
        <v>0</v>
      </c>
      <c r="I21" s="28">
        <v>0</v>
      </c>
      <c r="J21" s="28">
        <v>0</v>
      </c>
      <c r="K21" s="44" t="s">
        <v>8</v>
      </c>
    </row>
    <row r="22" spans="1:247" s="20" customFormat="1" ht="14.25" x14ac:dyDescent="0.25">
      <c r="A22" s="35" t="s">
        <v>29</v>
      </c>
      <c r="B22" s="19">
        <v>2507</v>
      </c>
      <c r="C22" s="19">
        <v>0</v>
      </c>
      <c r="D22" s="19"/>
      <c r="E22" s="28">
        <v>44</v>
      </c>
      <c r="F22" s="28"/>
      <c r="G22" s="28">
        <v>0</v>
      </c>
      <c r="H22" s="28">
        <v>0</v>
      </c>
      <c r="I22" s="28">
        <v>0</v>
      </c>
      <c r="J22" s="28">
        <v>0</v>
      </c>
      <c r="K22" s="44" t="s">
        <v>9</v>
      </c>
    </row>
    <row r="23" spans="1:247" s="20" customFormat="1" ht="14.25" x14ac:dyDescent="0.25">
      <c r="A23" s="35" t="s">
        <v>30</v>
      </c>
      <c r="B23" s="19">
        <v>109</v>
      </c>
      <c r="C23" s="19">
        <v>0</v>
      </c>
      <c r="D23" s="19"/>
      <c r="E23" s="28">
        <v>0</v>
      </c>
      <c r="F23" s="28"/>
      <c r="G23" s="28">
        <v>0</v>
      </c>
      <c r="H23" s="28">
        <v>0</v>
      </c>
      <c r="I23" s="28">
        <v>0</v>
      </c>
      <c r="J23" s="28">
        <v>0</v>
      </c>
      <c r="K23" s="44" t="s">
        <v>10</v>
      </c>
    </row>
    <row r="24" spans="1:247" s="20" customFormat="1" ht="14.25" x14ac:dyDescent="0.25">
      <c r="A24" s="35" t="s">
        <v>31</v>
      </c>
      <c r="B24" s="19">
        <v>2247</v>
      </c>
      <c r="C24" s="19">
        <v>0</v>
      </c>
      <c r="D24" s="19"/>
      <c r="E24" s="28">
        <v>0</v>
      </c>
      <c r="F24" s="28"/>
      <c r="G24" s="28">
        <v>0</v>
      </c>
      <c r="H24" s="28">
        <v>0</v>
      </c>
      <c r="I24" s="28">
        <v>0</v>
      </c>
      <c r="J24" s="28">
        <v>0</v>
      </c>
      <c r="K24" s="44" t="s">
        <v>11</v>
      </c>
    </row>
    <row r="25" spans="1:247" s="20" customFormat="1" ht="14.25" x14ac:dyDescent="0.25">
      <c r="A25" s="35" t="s">
        <v>32</v>
      </c>
      <c r="B25" s="19">
        <v>2777</v>
      </c>
      <c r="C25" s="19">
        <v>0</v>
      </c>
      <c r="D25" s="19"/>
      <c r="E25" s="28">
        <v>0</v>
      </c>
      <c r="F25" s="28"/>
      <c r="G25" s="28">
        <v>0</v>
      </c>
      <c r="H25" s="28">
        <v>0</v>
      </c>
      <c r="I25" s="28">
        <v>0</v>
      </c>
      <c r="J25" s="28">
        <v>0</v>
      </c>
      <c r="K25" s="44" t="s">
        <v>12</v>
      </c>
    </row>
    <row r="26" spans="1:247" ht="14.25" x14ac:dyDescent="0.15">
      <c r="A26" s="35" t="s">
        <v>33</v>
      </c>
      <c r="B26" s="19">
        <v>4484</v>
      </c>
      <c r="C26" s="19">
        <v>0</v>
      </c>
      <c r="D26" s="19"/>
      <c r="E26" s="28">
        <v>0</v>
      </c>
      <c r="F26" s="28"/>
      <c r="G26" s="28">
        <v>0</v>
      </c>
      <c r="H26" s="28">
        <v>0</v>
      </c>
      <c r="I26" s="28">
        <v>0</v>
      </c>
      <c r="J26" s="28">
        <v>0</v>
      </c>
      <c r="K26" s="44" t="s">
        <v>13</v>
      </c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  <c r="AY26" s="20"/>
      <c r="AZ26" s="20"/>
      <c r="BA26" s="20"/>
      <c r="BB26" s="20"/>
      <c r="BC26" s="20"/>
      <c r="BD26" s="20"/>
      <c r="BE26" s="20"/>
      <c r="BF26" s="20"/>
      <c r="BG26" s="20"/>
      <c r="BH26" s="20"/>
      <c r="BI26" s="20"/>
      <c r="BJ26" s="20"/>
      <c r="BK26" s="20"/>
      <c r="BL26" s="20"/>
      <c r="BM26" s="20"/>
      <c r="BN26" s="20"/>
      <c r="BO26" s="20"/>
      <c r="BP26" s="20"/>
      <c r="BQ26" s="20"/>
      <c r="BR26" s="20"/>
      <c r="BS26" s="20"/>
      <c r="BT26" s="20"/>
      <c r="BU26" s="20"/>
      <c r="BV26" s="20"/>
      <c r="BW26" s="20"/>
      <c r="BX26" s="20"/>
      <c r="BY26" s="20"/>
      <c r="BZ26" s="20"/>
      <c r="CA26" s="20"/>
      <c r="CB26" s="20"/>
      <c r="CC26" s="20"/>
      <c r="CD26" s="20"/>
      <c r="CE26" s="20"/>
      <c r="CF26" s="20"/>
      <c r="CG26" s="20"/>
      <c r="CH26" s="20"/>
      <c r="CI26" s="20"/>
      <c r="CJ26" s="20"/>
      <c r="CK26" s="20"/>
      <c r="CL26" s="20"/>
      <c r="CM26" s="20"/>
      <c r="CN26" s="20"/>
      <c r="CO26" s="20"/>
      <c r="CP26" s="20"/>
      <c r="CQ26" s="20"/>
      <c r="CR26" s="20"/>
      <c r="CS26" s="20"/>
      <c r="CT26" s="20"/>
      <c r="CU26" s="20"/>
      <c r="CV26" s="20"/>
      <c r="CW26" s="20"/>
      <c r="CX26" s="20"/>
      <c r="CY26" s="20"/>
      <c r="CZ26" s="20"/>
      <c r="DA26" s="20"/>
      <c r="DB26" s="20"/>
      <c r="DC26" s="20"/>
      <c r="DD26" s="20"/>
      <c r="DE26" s="20"/>
      <c r="DF26" s="20"/>
      <c r="DG26" s="20"/>
      <c r="DH26" s="20"/>
      <c r="DI26" s="20"/>
      <c r="DJ26" s="20"/>
      <c r="DK26" s="20"/>
      <c r="DL26" s="20"/>
      <c r="DM26" s="20"/>
      <c r="DN26" s="20"/>
      <c r="DO26" s="20"/>
      <c r="DP26" s="20"/>
      <c r="DQ26" s="20"/>
      <c r="DR26" s="20"/>
      <c r="DS26" s="20"/>
      <c r="DT26" s="20"/>
      <c r="DU26" s="20"/>
      <c r="DV26" s="20"/>
      <c r="DW26" s="20"/>
      <c r="DX26" s="20"/>
      <c r="DY26" s="20"/>
      <c r="DZ26" s="20"/>
      <c r="EA26" s="20"/>
      <c r="EB26" s="20"/>
      <c r="EC26" s="20"/>
      <c r="ED26" s="20"/>
      <c r="EE26" s="20"/>
      <c r="EF26" s="20"/>
      <c r="EG26" s="20"/>
      <c r="EH26" s="20"/>
      <c r="EI26" s="20"/>
      <c r="EJ26" s="20"/>
      <c r="EK26" s="20"/>
      <c r="EL26" s="20"/>
      <c r="EM26" s="20"/>
      <c r="EN26" s="20"/>
      <c r="EO26" s="20"/>
      <c r="EP26" s="20"/>
      <c r="EQ26" s="20"/>
      <c r="ER26" s="20"/>
      <c r="ES26" s="20"/>
      <c r="ET26" s="20"/>
      <c r="EU26" s="20"/>
      <c r="EV26" s="20"/>
      <c r="EW26" s="20"/>
      <c r="EX26" s="20"/>
      <c r="EY26" s="20"/>
      <c r="EZ26" s="20"/>
      <c r="FA26" s="20"/>
      <c r="FB26" s="20"/>
      <c r="FC26" s="20"/>
      <c r="FD26" s="20"/>
      <c r="FE26" s="20"/>
      <c r="FF26" s="20"/>
      <c r="FG26" s="20"/>
      <c r="FH26" s="20"/>
      <c r="FI26" s="20"/>
      <c r="FJ26" s="20"/>
      <c r="FK26" s="20"/>
      <c r="FL26" s="20"/>
      <c r="FM26" s="20"/>
      <c r="FN26" s="20"/>
      <c r="FO26" s="20"/>
      <c r="FP26" s="20"/>
      <c r="FQ26" s="20"/>
      <c r="FR26" s="20"/>
      <c r="FS26" s="20"/>
      <c r="FT26" s="20"/>
      <c r="FU26" s="20"/>
      <c r="FV26" s="20"/>
      <c r="FW26" s="20"/>
      <c r="FX26" s="20"/>
      <c r="FY26" s="20"/>
      <c r="FZ26" s="20"/>
      <c r="GA26" s="20"/>
      <c r="GB26" s="20"/>
      <c r="GC26" s="20"/>
      <c r="GD26" s="20"/>
      <c r="GE26" s="20"/>
      <c r="GF26" s="20"/>
      <c r="GG26" s="20"/>
      <c r="GH26" s="20"/>
      <c r="GI26" s="20"/>
      <c r="GJ26" s="20"/>
      <c r="GK26" s="20"/>
      <c r="GL26" s="20"/>
      <c r="GM26" s="20"/>
      <c r="GN26" s="20"/>
      <c r="GO26" s="20"/>
      <c r="GP26" s="20"/>
      <c r="GQ26" s="20"/>
      <c r="GR26" s="20"/>
      <c r="GS26" s="20"/>
      <c r="GT26" s="20"/>
      <c r="GU26" s="20"/>
      <c r="GV26" s="20"/>
      <c r="GW26" s="20"/>
      <c r="GX26" s="20"/>
      <c r="GY26" s="20"/>
      <c r="GZ26" s="20"/>
      <c r="HA26" s="20"/>
      <c r="HB26" s="20"/>
      <c r="HC26" s="20"/>
      <c r="HD26" s="20"/>
      <c r="HE26" s="20"/>
      <c r="HF26" s="20"/>
      <c r="HG26" s="20"/>
      <c r="HH26" s="20"/>
      <c r="HI26" s="20"/>
      <c r="HJ26" s="20"/>
      <c r="HK26" s="20"/>
      <c r="HL26" s="20"/>
      <c r="HM26" s="20"/>
      <c r="HN26" s="20"/>
      <c r="HO26" s="20"/>
      <c r="HP26" s="20"/>
      <c r="HQ26" s="20"/>
      <c r="HR26" s="20"/>
      <c r="HS26" s="20"/>
      <c r="HT26" s="20"/>
      <c r="HU26" s="20"/>
      <c r="HV26" s="20"/>
      <c r="HW26" s="20"/>
      <c r="HX26" s="20"/>
      <c r="HY26" s="20"/>
      <c r="HZ26" s="20"/>
      <c r="IA26" s="20"/>
      <c r="IB26" s="20"/>
      <c r="IC26" s="20"/>
      <c r="ID26" s="20"/>
      <c r="IE26" s="20"/>
      <c r="IF26" s="20"/>
      <c r="IG26" s="20"/>
      <c r="IH26" s="20"/>
      <c r="II26" s="20"/>
      <c r="IJ26" s="20"/>
      <c r="IK26" s="20"/>
      <c r="IL26" s="20"/>
      <c r="IM26" s="20"/>
    </row>
    <row r="27" spans="1:247" ht="14.25" x14ac:dyDescent="0.15">
      <c r="A27" s="35" t="s">
        <v>34</v>
      </c>
      <c r="B27" s="19">
        <v>1480</v>
      </c>
      <c r="C27" s="19">
        <v>0</v>
      </c>
      <c r="D27" s="19"/>
      <c r="E27" s="28">
        <v>0</v>
      </c>
      <c r="F27" s="28"/>
      <c r="G27" s="28">
        <v>0</v>
      </c>
      <c r="H27" s="28">
        <v>254</v>
      </c>
      <c r="I27" s="28">
        <v>0</v>
      </c>
      <c r="J27" s="28">
        <v>0</v>
      </c>
      <c r="K27" s="44" t="s">
        <v>14</v>
      </c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  <c r="AY27" s="20"/>
      <c r="AZ27" s="20"/>
      <c r="BA27" s="20"/>
      <c r="BB27" s="20"/>
      <c r="BC27" s="20"/>
      <c r="BD27" s="20"/>
      <c r="BE27" s="20"/>
      <c r="BF27" s="20"/>
      <c r="BG27" s="20"/>
      <c r="BH27" s="20"/>
      <c r="BI27" s="20"/>
      <c r="BJ27" s="20"/>
      <c r="BK27" s="20"/>
      <c r="BL27" s="20"/>
      <c r="BM27" s="20"/>
      <c r="BN27" s="20"/>
      <c r="BO27" s="20"/>
      <c r="BP27" s="20"/>
      <c r="BQ27" s="20"/>
      <c r="BR27" s="20"/>
      <c r="BS27" s="20"/>
      <c r="BT27" s="20"/>
      <c r="BU27" s="20"/>
      <c r="BV27" s="20"/>
      <c r="BW27" s="20"/>
      <c r="BX27" s="20"/>
      <c r="BY27" s="20"/>
      <c r="BZ27" s="20"/>
      <c r="CA27" s="20"/>
      <c r="CB27" s="20"/>
      <c r="CC27" s="20"/>
      <c r="CD27" s="20"/>
      <c r="CE27" s="20"/>
      <c r="CF27" s="20"/>
      <c r="CG27" s="20"/>
      <c r="CH27" s="20"/>
      <c r="CI27" s="20"/>
      <c r="CJ27" s="20"/>
      <c r="CK27" s="20"/>
      <c r="CL27" s="20"/>
      <c r="CM27" s="20"/>
      <c r="CN27" s="20"/>
      <c r="CO27" s="20"/>
      <c r="CP27" s="20"/>
      <c r="CQ27" s="20"/>
      <c r="CR27" s="20"/>
      <c r="CS27" s="20"/>
      <c r="CT27" s="20"/>
      <c r="CU27" s="20"/>
      <c r="CV27" s="20"/>
      <c r="CW27" s="20"/>
      <c r="CX27" s="20"/>
      <c r="CY27" s="20"/>
      <c r="CZ27" s="20"/>
      <c r="DA27" s="20"/>
      <c r="DB27" s="20"/>
      <c r="DC27" s="20"/>
      <c r="DD27" s="20"/>
      <c r="DE27" s="20"/>
      <c r="DF27" s="20"/>
      <c r="DG27" s="20"/>
      <c r="DH27" s="20"/>
      <c r="DI27" s="20"/>
      <c r="DJ27" s="20"/>
      <c r="DK27" s="20"/>
      <c r="DL27" s="20"/>
      <c r="DM27" s="20"/>
      <c r="DN27" s="20"/>
      <c r="DO27" s="20"/>
      <c r="DP27" s="20"/>
      <c r="DQ27" s="20"/>
      <c r="DR27" s="20"/>
      <c r="DS27" s="20"/>
      <c r="DT27" s="20"/>
      <c r="DU27" s="20"/>
      <c r="DV27" s="20"/>
      <c r="DW27" s="20"/>
      <c r="DX27" s="20"/>
      <c r="DY27" s="20"/>
      <c r="DZ27" s="20"/>
      <c r="EA27" s="20"/>
      <c r="EB27" s="20"/>
      <c r="EC27" s="20"/>
      <c r="ED27" s="20"/>
      <c r="EE27" s="20"/>
      <c r="EF27" s="20"/>
      <c r="EG27" s="20"/>
      <c r="EH27" s="20"/>
      <c r="EI27" s="20"/>
      <c r="EJ27" s="20"/>
      <c r="EK27" s="20"/>
      <c r="EL27" s="20"/>
      <c r="EM27" s="20"/>
      <c r="EN27" s="20"/>
      <c r="EO27" s="20"/>
      <c r="EP27" s="20"/>
      <c r="EQ27" s="20"/>
      <c r="ER27" s="20"/>
      <c r="ES27" s="20"/>
      <c r="ET27" s="20"/>
      <c r="EU27" s="20"/>
      <c r="EV27" s="20"/>
      <c r="EW27" s="20"/>
      <c r="EX27" s="20"/>
      <c r="EY27" s="20"/>
      <c r="EZ27" s="20"/>
      <c r="FA27" s="20"/>
      <c r="FB27" s="20"/>
      <c r="FC27" s="20"/>
      <c r="FD27" s="20"/>
      <c r="FE27" s="20"/>
      <c r="FF27" s="20"/>
      <c r="FG27" s="20"/>
      <c r="FH27" s="20"/>
      <c r="FI27" s="20"/>
      <c r="FJ27" s="20"/>
      <c r="FK27" s="20"/>
      <c r="FL27" s="20"/>
      <c r="FM27" s="20"/>
      <c r="FN27" s="20"/>
      <c r="FO27" s="20"/>
      <c r="FP27" s="20"/>
      <c r="FQ27" s="20"/>
      <c r="FR27" s="20"/>
      <c r="FS27" s="20"/>
      <c r="FT27" s="20"/>
      <c r="FU27" s="20"/>
      <c r="FV27" s="20"/>
      <c r="FW27" s="20"/>
      <c r="FX27" s="20"/>
      <c r="FY27" s="20"/>
      <c r="FZ27" s="20"/>
      <c r="GA27" s="20"/>
      <c r="GB27" s="20"/>
      <c r="GC27" s="20"/>
      <c r="GD27" s="20"/>
      <c r="GE27" s="20"/>
      <c r="GF27" s="20"/>
      <c r="GG27" s="20"/>
      <c r="GH27" s="20"/>
      <c r="GI27" s="20"/>
      <c r="GJ27" s="20"/>
      <c r="GK27" s="20"/>
      <c r="GL27" s="20"/>
      <c r="GM27" s="20"/>
      <c r="GN27" s="20"/>
      <c r="GO27" s="20"/>
      <c r="GP27" s="20"/>
      <c r="GQ27" s="20"/>
      <c r="GR27" s="20"/>
      <c r="GS27" s="20"/>
      <c r="GT27" s="20"/>
      <c r="GU27" s="20"/>
      <c r="GV27" s="20"/>
      <c r="GW27" s="20"/>
      <c r="GX27" s="20"/>
      <c r="GY27" s="20"/>
      <c r="GZ27" s="20"/>
      <c r="HA27" s="20"/>
      <c r="HB27" s="20"/>
      <c r="HC27" s="20"/>
      <c r="HD27" s="20"/>
      <c r="HE27" s="20"/>
      <c r="HF27" s="20"/>
      <c r="HG27" s="20"/>
      <c r="HH27" s="20"/>
      <c r="HI27" s="20"/>
      <c r="HJ27" s="20"/>
      <c r="HK27" s="20"/>
      <c r="HL27" s="20"/>
      <c r="HM27" s="20"/>
      <c r="HN27" s="20"/>
      <c r="HO27" s="20"/>
      <c r="HP27" s="20"/>
      <c r="HQ27" s="20"/>
      <c r="HR27" s="20"/>
      <c r="HS27" s="20"/>
      <c r="HT27" s="20"/>
      <c r="HU27" s="20"/>
      <c r="HV27" s="20"/>
      <c r="HW27" s="20"/>
      <c r="HX27" s="20"/>
      <c r="HY27" s="20"/>
      <c r="HZ27" s="20"/>
      <c r="IA27" s="20"/>
      <c r="IB27" s="20"/>
      <c r="IC27" s="20"/>
      <c r="ID27" s="20"/>
      <c r="IE27" s="20"/>
      <c r="IF27" s="20"/>
      <c r="IG27" s="20"/>
      <c r="IH27" s="20"/>
      <c r="II27" s="20"/>
      <c r="IJ27" s="20"/>
      <c r="IK27" s="20"/>
      <c r="IL27" s="20"/>
      <c r="IM27" s="20"/>
    </row>
    <row r="28" spans="1:247" ht="14.25" x14ac:dyDescent="0.15">
      <c r="A28" s="35" t="s">
        <v>35</v>
      </c>
      <c r="B28" s="19">
        <v>3566</v>
      </c>
      <c r="C28" s="19">
        <v>0</v>
      </c>
      <c r="D28" s="19"/>
      <c r="E28" s="28">
        <v>0</v>
      </c>
      <c r="F28" s="28"/>
      <c r="G28" s="28">
        <v>0</v>
      </c>
      <c r="H28" s="28">
        <v>39</v>
      </c>
      <c r="I28" s="28">
        <v>0</v>
      </c>
      <c r="J28" s="28">
        <v>0</v>
      </c>
      <c r="K28" s="44" t="s">
        <v>15</v>
      </c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  <c r="AY28" s="20"/>
      <c r="AZ28" s="20"/>
      <c r="BA28" s="20"/>
      <c r="BB28" s="20"/>
      <c r="BC28" s="20"/>
      <c r="BD28" s="20"/>
      <c r="BE28" s="20"/>
      <c r="BF28" s="20"/>
      <c r="BG28" s="20"/>
      <c r="BH28" s="20"/>
      <c r="BI28" s="20"/>
      <c r="BJ28" s="20"/>
      <c r="BK28" s="20"/>
      <c r="BL28" s="20"/>
      <c r="BM28" s="20"/>
      <c r="BN28" s="20"/>
      <c r="BO28" s="20"/>
      <c r="BP28" s="20"/>
      <c r="BQ28" s="20"/>
      <c r="BR28" s="20"/>
      <c r="BS28" s="20"/>
      <c r="BT28" s="20"/>
      <c r="BU28" s="20"/>
      <c r="BV28" s="20"/>
      <c r="BW28" s="20"/>
      <c r="BX28" s="20"/>
      <c r="BY28" s="20"/>
      <c r="BZ28" s="20"/>
      <c r="CA28" s="20"/>
      <c r="CB28" s="20"/>
      <c r="CC28" s="20"/>
      <c r="CD28" s="20"/>
      <c r="CE28" s="20"/>
      <c r="CF28" s="20"/>
      <c r="CG28" s="20"/>
      <c r="CH28" s="20"/>
      <c r="CI28" s="20"/>
      <c r="CJ28" s="20"/>
      <c r="CK28" s="20"/>
      <c r="CL28" s="20"/>
      <c r="CM28" s="20"/>
      <c r="CN28" s="20"/>
      <c r="CO28" s="20"/>
      <c r="CP28" s="20"/>
      <c r="CQ28" s="20"/>
      <c r="CR28" s="20"/>
      <c r="CS28" s="20"/>
      <c r="CT28" s="20"/>
      <c r="CU28" s="20"/>
      <c r="CV28" s="20"/>
      <c r="CW28" s="20"/>
      <c r="CX28" s="20"/>
      <c r="CY28" s="20"/>
      <c r="CZ28" s="20"/>
      <c r="DA28" s="20"/>
      <c r="DB28" s="20"/>
      <c r="DC28" s="20"/>
      <c r="DD28" s="20"/>
      <c r="DE28" s="20"/>
      <c r="DF28" s="20"/>
      <c r="DG28" s="20"/>
      <c r="DH28" s="20"/>
      <c r="DI28" s="20"/>
      <c r="DJ28" s="20"/>
      <c r="DK28" s="20"/>
      <c r="DL28" s="20"/>
      <c r="DM28" s="20"/>
      <c r="DN28" s="20"/>
      <c r="DO28" s="20"/>
      <c r="DP28" s="20"/>
      <c r="DQ28" s="20"/>
      <c r="DR28" s="20"/>
      <c r="DS28" s="20"/>
      <c r="DT28" s="20"/>
      <c r="DU28" s="20"/>
      <c r="DV28" s="20"/>
      <c r="DW28" s="20"/>
      <c r="DX28" s="20"/>
      <c r="DY28" s="20"/>
      <c r="DZ28" s="20"/>
      <c r="EA28" s="20"/>
      <c r="EB28" s="20"/>
      <c r="EC28" s="20"/>
      <c r="ED28" s="20"/>
      <c r="EE28" s="20"/>
      <c r="EF28" s="20"/>
      <c r="EG28" s="20"/>
      <c r="EH28" s="20"/>
      <c r="EI28" s="20"/>
      <c r="EJ28" s="20"/>
      <c r="EK28" s="20"/>
      <c r="EL28" s="20"/>
      <c r="EM28" s="20"/>
      <c r="EN28" s="20"/>
      <c r="EO28" s="20"/>
      <c r="EP28" s="20"/>
      <c r="EQ28" s="20"/>
      <c r="ER28" s="20"/>
      <c r="ES28" s="20"/>
      <c r="ET28" s="20"/>
      <c r="EU28" s="20"/>
      <c r="EV28" s="20"/>
      <c r="EW28" s="20"/>
      <c r="EX28" s="20"/>
      <c r="EY28" s="20"/>
      <c r="EZ28" s="20"/>
      <c r="FA28" s="20"/>
      <c r="FB28" s="20"/>
      <c r="FC28" s="20"/>
      <c r="FD28" s="20"/>
      <c r="FE28" s="20"/>
      <c r="FF28" s="20"/>
      <c r="FG28" s="20"/>
      <c r="FH28" s="20"/>
      <c r="FI28" s="20"/>
      <c r="FJ28" s="20"/>
      <c r="FK28" s="20"/>
      <c r="FL28" s="20"/>
      <c r="FM28" s="20"/>
      <c r="FN28" s="20"/>
      <c r="FO28" s="20"/>
      <c r="FP28" s="20"/>
      <c r="FQ28" s="20"/>
      <c r="FR28" s="20"/>
      <c r="FS28" s="20"/>
      <c r="FT28" s="20"/>
      <c r="FU28" s="20"/>
      <c r="FV28" s="20"/>
      <c r="FW28" s="20"/>
      <c r="FX28" s="20"/>
      <c r="FY28" s="20"/>
      <c r="FZ28" s="20"/>
      <c r="GA28" s="20"/>
      <c r="GB28" s="20"/>
      <c r="GC28" s="20"/>
      <c r="GD28" s="20"/>
      <c r="GE28" s="20"/>
      <c r="GF28" s="20"/>
      <c r="GG28" s="20"/>
      <c r="GH28" s="20"/>
      <c r="GI28" s="20"/>
      <c r="GJ28" s="20"/>
      <c r="GK28" s="20"/>
      <c r="GL28" s="20"/>
      <c r="GM28" s="20"/>
      <c r="GN28" s="20"/>
      <c r="GO28" s="20"/>
      <c r="GP28" s="20"/>
      <c r="GQ28" s="20"/>
      <c r="GR28" s="20"/>
      <c r="GS28" s="20"/>
      <c r="GT28" s="20"/>
      <c r="GU28" s="20"/>
      <c r="GV28" s="20"/>
      <c r="GW28" s="20"/>
      <c r="GX28" s="20"/>
      <c r="GY28" s="20"/>
      <c r="GZ28" s="20"/>
      <c r="HA28" s="20"/>
      <c r="HB28" s="20"/>
      <c r="HC28" s="20"/>
      <c r="HD28" s="20"/>
      <c r="HE28" s="20"/>
      <c r="HF28" s="20"/>
      <c r="HG28" s="20"/>
      <c r="HH28" s="20"/>
      <c r="HI28" s="20"/>
      <c r="HJ28" s="20"/>
      <c r="HK28" s="20"/>
      <c r="HL28" s="20"/>
      <c r="HM28" s="20"/>
      <c r="HN28" s="20"/>
      <c r="HO28" s="20"/>
      <c r="HP28" s="20"/>
      <c r="HQ28" s="20"/>
      <c r="HR28" s="20"/>
      <c r="HS28" s="20"/>
      <c r="HT28" s="20"/>
      <c r="HU28" s="20"/>
      <c r="HV28" s="20"/>
      <c r="HW28" s="20"/>
      <c r="HX28" s="20"/>
      <c r="HY28" s="20"/>
      <c r="HZ28" s="20"/>
      <c r="IA28" s="20"/>
      <c r="IB28" s="20"/>
      <c r="IC28" s="20"/>
      <c r="ID28" s="20"/>
      <c r="IE28" s="20"/>
      <c r="IF28" s="20"/>
      <c r="IG28" s="20"/>
      <c r="IH28" s="20"/>
      <c r="II28" s="20"/>
      <c r="IJ28" s="20"/>
      <c r="IK28" s="20"/>
      <c r="IL28" s="20"/>
      <c r="IM28" s="20"/>
    </row>
    <row r="29" spans="1:247" s="21" customFormat="1" ht="14.25" x14ac:dyDescent="0.25">
      <c r="A29" s="35" t="s">
        <v>36</v>
      </c>
      <c r="B29" s="19">
        <v>4272</v>
      </c>
      <c r="C29" s="19">
        <v>0</v>
      </c>
      <c r="D29" s="19"/>
      <c r="E29" s="28">
        <v>0</v>
      </c>
      <c r="F29" s="28"/>
      <c r="G29" s="28">
        <v>0</v>
      </c>
      <c r="H29" s="28">
        <v>0</v>
      </c>
      <c r="I29" s="28">
        <v>0</v>
      </c>
      <c r="J29" s="28">
        <v>0</v>
      </c>
      <c r="K29" s="44" t="s">
        <v>16</v>
      </c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  <c r="AY29" s="20"/>
      <c r="AZ29" s="20"/>
      <c r="BA29" s="20"/>
      <c r="BB29" s="20"/>
      <c r="BC29" s="20"/>
      <c r="BD29" s="20"/>
      <c r="BE29" s="20"/>
      <c r="BF29" s="20"/>
      <c r="BG29" s="20"/>
      <c r="BH29" s="20"/>
      <c r="BI29" s="20"/>
      <c r="BJ29" s="20"/>
      <c r="BK29" s="20"/>
      <c r="BL29" s="20"/>
      <c r="BM29" s="20"/>
      <c r="BN29" s="20"/>
      <c r="BO29" s="20"/>
      <c r="BP29" s="20"/>
      <c r="BQ29" s="20"/>
      <c r="BR29" s="20"/>
      <c r="BS29" s="20"/>
      <c r="BT29" s="20"/>
      <c r="BU29" s="20"/>
      <c r="BV29" s="20"/>
      <c r="BW29" s="20"/>
      <c r="BX29" s="20"/>
      <c r="BY29" s="20"/>
      <c r="BZ29" s="20"/>
      <c r="CA29" s="20"/>
      <c r="CB29" s="20"/>
      <c r="CC29" s="20"/>
      <c r="CD29" s="20"/>
      <c r="CE29" s="20"/>
      <c r="CF29" s="20"/>
      <c r="CG29" s="20"/>
      <c r="CH29" s="20"/>
      <c r="CI29" s="20"/>
      <c r="CJ29" s="20"/>
      <c r="CK29" s="20"/>
      <c r="CL29" s="20"/>
      <c r="CM29" s="20"/>
      <c r="CN29" s="20"/>
      <c r="CO29" s="20"/>
      <c r="CP29" s="20"/>
      <c r="CQ29" s="20"/>
      <c r="CR29" s="20"/>
      <c r="CS29" s="20"/>
      <c r="CT29" s="20"/>
      <c r="CU29" s="20"/>
      <c r="CV29" s="20"/>
      <c r="CW29" s="20"/>
      <c r="CX29" s="20"/>
      <c r="CY29" s="20"/>
      <c r="CZ29" s="20"/>
      <c r="DA29" s="20"/>
      <c r="DB29" s="20"/>
      <c r="DC29" s="20"/>
      <c r="DD29" s="20"/>
      <c r="DE29" s="20"/>
      <c r="DF29" s="20"/>
      <c r="DG29" s="20"/>
      <c r="DH29" s="20"/>
      <c r="DI29" s="20"/>
      <c r="DJ29" s="20"/>
      <c r="DK29" s="20"/>
      <c r="DL29" s="20"/>
      <c r="DM29" s="20"/>
      <c r="DN29" s="20"/>
      <c r="DO29" s="20"/>
      <c r="DP29" s="20"/>
      <c r="DQ29" s="20"/>
      <c r="DR29" s="20"/>
      <c r="DS29" s="20"/>
      <c r="DT29" s="20"/>
      <c r="DU29" s="20"/>
      <c r="DV29" s="20"/>
      <c r="DW29" s="20"/>
      <c r="DX29" s="20"/>
      <c r="DY29" s="20"/>
      <c r="DZ29" s="20"/>
      <c r="EA29" s="20"/>
      <c r="EB29" s="20"/>
      <c r="EC29" s="20"/>
      <c r="ED29" s="20"/>
      <c r="EE29" s="20"/>
      <c r="EF29" s="20"/>
      <c r="EG29" s="20"/>
      <c r="EH29" s="20"/>
      <c r="EI29" s="20"/>
      <c r="EJ29" s="20"/>
      <c r="EK29" s="20"/>
      <c r="EL29" s="20"/>
      <c r="EM29" s="20"/>
      <c r="EN29" s="20"/>
      <c r="EO29" s="20"/>
      <c r="EP29" s="20"/>
      <c r="EQ29" s="20"/>
      <c r="ER29" s="20"/>
      <c r="ES29" s="20"/>
      <c r="ET29" s="20"/>
      <c r="EU29" s="20"/>
      <c r="EV29" s="20"/>
      <c r="EW29" s="20"/>
      <c r="EX29" s="20"/>
      <c r="EY29" s="20"/>
      <c r="EZ29" s="20"/>
      <c r="FA29" s="20"/>
      <c r="FB29" s="20"/>
      <c r="FC29" s="20"/>
      <c r="FD29" s="20"/>
      <c r="FE29" s="20"/>
      <c r="FF29" s="20"/>
      <c r="FG29" s="20"/>
      <c r="FH29" s="20"/>
      <c r="FI29" s="20"/>
      <c r="FJ29" s="20"/>
      <c r="FK29" s="20"/>
      <c r="FL29" s="20"/>
      <c r="FM29" s="20"/>
      <c r="FN29" s="20"/>
      <c r="FO29" s="20"/>
      <c r="FP29" s="20"/>
      <c r="FQ29" s="20"/>
      <c r="FR29" s="20"/>
      <c r="FS29" s="20"/>
      <c r="FT29" s="20"/>
      <c r="FU29" s="20"/>
      <c r="FV29" s="20"/>
      <c r="FW29" s="20"/>
      <c r="FX29" s="20"/>
      <c r="FY29" s="20"/>
      <c r="FZ29" s="20"/>
      <c r="GA29" s="20"/>
      <c r="GB29" s="20"/>
      <c r="GC29" s="20"/>
      <c r="GD29" s="20"/>
      <c r="GE29" s="20"/>
      <c r="GF29" s="20"/>
      <c r="GG29" s="20"/>
      <c r="GH29" s="20"/>
      <c r="GI29" s="20"/>
      <c r="GJ29" s="20"/>
      <c r="GK29" s="20"/>
      <c r="GL29" s="20"/>
      <c r="GM29" s="20"/>
      <c r="GN29" s="20"/>
      <c r="GO29" s="20"/>
      <c r="GP29" s="20"/>
      <c r="GQ29" s="20"/>
      <c r="GR29" s="20"/>
      <c r="GS29" s="20"/>
      <c r="GT29" s="20"/>
      <c r="GU29" s="20"/>
      <c r="GV29" s="20"/>
      <c r="GW29" s="20"/>
      <c r="GX29" s="20"/>
      <c r="GY29" s="20"/>
      <c r="GZ29" s="20"/>
      <c r="HA29" s="20"/>
      <c r="HB29" s="20"/>
      <c r="HC29" s="20"/>
      <c r="HD29" s="20"/>
      <c r="HE29" s="20"/>
      <c r="HF29" s="20"/>
      <c r="HG29" s="20"/>
      <c r="HH29" s="20"/>
      <c r="HI29" s="20"/>
      <c r="HJ29" s="20"/>
      <c r="HK29" s="20"/>
      <c r="HL29" s="20"/>
      <c r="HM29" s="20"/>
      <c r="HN29" s="20"/>
      <c r="HO29" s="20"/>
      <c r="HP29" s="20"/>
      <c r="HQ29" s="20"/>
      <c r="HR29" s="20"/>
      <c r="HS29" s="20"/>
      <c r="HT29" s="20"/>
      <c r="HU29" s="20"/>
      <c r="HV29" s="20"/>
      <c r="HW29" s="20"/>
      <c r="HX29" s="20"/>
      <c r="HY29" s="20"/>
      <c r="HZ29" s="20"/>
      <c r="IA29" s="20"/>
      <c r="IB29" s="20"/>
      <c r="IC29" s="20"/>
      <c r="ID29" s="20"/>
      <c r="IE29" s="20"/>
      <c r="IF29" s="20"/>
      <c r="IG29" s="20"/>
      <c r="IH29" s="20"/>
      <c r="II29" s="20"/>
      <c r="IJ29" s="20"/>
      <c r="IK29" s="20"/>
      <c r="IL29" s="20"/>
      <c r="IM29" s="20"/>
    </row>
    <row r="30" spans="1:247" s="21" customFormat="1" ht="14.25" x14ac:dyDescent="0.25">
      <c r="A30" s="35" t="s">
        <v>37</v>
      </c>
      <c r="B30" s="19">
        <v>2125</v>
      </c>
      <c r="C30" s="19">
        <v>0</v>
      </c>
      <c r="D30" s="19"/>
      <c r="E30" s="28">
        <v>0</v>
      </c>
      <c r="F30" s="28"/>
      <c r="G30" s="28">
        <v>0</v>
      </c>
      <c r="H30" s="28">
        <v>0</v>
      </c>
      <c r="I30" s="28">
        <v>0</v>
      </c>
      <c r="J30" s="28">
        <v>0</v>
      </c>
      <c r="K30" s="44" t="s">
        <v>17</v>
      </c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  <c r="AY30" s="20"/>
      <c r="AZ30" s="20"/>
      <c r="BA30" s="20"/>
      <c r="BB30" s="20"/>
      <c r="BC30" s="20"/>
      <c r="BD30" s="20"/>
      <c r="BE30" s="20"/>
      <c r="BF30" s="20"/>
      <c r="BG30" s="20"/>
      <c r="BH30" s="20"/>
      <c r="BI30" s="20"/>
      <c r="BJ30" s="20"/>
      <c r="BK30" s="20"/>
      <c r="BL30" s="20"/>
      <c r="BM30" s="20"/>
      <c r="BN30" s="20"/>
      <c r="BO30" s="20"/>
      <c r="BP30" s="20"/>
      <c r="BQ30" s="20"/>
      <c r="BR30" s="20"/>
      <c r="BS30" s="20"/>
      <c r="BT30" s="20"/>
      <c r="BU30" s="20"/>
      <c r="BV30" s="20"/>
      <c r="BW30" s="20"/>
      <c r="BX30" s="20"/>
      <c r="BY30" s="20"/>
      <c r="BZ30" s="20"/>
      <c r="CA30" s="20"/>
      <c r="CB30" s="20"/>
      <c r="CC30" s="20"/>
      <c r="CD30" s="20"/>
      <c r="CE30" s="20"/>
      <c r="CF30" s="20"/>
      <c r="CG30" s="20"/>
      <c r="CH30" s="20"/>
      <c r="CI30" s="20"/>
      <c r="CJ30" s="20"/>
      <c r="CK30" s="20"/>
      <c r="CL30" s="20"/>
      <c r="CM30" s="20"/>
      <c r="CN30" s="20"/>
      <c r="CO30" s="20"/>
      <c r="CP30" s="20"/>
      <c r="CQ30" s="20"/>
      <c r="CR30" s="20"/>
      <c r="CS30" s="20"/>
      <c r="CT30" s="20"/>
      <c r="CU30" s="20"/>
      <c r="CV30" s="20"/>
      <c r="CW30" s="20"/>
      <c r="CX30" s="20"/>
      <c r="CY30" s="20"/>
      <c r="CZ30" s="20"/>
      <c r="DA30" s="20"/>
      <c r="DB30" s="20"/>
      <c r="DC30" s="20"/>
      <c r="DD30" s="20"/>
      <c r="DE30" s="20"/>
      <c r="DF30" s="20"/>
      <c r="DG30" s="20"/>
      <c r="DH30" s="20"/>
      <c r="DI30" s="20"/>
      <c r="DJ30" s="20"/>
      <c r="DK30" s="20"/>
      <c r="DL30" s="20"/>
      <c r="DM30" s="20"/>
      <c r="DN30" s="20"/>
      <c r="DO30" s="20"/>
      <c r="DP30" s="20"/>
      <c r="DQ30" s="20"/>
      <c r="DR30" s="20"/>
      <c r="DS30" s="20"/>
      <c r="DT30" s="20"/>
      <c r="DU30" s="20"/>
      <c r="DV30" s="20"/>
      <c r="DW30" s="20"/>
      <c r="DX30" s="20"/>
      <c r="DY30" s="20"/>
      <c r="DZ30" s="20"/>
      <c r="EA30" s="20"/>
      <c r="EB30" s="20"/>
      <c r="EC30" s="20"/>
      <c r="ED30" s="20"/>
      <c r="EE30" s="20"/>
      <c r="EF30" s="20"/>
      <c r="EG30" s="20"/>
      <c r="EH30" s="20"/>
      <c r="EI30" s="20"/>
      <c r="EJ30" s="20"/>
      <c r="EK30" s="20"/>
      <c r="EL30" s="20"/>
      <c r="EM30" s="20"/>
      <c r="EN30" s="20"/>
      <c r="EO30" s="20"/>
      <c r="EP30" s="20"/>
      <c r="EQ30" s="20"/>
      <c r="ER30" s="20"/>
      <c r="ES30" s="20"/>
      <c r="ET30" s="20"/>
      <c r="EU30" s="20"/>
      <c r="EV30" s="20"/>
      <c r="EW30" s="20"/>
      <c r="EX30" s="20"/>
      <c r="EY30" s="20"/>
      <c r="EZ30" s="20"/>
      <c r="FA30" s="20"/>
      <c r="FB30" s="20"/>
      <c r="FC30" s="20"/>
      <c r="FD30" s="20"/>
      <c r="FE30" s="20"/>
      <c r="FF30" s="20"/>
      <c r="FG30" s="20"/>
      <c r="FH30" s="20"/>
      <c r="FI30" s="20"/>
      <c r="FJ30" s="20"/>
      <c r="FK30" s="20"/>
      <c r="FL30" s="20"/>
      <c r="FM30" s="20"/>
      <c r="FN30" s="20"/>
      <c r="FO30" s="20"/>
      <c r="FP30" s="20"/>
      <c r="FQ30" s="20"/>
      <c r="FR30" s="20"/>
      <c r="FS30" s="20"/>
      <c r="FT30" s="20"/>
      <c r="FU30" s="20"/>
      <c r="FV30" s="20"/>
      <c r="FW30" s="20"/>
      <c r="FX30" s="20"/>
      <c r="FY30" s="20"/>
      <c r="FZ30" s="20"/>
      <c r="GA30" s="20"/>
      <c r="GB30" s="20"/>
      <c r="GC30" s="20"/>
      <c r="GD30" s="20"/>
      <c r="GE30" s="20"/>
      <c r="GF30" s="20"/>
      <c r="GG30" s="20"/>
      <c r="GH30" s="20"/>
      <c r="GI30" s="20"/>
      <c r="GJ30" s="20"/>
      <c r="GK30" s="20"/>
      <c r="GL30" s="20"/>
      <c r="GM30" s="20"/>
      <c r="GN30" s="20"/>
      <c r="GO30" s="20"/>
      <c r="GP30" s="20"/>
      <c r="GQ30" s="20"/>
      <c r="GR30" s="20"/>
      <c r="GS30" s="20"/>
      <c r="GT30" s="20"/>
      <c r="GU30" s="20"/>
      <c r="GV30" s="20"/>
      <c r="GW30" s="20"/>
      <c r="GX30" s="20"/>
      <c r="GY30" s="20"/>
      <c r="GZ30" s="20"/>
      <c r="HA30" s="20"/>
      <c r="HB30" s="20"/>
      <c r="HC30" s="20"/>
      <c r="HD30" s="20"/>
      <c r="HE30" s="20"/>
      <c r="HF30" s="20"/>
      <c r="HG30" s="20"/>
      <c r="HH30" s="20"/>
      <c r="HI30" s="20"/>
      <c r="HJ30" s="20"/>
      <c r="HK30" s="20"/>
      <c r="HL30" s="20"/>
      <c r="HM30" s="20"/>
      <c r="HN30" s="20"/>
      <c r="HO30" s="20"/>
      <c r="HP30" s="20"/>
      <c r="HQ30" s="20"/>
      <c r="HR30" s="20"/>
      <c r="HS30" s="20"/>
      <c r="HT30" s="20"/>
      <c r="HU30" s="20"/>
      <c r="HV30" s="20"/>
      <c r="HW30" s="20"/>
      <c r="HX30" s="20"/>
      <c r="HY30" s="20"/>
      <c r="HZ30" s="20"/>
      <c r="IA30" s="20"/>
      <c r="IB30" s="20"/>
      <c r="IC30" s="20"/>
      <c r="ID30" s="20"/>
      <c r="IE30" s="20"/>
      <c r="IF30" s="20"/>
      <c r="IG30" s="20"/>
      <c r="IH30" s="20"/>
      <c r="II30" s="20"/>
      <c r="IJ30" s="20"/>
      <c r="IK30" s="20"/>
      <c r="IL30" s="20"/>
      <c r="IM30" s="20"/>
    </row>
    <row r="31" spans="1:247" s="21" customFormat="1" ht="14.25" x14ac:dyDescent="0.25">
      <c r="A31" s="35" t="s">
        <v>38</v>
      </c>
      <c r="B31" s="19">
        <v>3308</v>
      </c>
      <c r="C31" s="19">
        <v>0</v>
      </c>
      <c r="D31" s="19"/>
      <c r="E31" s="28">
        <v>0</v>
      </c>
      <c r="F31" s="28"/>
      <c r="G31" s="28">
        <v>0</v>
      </c>
      <c r="H31" s="28">
        <v>46</v>
      </c>
      <c r="I31" s="28">
        <v>0</v>
      </c>
      <c r="J31" s="28">
        <v>0</v>
      </c>
      <c r="K31" s="44" t="s">
        <v>18</v>
      </c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  <c r="AY31" s="20"/>
      <c r="AZ31" s="20"/>
      <c r="BA31" s="20"/>
      <c r="BB31" s="20"/>
      <c r="BC31" s="20"/>
      <c r="BD31" s="20"/>
      <c r="BE31" s="20"/>
      <c r="BF31" s="20"/>
      <c r="BG31" s="20"/>
      <c r="BH31" s="20"/>
      <c r="BI31" s="20"/>
      <c r="BJ31" s="20"/>
      <c r="BK31" s="20"/>
      <c r="BL31" s="20"/>
      <c r="BM31" s="20"/>
      <c r="BN31" s="20"/>
      <c r="BO31" s="20"/>
      <c r="BP31" s="20"/>
      <c r="BQ31" s="20"/>
      <c r="BR31" s="20"/>
      <c r="BS31" s="20"/>
      <c r="BT31" s="20"/>
      <c r="BU31" s="20"/>
      <c r="BV31" s="20"/>
      <c r="BW31" s="20"/>
      <c r="BX31" s="20"/>
      <c r="BY31" s="20"/>
      <c r="BZ31" s="20"/>
      <c r="CA31" s="20"/>
      <c r="CB31" s="20"/>
      <c r="CC31" s="20"/>
      <c r="CD31" s="20"/>
      <c r="CE31" s="20"/>
      <c r="CF31" s="20"/>
      <c r="CG31" s="20"/>
      <c r="CH31" s="20"/>
      <c r="CI31" s="20"/>
      <c r="CJ31" s="20"/>
      <c r="CK31" s="20"/>
      <c r="CL31" s="20"/>
      <c r="CM31" s="20"/>
      <c r="CN31" s="20"/>
      <c r="CO31" s="20"/>
      <c r="CP31" s="20"/>
      <c r="CQ31" s="20"/>
      <c r="CR31" s="20"/>
      <c r="CS31" s="20"/>
      <c r="CT31" s="20"/>
      <c r="CU31" s="20"/>
      <c r="CV31" s="20"/>
      <c r="CW31" s="20"/>
      <c r="CX31" s="20"/>
      <c r="CY31" s="20"/>
      <c r="CZ31" s="20"/>
      <c r="DA31" s="20"/>
      <c r="DB31" s="20"/>
      <c r="DC31" s="20"/>
      <c r="DD31" s="20"/>
      <c r="DE31" s="20"/>
      <c r="DF31" s="20"/>
      <c r="DG31" s="20"/>
      <c r="DH31" s="20"/>
      <c r="DI31" s="20"/>
      <c r="DJ31" s="20"/>
      <c r="DK31" s="20"/>
      <c r="DL31" s="20"/>
      <c r="DM31" s="20"/>
      <c r="DN31" s="20"/>
      <c r="DO31" s="20"/>
      <c r="DP31" s="20"/>
      <c r="DQ31" s="20"/>
      <c r="DR31" s="20"/>
      <c r="DS31" s="20"/>
      <c r="DT31" s="20"/>
      <c r="DU31" s="20"/>
      <c r="DV31" s="20"/>
      <c r="DW31" s="20"/>
      <c r="DX31" s="20"/>
      <c r="DY31" s="20"/>
      <c r="DZ31" s="20"/>
      <c r="EA31" s="20"/>
      <c r="EB31" s="20"/>
      <c r="EC31" s="20"/>
      <c r="ED31" s="20"/>
      <c r="EE31" s="20"/>
      <c r="EF31" s="20"/>
      <c r="EG31" s="20"/>
      <c r="EH31" s="20"/>
      <c r="EI31" s="20"/>
      <c r="EJ31" s="20"/>
      <c r="EK31" s="20"/>
      <c r="EL31" s="20"/>
      <c r="EM31" s="20"/>
      <c r="EN31" s="20"/>
      <c r="EO31" s="20"/>
      <c r="EP31" s="20"/>
      <c r="EQ31" s="20"/>
      <c r="ER31" s="20"/>
      <c r="ES31" s="20"/>
      <c r="ET31" s="20"/>
      <c r="EU31" s="20"/>
      <c r="EV31" s="20"/>
      <c r="EW31" s="20"/>
      <c r="EX31" s="20"/>
      <c r="EY31" s="20"/>
      <c r="EZ31" s="20"/>
      <c r="FA31" s="20"/>
      <c r="FB31" s="20"/>
      <c r="FC31" s="20"/>
      <c r="FD31" s="20"/>
      <c r="FE31" s="20"/>
      <c r="FF31" s="20"/>
      <c r="FG31" s="20"/>
      <c r="FH31" s="20"/>
      <c r="FI31" s="20"/>
      <c r="FJ31" s="20"/>
      <c r="FK31" s="20"/>
      <c r="FL31" s="20"/>
      <c r="FM31" s="20"/>
      <c r="FN31" s="20"/>
      <c r="FO31" s="20"/>
      <c r="FP31" s="20"/>
      <c r="FQ31" s="20"/>
      <c r="FR31" s="20"/>
      <c r="FS31" s="20"/>
      <c r="FT31" s="20"/>
      <c r="FU31" s="20"/>
      <c r="FV31" s="20"/>
      <c r="FW31" s="20"/>
      <c r="FX31" s="20"/>
      <c r="FY31" s="20"/>
      <c r="FZ31" s="20"/>
      <c r="GA31" s="20"/>
      <c r="GB31" s="20"/>
      <c r="GC31" s="20"/>
      <c r="GD31" s="20"/>
      <c r="GE31" s="20"/>
      <c r="GF31" s="20"/>
      <c r="GG31" s="20"/>
      <c r="GH31" s="20"/>
      <c r="GI31" s="20"/>
      <c r="GJ31" s="20"/>
      <c r="GK31" s="20"/>
      <c r="GL31" s="20"/>
      <c r="GM31" s="20"/>
      <c r="GN31" s="20"/>
      <c r="GO31" s="20"/>
      <c r="GP31" s="20"/>
      <c r="GQ31" s="20"/>
      <c r="GR31" s="20"/>
      <c r="GS31" s="20"/>
      <c r="GT31" s="20"/>
      <c r="GU31" s="20"/>
      <c r="GV31" s="20"/>
      <c r="GW31" s="20"/>
      <c r="GX31" s="20"/>
      <c r="GY31" s="20"/>
      <c r="GZ31" s="20"/>
      <c r="HA31" s="20"/>
      <c r="HB31" s="20"/>
      <c r="HC31" s="20"/>
      <c r="HD31" s="20"/>
      <c r="HE31" s="20"/>
      <c r="HF31" s="20"/>
      <c r="HG31" s="20"/>
      <c r="HH31" s="20"/>
      <c r="HI31" s="20"/>
      <c r="HJ31" s="20"/>
      <c r="HK31" s="20"/>
      <c r="HL31" s="20"/>
      <c r="HM31" s="20"/>
      <c r="HN31" s="20"/>
      <c r="HO31" s="20"/>
      <c r="HP31" s="20"/>
      <c r="HQ31" s="20"/>
      <c r="HR31" s="20"/>
      <c r="HS31" s="20"/>
      <c r="HT31" s="20"/>
      <c r="HU31" s="20"/>
      <c r="HV31" s="20"/>
      <c r="HW31" s="20"/>
      <c r="HX31" s="20"/>
      <c r="HY31" s="20"/>
      <c r="HZ31" s="20"/>
      <c r="IA31" s="20"/>
      <c r="IB31" s="20"/>
      <c r="IC31" s="20"/>
      <c r="ID31" s="20"/>
      <c r="IE31" s="20"/>
      <c r="IF31" s="20"/>
      <c r="IG31" s="20"/>
      <c r="IH31" s="20"/>
      <c r="II31" s="20"/>
      <c r="IJ31" s="20"/>
      <c r="IK31" s="20"/>
      <c r="IL31" s="20"/>
      <c r="IM31" s="20"/>
    </row>
    <row r="32" spans="1:247" s="21" customFormat="1" ht="14.25" x14ac:dyDescent="0.25">
      <c r="A32" s="36" t="s">
        <v>2</v>
      </c>
      <c r="B32" s="23">
        <v>1910</v>
      </c>
      <c r="C32" s="23">
        <v>0</v>
      </c>
      <c r="D32" s="23"/>
      <c r="E32" s="29">
        <v>113</v>
      </c>
      <c r="F32" s="29"/>
      <c r="G32" s="29">
        <v>0</v>
      </c>
      <c r="H32" s="29">
        <v>0</v>
      </c>
      <c r="I32" s="29">
        <v>0</v>
      </c>
      <c r="J32" s="29">
        <v>0</v>
      </c>
      <c r="K32" s="45" t="s">
        <v>19</v>
      </c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  <c r="AY32" s="20"/>
      <c r="AZ32" s="20"/>
      <c r="BA32" s="20"/>
      <c r="BB32" s="20"/>
      <c r="BC32" s="20"/>
      <c r="BD32" s="20"/>
      <c r="BE32" s="20"/>
      <c r="BF32" s="20"/>
      <c r="BG32" s="20"/>
      <c r="BH32" s="20"/>
      <c r="BI32" s="20"/>
      <c r="BJ32" s="20"/>
      <c r="BK32" s="20"/>
      <c r="BL32" s="20"/>
      <c r="BM32" s="20"/>
      <c r="BN32" s="20"/>
      <c r="BO32" s="20"/>
      <c r="BP32" s="20"/>
      <c r="BQ32" s="20"/>
      <c r="BR32" s="20"/>
      <c r="BS32" s="20"/>
      <c r="BT32" s="20"/>
      <c r="BU32" s="20"/>
      <c r="BV32" s="20"/>
      <c r="BW32" s="20"/>
      <c r="BX32" s="20"/>
      <c r="BY32" s="20"/>
      <c r="BZ32" s="20"/>
      <c r="CA32" s="20"/>
      <c r="CB32" s="20"/>
      <c r="CC32" s="20"/>
      <c r="CD32" s="20"/>
      <c r="CE32" s="20"/>
      <c r="CF32" s="20"/>
      <c r="CG32" s="20"/>
      <c r="CH32" s="20"/>
      <c r="CI32" s="20"/>
      <c r="CJ32" s="20"/>
      <c r="CK32" s="20"/>
      <c r="CL32" s="20"/>
      <c r="CM32" s="20"/>
      <c r="CN32" s="20"/>
      <c r="CO32" s="20"/>
      <c r="CP32" s="20"/>
      <c r="CQ32" s="20"/>
      <c r="CR32" s="20"/>
      <c r="CS32" s="20"/>
      <c r="CT32" s="20"/>
      <c r="CU32" s="20"/>
      <c r="CV32" s="20"/>
      <c r="CW32" s="20"/>
      <c r="CX32" s="20"/>
      <c r="CY32" s="20"/>
      <c r="CZ32" s="20"/>
      <c r="DA32" s="20"/>
      <c r="DB32" s="20"/>
      <c r="DC32" s="20"/>
      <c r="DD32" s="20"/>
      <c r="DE32" s="20"/>
      <c r="DF32" s="20"/>
      <c r="DG32" s="20"/>
      <c r="DH32" s="20"/>
      <c r="DI32" s="20"/>
      <c r="DJ32" s="20"/>
      <c r="DK32" s="20"/>
      <c r="DL32" s="20"/>
      <c r="DM32" s="20"/>
      <c r="DN32" s="20"/>
      <c r="DO32" s="20"/>
      <c r="DP32" s="20"/>
      <c r="DQ32" s="20"/>
      <c r="DR32" s="20"/>
      <c r="DS32" s="20"/>
      <c r="DT32" s="20"/>
      <c r="DU32" s="20"/>
      <c r="DV32" s="20"/>
      <c r="DW32" s="20"/>
      <c r="DX32" s="20"/>
      <c r="DY32" s="20"/>
      <c r="DZ32" s="20"/>
      <c r="EA32" s="20"/>
      <c r="EB32" s="20"/>
      <c r="EC32" s="20"/>
      <c r="ED32" s="20"/>
      <c r="EE32" s="20"/>
      <c r="EF32" s="20"/>
      <c r="EG32" s="20"/>
      <c r="EH32" s="20"/>
      <c r="EI32" s="20"/>
      <c r="EJ32" s="20"/>
      <c r="EK32" s="20"/>
      <c r="EL32" s="20"/>
      <c r="EM32" s="20"/>
      <c r="EN32" s="20"/>
      <c r="EO32" s="20"/>
      <c r="EP32" s="20"/>
      <c r="EQ32" s="20"/>
      <c r="ER32" s="20"/>
      <c r="ES32" s="20"/>
      <c r="ET32" s="20"/>
      <c r="EU32" s="20"/>
      <c r="EV32" s="20"/>
      <c r="EW32" s="20"/>
      <c r="EX32" s="20"/>
      <c r="EY32" s="20"/>
      <c r="EZ32" s="20"/>
      <c r="FA32" s="20"/>
      <c r="FB32" s="20"/>
      <c r="FC32" s="20"/>
      <c r="FD32" s="20"/>
      <c r="FE32" s="20"/>
      <c r="FF32" s="20"/>
      <c r="FG32" s="20"/>
      <c r="FH32" s="20"/>
      <c r="FI32" s="20"/>
      <c r="FJ32" s="20"/>
      <c r="FK32" s="20"/>
      <c r="FL32" s="20"/>
      <c r="FM32" s="20"/>
      <c r="FN32" s="20"/>
      <c r="FO32" s="20"/>
      <c r="FP32" s="20"/>
      <c r="FQ32" s="20"/>
      <c r="FR32" s="20"/>
      <c r="FS32" s="20"/>
      <c r="FT32" s="20"/>
      <c r="FU32" s="20"/>
      <c r="FV32" s="20"/>
      <c r="FW32" s="20"/>
      <c r="FX32" s="20"/>
      <c r="FY32" s="20"/>
      <c r="FZ32" s="20"/>
      <c r="GA32" s="20"/>
      <c r="GB32" s="20"/>
      <c r="GC32" s="20"/>
      <c r="GD32" s="20"/>
      <c r="GE32" s="20"/>
      <c r="GF32" s="20"/>
      <c r="GG32" s="20"/>
      <c r="GH32" s="20"/>
      <c r="GI32" s="20"/>
      <c r="GJ32" s="20"/>
      <c r="GK32" s="20"/>
      <c r="GL32" s="20"/>
      <c r="GM32" s="20"/>
      <c r="GN32" s="20"/>
      <c r="GO32" s="20"/>
      <c r="GP32" s="20"/>
      <c r="GQ32" s="20"/>
      <c r="GR32" s="20"/>
      <c r="GS32" s="20"/>
      <c r="GT32" s="20"/>
      <c r="GU32" s="20"/>
      <c r="GV32" s="20"/>
      <c r="GW32" s="20"/>
      <c r="GX32" s="20"/>
      <c r="GY32" s="20"/>
      <c r="GZ32" s="20"/>
      <c r="HA32" s="20"/>
      <c r="HB32" s="20"/>
      <c r="HC32" s="20"/>
      <c r="HD32" s="20"/>
      <c r="HE32" s="20"/>
      <c r="HF32" s="20"/>
      <c r="HG32" s="20"/>
      <c r="HH32" s="20"/>
      <c r="HI32" s="20"/>
      <c r="HJ32" s="20"/>
      <c r="HK32" s="20"/>
      <c r="HL32" s="20"/>
      <c r="HM32" s="20"/>
      <c r="HN32" s="20"/>
      <c r="HO32" s="20"/>
      <c r="HP32" s="20"/>
      <c r="HQ32" s="20"/>
      <c r="HR32" s="20"/>
      <c r="HS32" s="20"/>
      <c r="HT32" s="20"/>
      <c r="HU32" s="20"/>
      <c r="HV32" s="20"/>
      <c r="HW32" s="20"/>
      <c r="HX32" s="20"/>
      <c r="HY32" s="20"/>
      <c r="HZ32" s="20"/>
      <c r="IA32" s="20"/>
      <c r="IB32" s="20"/>
      <c r="IC32" s="20"/>
      <c r="ID32" s="20"/>
      <c r="IE32" s="20"/>
      <c r="IF32" s="20"/>
      <c r="IG32" s="20"/>
      <c r="IH32" s="20"/>
      <c r="II32" s="20"/>
      <c r="IJ32" s="20"/>
      <c r="IK32" s="20"/>
      <c r="IL32" s="20"/>
      <c r="IM32" s="20"/>
    </row>
    <row r="33" spans="1:247" s="21" customFormat="1" ht="14.25" x14ac:dyDescent="0.15">
      <c r="B33" s="24"/>
      <c r="C33" s="24"/>
      <c r="D33" s="24"/>
      <c r="K33" s="39" t="s">
        <v>41</v>
      </c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  <c r="CZ33" s="6"/>
      <c r="DA33" s="6"/>
      <c r="DB33" s="6"/>
      <c r="DC33" s="6"/>
      <c r="DD33" s="6"/>
      <c r="DE33" s="6"/>
      <c r="DF33" s="6"/>
      <c r="DG33" s="6"/>
      <c r="DH33" s="6"/>
      <c r="DI33" s="6"/>
      <c r="DJ33" s="6"/>
      <c r="DK33" s="6"/>
      <c r="DL33" s="6"/>
      <c r="DM33" s="6"/>
      <c r="DN33" s="6"/>
      <c r="DO33" s="6"/>
      <c r="DP33" s="6"/>
      <c r="DQ33" s="6"/>
      <c r="DR33" s="6"/>
      <c r="DS33" s="6"/>
      <c r="DT33" s="6"/>
      <c r="DU33" s="6"/>
      <c r="DV33" s="6"/>
      <c r="DW33" s="6"/>
      <c r="DX33" s="6"/>
      <c r="DY33" s="6"/>
      <c r="DZ33" s="6"/>
      <c r="EA33" s="6"/>
      <c r="EB33" s="6"/>
      <c r="EC33" s="6"/>
      <c r="ED33" s="6"/>
      <c r="EE33" s="6"/>
      <c r="EF33" s="6"/>
      <c r="EG33" s="6"/>
      <c r="EH33" s="6"/>
      <c r="EI33" s="6"/>
      <c r="EJ33" s="6"/>
      <c r="EK33" s="6"/>
      <c r="EL33" s="6"/>
      <c r="EM33" s="6"/>
      <c r="EN33" s="6"/>
      <c r="EO33" s="6"/>
      <c r="EP33" s="6"/>
      <c r="EQ33" s="6"/>
      <c r="ER33" s="6"/>
      <c r="ES33" s="6"/>
      <c r="ET33" s="6"/>
      <c r="EU33" s="6"/>
      <c r="EV33" s="6"/>
      <c r="EW33" s="6"/>
      <c r="EX33" s="6"/>
      <c r="EY33" s="6"/>
      <c r="EZ33" s="6"/>
      <c r="FA33" s="6"/>
      <c r="FB33" s="6"/>
      <c r="FC33" s="6"/>
      <c r="FD33" s="6"/>
      <c r="FE33" s="6"/>
      <c r="FF33" s="6"/>
      <c r="FG33" s="6"/>
      <c r="FH33" s="6"/>
      <c r="FI33" s="6"/>
      <c r="FJ33" s="6"/>
      <c r="FK33" s="6"/>
      <c r="FL33" s="6"/>
      <c r="FM33" s="6"/>
      <c r="FN33" s="6"/>
      <c r="FO33" s="6"/>
      <c r="FP33" s="6"/>
      <c r="FQ33" s="6"/>
      <c r="FR33" s="6"/>
      <c r="FS33" s="6"/>
      <c r="FT33" s="6"/>
      <c r="FU33" s="6"/>
      <c r="FV33" s="6"/>
      <c r="FW33" s="6"/>
      <c r="FX33" s="6"/>
      <c r="FY33" s="6"/>
      <c r="FZ33" s="6"/>
      <c r="GA33" s="6"/>
      <c r="GB33" s="6"/>
      <c r="GC33" s="6"/>
      <c r="GD33" s="6"/>
      <c r="GE33" s="6"/>
      <c r="GF33" s="6"/>
      <c r="GG33" s="6"/>
      <c r="GH33" s="6"/>
      <c r="GI33" s="6"/>
      <c r="GJ33" s="6"/>
      <c r="GK33" s="6"/>
      <c r="GL33" s="6"/>
      <c r="GM33" s="6"/>
      <c r="GN33" s="6"/>
      <c r="GO33" s="6"/>
      <c r="GP33" s="6"/>
      <c r="GQ33" s="6"/>
      <c r="GR33" s="6"/>
      <c r="GS33" s="6"/>
      <c r="GT33" s="6"/>
      <c r="GU33" s="6"/>
      <c r="GV33" s="6"/>
      <c r="GW33" s="6"/>
      <c r="GX33" s="6"/>
      <c r="GY33" s="6"/>
      <c r="GZ33" s="6"/>
      <c r="HA33" s="6"/>
      <c r="HB33" s="6"/>
      <c r="HC33" s="6"/>
      <c r="HD33" s="6"/>
      <c r="HE33" s="6"/>
      <c r="HF33" s="6"/>
      <c r="HG33" s="6"/>
      <c r="HH33" s="6"/>
      <c r="HI33" s="6"/>
      <c r="HJ33" s="6"/>
      <c r="HK33" s="6"/>
      <c r="HL33" s="6"/>
      <c r="HM33" s="6"/>
      <c r="HN33" s="6"/>
      <c r="HO33" s="6"/>
      <c r="HP33" s="6"/>
      <c r="HQ33" s="6"/>
      <c r="HR33" s="6"/>
      <c r="HS33" s="6"/>
      <c r="HT33" s="6"/>
      <c r="HU33" s="6"/>
      <c r="HV33" s="6"/>
      <c r="HW33" s="6"/>
      <c r="HX33" s="6"/>
      <c r="HY33" s="6"/>
      <c r="HZ33" s="6"/>
      <c r="IA33" s="6"/>
      <c r="IB33" s="6"/>
      <c r="IC33" s="6"/>
      <c r="ID33" s="6"/>
      <c r="IE33" s="6"/>
      <c r="IF33" s="6"/>
      <c r="IG33" s="6"/>
      <c r="IH33" s="6"/>
      <c r="II33" s="6"/>
      <c r="IJ33" s="6"/>
      <c r="IK33" s="6"/>
      <c r="IL33" s="6"/>
      <c r="IM33" s="6"/>
    </row>
    <row r="34" spans="1:247" x14ac:dyDescent="0.15">
      <c r="A34" s="25" t="s">
        <v>66</v>
      </c>
    </row>
    <row r="36" spans="1:247" ht="18" x14ac:dyDescent="0.15">
      <c r="A36" s="47" t="s">
        <v>42</v>
      </c>
      <c r="B36" s="50" t="s">
        <v>70</v>
      </c>
      <c r="C36" s="50"/>
      <c r="D36" s="50"/>
      <c r="E36" s="50"/>
      <c r="F36" s="50"/>
      <c r="G36" s="50"/>
      <c r="H36" s="50"/>
      <c r="I36" s="50"/>
      <c r="J36" s="50"/>
      <c r="K36" s="51" t="s">
        <v>55</v>
      </c>
    </row>
    <row r="37" spans="1:247" ht="40.15" customHeight="1" x14ac:dyDescent="0.15">
      <c r="A37" s="48"/>
      <c r="B37" s="40" t="s">
        <v>67</v>
      </c>
      <c r="C37" s="40" t="s">
        <v>57</v>
      </c>
      <c r="D37" s="40"/>
      <c r="E37" s="46" t="s">
        <v>58</v>
      </c>
      <c r="F37" s="46"/>
      <c r="G37" s="46" t="s">
        <v>59</v>
      </c>
      <c r="H37" s="46" t="s">
        <v>53</v>
      </c>
      <c r="I37" s="9" t="s">
        <v>39</v>
      </c>
      <c r="J37" s="41" t="s">
        <v>51</v>
      </c>
      <c r="K37" s="52"/>
    </row>
    <row r="38" spans="1:247" ht="12.75" x14ac:dyDescent="0.2">
      <c r="A38" s="48"/>
      <c r="B38" s="12" t="s">
        <v>60</v>
      </c>
      <c r="C38" s="37" t="s">
        <v>61</v>
      </c>
      <c r="D38" s="37"/>
      <c r="E38" s="37" t="s">
        <v>60</v>
      </c>
      <c r="F38" s="37"/>
      <c r="G38" s="37" t="s">
        <v>61</v>
      </c>
      <c r="H38" s="37" t="s">
        <v>62</v>
      </c>
      <c r="I38" s="37" t="s">
        <v>54</v>
      </c>
      <c r="J38" s="37" t="s">
        <v>49</v>
      </c>
      <c r="K38" s="52"/>
    </row>
    <row r="39" spans="1:247" ht="12.75" x14ac:dyDescent="0.2">
      <c r="A39" s="49"/>
      <c r="B39" s="14" t="s">
        <v>63</v>
      </c>
      <c r="C39" s="14" t="s">
        <v>63</v>
      </c>
      <c r="D39" s="14"/>
      <c r="E39" s="14" t="s">
        <v>52</v>
      </c>
      <c r="F39" s="14"/>
      <c r="G39" s="14" t="s">
        <v>52</v>
      </c>
      <c r="H39" s="14" t="s">
        <v>65</v>
      </c>
      <c r="I39" s="14"/>
      <c r="J39" s="14"/>
      <c r="K39" s="53"/>
    </row>
    <row r="40" spans="1:247" ht="14.25" x14ac:dyDescent="0.15">
      <c r="A40" s="2" t="s">
        <v>43</v>
      </c>
      <c r="B40" s="17">
        <f>B41+B43+B42</f>
        <v>512.33333333333337</v>
      </c>
      <c r="C40" s="17">
        <f>C41+C43+C42</f>
        <v>1</v>
      </c>
      <c r="D40" s="17"/>
      <c r="E40" s="17">
        <f t="shared" ref="E40" si="5">E41+E43+E42</f>
        <v>8.5</v>
      </c>
      <c r="F40" s="17"/>
      <c r="G40" s="17">
        <f>G41+G43+G42</f>
        <v>0</v>
      </c>
      <c r="H40" s="17">
        <f t="shared" ref="H40:J40" si="6">H41+H43+H42</f>
        <v>5.0113636363636367</v>
      </c>
      <c r="I40" s="17">
        <f t="shared" si="6"/>
        <v>0</v>
      </c>
      <c r="J40" s="17">
        <f t="shared" si="6"/>
        <v>34</v>
      </c>
      <c r="K40" s="38" t="s">
        <v>44</v>
      </c>
    </row>
    <row r="41" spans="1:247" ht="14.25" x14ac:dyDescent="0.15">
      <c r="A41" s="2" t="s">
        <v>45</v>
      </c>
      <c r="B41" s="17">
        <v>69.75</v>
      </c>
      <c r="C41" s="17">
        <v>0</v>
      </c>
      <c r="D41" s="17"/>
      <c r="E41" s="17">
        <v>1</v>
      </c>
      <c r="F41" s="30"/>
      <c r="G41" s="17">
        <v>0</v>
      </c>
      <c r="H41" s="17">
        <v>1.5454545454545454</v>
      </c>
      <c r="I41" s="17">
        <v>0</v>
      </c>
      <c r="J41" s="27"/>
      <c r="K41" s="38" t="s">
        <v>46</v>
      </c>
    </row>
    <row r="42" spans="1:247" s="26" customFormat="1" ht="14.25" x14ac:dyDescent="0.15">
      <c r="A42" s="2" t="s">
        <v>49</v>
      </c>
      <c r="B42" s="17">
        <v>0</v>
      </c>
      <c r="C42" s="17">
        <v>0</v>
      </c>
      <c r="D42" s="17"/>
      <c r="E42" s="17">
        <v>0</v>
      </c>
      <c r="F42" s="17"/>
      <c r="G42" s="17">
        <v>0</v>
      </c>
      <c r="H42" s="17">
        <v>0</v>
      </c>
      <c r="I42" s="17">
        <v>0</v>
      </c>
      <c r="J42" s="17">
        <v>34</v>
      </c>
      <c r="K42" s="38" t="s">
        <v>48</v>
      </c>
    </row>
    <row r="43" spans="1:247" ht="15" x14ac:dyDescent="0.15">
      <c r="A43" s="2" t="s">
        <v>47</v>
      </c>
      <c r="B43" s="17">
        <f>SUM(B44:B63)</f>
        <v>442.58333333333337</v>
      </c>
      <c r="C43" s="17">
        <f>SUM(C44:C63)</f>
        <v>1</v>
      </c>
      <c r="D43" s="17"/>
      <c r="E43" s="17">
        <f t="shared" ref="E43" si="7">SUM(E44:E63)</f>
        <v>7.5</v>
      </c>
      <c r="F43" s="17"/>
      <c r="G43" s="17">
        <f t="shared" ref="G43:H43" si="8">SUM(G44:G63)</f>
        <v>0</v>
      </c>
      <c r="H43" s="17">
        <f t="shared" si="8"/>
        <v>3.4659090909090908</v>
      </c>
      <c r="I43" s="17">
        <v>0</v>
      </c>
      <c r="J43" s="17">
        <f t="shared" ref="J43" si="9">SUM(J44:J63)</f>
        <v>0</v>
      </c>
      <c r="K43" s="43" t="s">
        <v>50</v>
      </c>
    </row>
    <row r="44" spans="1:247" ht="14.25" x14ac:dyDescent="0.15">
      <c r="A44" s="18" t="s">
        <v>20</v>
      </c>
      <c r="B44" s="19">
        <v>23.583333333333332</v>
      </c>
      <c r="C44" s="19">
        <v>1</v>
      </c>
      <c r="D44" s="19"/>
      <c r="E44" s="19">
        <v>0</v>
      </c>
      <c r="F44" s="24"/>
      <c r="G44" s="19">
        <v>0</v>
      </c>
      <c r="H44" s="19">
        <v>0</v>
      </c>
      <c r="I44" s="19">
        <v>0</v>
      </c>
      <c r="J44" s="19">
        <v>0</v>
      </c>
      <c r="K44" s="44" t="s">
        <v>0</v>
      </c>
    </row>
    <row r="45" spans="1:247" ht="14.25" x14ac:dyDescent="0.15">
      <c r="A45" s="18" t="s">
        <v>21</v>
      </c>
      <c r="B45" s="19">
        <v>9.5833333333333339</v>
      </c>
      <c r="C45" s="19">
        <v>0</v>
      </c>
      <c r="D45" s="19"/>
      <c r="E45" s="19">
        <v>0</v>
      </c>
      <c r="F45" s="24"/>
      <c r="G45" s="19">
        <v>0</v>
      </c>
      <c r="H45" s="19">
        <v>0</v>
      </c>
      <c r="I45" s="19">
        <v>0</v>
      </c>
      <c r="J45" s="19">
        <v>0</v>
      </c>
      <c r="K45" s="44" t="s">
        <v>1</v>
      </c>
    </row>
    <row r="46" spans="1:247" ht="14.25" x14ac:dyDescent="0.15">
      <c r="A46" s="18" t="s">
        <v>22</v>
      </c>
      <c r="B46" s="19">
        <v>19.833333333333332</v>
      </c>
      <c r="C46" s="19">
        <v>0</v>
      </c>
      <c r="D46" s="19"/>
      <c r="E46" s="19">
        <v>1</v>
      </c>
      <c r="F46" s="24"/>
      <c r="G46" s="19">
        <v>0</v>
      </c>
      <c r="H46" s="19">
        <v>0</v>
      </c>
      <c r="I46" s="19">
        <v>0</v>
      </c>
      <c r="J46" s="19">
        <v>0</v>
      </c>
      <c r="K46" s="44" t="s">
        <v>2</v>
      </c>
    </row>
    <row r="47" spans="1:247" ht="14.25" x14ac:dyDescent="0.15">
      <c r="A47" s="18" t="s">
        <v>23</v>
      </c>
      <c r="B47" s="19">
        <v>9.5833333333333339</v>
      </c>
      <c r="C47" s="19">
        <v>0</v>
      </c>
      <c r="D47" s="19"/>
      <c r="E47" s="19">
        <v>0</v>
      </c>
      <c r="F47" s="24"/>
      <c r="G47" s="19">
        <v>0</v>
      </c>
      <c r="H47" s="19">
        <v>0</v>
      </c>
      <c r="I47" s="19">
        <v>0</v>
      </c>
      <c r="J47" s="19">
        <v>0</v>
      </c>
      <c r="K47" s="44" t="s">
        <v>3</v>
      </c>
    </row>
    <row r="48" spans="1:247" ht="14.25" x14ac:dyDescent="0.15">
      <c r="A48" s="18" t="s">
        <v>24</v>
      </c>
      <c r="B48" s="19">
        <v>33</v>
      </c>
      <c r="C48" s="19">
        <v>0</v>
      </c>
      <c r="D48" s="19"/>
      <c r="E48" s="19">
        <v>1</v>
      </c>
      <c r="F48" s="24"/>
      <c r="G48" s="19">
        <v>0</v>
      </c>
      <c r="H48" s="19">
        <v>0</v>
      </c>
      <c r="I48" s="19">
        <v>0</v>
      </c>
      <c r="J48" s="19">
        <v>0</v>
      </c>
      <c r="K48" s="44" t="s">
        <v>4</v>
      </c>
    </row>
    <row r="49" spans="1:11" ht="14.25" x14ac:dyDescent="0.15">
      <c r="A49" s="18" t="s">
        <v>25</v>
      </c>
      <c r="B49" s="19">
        <v>17.25</v>
      </c>
      <c r="C49" s="19">
        <v>0</v>
      </c>
      <c r="D49" s="19"/>
      <c r="E49" s="19">
        <v>2.5</v>
      </c>
      <c r="F49" s="24"/>
      <c r="G49" s="19">
        <v>0</v>
      </c>
      <c r="H49" s="19">
        <v>0</v>
      </c>
      <c r="I49" s="19">
        <v>0</v>
      </c>
      <c r="J49" s="19">
        <v>0</v>
      </c>
      <c r="K49" s="44" t="s">
        <v>5</v>
      </c>
    </row>
    <row r="50" spans="1:11" ht="14.25" x14ac:dyDescent="0.15">
      <c r="A50" s="18" t="s">
        <v>26</v>
      </c>
      <c r="B50" s="19">
        <v>18</v>
      </c>
      <c r="C50" s="19">
        <v>0</v>
      </c>
      <c r="D50" s="19"/>
      <c r="E50" s="19">
        <v>0</v>
      </c>
      <c r="F50" s="24"/>
      <c r="G50" s="19">
        <v>0</v>
      </c>
      <c r="H50" s="19">
        <v>0</v>
      </c>
      <c r="I50" s="19">
        <v>0</v>
      </c>
      <c r="J50" s="19">
        <v>0</v>
      </c>
      <c r="K50" s="44" t="s">
        <v>6</v>
      </c>
    </row>
    <row r="51" spans="1:11" ht="14.25" x14ac:dyDescent="0.15">
      <c r="A51" s="18" t="s">
        <v>27</v>
      </c>
      <c r="B51" s="19">
        <v>18.166666666666668</v>
      </c>
      <c r="C51" s="19">
        <v>0</v>
      </c>
      <c r="D51" s="19"/>
      <c r="E51" s="19">
        <v>1</v>
      </c>
      <c r="F51" s="24"/>
      <c r="G51" s="19">
        <v>0</v>
      </c>
      <c r="H51" s="19">
        <v>0</v>
      </c>
      <c r="I51" s="19">
        <v>0</v>
      </c>
      <c r="J51" s="19">
        <v>0</v>
      </c>
      <c r="K51" s="44" t="s">
        <v>7</v>
      </c>
    </row>
    <row r="52" spans="1:11" ht="14.25" x14ac:dyDescent="0.15">
      <c r="A52" s="18" t="s">
        <v>28</v>
      </c>
      <c r="B52" s="19">
        <v>19.333333333333332</v>
      </c>
      <c r="C52" s="19">
        <v>0</v>
      </c>
      <c r="D52" s="19"/>
      <c r="E52" s="19">
        <v>0</v>
      </c>
      <c r="F52" s="24"/>
      <c r="G52" s="19">
        <v>0</v>
      </c>
      <c r="H52" s="19">
        <v>0</v>
      </c>
      <c r="I52" s="19">
        <v>0</v>
      </c>
      <c r="J52" s="19">
        <v>0</v>
      </c>
      <c r="K52" s="44" t="s">
        <v>8</v>
      </c>
    </row>
    <row r="53" spans="1:11" ht="14.25" x14ac:dyDescent="0.15">
      <c r="A53" s="18" t="s">
        <v>29</v>
      </c>
      <c r="B53" s="19">
        <v>24.916666666666668</v>
      </c>
      <c r="C53" s="19">
        <v>0</v>
      </c>
      <c r="D53" s="19"/>
      <c r="E53" s="19">
        <v>1</v>
      </c>
      <c r="F53" s="11"/>
      <c r="G53" s="19">
        <v>0</v>
      </c>
      <c r="H53" s="19">
        <v>0</v>
      </c>
      <c r="I53" s="19">
        <v>0</v>
      </c>
      <c r="J53" s="19">
        <v>0</v>
      </c>
      <c r="K53" s="44" t="s">
        <v>9</v>
      </c>
    </row>
    <row r="54" spans="1:11" ht="14.25" x14ac:dyDescent="0.15">
      <c r="A54" s="18" t="s">
        <v>30</v>
      </c>
      <c r="B54" s="19">
        <v>1.3333333333333333</v>
      </c>
      <c r="C54" s="19">
        <v>0</v>
      </c>
      <c r="D54" s="19"/>
      <c r="E54" s="19">
        <v>0</v>
      </c>
      <c r="F54" s="11"/>
      <c r="G54" s="19">
        <v>0</v>
      </c>
      <c r="H54" s="19">
        <v>0</v>
      </c>
      <c r="I54" s="19">
        <v>0</v>
      </c>
      <c r="J54" s="19">
        <v>0</v>
      </c>
      <c r="K54" s="44" t="s">
        <v>10</v>
      </c>
    </row>
    <row r="55" spans="1:11" ht="14.25" x14ac:dyDescent="0.15">
      <c r="A55" s="18" t="s">
        <v>31</v>
      </c>
      <c r="B55" s="19">
        <v>22.166666666666668</v>
      </c>
      <c r="C55" s="19">
        <v>0</v>
      </c>
      <c r="D55" s="19"/>
      <c r="E55" s="19">
        <v>0</v>
      </c>
      <c r="F55" s="11"/>
      <c r="G55" s="19">
        <v>0</v>
      </c>
      <c r="H55" s="19">
        <v>0</v>
      </c>
      <c r="I55" s="19">
        <v>0</v>
      </c>
      <c r="J55" s="19">
        <v>0</v>
      </c>
      <c r="K55" s="44" t="s">
        <v>11</v>
      </c>
    </row>
    <row r="56" spans="1:11" ht="14.25" x14ac:dyDescent="0.15">
      <c r="A56" s="18" t="s">
        <v>32</v>
      </c>
      <c r="B56" s="19">
        <v>24.75</v>
      </c>
      <c r="C56" s="19">
        <v>0</v>
      </c>
      <c r="D56" s="19"/>
      <c r="E56" s="19">
        <v>0</v>
      </c>
      <c r="F56" s="11"/>
      <c r="G56" s="19">
        <v>0</v>
      </c>
      <c r="H56" s="19">
        <v>0</v>
      </c>
      <c r="I56" s="19">
        <v>0</v>
      </c>
      <c r="J56" s="19">
        <v>0</v>
      </c>
      <c r="K56" s="44" t="s">
        <v>12</v>
      </c>
    </row>
    <row r="57" spans="1:11" ht="14.25" x14ac:dyDescent="0.15">
      <c r="A57" s="18" t="s">
        <v>33</v>
      </c>
      <c r="B57" s="19">
        <v>41.583333333333336</v>
      </c>
      <c r="C57" s="19">
        <v>0</v>
      </c>
      <c r="D57" s="19"/>
      <c r="E57" s="19">
        <v>0</v>
      </c>
      <c r="F57" s="11"/>
      <c r="G57" s="19">
        <v>0</v>
      </c>
      <c r="H57" s="19">
        <v>0</v>
      </c>
      <c r="I57" s="19">
        <v>0</v>
      </c>
      <c r="J57" s="19">
        <v>0</v>
      </c>
      <c r="K57" s="44" t="s">
        <v>13</v>
      </c>
    </row>
    <row r="58" spans="1:11" ht="14.25" x14ac:dyDescent="0.15">
      <c r="A58" s="18" t="s">
        <v>34</v>
      </c>
      <c r="B58" s="19">
        <v>17.75</v>
      </c>
      <c r="C58" s="19">
        <v>0</v>
      </c>
      <c r="D58" s="19"/>
      <c r="E58" s="19">
        <v>0</v>
      </c>
      <c r="F58" s="11"/>
      <c r="G58" s="19">
        <v>0</v>
      </c>
      <c r="H58" s="19">
        <v>1.0909090909090908</v>
      </c>
      <c r="I58" s="19">
        <v>0</v>
      </c>
      <c r="J58" s="19">
        <v>0</v>
      </c>
      <c r="K58" s="44" t="s">
        <v>14</v>
      </c>
    </row>
    <row r="59" spans="1:11" ht="14.25" x14ac:dyDescent="0.15">
      <c r="A59" s="18" t="s">
        <v>35</v>
      </c>
      <c r="B59" s="19">
        <v>34.916666666666664</v>
      </c>
      <c r="C59" s="19">
        <v>0</v>
      </c>
      <c r="D59" s="19"/>
      <c r="E59" s="19">
        <v>0</v>
      </c>
      <c r="F59" s="11"/>
      <c r="G59" s="19">
        <v>0</v>
      </c>
      <c r="H59" s="19">
        <v>1</v>
      </c>
      <c r="I59" s="19">
        <v>0</v>
      </c>
      <c r="J59" s="19">
        <v>0</v>
      </c>
      <c r="K59" s="44" t="s">
        <v>15</v>
      </c>
    </row>
    <row r="60" spans="1:11" ht="14.25" x14ac:dyDescent="0.15">
      <c r="A60" s="18" t="s">
        <v>36</v>
      </c>
      <c r="B60" s="19">
        <v>33</v>
      </c>
      <c r="C60" s="19">
        <v>0</v>
      </c>
      <c r="D60" s="19"/>
      <c r="E60" s="19">
        <v>0</v>
      </c>
      <c r="F60" s="11"/>
      <c r="G60" s="19">
        <v>0</v>
      </c>
      <c r="H60" s="19">
        <v>0</v>
      </c>
      <c r="I60" s="19">
        <v>0</v>
      </c>
      <c r="J60" s="19">
        <v>0</v>
      </c>
      <c r="K60" s="44" t="s">
        <v>16</v>
      </c>
    </row>
    <row r="61" spans="1:11" ht="14.25" x14ac:dyDescent="0.15">
      <c r="A61" s="18" t="s">
        <v>37</v>
      </c>
      <c r="B61" s="19">
        <v>20.25</v>
      </c>
      <c r="C61" s="19">
        <v>0</v>
      </c>
      <c r="D61" s="19"/>
      <c r="E61" s="19">
        <v>0</v>
      </c>
      <c r="F61" s="11"/>
      <c r="G61" s="19">
        <v>0</v>
      </c>
      <c r="H61" s="19">
        <v>0</v>
      </c>
      <c r="I61" s="19">
        <v>0</v>
      </c>
      <c r="J61" s="19">
        <v>0</v>
      </c>
      <c r="K61" s="44" t="s">
        <v>17</v>
      </c>
    </row>
    <row r="62" spans="1:11" ht="14.25" x14ac:dyDescent="0.15">
      <c r="A62" s="18" t="s">
        <v>38</v>
      </c>
      <c r="B62" s="19">
        <v>33.666666666666664</v>
      </c>
      <c r="C62" s="19">
        <v>0</v>
      </c>
      <c r="D62" s="19"/>
      <c r="E62" s="19">
        <v>0</v>
      </c>
      <c r="F62" s="11"/>
      <c r="G62" s="19">
        <v>0</v>
      </c>
      <c r="H62" s="19">
        <v>1.375</v>
      </c>
      <c r="I62" s="19">
        <v>0</v>
      </c>
      <c r="J62" s="19">
        <v>0</v>
      </c>
      <c r="K62" s="44" t="s">
        <v>18</v>
      </c>
    </row>
    <row r="63" spans="1:11" ht="14.25" x14ac:dyDescent="0.15">
      <c r="A63" s="22" t="s">
        <v>2</v>
      </c>
      <c r="B63" s="23">
        <v>19.916666666666668</v>
      </c>
      <c r="C63" s="23">
        <v>0</v>
      </c>
      <c r="D63" s="23"/>
      <c r="E63" s="23">
        <v>1</v>
      </c>
      <c r="F63" s="31"/>
      <c r="G63" s="23">
        <v>0</v>
      </c>
      <c r="H63" s="23">
        <v>0</v>
      </c>
      <c r="I63" s="23">
        <v>0</v>
      </c>
      <c r="J63" s="23">
        <v>0</v>
      </c>
      <c r="K63" s="45" t="s">
        <v>19</v>
      </c>
    </row>
    <row r="64" spans="1:11" s="5" customFormat="1" ht="15" x14ac:dyDescent="0.25">
      <c r="A64" s="1" t="s">
        <v>40</v>
      </c>
      <c r="B64" s="1"/>
      <c r="C64" s="1"/>
      <c r="D64" s="1"/>
      <c r="E64" s="1"/>
      <c r="F64" s="3"/>
      <c r="G64" s="3"/>
      <c r="H64" s="3"/>
      <c r="I64" s="3"/>
      <c r="J64" s="4"/>
      <c r="K64" s="39" t="s">
        <v>41</v>
      </c>
    </row>
  </sheetData>
  <mergeCells count="9">
    <mergeCell ref="A36:A39"/>
    <mergeCell ref="B36:J36"/>
    <mergeCell ref="K36:K39"/>
    <mergeCell ref="A1:K1"/>
    <mergeCell ref="A2:K2"/>
    <mergeCell ref="A3:H3"/>
    <mergeCell ref="A4:A8"/>
    <mergeCell ref="B4:J4"/>
    <mergeCell ref="K4:K8"/>
  </mergeCells>
  <pageMargins left="0.7" right="0.7" top="0.75" bottom="0.49" header="0.3" footer="0.3"/>
  <pageSetup paperSize="9" scale="59" orientation="portrait" r:id="rId1"/>
  <colBreaks count="1" manualBreakCount="1">
    <brk id="11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9.7</vt:lpstr>
      <vt:lpstr>'9.7'!Print_Area</vt:lpstr>
    </vt:vector>
  </TitlesOfParts>
  <Company>Department of National Planning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Fathmath Shifaza</cp:lastModifiedBy>
  <cp:lastPrinted>2016-09-22T08:21:55Z</cp:lastPrinted>
  <dcterms:created xsi:type="dcterms:W3CDTF">2014-03-04T03:52:57Z</dcterms:created>
  <dcterms:modified xsi:type="dcterms:W3CDTF">2016-09-22T08:21:58Z</dcterms:modified>
</cp:coreProperties>
</file>