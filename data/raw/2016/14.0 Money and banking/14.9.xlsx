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15" windowWidth="14520" windowHeight="11700" tabRatio="765"/>
  </bookViews>
  <sheets>
    <sheet name="14.9" sheetId="6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'14.9'!$A$1:$M$41</definedName>
  </definedNames>
  <calcPr calcId="144525"/>
</workbook>
</file>

<file path=xl/calcChain.xml><?xml version="1.0" encoding="utf-8"?>
<calcChain xmlns="http://schemas.openxmlformats.org/spreadsheetml/2006/main">
  <c r="K37" i="6" l="1"/>
  <c r="J37" i="6"/>
  <c r="I37" i="6"/>
  <c r="K36" i="6"/>
  <c r="J36" i="6"/>
  <c r="I36" i="6"/>
  <c r="K35" i="6"/>
  <c r="J35" i="6"/>
  <c r="I35" i="6"/>
  <c r="K34" i="6"/>
  <c r="J34" i="6"/>
  <c r="I34" i="6"/>
  <c r="H37" i="6"/>
  <c r="H36" i="6"/>
  <c r="H35" i="6"/>
  <c r="H34" i="6"/>
  <c r="I33" i="6"/>
  <c r="J33" i="6"/>
  <c r="K33" i="6"/>
  <c r="H33" i="6"/>
</calcChain>
</file>

<file path=xl/sharedStrings.xml><?xml version="1.0" encoding="utf-8"?>
<sst xmlns="http://schemas.openxmlformats.org/spreadsheetml/2006/main" count="95" uniqueCount="67">
  <si>
    <t>(cniaWyifur cnwailim ;cSwlwyin egutwdcaum WviawfiLeawDnwk)</t>
  </si>
  <si>
    <t>(In millions of Rufiyaa; end of period)</t>
  </si>
  <si>
    <t>cCWm</t>
  </si>
  <si>
    <t>cnUj</t>
  </si>
  <si>
    <t>cTcpes</t>
  </si>
  <si>
    <t>cmesiD</t>
  </si>
  <si>
    <t>Mar</t>
  </si>
  <si>
    <t>Jun</t>
  </si>
  <si>
    <t>Sep</t>
  </si>
  <si>
    <t xml:space="preserve"> Dec</t>
  </si>
  <si>
    <t>Annual percentage change</t>
  </si>
  <si>
    <t>އަހަރުން އަހަރަށް އިތުރުވި މިންވަރު އިންސައްތަ</t>
  </si>
  <si>
    <t>Source: Maldives Monetary Authority.</t>
  </si>
  <si>
    <t>/1</t>
  </si>
  <si>
    <t>ITirOtoa IrwTinwm cscviDclOm :ctWrwf ivcaedutWmUluAwm</t>
  </si>
  <si>
    <t>/2</t>
  </si>
  <si>
    <t xml:space="preserve"> </t>
  </si>
  <si>
    <t>Economic groups</t>
  </si>
  <si>
    <t>cawtiawb IdWBitcqia</t>
  </si>
  <si>
    <r>
      <t>Total</t>
    </r>
    <r>
      <rPr>
        <sz val="9"/>
        <rFont val="Calibri"/>
        <family val="2"/>
        <scheme val="minor"/>
      </rPr>
      <t xml:space="preserve"> </t>
    </r>
    <r>
      <rPr>
        <vertAlign val="superscript"/>
        <sz val="9"/>
        <rFont val="Calibri"/>
        <family val="2"/>
        <scheme val="minor"/>
      </rPr>
      <t xml:space="preserve">2/ </t>
    </r>
  </si>
  <si>
    <r>
      <rPr>
        <vertAlign val="superscript"/>
        <sz val="9"/>
        <rFont val="A_Faseyha"/>
      </rPr>
      <t>2/</t>
    </r>
    <r>
      <rPr>
        <b/>
        <sz val="9"/>
        <rFont val="A_Faseyha"/>
      </rPr>
      <t xml:space="preserve"> wlcmuj</t>
    </r>
  </si>
  <si>
    <t>Agriculture</t>
  </si>
  <si>
    <t>cnwkirevuDnwd</t>
  </si>
  <si>
    <t>Fishing</t>
  </si>
  <si>
    <t>cnwkirevcswm</t>
  </si>
  <si>
    <t>Manufacturing</t>
  </si>
  <si>
    <t>cnudcaefua itekwt</t>
  </si>
  <si>
    <t>Construction</t>
  </si>
  <si>
    <t>cnurukctWrWmiA</t>
  </si>
  <si>
    <t>Real estates</t>
  </si>
  <si>
    <t>ރިއަލްއެސްޓޭޓް ވިޔަފާރިތަކަށް</t>
  </si>
  <si>
    <t>Tourism</t>
  </si>
  <si>
    <t>cnwkirevurutwf</t>
  </si>
  <si>
    <t xml:space="preserve">     New resort development</t>
  </si>
  <si>
    <t>އަލަށް ހަދާ ރިސޯޓްތައް ތަރައްޤީކުރުމަށް</t>
  </si>
  <si>
    <t xml:space="preserve">     Renovation of resorts</t>
  </si>
  <si>
    <t>ރިސޯޓް މަރާމާތު ކުރުން</t>
  </si>
  <si>
    <t xml:space="preserve">     Yacht safari buildings</t>
  </si>
  <si>
    <t>ޔޮޓް ސަފާރީ ބަނުމަށް</t>
  </si>
  <si>
    <t xml:space="preserve">     Working capital</t>
  </si>
  <si>
    <t>ވަރކިންގ ކެޕިޓަލް ގޮތުގައި</t>
  </si>
  <si>
    <t>Commerce</t>
  </si>
  <si>
    <t>cawtctWkwrwH irWfwyiv</t>
  </si>
  <si>
    <t xml:space="preserve">   Wholesale and retail</t>
  </si>
  <si>
    <t>ހޯލްސޭލް އެންޑް ރީޓެއިލް ވިޔަފާރިތައް</t>
  </si>
  <si>
    <t xml:space="preserve">   Restuarants and cafes</t>
  </si>
  <si>
    <t>ރެސްޓޯރެންޓް އަދި ސައިހޮޓާތައް</t>
  </si>
  <si>
    <t>Transport and Communication</t>
  </si>
  <si>
    <t>ދަތުރުފަތުރާއި މުވާސަލާތުގެ ޚިދުމަތްތައް</t>
  </si>
  <si>
    <t>Electricity, gas, water and sanitary services</t>
  </si>
  <si>
    <t>ކަރަންޓާއި ގޭސް އަދި ފެނާއި ސާފުކުރުމުގެ ޙިދްމަތް</t>
  </si>
  <si>
    <t>Other loans and advances not adequately described</t>
  </si>
  <si>
    <r>
      <rPr>
        <sz val="9"/>
        <rFont val="A_Faseyha"/>
      </rPr>
      <t xml:space="preserve">cawtctWkwrwH WvuniawfiverukcnWywb </t>
    </r>
    <r>
      <rPr>
        <sz val="9"/>
        <rFont val="Faruma"/>
      </rPr>
      <t>މަތީގައި</t>
    </r>
  </si>
  <si>
    <t>(In percent of total; end of period)</t>
  </si>
  <si>
    <t>(ކަނޑައެޅިފައިވާ މުއްދަތުގެ ނިޔަލަށް، މުޅި ޖުމްލައިގެ ސައްތައިން)</t>
  </si>
  <si>
    <t>ދަތުރުފަތުރާއި މުވާސަލާތު ޚިދުމަތްތައް</t>
  </si>
  <si>
    <t>2_/ Excluding accrued interest receivable and accounts receivables</t>
  </si>
  <si>
    <t xml:space="preserve"> އިންޓަރެސްޓްގެ ގޮތުގައާއި އެހެނިހެން ގޮތްގޮތުން ލިބެންވާ ފައިސާ މިޖުމްލައިގައި ހިމެނިފައި ނުވާނެއެވެ.</t>
  </si>
  <si>
    <t>ނޯޓް:</t>
  </si>
  <si>
    <t>NOTE:</t>
  </si>
  <si>
    <r>
      <t xml:space="preserve">2014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</si>
  <si>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t xml:space="preserve"> 2014 އިސްލާޙުކުރެވިފައި</t>
  </si>
  <si>
    <t>1_/ : 2014 revised</t>
  </si>
  <si>
    <t>Guest house</t>
  </si>
  <si>
    <t>ގެސްޓް ހައުސް</t>
  </si>
  <si>
    <t>Table  14.9 : OTHER DEPOSITORY CORPORATIONS PRIVATE SECTOR LOANS &amp; ADVANCES BY ECONOMIC GROUP, 2014 - 2015</t>
  </si>
  <si>
    <t>ތާވަލު 14.9: ބޭންކުތަކުން އަމިއްލަ ފަރާތްތަކަށް ލޯނު އަދި އެޑްވާސް ގެގޮތުގައި (އިޤްތިސާދީ އެކި ބައިތަކަށް) ދޫކުރެވުނު ފައިސާ 2014- 2015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</si>
</sst>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perscript"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A_Faseyha"/>
    </font>
    <font>
      <vertAlign val="superscript"/>
      <sz val="9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1"/>
      <name val="Faruma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A_Randhoo"/>
    </font>
    <font>
      <sz val="10"/>
      <color theme="1"/>
      <name val="Arial"/>
      <family val="2"/>
    </font>
    <font>
      <b/>
      <sz val="11"/>
      <name val="Arial"/>
      <family val="2"/>
    </font>
    <font>
      <b/>
      <sz val="11"/>
      <name val="A_Randho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  <xf numFmtId="0" fontId="3" fillId="0" borderId="0"/>
    <xf numFmtId="17" fontId="3" fillId="0" borderId="0" applyFont="0"/>
    <xf numFmtId="17" fontId="3" fillId="0" borderId="0" applyFont="0"/>
    <xf numFmtId="0" fontId="3" fillId="0" borderId="0"/>
    <xf numFmtId="0" fontId="3" fillId="0" borderId="0"/>
    <xf numFmtId="0" fontId="3" fillId="0" borderId="0"/>
    <xf numFmtId="0" fontId="3" fillId="0" borderId="0"/>
    <xf numFmtId="17" fontId="3" fillId="0" borderId="0" applyFont="0"/>
    <xf numFmtId="0" fontId="3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17" fontId="3" fillId="0" borderId="0" applyFont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3" fillId="0" borderId="0" applyFill="0" applyBorder="0" applyAlignment="0"/>
    <xf numFmtId="0" fontId="30" fillId="0" borderId="0" applyFill="0" applyBorder="0" applyAlignment="0"/>
    <xf numFmtId="0" fontId="3" fillId="0" borderId="0" applyFill="0" applyBorder="0" applyAlignment="0"/>
    <xf numFmtId="172" fontId="2" fillId="0" borderId="0" applyFill="0" applyBorder="0" applyAlignment="0"/>
    <xf numFmtId="173" fontId="3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0" fillId="0" borderId="0" applyFill="0" applyBorder="0" applyAlignment="0"/>
    <xf numFmtId="0" fontId="31" fillId="14" borderId="12" applyNumberFormat="0" applyAlignment="0" applyProtection="0"/>
    <xf numFmtId="0" fontId="31" fillId="14" borderId="12" applyNumberFormat="0" applyAlignment="0" applyProtection="0"/>
    <xf numFmtId="0" fontId="31" fillId="14" borderId="12" applyNumberFormat="0" applyAlignment="0" applyProtection="0"/>
    <xf numFmtId="0" fontId="31" fillId="14" borderId="12" applyNumberFormat="0" applyAlignment="0" applyProtection="0"/>
    <xf numFmtId="0" fontId="31" fillId="14" borderId="12" applyNumberFormat="0" applyAlignment="0" applyProtection="0"/>
    <xf numFmtId="0" fontId="31" fillId="14" borderId="12" applyNumberFormat="0" applyAlignment="0" applyProtection="0"/>
    <xf numFmtId="0" fontId="31" fillId="14" borderId="12" applyNumberFormat="0" applyAlignment="0" applyProtection="0"/>
    <xf numFmtId="0" fontId="31" fillId="14" borderId="12" applyNumberFormat="0" applyAlignment="0" applyProtection="0"/>
    <xf numFmtId="17" fontId="3" fillId="0" borderId="0" applyFont="0"/>
    <xf numFmtId="0" fontId="32" fillId="7" borderId="13" applyNumberFormat="0" applyAlignment="0" applyProtection="0"/>
    <xf numFmtId="0" fontId="32" fillId="7" borderId="13" applyNumberFormat="0" applyAlignment="0" applyProtection="0"/>
    <xf numFmtId="0" fontId="32" fillId="7" borderId="13" applyNumberFormat="0" applyAlignment="0" applyProtection="0"/>
    <xf numFmtId="0" fontId="32" fillId="7" borderId="13" applyNumberFormat="0" applyAlignment="0" applyProtection="0"/>
    <xf numFmtId="0" fontId="32" fillId="7" borderId="13" applyNumberFormat="0" applyAlignment="0" applyProtection="0"/>
    <xf numFmtId="0" fontId="32" fillId="7" borderId="13" applyNumberFormat="0" applyAlignment="0" applyProtection="0"/>
    <xf numFmtId="0" fontId="32" fillId="7" borderId="13" applyNumberFormat="0" applyAlignment="0" applyProtection="0"/>
    <xf numFmtId="0" fontId="32" fillId="7" borderId="13" applyNumberFormat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0" fontId="30" fillId="0" borderId="0" applyFont="0" applyFill="0" applyBorder="0" applyAlignment="0" applyProtection="0"/>
    <xf numFmtId="14" fontId="33" fillId="0" borderId="0" applyFill="0" applyBorder="0" applyAlignment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171" fontId="3" fillId="0" borderId="0" applyFill="0" applyBorder="0" applyAlignment="0"/>
    <xf numFmtId="0" fontId="30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0" fillId="0" borderId="0" applyFill="0" applyBorder="0" applyAlignment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38" fontId="24" fillId="19" borderId="0" applyNumberFormat="0" applyBorder="0" applyAlignment="0" applyProtection="0"/>
    <xf numFmtId="0" fontId="36" fillId="0" borderId="14" applyNumberFormat="0" applyAlignment="0" applyProtection="0">
      <alignment horizontal="left" vertical="center"/>
    </xf>
    <xf numFmtId="0" fontId="36" fillId="0" borderId="11">
      <alignment horizontal="left" vertical="center"/>
    </xf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0" fontId="24" fillId="20" borderId="18" applyNumberFormat="0" applyBorder="0" applyAlignment="0" applyProtection="0"/>
    <xf numFmtId="0" fontId="40" fillId="11" borderId="12" applyNumberFormat="0" applyAlignment="0" applyProtection="0"/>
    <xf numFmtId="0" fontId="40" fillId="11" borderId="12" applyNumberFormat="0" applyAlignment="0" applyProtection="0"/>
    <xf numFmtId="0" fontId="40" fillId="11" borderId="12" applyNumberFormat="0" applyAlignment="0" applyProtection="0"/>
    <xf numFmtId="0" fontId="40" fillId="11" borderId="12" applyNumberFormat="0" applyAlignment="0" applyProtection="0"/>
    <xf numFmtId="0" fontId="40" fillId="11" borderId="12" applyNumberFormat="0" applyAlignment="0" applyProtection="0"/>
    <xf numFmtId="0" fontId="40" fillId="11" borderId="12" applyNumberFormat="0" applyAlignment="0" applyProtection="0"/>
    <xf numFmtId="0" fontId="40" fillId="11" borderId="12" applyNumberFormat="0" applyAlignment="0" applyProtection="0"/>
    <xf numFmtId="0" fontId="40" fillId="11" borderId="12" applyNumberFormat="0" applyAlignment="0" applyProtection="0"/>
    <xf numFmtId="171" fontId="3" fillId="0" borderId="0" applyFill="0" applyBorder="0" applyAlignment="0"/>
    <xf numFmtId="0" fontId="30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0" fillId="0" borderId="0" applyFill="0" applyBorder="0" applyAlignment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177" fontId="42" fillId="0" borderId="0" applyFont="0" applyFill="0" applyBorder="0" applyAlignment="0" applyProtection="0"/>
    <xf numFmtId="178" fontId="42" fillId="0" borderId="0" applyFont="0" applyFill="0" applyBorder="0" applyAlignment="0" applyProtection="0"/>
    <xf numFmtId="42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17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44" fillId="14" borderId="21" applyNumberFormat="0" applyAlignment="0" applyProtection="0"/>
    <xf numFmtId="0" fontId="44" fillId="14" borderId="21" applyNumberFormat="0" applyAlignment="0" applyProtection="0"/>
    <xf numFmtId="0" fontId="44" fillId="14" borderId="21" applyNumberFormat="0" applyAlignment="0" applyProtection="0"/>
    <xf numFmtId="0" fontId="44" fillId="14" borderId="21" applyNumberFormat="0" applyAlignment="0" applyProtection="0"/>
    <xf numFmtId="0" fontId="44" fillId="14" borderId="21" applyNumberFormat="0" applyAlignment="0" applyProtection="0"/>
    <xf numFmtId="0" fontId="44" fillId="14" borderId="21" applyNumberFormat="0" applyAlignment="0" applyProtection="0"/>
    <xf numFmtId="0" fontId="44" fillId="14" borderId="21" applyNumberFormat="0" applyAlignment="0" applyProtection="0"/>
    <xf numFmtId="0" fontId="44" fillId="14" borderId="21" applyNumberFormat="0" applyAlignment="0" applyProtection="0"/>
    <xf numFmtId="0" fontId="3" fillId="0" borderId="0"/>
    <xf numFmtId="17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1" fontId="3" fillId="0" borderId="0" applyFill="0" applyBorder="0" applyAlignment="0"/>
    <xf numFmtId="0" fontId="30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0" fillId="0" borderId="0" applyFill="0" applyBorder="0" applyAlignment="0"/>
    <xf numFmtId="0" fontId="45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9" fontId="33" fillId="0" borderId="0" applyFill="0" applyBorder="0" applyAlignment="0"/>
    <xf numFmtId="181" fontId="3" fillId="0" borderId="0" applyFill="0" applyBorder="0" applyAlignment="0"/>
    <xf numFmtId="182" fontId="3" fillId="0" borderId="0" applyFill="0" applyBorder="0" applyAlignment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46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66">
    <xf numFmtId="0" fontId="0" fillId="0" borderId="0" xfId="0"/>
    <xf numFmtId="164" fontId="11" fillId="21" borderId="0" xfId="2" applyNumberFormat="1" applyFont="1" applyFill="1" applyBorder="1" applyAlignment="1">
      <alignment horizontal="right" vertical="center"/>
    </xf>
    <xf numFmtId="164" fontId="16" fillId="21" borderId="0" xfId="2" applyNumberFormat="1" applyFont="1" applyFill="1" applyAlignment="1">
      <alignment horizontal="right" vertical="center"/>
    </xf>
    <xf numFmtId="165" fontId="18" fillId="21" borderId="0" xfId="0" applyNumberFormat="1" applyFont="1" applyFill="1" applyAlignment="1">
      <alignment vertical="center"/>
    </xf>
    <xf numFmtId="164" fontId="15" fillId="21" borderId="0" xfId="2" applyNumberFormat="1" applyFont="1" applyFill="1" applyBorder="1" applyAlignment="1">
      <alignment horizontal="right" vertical="center"/>
    </xf>
    <xf numFmtId="164" fontId="9" fillId="21" borderId="0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7" fontId="17" fillId="21" borderId="0" xfId="1" applyNumberFormat="1" applyFont="1" applyFill="1" applyBorder="1" applyAlignment="1" applyProtection="1">
      <alignment vertical="center"/>
    </xf>
    <xf numFmtId="166" fontId="9" fillId="21" borderId="0" xfId="2" applyNumberFormat="1" applyFont="1" applyFill="1" applyBorder="1" applyAlignment="1">
      <alignment horizontal="right" vertical="center"/>
    </xf>
    <xf numFmtId="0" fontId="17" fillId="21" borderId="0" xfId="0" applyFont="1" applyFill="1" applyBorder="1" applyAlignment="1" applyProtection="1">
      <alignment horizontal="left"/>
    </xf>
    <xf numFmtId="164" fontId="7" fillId="21" borderId="0" xfId="2" applyNumberFormat="1" applyFont="1" applyFill="1" applyAlignment="1">
      <alignment vertical="center"/>
    </xf>
    <xf numFmtId="164" fontId="10" fillId="21" borderId="0" xfId="2" applyNumberFormat="1" applyFont="1" applyFill="1" applyAlignment="1">
      <alignment vertical="center"/>
    </xf>
    <xf numFmtId="164" fontId="23" fillId="21" borderId="0" xfId="2" applyNumberFormat="1" applyFont="1" applyFill="1" applyAlignment="1">
      <alignment horizontal="right" vertical="center"/>
    </xf>
    <xf numFmtId="164" fontId="4" fillId="21" borderId="0" xfId="2" applyNumberFormat="1" applyFont="1" applyFill="1" applyBorder="1" applyAlignment="1" applyProtection="1">
      <alignment vertical="center"/>
    </xf>
    <xf numFmtId="164" fontId="5" fillId="21" borderId="0" xfId="2" applyNumberFormat="1" applyFont="1" applyFill="1" applyBorder="1" applyAlignment="1">
      <alignment horizontal="right" vertical="center"/>
    </xf>
    <xf numFmtId="0" fontId="15" fillId="21" borderId="0" xfId="0" applyFont="1" applyFill="1"/>
    <xf numFmtId="164" fontId="8" fillId="21" borderId="0" xfId="2" applyNumberFormat="1" applyFont="1" applyFill="1" applyBorder="1" applyAlignment="1">
      <alignment vertical="center"/>
    </xf>
    <xf numFmtId="164" fontId="9" fillId="21" borderId="2" xfId="2" applyNumberFormat="1" applyFont="1" applyFill="1" applyBorder="1" applyAlignment="1" applyProtection="1">
      <alignment horizontal="center" vertical="center"/>
    </xf>
    <xf numFmtId="164" fontId="6" fillId="21" borderId="1" xfId="2" applyNumberFormat="1" applyFont="1" applyFill="1" applyBorder="1" applyAlignment="1" applyProtection="1">
      <alignment horizontal="left" vertical="center"/>
    </xf>
    <xf numFmtId="164" fontId="9" fillId="21" borderId="1" xfId="2" applyNumberFormat="1" applyFont="1" applyFill="1" applyBorder="1" applyAlignment="1" applyProtection="1">
      <alignment horizontal="right" vertical="center"/>
    </xf>
    <xf numFmtId="166" fontId="14" fillId="21" borderId="0" xfId="2" applyNumberFormat="1" applyFont="1" applyFill="1" applyBorder="1" applyAlignment="1">
      <alignment vertical="center"/>
    </xf>
    <xf numFmtId="166" fontId="14" fillId="21" borderId="0" xfId="2" applyNumberFormat="1" applyFont="1" applyFill="1" applyAlignment="1">
      <alignment vertical="center"/>
    </xf>
    <xf numFmtId="166" fontId="13" fillId="21" borderId="0" xfId="2" applyNumberFormat="1" applyFont="1" applyFill="1" applyAlignment="1">
      <alignment vertical="center"/>
    </xf>
    <xf numFmtId="164" fontId="10" fillId="21" borderId="1" xfId="2" applyNumberFormat="1" applyFont="1" applyFill="1" applyBorder="1" applyAlignment="1">
      <alignment vertical="center"/>
    </xf>
    <xf numFmtId="166" fontId="14" fillId="21" borderId="1" xfId="2" applyNumberFormat="1" applyFont="1" applyFill="1" applyBorder="1" applyAlignment="1">
      <alignment vertical="center"/>
    </xf>
    <xf numFmtId="164" fontId="10" fillId="21" borderId="0" xfId="2" applyNumberFormat="1" applyFont="1" applyFill="1" applyBorder="1" applyAlignment="1">
      <alignment vertical="center"/>
    </xf>
    <xf numFmtId="164" fontId="3" fillId="21" borderId="0" xfId="2" applyNumberFormat="1" applyFont="1" applyFill="1" applyAlignment="1">
      <alignment vertical="center"/>
    </xf>
    <xf numFmtId="164" fontId="3" fillId="21" borderId="0" xfId="2" applyNumberFormat="1" applyFont="1" applyFill="1" applyBorder="1" applyAlignment="1">
      <alignment vertical="center"/>
    </xf>
    <xf numFmtId="164" fontId="5" fillId="21" borderId="6" xfId="2" applyNumberFormat="1" applyFont="1" applyFill="1" applyBorder="1" applyAlignment="1">
      <alignment horizontal="right"/>
    </xf>
    <xf numFmtId="43" fontId="6" fillId="21" borderId="9" xfId="1" applyFont="1" applyFill="1" applyBorder="1" applyAlignment="1">
      <alignment horizontal="right"/>
    </xf>
    <xf numFmtId="0" fontId="7" fillId="21" borderId="7" xfId="0" applyFont="1" applyFill="1" applyBorder="1"/>
    <xf numFmtId="164" fontId="4" fillId="21" borderId="0" xfId="2" applyNumberFormat="1" applyFont="1" applyFill="1" applyAlignment="1">
      <alignment vertical="center"/>
    </xf>
    <xf numFmtId="164" fontId="13" fillId="21" borderId="2" xfId="2" applyNumberFormat="1" applyFont="1" applyFill="1" applyBorder="1" applyAlignment="1" applyProtection="1">
      <alignment horizontal="center" vertical="center"/>
    </xf>
    <xf numFmtId="164" fontId="16" fillId="21" borderId="2" xfId="2" applyNumberFormat="1" applyFont="1" applyFill="1" applyBorder="1" applyAlignment="1">
      <alignment vertical="center"/>
    </xf>
    <xf numFmtId="164" fontId="13" fillId="21" borderId="0" xfId="2" applyNumberFormat="1" applyFont="1" applyFill="1" applyBorder="1" applyAlignment="1" applyProtection="1">
      <alignment horizontal="left" vertical="center"/>
    </xf>
    <xf numFmtId="164" fontId="13" fillId="21" borderId="1" xfId="2" applyNumberFormat="1" applyFont="1" applyFill="1" applyBorder="1" applyAlignment="1" applyProtection="1">
      <alignment horizontal="right" vertical="center"/>
    </xf>
    <xf numFmtId="164" fontId="16" fillId="21" borderId="1" xfId="2" applyNumberFormat="1" applyFont="1" applyFill="1" applyBorder="1" applyAlignment="1">
      <alignment horizontal="right" vertical="center"/>
    </xf>
    <xf numFmtId="164" fontId="19" fillId="21" borderId="0" xfId="2" applyNumberFormat="1" applyFont="1" applyFill="1" applyBorder="1" applyAlignment="1" applyProtection="1">
      <alignment horizontal="left" vertical="center"/>
    </xf>
    <xf numFmtId="164" fontId="9" fillId="21" borderId="0" xfId="2" applyNumberFormat="1" applyFont="1" applyFill="1" applyAlignment="1">
      <alignment vertical="center"/>
    </xf>
    <xf numFmtId="164" fontId="11" fillId="21" borderId="0" xfId="2" applyNumberFormat="1" applyFont="1" applyFill="1" applyAlignment="1">
      <alignment horizontal="right" vertical="center"/>
    </xf>
    <xf numFmtId="166" fontId="14" fillId="21" borderId="0" xfId="2" applyNumberFormat="1" applyFont="1" applyFill="1" applyAlignment="1">
      <alignment horizontal="right" vertical="center"/>
    </xf>
    <xf numFmtId="166" fontId="14" fillId="21" borderId="0" xfId="2" applyNumberFormat="1" applyFont="1" applyFill="1" applyAlignment="1" applyProtection="1">
      <alignment horizontal="right" vertical="center"/>
      <protection locked="0"/>
    </xf>
    <xf numFmtId="164" fontId="16" fillId="21" borderId="0" xfId="2" applyNumberFormat="1" applyFont="1" applyFill="1" applyAlignment="1">
      <alignment vertical="center"/>
    </xf>
    <xf numFmtId="165" fontId="18" fillId="21" borderId="1" xfId="0" applyNumberFormat="1" applyFont="1" applyFill="1" applyBorder="1" applyAlignment="1">
      <alignment vertical="center"/>
    </xf>
    <xf numFmtId="166" fontId="14" fillId="21" borderId="0" xfId="2" applyNumberFormat="1" applyFont="1" applyFill="1" applyBorder="1" applyAlignment="1" applyProtection="1">
      <alignment horizontal="right" vertical="center"/>
      <protection locked="0"/>
    </xf>
    <xf numFmtId="164" fontId="9" fillId="21" borderId="0" xfId="2" applyNumberFormat="1" applyFont="1" applyFill="1" applyBorder="1" applyAlignment="1" applyProtection="1">
      <alignment horizontal="right"/>
    </xf>
    <xf numFmtId="165" fontId="14" fillId="21" borderId="0" xfId="2" applyNumberFormat="1" applyFont="1" applyFill="1" applyBorder="1" applyAlignment="1" applyProtection="1">
      <alignment horizontal="right" vertical="center"/>
      <protection locked="0"/>
    </xf>
    <xf numFmtId="165" fontId="14" fillId="21" borderId="0" xfId="2" applyNumberFormat="1" applyFont="1" applyFill="1" applyAlignment="1">
      <alignment vertical="center"/>
    </xf>
    <xf numFmtId="165" fontId="14" fillId="21" borderId="1" xfId="2" applyNumberFormat="1" applyFont="1" applyFill="1" applyBorder="1" applyAlignment="1" applyProtection="1">
      <alignment horizontal="right" vertical="center"/>
      <protection locked="0"/>
    </xf>
    <xf numFmtId="0" fontId="22" fillId="21" borderId="0" xfId="0" applyFont="1" applyFill="1" applyBorder="1" applyAlignment="1" applyProtection="1">
      <alignment horizontal="left" indent="2"/>
    </xf>
    <xf numFmtId="164" fontId="22" fillId="21" borderId="0" xfId="2" applyNumberFormat="1" applyFont="1" applyFill="1" applyAlignment="1" applyProtection="1">
      <alignment horizontal="left" vertical="center" indent="2"/>
    </xf>
    <xf numFmtId="165" fontId="18" fillId="21" borderId="0" xfId="0" applyNumberFormat="1" applyFont="1" applyFill="1" applyAlignment="1">
      <alignment horizontal="left" vertical="center" indent="2"/>
    </xf>
    <xf numFmtId="164" fontId="10" fillId="21" borderId="0" xfId="2" applyNumberFormat="1" applyFont="1" applyFill="1" applyAlignment="1">
      <alignment horizontal="right" vertical="center"/>
    </xf>
    <xf numFmtId="0" fontId="6" fillId="21" borderId="8" xfId="0" applyFont="1" applyFill="1" applyBorder="1" applyAlignment="1">
      <alignment horizontal="center" vertical="center"/>
    </xf>
    <xf numFmtId="164" fontId="49" fillId="21" borderId="0" xfId="2" applyNumberFormat="1" applyFont="1" applyFill="1" applyAlignment="1">
      <alignment horizontal="left" vertical="center" indent="2"/>
    </xf>
    <xf numFmtId="0" fontId="51" fillId="21" borderId="10" xfId="0" applyFont="1" applyFill="1" applyBorder="1"/>
    <xf numFmtId="164" fontId="50" fillId="21" borderId="0" xfId="2" applyNumberFormat="1" applyFont="1" applyFill="1" applyBorder="1" applyAlignment="1">
      <alignment vertical="center" readingOrder="2"/>
    </xf>
    <xf numFmtId="166" fontId="25" fillId="21" borderId="0" xfId="2" applyNumberFormat="1" applyFont="1" applyFill="1" applyBorder="1" applyAlignment="1">
      <alignment vertical="center"/>
    </xf>
    <xf numFmtId="164" fontId="52" fillId="21" borderId="0" xfId="2" applyNumberFormat="1" applyFont="1" applyFill="1" applyAlignment="1">
      <alignment vertical="center"/>
    </xf>
    <xf numFmtId="0" fontId="4" fillId="21" borderId="3" xfId="0" applyFont="1" applyFill="1" applyBorder="1" applyAlignment="1">
      <alignment horizontal="center" vertical="center"/>
    </xf>
    <xf numFmtId="0" fontId="6" fillId="21" borderId="8" xfId="0" applyFont="1" applyFill="1" applyBorder="1" applyAlignment="1">
      <alignment horizontal="center" vertical="center"/>
    </xf>
    <xf numFmtId="164" fontId="48" fillId="21" borderId="4" xfId="2" applyNumberFormat="1" applyFont="1" applyFill="1" applyBorder="1" applyAlignment="1">
      <alignment horizontal="center" vertical="center" readingOrder="2"/>
    </xf>
    <xf numFmtId="164" fontId="48" fillId="21" borderId="5" xfId="2" applyNumberFormat="1" applyFont="1" applyFill="1" applyBorder="1" applyAlignment="1">
      <alignment horizontal="center" vertical="center" readingOrder="2"/>
    </xf>
    <xf numFmtId="164" fontId="53" fillId="21" borderId="0" xfId="2" applyNumberFormat="1" applyFont="1" applyFill="1" applyBorder="1" applyAlignment="1" applyProtection="1">
      <alignment horizontal="center" vertical="center"/>
    </xf>
    <xf numFmtId="164" fontId="54" fillId="21" borderId="0" xfId="2" applyNumberFormat="1" applyFont="1" applyFill="1" applyBorder="1" applyAlignment="1">
      <alignment horizontal="center" vertical="center"/>
    </xf>
    <xf numFmtId="0" fontId="53" fillId="21" borderId="1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2"/>
  <sheetViews>
    <sheetView tabSelected="1" workbookViewId="0">
      <selection activeCell="R16" sqref="R16"/>
    </sheetView>
  </sheetViews>
  <sheetFormatPr defaultColWidth="11.140625" defaultRowHeight="17.25" x14ac:dyDescent="0.25"/>
  <cols>
    <col min="1" max="1" width="42" style="26" customWidth="1"/>
    <col min="2" max="2" width="2" style="26" customWidth="1"/>
    <col min="3" max="6" width="11.28515625" style="26" bestFit="1" customWidth="1"/>
    <col min="7" max="7" width="2" style="26" customWidth="1"/>
    <col min="8" max="11" width="11.28515625" style="26" bestFit="1" customWidth="1"/>
    <col min="12" max="12" width="37.140625" style="11" customWidth="1"/>
    <col min="13" max="13" width="3.5703125" style="42" customWidth="1"/>
    <col min="14" max="14" width="2.140625" style="26" customWidth="1"/>
    <col min="15" max="15" width="4.140625" style="26" customWidth="1"/>
    <col min="16" max="16384" width="11.140625" style="26"/>
  </cols>
  <sheetData>
    <row r="1" spans="1:15" ht="21" x14ac:dyDescent="0.25">
      <c r="A1" s="61" t="s">
        <v>66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5" s="31" customFormat="1" ht="15" x14ac:dyDescent="0.25">
      <c r="A2" s="63" t="s">
        <v>65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1:15" ht="18" x14ac:dyDescent="0.25">
      <c r="A3" s="64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5" s="31" customFormat="1" ht="15" x14ac:dyDescent="0.25">
      <c r="A4" s="65" t="s">
        <v>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1:15" s="31" customFormat="1" x14ac:dyDescent="0.25">
      <c r="A5" s="16"/>
      <c r="B5" s="32"/>
      <c r="C5" s="59" t="s">
        <v>60</v>
      </c>
      <c r="D5" s="59"/>
      <c r="E5" s="59"/>
      <c r="F5" s="59"/>
      <c r="G5" s="53"/>
      <c r="H5" s="60">
        <v>2015</v>
      </c>
      <c r="I5" s="60"/>
      <c r="J5" s="60"/>
      <c r="K5" s="60"/>
      <c r="L5" s="17" t="s">
        <v>16</v>
      </c>
      <c r="M5" s="33" t="s">
        <v>16</v>
      </c>
    </row>
    <row r="6" spans="1:15" s="31" customFormat="1" x14ac:dyDescent="0.4">
      <c r="A6" s="34" t="s">
        <v>17</v>
      </c>
      <c r="B6" s="14"/>
      <c r="C6" s="28" t="s">
        <v>2</v>
      </c>
      <c r="D6" s="28" t="s">
        <v>3</v>
      </c>
      <c r="E6" s="28" t="s">
        <v>4</v>
      </c>
      <c r="F6" s="28" t="s">
        <v>5</v>
      </c>
      <c r="G6" s="28"/>
      <c r="H6" s="28" t="s">
        <v>2</v>
      </c>
      <c r="I6" s="28" t="s">
        <v>3</v>
      </c>
      <c r="J6" s="28" t="s">
        <v>4</v>
      </c>
      <c r="K6" s="28" t="s">
        <v>5</v>
      </c>
      <c r="L6" s="5"/>
      <c r="M6" s="1" t="s">
        <v>18</v>
      </c>
    </row>
    <row r="7" spans="1:15" s="27" customFormat="1" x14ac:dyDescent="0.2">
      <c r="A7" s="18"/>
      <c r="B7" s="35"/>
      <c r="C7" s="29" t="s">
        <v>6</v>
      </c>
      <c r="D7" s="29" t="s">
        <v>7</v>
      </c>
      <c r="E7" s="29" t="s">
        <v>8</v>
      </c>
      <c r="F7" s="29" t="s">
        <v>9</v>
      </c>
      <c r="G7" s="29"/>
      <c r="H7" s="29" t="s">
        <v>6</v>
      </c>
      <c r="I7" s="29" t="s">
        <v>7</v>
      </c>
      <c r="J7" s="29" t="s">
        <v>8</v>
      </c>
      <c r="K7" s="29" t="s">
        <v>9</v>
      </c>
      <c r="L7" s="19"/>
      <c r="M7" s="36"/>
    </row>
    <row r="8" spans="1:15" s="31" customFormat="1" x14ac:dyDescent="0.25">
      <c r="A8" s="37" t="s">
        <v>19</v>
      </c>
      <c r="B8" s="22"/>
      <c r="C8" s="22">
        <v>14400.897999999999</v>
      </c>
      <c r="D8" s="22">
        <v>14512.058999999999</v>
      </c>
      <c r="E8" s="22">
        <v>15322.853999999999</v>
      </c>
      <c r="F8" s="22">
        <v>14927.800999999999</v>
      </c>
      <c r="G8" s="22"/>
      <c r="H8" s="22">
        <v>14561.165000000001</v>
      </c>
      <c r="I8" s="22">
        <v>14571.035</v>
      </c>
      <c r="J8" s="22">
        <v>15857.468999999999</v>
      </c>
      <c r="K8" s="22">
        <v>16916.449000000001</v>
      </c>
      <c r="L8" s="38"/>
      <c r="M8" s="39" t="s">
        <v>20</v>
      </c>
    </row>
    <row r="9" spans="1:15" x14ac:dyDescent="0.25">
      <c r="A9" s="3" t="s">
        <v>21</v>
      </c>
      <c r="B9" s="40"/>
      <c r="C9" s="40">
        <v>11.313000000000001</v>
      </c>
      <c r="D9" s="40">
        <v>10.76</v>
      </c>
      <c r="E9" s="40">
        <v>9.6669999999999998</v>
      </c>
      <c r="F9" s="40">
        <v>7.85</v>
      </c>
      <c r="G9" s="40"/>
      <c r="H9" s="40">
        <v>5.9960000000000004</v>
      </c>
      <c r="I9" s="40">
        <v>6.2030000000000003</v>
      </c>
      <c r="J9" s="40">
        <v>5.2220000000000004</v>
      </c>
      <c r="K9" s="40">
        <v>4.4980000000000002</v>
      </c>
      <c r="M9" s="2" t="s">
        <v>22</v>
      </c>
    </row>
    <row r="10" spans="1:15" x14ac:dyDescent="0.25">
      <c r="A10" s="3" t="s">
        <v>23</v>
      </c>
      <c r="B10" s="40"/>
      <c r="C10" s="40">
        <v>539.71</v>
      </c>
      <c r="D10" s="40">
        <v>527.52</v>
      </c>
      <c r="E10" s="40">
        <v>546.65200000000004</v>
      </c>
      <c r="F10" s="40">
        <v>399.83100000000002</v>
      </c>
      <c r="G10" s="40"/>
      <c r="H10" s="40">
        <v>396.495</v>
      </c>
      <c r="I10" s="40">
        <v>435.536</v>
      </c>
      <c r="J10" s="40">
        <v>435.34300000000002</v>
      </c>
      <c r="K10" s="40">
        <v>454.83600000000001</v>
      </c>
      <c r="M10" s="2" t="s">
        <v>24</v>
      </c>
    </row>
    <row r="11" spans="1:15" x14ac:dyDescent="0.25">
      <c r="A11" s="3" t="s">
        <v>25</v>
      </c>
      <c r="B11" s="40"/>
      <c r="C11" s="40">
        <v>303.154</v>
      </c>
      <c r="D11" s="40">
        <v>308.77699999999999</v>
      </c>
      <c r="E11" s="40">
        <v>334.00200000000001</v>
      </c>
      <c r="F11" s="40">
        <v>199.191</v>
      </c>
      <c r="G11" s="40"/>
      <c r="H11" s="40">
        <v>162.14099999999999</v>
      </c>
      <c r="I11" s="40">
        <v>198.24299999999999</v>
      </c>
      <c r="J11" s="40">
        <v>210.55799999999999</v>
      </c>
      <c r="K11" s="40">
        <v>176.71299999999999</v>
      </c>
      <c r="M11" s="2" t="s">
        <v>26</v>
      </c>
    </row>
    <row r="12" spans="1:15" x14ac:dyDescent="0.25">
      <c r="A12" s="3" t="s">
        <v>27</v>
      </c>
      <c r="B12" s="40"/>
      <c r="C12" s="40">
        <v>1396.241</v>
      </c>
      <c r="D12" s="40">
        <v>1516.9290000000001</v>
      </c>
      <c r="E12" s="40">
        <v>1353.298</v>
      </c>
      <c r="F12" s="40">
        <v>1735.5219999999999</v>
      </c>
      <c r="G12" s="40"/>
      <c r="H12" s="40">
        <v>1870.5229999999999</v>
      </c>
      <c r="I12" s="40">
        <v>2232.1010000000001</v>
      </c>
      <c r="J12" s="40">
        <v>2419.4969999999998</v>
      </c>
      <c r="K12" s="40">
        <v>2441.39</v>
      </c>
      <c r="M12" s="2" t="s">
        <v>28</v>
      </c>
    </row>
    <row r="13" spans="1:15" x14ac:dyDescent="0.25">
      <c r="A13" s="3" t="s">
        <v>29</v>
      </c>
      <c r="B13" s="40"/>
      <c r="C13" s="40">
        <v>703.29899999999998</v>
      </c>
      <c r="D13" s="40">
        <v>727.846</v>
      </c>
      <c r="E13" s="40">
        <v>628.17999999999995</v>
      </c>
      <c r="F13" s="40">
        <v>619.45399999999995</v>
      </c>
      <c r="G13" s="40"/>
      <c r="H13" s="40">
        <v>634.46799999999996</v>
      </c>
      <c r="I13" s="40">
        <v>540.15200000000004</v>
      </c>
      <c r="J13" s="40">
        <v>596.17700000000002</v>
      </c>
      <c r="K13" s="40">
        <v>675.93700000000001</v>
      </c>
      <c r="M13" s="52" t="s">
        <v>30</v>
      </c>
    </row>
    <row r="14" spans="1:15" x14ac:dyDescent="0.25">
      <c r="A14" s="3" t="s">
        <v>31</v>
      </c>
      <c r="B14" s="21"/>
      <c r="C14" s="21">
        <v>7392.9769999999999</v>
      </c>
      <c r="D14" s="21">
        <v>7316.076</v>
      </c>
      <c r="E14" s="21">
        <v>7916.98</v>
      </c>
      <c r="F14" s="21">
        <v>6475.9759999999997</v>
      </c>
      <c r="G14" s="21"/>
      <c r="H14" s="21">
        <v>6769.2820000000002</v>
      </c>
      <c r="I14" s="21">
        <v>5704.3559999999998</v>
      </c>
      <c r="J14" s="21">
        <v>6341.5559999999996</v>
      </c>
      <c r="K14" s="21">
        <v>6743.6629999999996</v>
      </c>
      <c r="M14" s="2" t="s">
        <v>32</v>
      </c>
      <c r="O14" s="4"/>
    </row>
    <row r="15" spans="1:15" x14ac:dyDescent="0.25">
      <c r="A15" s="3" t="s">
        <v>33</v>
      </c>
      <c r="B15" s="21"/>
      <c r="C15" s="21">
        <v>5754.74</v>
      </c>
      <c r="D15" s="21">
        <v>5538.8490000000002</v>
      </c>
      <c r="E15" s="21">
        <v>6163.9790000000003</v>
      </c>
      <c r="F15" s="21">
        <v>3008.6959999999999</v>
      </c>
      <c r="G15" s="21"/>
      <c r="H15" s="21">
        <v>3216.1849999999999</v>
      </c>
      <c r="I15" s="21">
        <v>2589.7530000000002</v>
      </c>
      <c r="J15" s="21">
        <v>2412.2710000000002</v>
      </c>
      <c r="K15" s="21">
        <v>2594.4520000000002</v>
      </c>
      <c r="L15" s="52" t="s">
        <v>34</v>
      </c>
      <c r="O15" s="4"/>
    </row>
    <row r="16" spans="1:15" x14ac:dyDescent="0.25">
      <c r="A16" s="3" t="s">
        <v>35</v>
      </c>
      <c r="B16" s="21"/>
      <c r="C16" s="21">
        <v>359.95499999999998</v>
      </c>
      <c r="D16" s="21">
        <v>345.63099999999997</v>
      </c>
      <c r="E16" s="21">
        <v>228.72200000000001</v>
      </c>
      <c r="F16" s="21">
        <v>1713.1220000000001</v>
      </c>
      <c r="G16" s="21"/>
      <c r="H16" s="21">
        <v>1578.6210000000001</v>
      </c>
      <c r="I16" s="21">
        <v>1218.3489999999999</v>
      </c>
      <c r="J16" s="21">
        <v>1184.19</v>
      </c>
      <c r="K16" s="21">
        <v>1039.8969999999999</v>
      </c>
      <c r="L16" s="52" t="s">
        <v>36</v>
      </c>
      <c r="O16" s="4"/>
    </row>
    <row r="17" spans="1:13" x14ac:dyDescent="0.25">
      <c r="A17" s="3" t="s">
        <v>37</v>
      </c>
      <c r="B17" s="21"/>
      <c r="C17" s="21">
        <v>79.459000000000003</v>
      </c>
      <c r="D17" s="21">
        <v>80.525000000000006</v>
      </c>
      <c r="E17" s="21">
        <v>59.835999999999999</v>
      </c>
      <c r="F17" s="21">
        <v>25.989000000000001</v>
      </c>
      <c r="G17" s="21"/>
      <c r="H17" s="21">
        <v>26.155000000000001</v>
      </c>
      <c r="I17" s="21">
        <v>43.899000000000001</v>
      </c>
      <c r="J17" s="21">
        <v>43.23</v>
      </c>
      <c r="K17" s="21">
        <v>36.268000000000001</v>
      </c>
      <c r="L17" s="52" t="s">
        <v>38</v>
      </c>
    </row>
    <row r="18" spans="1:13" x14ac:dyDescent="0.25">
      <c r="A18" s="3" t="s">
        <v>39</v>
      </c>
      <c r="B18" s="21"/>
      <c r="C18" s="21">
        <v>1198.8230000000001</v>
      </c>
      <c r="D18" s="21">
        <v>1351.0709999999999</v>
      </c>
      <c r="E18" s="21">
        <v>1464.443</v>
      </c>
      <c r="F18" s="21">
        <v>1728.1690000000001</v>
      </c>
      <c r="G18" s="21"/>
      <c r="H18" s="21">
        <v>1948.3209999999999</v>
      </c>
      <c r="I18" s="21">
        <v>1832.4490000000001</v>
      </c>
      <c r="J18" s="21">
        <v>2673.893</v>
      </c>
      <c r="K18" s="21">
        <v>3033.8710000000001</v>
      </c>
      <c r="L18" s="52" t="s">
        <v>40</v>
      </c>
    </row>
    <row r="19" spans="1:13" x14ac:dyDescent="0.25">
      <c r="A19" s="51" t="s">
        <v>63</v>
      </c>
      <c r="B19" s="21"/>
      <c r="C19" s="21"/>
      <c r="D19" s="21"/>
      <c r="E19" s="21"/>
      <c r="F19" s="21"/>
      <c r="G19" s="21"/>
      <c r="H19" s="21"/>
      <c r="I19" s="21">
        <v>19.905999999999999</v>
      </c>
      <c r="J19" s="21">
        <v>27.972000000000001</v>
      </c>
      <c r="K19" s="21">
        <v>39.174999999999997</v>
      </c>
      <c r="L19" s="52" t="s">
        <v>64</v>
      </c>
    </row>
    <row r="20" spans="1:13" x14ac:dyDescent="0.25">
      <c r="A20" s="3" t="s">
        <v>41</v>
      </c>
      <c r="B20" s="21"/>
      <c r="C20" s="21">
        <v>2221.5349999999999</v>
      </c>
      <c r="D20" s="21">
        <v>2183.2869999999998</v>
      </c>
      <c r="E20" s="21">
        <v>2389.9369999999999</v>
      </c>
      <c r="F20" s="21">
        <v>2515.5010000000002</v>
      </c>
      <c r="G20" s="21"/>
      <c r="H20" s="21">
        <v>2424.125</v>
      </c>
      <c r="I20" s="21">
        <v>2577.0039999999999</v>
      </c>
      <c r="J20" s="21">
        <v>2697.165</v>
      </c>
      <c r="K20" s="21">
        <v>2917.7109999999998</v>
      </c>
      <c r="M20" s="2" t="s">
        <v>42</v>
      </c>
    </row>
    <row r="21" spans="1:13" x14ac:dyDescent="0.25">
      <c r="A21" s="3" t="s">
        <v>43</v>
      </c>
      <c r="B21" s="21"/>
      <c r="C21" s="21">
        <v>2196.9639999999999</v>
      </c>
      <c r="D21" s="21">
        <v>2157.1010000000001</v>
      </c>
      <c r="E21" s="21">
        <v>2357.3330000000001</v>
      </c>
      <c r="F21" s="21">
        <v>2496.123</v>
      </c>
      <c r="G21" s="21"/>
      <c r="H21" s="21">
        <v>2400.4650000000001</v>
      </c>
      <c r="I21" s="21">
        <v>2555.6880000000001</v>
      </c>
      <c r="J21" s="21">
        <v>2660.3589999999999</v>
      </c>
      <c r="K21" s="21">
        <v>2865.5390000000002</v>
      </c>
      <c r="L21" s="52" t="s">
        <v>44</v>
      </c>
    </row>
    <row r="22" spans="1:13" x14ac:dyDescent="0.25">
      <c r="A22" s="3" t="s">
        <v>45</v>
      </c>
      <c r="B22" s="21"/>
      <c r="C22" s="21">
        <v>24.571000000000002</v>
      </c>
      <c r="D22" s="21">
        <v>26.186</v>
      </c>
      <c r="E22" s="21">
        <v>32.603999999999999</v>
      </c>
      <c r="F22" s="21">
        <v>19.378</v>
      </c>
      <c r="G22" s="21"/>
      <c r="H22" s="21">
        <v>23.66</v>
      </c>
      <c r="I22" s="21">
        <v>21.315999999999999</v>
      </c>
      <c r="J22" s="21">
        <v>36.805999999999997</v>
      </c>
      <c r="K22" s="21">
        <v>52.171999999999997</v>
      </c>
      <c r="L22" s="11" t="s">
        <v>46</v>
      </c>
    </row>
    <row r="23" spans="1:13" x14ac:dyDescent="0.25">
      <c r="A23" s="3" t="s">
        <v>47</v>
      </c>
      <c r="B23" s="21"/>
      <c r="C23" s="21">
        <v>595.08900000000006</v>
      </c>
      <c r="D23" s="21">
        <v>519.35699999999997</v>
      </c>
      <c r="E23" s="21">
        <v>583.33000000000004</v>
      </c>
      <c r="F23" s="21">
        <v>613.14300000000003</v>
      </c>
      <c r="G23" s="21"/>
      <c r="H23" s="21">
        <v>563.529</v>
      </c>
      <c r="I23" s="21">
        <v>631.05899999999997</v>
      </c>
      <c r="J23" s="21">
        <v>563.803</v>
      </c>
      <c r="K23" s="21">
        <v>889.62300000000005</v>
      </c>
      <c r="M23" s="52" t="s">
        <v>48</v>
      </c>
    </row>
    <row r="24" spans="1:13" x14ac:dyDescent="0.25">
      <c r="A24" s="3" t="s">
        <v>49</v>
      </c>
      <c r="B24" s="21"/>
      <c r="C24" s="21">
        <v>17.791</v>
      </c>
      <c r="D24" s="21">
        <v>10.627000000000001</v>
      </c>
      <c r="E24" s="21">
        <v>7.9530000000000003</v>
      </c>
      <c r="F24" s="21">
        <v>54.003</v>
      </c>
      <c r="G24" s="21"/>
      <c r="H24" s="21">
        <v>46.017000000000003</v>
      </c>
      <c r="I24" s="21">
        <v>42.026000000000003</v>
      </c>
      <c r="J24" s="21">
        <v>29.045999999999999</v>
      </c>
      <c r="K24" s="21">
        <v>22.094000000000001</v>
      </c>
      <c r="M24" s="52" t="s">
        <v>50</v>
      </c>
    </row>
    <row r="25" spans="1:13" x14ac:dyDescent="0.25">
      <c r="A25" s="43" t="s">
        <v>51</v>
      </c>
      <c r="B25" s="24"/>
      <c r="C25" s="24">
        <v>1219.789</v>
      </c>
      <c r="D25" s="24">
        <v>1390.88</v>
      </c>
      <c r="E25" s="24">
        <v>1552.855</v>
      </c>
      <c r="F25" s="24">
        <v>2307.33</v>
      </c>
      <c r="G25" s="24"/>
      <c r="H25" s="24">
        <v>1688.5889999999999</v>
      </c>
      <c r="I25" s="24">
        <v>2204.355</v>
      </c>
      <c r="J25" s="24">
        <v>2559.1019999999999</v>
      </c>
      <c r="K25" s="24">
        <v>2589.9839999999999</v>
      </c>
      <c r="L25" s="23"/>
      <c r="M25" s="6" t="s">
        <v>52</v>
      </c>
    </row>
    <row r="26" spans="1:13" x14ac:dyDescent="0.45">
      <c r="A26" s="7" t="s">
        <v>53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M26" s="45" t="s">
        <v>54</v>
      </c>
    </row>
    <row r="27" spans="1:13" x14ac:dyDescent="0.25">
      <c r="A27" s="3" t="s">
        <v>23</v>
      </c>
      <c r="B27" s="46"/>
      <c r="C27" s="46">
        <v>3.7477523971074587</v>
      </c>
      <c r="D27" s="46">
        <v>3.6350458608251248</v>
      </c>
      <c r="E27" s="46">
        <v>3.5675599336781523</v>
      </c>
      <c r="F27" s="46">
        <v>2.6784320075006365</v>
      </c>
      <c r="G27" s="46"/>
      <c r="H27" s="46">
        <v>2.722962070685965</v>
      </c>
      <c r="I27" s="46">
        <v>2.9890532827626863</v>
      </c>
      <c r="J27" s="46">
        <v>2.7453498411379522</v>
      </c>
      <c r="K27" s="46">
        <v>2.6887203100366985</v>
      </c>
      <c r="M27" s="2" t="s">
        <v>24</v>
      </c>
    </row>
    <row r="28" spans="1:13" x14ac:dyDescent="0.25">
      <c r="A28" s="3" t="s">
        <v>27</v>
      </c>
      <c r="B28" s="46"/>
      <c r="C28" s="46">
        <v>9.6955134325651091</v>
      </c>
      <c r="D28" s="46">
        <v>10.452886113541849</v>
      </c>
      <c r="E28" s="46">
        <v>8.8318925443001675</v>
      </c>
      <c r="F28" s="46">
        <v>11.626106216180132</v>
      </c>
      <c r="G28" s="47"/>
      <c r="H28" s="46">
        <v>12.845970772256202</v>
      </c>
      <c r="I28" s="46">
        <v>15.318753952619016</v>
      </c>
      <c r="J28" s="46">
        <v>15.257775373863256</v>
      </c>
      <c r="K28" s="46">
        <v>14.432047766053028</v>
      </c>
      <c r="M28" s="2" t="s">
        <v>28</v>
      </c>
    </row>
    <row r="29" spans="1:13" x14ac:dyDescent="0.25">
      <c r="A29" s="3" t="s">
        <v>31</v>
      </c>
      <c r="B29" s="46"/>
      <c r="C29" s="46">
        <v>51.336916628393595</v>
      </c>
      <c r="D29" s="46">
        <v>50.413769679409384</v>
      </c>
      <c r="E29" s="46">
        <v>51.667789825576882</v>
      </c>
      <c r="F29" s="46">
        <v>43.381982383071694</v>
      </c>
      <c r="G29" s="47"/>
      <c r="H29" s="46">
        <v>46.488601701855586</v>
      </c>
      <c r="I29" s="46">
        <v>39.148598572441834</v>
      </c>
      <c r="J29" s="46">
        <v>39.990972077574291</v>
      </c>
      <c r="K29" s="46">
        <v>39.864530670709911</v>
      </c>
      <c r="M29" s="2" t="s">
        <v>32</v>
      </c>
    </row>
    <row r="30" spans="1:13" x14ac:dyDescent="0.25">
      <c r="A30" s="3" t="s">
        <v>41</v>
      </c>
      <c r="B30" s="46"/>
      <c r="C30" s="46">
        <v>15.42636438366552</v>
      </c>
      <c r="D30" s="46">
        <v>15.04463977165473</v>
      </c>
      <c r="E30" s="46">
        <v>15.597205324804374</v>
      </c>
      <c r="F30" s="46">
        <v>16.851115579582018</v>
      </c>
      <c r="G30" s="47"/>
      <c r="H30" s="46">
        <v>16.647878105907047</v>
      </c>
      <c r="I30" s="46">
        <v>17.685799258597619</v>
      </c>
      <c r="J30" s="46">
        <v>17.008798819029696</v>
      </c>
      <c r="K30" s="46">
        <v>17.247774636390886</v>
      </c>
      <c r="M30" s="2" t="s">
        <v>42</v>
      </c>
    </row>
    <row r="31" spans="1:13" x14ac:dyDescent="0.25">
      <c r="A31" s="43" t="s">
        <v>47</v>
      </c>
      <c r="B31" s="48"/>
      <c r="C31" s="48">
        <v>4.1323048048809188</v>
      </c>
      <c r="D31" s="48">
        <v>3.5787960895142445</v>
      </c>
      <c r="E31" s="48">
        <v>3.8069278738804146</v>
      </c>
      <c r="F31" s="48">
        <v>4.1073899631968569</v>
      </c>
      <c r="G31" s="48"/>
      <c r="H31" s="48">
        <v>3.8700818238101142</v>
      </c>
      <c r="I31" s="48">
        <v>4.3309140359624418</v>
      </c>
      <c r="J31" s="48">
        <v>3.555441287635499</v>
      </c>
      <c r="K31" s="48">
        <v>5.258922838948056</v>
      </c>
      <c r="L31" s="23"/>
      <c r="M31" s="6" t="s">
        <v>55</v>
      </c>
    </row>
    <row r="32" spans="1:13" x14ac:dyDescent="0.25">
      <c r="A32" s="7" t="s">
        <v>10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M32" s="8" t="s">
        <v>11</v>
      </c>
    </row>
    <row r="33" spans="1:16" x14ac:dyDescent="0.25">
      <c r="A33" s="3" t="s">
        <v>23</v>
      </c>
      <c r="B33" s="44"/>
      <c r="C33" s="46">
        <v>-0.485669611906836</v>
      </c>
      <c r="D33" s="46">
        <v>-5.3067496225876587</v>
      </c>
      <c r="E33" s="46">
        <v>-3.6860456716580892</v>
      </c>
      <c r="F33" s="46">
        <v>-26.8514452982071</v>
      </c>
      <c r="G33" s="21"/>
      <c r="H33" s="46">
        <f>+(H10/C10-1)*100</f>
        <v>-26.535546867762317</v>
      </c>
      <c r="I33" s="46">
        <f t="shared" ref="I33:K33" si="0">+(I10/D10-1)*100</f>
        <v>-17.437063997573542</v>
      </c>
      <c r="J33" s="46">
        <f t="shared" si="0"/>
        <v>-20.361948735209968</v>
      </c>
      <c r="K33" s="46">
        <f t="shared" si="0"/>
        <v>13.757062358846618</v>
      </c>
      <c r="M33" s="2" t="s">
        <v>24</v>
      </c>
    </row>
    <row r="34" spans="1:16" x14ac:dyDescent="0.25">
      <c r="A34" s="3" t="s">
        <v>27</v>
      </c>
      <c r="B34" s="41"/>
      <c r="C34" s="46">
        <v>15.296055755343696</v>
      </c>
      <c r="D34" s="46">
        <v>35.3216828132527</v>
      </c>
      <c r="E34" s="46">
        <v>8.8728310678611866</v>
      </c>
      <c r="F34" s="46">
        <v>31.301642489545635</v>
      </c>
      <c r="G34" s="21"/>
      <c r="H34" s="46">
        <f>+(H12/C12-1)*100</f>
        <v>33.968491112923907</v>
      </c>
      <c r="I34" s="46">
        <f t="shared" ref="I34:K34" si="1">+(I12/D12-1)*100</f>
        <v>47.146043091008202</v>
      </c>
      <c r="J34" s="46">
        <f t="shared" si="1"/>
        <v>78.785234294294384</v>
      </c>
      <c r="K34" s="46">
        <f t="shared" si="1"/>
        <v>40.671797879830976</v>
      </c>
      <c r="M34" s="2" t="s">
        <v>28</v>
      </c>
    </row>
    <row r="35" spans="1:16" x14ac:dyDescent="0.25">
      <c r="A35" s="3" t="s">
        <v>31</v>
      </c>
      <c r="B35" s="41"/>
      <c r="C35" s="46">
        <v>-13.467649874484987</v>
      </c>
      <c r="D35" s="46">
        <v>-10.56322213549482</v>
      </c>
      <c r="E35" s="46">
        <v>-0.40439665945666281</v>
      </c>
      <c r="F35" s="46">
        <v>-12.840806696585705</v>
      </c>
      <c r="G35" s="21"/>
      <c r="H35" s="46">
        <f>+(H14/C14-1)*100</f>
        <v>-8.4363173319760065</v>
      </c>
      <c r="I35" s="46">
        <f t="shared" ref="I35:K35" si="2">+(I14/D14-1)*100</f>
        <v>-22.029842226898687</v>
      </c>
      <c r="J35" s="46">
        <f t="shared" si="2"/>
        <v>-19.899305038032178</v>
      </c>
      <c r="K35" s="46">
        <f t="shared" si="2"/>
        <v>4.1335390989713394</v>
      </c>
      <c r="M35" s="2" t="s">
        <v>32</v>
      </c>
    </row>
    <row r="36" spans="1:16" x14ac:dyDescent="0.25">
      <c r="A36" s="3" t="s">
        <v>41</v>
      </c>
      <c r="B36" s="21"/>
      <c r="C36" s="46">
        <v>8.8559791689737608</v>
      </c>
      <c r="D36" s="46">
        <v>7.4616735140073054</v>
      </c>
      <c r="E36" s="46">
        <v>14.547537282851209</v>
      </c>
      <c r="F36" s="46">
        <v>-1.4142160733733977</v>
      </c>
      <c r="G36" s="21"/>
      <c r="H36" s="46">
        <f>+(H20/C20-1)*100</f>
        <v>9.1193701652235948</v>
      </c>
      <c r="I36" s="46">
        <f t="shared" ref="I36:K36" si="3">+(I20/D20-1)*100</f>
        <v>18.033222384413961</v>
      </c>
      <c r="J36" s="46">
        <f t="shared" si="3"/>
        <v>12.855066890884581</v>
      </c>
      <c r="K36" s="46">
        <f t="shared" si="3"/>
        <v>15.989260191111022</v>
      </c>
      <c r="M36" s="2" t="s">
        <v>42</v>
      </c>
    </row>
    <row r="37" spans="1:16" x14ac:dyDescent="0.25">
      <c r="A37" s="43" t="s">
        <v>47</v>
      </c>
      <c r="B37" s="24"/>
      <c r="C37" s="48">
        <v>-1.0757031717534282</v>
      </c>
      <c r="D37" s="48">
        <v>-5.8644727684009084</v>
      </c>
      <c r="E37" s="48">
        <v>7.1478428260741689</v>
      </c>
      <c r="F37" s="48">
        <v>23.758737728719371</v>
      </c>
      <c r="G37" s="24"/>
      <c r="H37" s="48">
        <f>+(H23/C23-1)*100</f>
        <v>-5.3034083977354758</v>
      </c>
      <c r="I37" s="48">
        <f t="shared" ref="I37:K37" si="4">+(I23/D23-1)*100</f>
        <v>21.507749005019662</v>
      </c>
      <c r="J37" s="48">
        <f t="shared" si="4"/>
        <v>-3.3475048428848186</v>
      </c>
      <c r="K37" s="48">
        <f t="shared" si="4"/>
        <v>45.092254172354586</v>
      </c>
      <c r="L37" s="23"/>
      <c r="M37" s="6" t="s">
        <v>48</v>
      </c>
    </row>
    <row r="38" spans="1:16" x14ac:dyDescent="0.2">
      <c r="A38" s="9" t="s">
        <v>59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5"/>
      <c r="M38" s="12" t="s">
        <v>58</v>
      </c>
      <c r="N38" s="30"/>
    </row>
    <row r="39" spans="1:16" s="58" customFormat="1" ht="14.25" customHeight="1" x14ac:dyDescent="0.4">
      <c r="A39" s="54" t="s">
        <v>62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6" t="s">
        <v>61</v>
      </c>
      <c r="M39" s="55" t="s">
        <v>13</v>
      </c>
    </row>
    <row r="40" spans="1:16" ht="14.25" customHeight="1" x14ac:dyDescent="0.4">
      <c r="A40" s="49" t="s">
        <v>56</v>
      </c>
      <c r="B40" s="11"/>
      <c r="F40" s="11"/>
      <c r="G40" s="11"/>
      <c r="K40" s="11"/>
      <c r="L40" s="11" t="s">
        <v>57</v>
      </c>
      <c r="M40" s="15" t="s">
        <v>15</v>
      </c>
    </row>
    <row r="41" spans="1:16" ht="14.25" x14ac:dyDescent="0.25">
      <c r="A41" s="50" t="s">
        <v>12</v>
      </c>
      <c r="L41" s="2" t="s">
        <v>14</v>
      </c>
    </row>
    <row r="42" spans="1:16" x14ac:dyDescent="0.25">
      <c r="A42" s="10"/>
    </row>
    <row r="44" spans="1:16" ht="12.75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ht="17.25" customHeight="1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ht="17.25" customHeight="1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 ht="17.25" customHeight="1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ht="17.25" customHeight="1" x14ac:dyDescent="0.2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2:16" ht="17.25" customHeight="1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2:16" ht="17.25" customHeight="1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2:16" ht="17.25" customHeight="1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2:16" ht="17.25" customHeight="1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2:16" ht="17.25" customHeight="1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2:16" ht="17.25" customHeight="1" x14ac:dyDescent="0.25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2:16" ht="17.25" customHeight="1" x14ac:dyDescent="0.25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2:16" ht="17.25" customHeight="1" x14ac:dyDescent="0.25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2:16" ht="17.25" customHeight="1" x14ac:dyDescent="0.25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2:16" ht="17.25" customHeight="1" x14ac:dyDescent="0.25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2:16" ht="17.25" customHeight="1" x14ac:dyDescent="0.25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2:16" ht="17.25" customHeight="1" x14ac:dyDescent="0.25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2:16" ht="17.25" customHeight="1" x14ac:dyDescent="0.25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2:16" ht="17.25" customHeight="1" x14ac:dyDescent="0.25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2:16" ht="17.25" customHeight="1" x14ac:dyDescent="0.25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2:16" ht="17.25" customHeight="1" x14ac:dyDescent="0.25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spans="2:16" ht="17.25" customHeight="1" x14ac:dyDescent="0.25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2:16" ht="17.25" customHeight="1" x14ac:dyDescent="0.25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2:16" ht="17.25" customHeight="1" x14ac:dyDescent="0.25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spans="2:16" ht="17.25" customHeight="1" x14ac:dyDescent="0.25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spans="2:16" x14ac:dyDescent="0.25"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spans="2:16" x14ac:dyDescent="0.25"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spans="2:16" x14ac:dyDescent="0.25"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spans="2:16" x14ac:dyDescent="0.25">
      <c r="B72" s="13"/>
      <c r="C72" s="13"/>
      <c r="D72" s="13"/>
      <c r="E72" s="13"/>
      <c r="F72" s="13"/>
      <c r="G72" s="13"/>
      <c r="H72" s="13"/>
      <c r="I72" s="13"/>
      <c r="J72" s="13"/>
      <c r="K72" s="13"/>
    </row>
  </sheetData>
  <mergeCells count="6">
    <mergeCell ref="A1:M1"/>
    <mergeCell ref="A2:M2"/>
    <mergeCell ref="A3:M3"/>
    <mergeCell ref="A4:M4"/>
    <mergeCell ref="C5:F5"/>
    <mergeCell ref="H5:K5"/>
  </mergeCells>
  <printOptions horizontalCentered="1"/>
  <pageMargins left="0.53" right="0.21" top="0.46" bottom="0.43" header="0.3" footer="0.3"/>
  <pageSetup paperSize="9" scale="78" fitToHeight="0" orientation="landscape" r:id="rId1"/>
  <colBreaks count="1" manualBreakCount="1">
    <brk id="15" max="4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14.9</vt:lpstr>
      <vt:lpstr>'14.9'!Print_Area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2016-04-17T08:37:11Z</cp:lastPrinted>
  <dcterms:created xsi:type="dcterms:W3CDTF">2013-04-01T04:26:10Z</dcterms:created>
  <dcterms:modified xsi:type="dcterms:W3CDTF">2016-04-17T08:37:12Z</dcterms:modified>
</cp:coreProperties>
</file>