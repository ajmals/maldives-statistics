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35" yWindow="-150" windowWidth="20550" windowHeight="12255" tabRatio="803"/>
  </bookViews>
  <sheets>
    <sheet name="17.6" sheetId="22" r:id="rId1"/>
  </sheets>
  <externalReferences>
    <externalReference r:id="rId2"/>
    <externalReference r:id="rId3"/>
    <externalReference r:id="rId4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'17.6'!$A$1:$R$110</definedName>
    <definedName name="Print_Area_MI">#REF!</definedName>
    <definedName name="total">'[2]4'!#REF!</definedName>
  </definedNames>
  <calcPr calcId="144525"/>
</workbook>
</file>

<file path=xl/calcChain.xml><?xml version="1.0" encoding="utf-8"?>
<calcChain xmlns="http://schemas.openxmlformats.org/spreadsheetml/2006/main">
  <c r="BS80" i="22" l="1"/>
  <c r="BS81" i="22"/>
  <c r="BS82" i="22"/>
  <c r="BS83" i="22"/>
  <c r="BS84" i="22"/>
  <c r="BS85" i="22"/>
  <c r="BS86" i="22"/>
  <c r="BS87" i="22"/>
  <c r="BS88" i="22"/>
  <c r="BS89" i="22"/>
  <c r="BS90" i="22"/>
  <c r="BS91" i="22"/>
  <c r="BS92" i="22"/>
  <c r="BS93" i="22"/>
  <c r="BS94" i="22"/>
  <c r="BS95" i="22"/>
  <c r="BS79" i="22"/>
</calcChain>
</file>

<file path=xl/sharedStrings.xml><?xml version="1.0" encoding="utf-8"?>
<sst xmlns="http://schemas.openxmlformats.org/spreadsheetml/2006/main" count="293" uniqueCount="83">
  <si>
    <t>cCrWm</t>
  </si>
  <si>
    <t>cnUj</t>
  </si>
  <si>
    <t>Mar</t>
  </si>
  <si>
    <t>Jun</t>
  </si>
  <si>
    <t>Sep</t>
  </si>
  <si>
    <t>Dec</t>
  </si>
  <si>
    <t>Major Groups</t>
  </si>
  <si>
    <t>Fish Index</t>
  </si>
  <si>
    <t>uDnwgcnim eguhwm</t>
  </si>
  <si>
    <t>Clothing and footwear</t>
  </si>
  <si>
    <t>Education</t>
  </si>
  <si>
    <t>cmIluAwt</t>
  </si>
  <si>
    <t>wlcmuj</t>
  </si>
  <si>
    <t>clIrcpEa</t>
  </si>
  <si>
    <t>Em</t>
  </si>
  <si>
    <t>iawluj</t>
  </si>
  <si>
    <t>cjErwvea</t>
  </si>
  <si>
    <t>cawtiawbuDnwgiawm egukwtctwvWb</t>
  </si>
  <si>
    <t>Jan</t>
  </si>
  <si>
    <t>Feb</t>
  </si>
  <si>
    <t>Apr</t>
  </si>
  <si>
    <t>May</t>
  </si>
  <si>
    <t>Jul</t>
  </si>
  <si>
    <t>Aug</t>
  </si>
  <si>
    <t>Oct</t>
  </si>
  <si>
    <t>Nov</t>
  </si>
  <si>
    <t>Jan - Dec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</si>
  <si>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</si>
  <si>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</si>
  <si>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</si>
  <si>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</si>
  <si>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</si>
  <si>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</si>
  <si>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</si>
  <si>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</si>
  <si>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</si>
  <si>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</si>
  <si>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</si>
  <si>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</si>
  <si>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</si>
  <si>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</si>
  <si>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>cSwa ejcaWr</t>
  </si>
  <si>
    <t>Male'</t>
  </si>
  <si>
    <t>cSwa elWm</t>
  </si>
  <si>
    <t>Atolls</t>
  </si>
  <si>
    <t xml:space="preserve">Furnishing,  household equipment &amp; routine maintenance </t>
  </si>
  <si>
    <t xml:space="preserve">Tobacco 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</si>
  <si>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</si>
  <si>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</si>
  <si>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</si>
  <si>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</si>
  <si>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</si>
  <si>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</si>
  <si>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rwbcmesiD</t>
  </si>
  <si>
    <t>rwbcmevon</t>
  </si>
  <si>
    <t>rwbOTckoa</t>
  </si>
  <si>
    <t>rwbeTcpes</t>
  </si>
  <si>
    <t>cTcswgOa</t>
  </si>
  <si>
    <t>Irwaurcbef</t>
  </si>
  <si>
    <t>Irwaunej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</si>
  <si>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</si>
  <si>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</si>
  <si>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</si>
  <si>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</si>
  <si>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</si>
  <si>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</si>
  <si>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>ilukegEg</t>
  </si>
  <si>
    <t>ctwmcdiK iaWlwdum cnehinehea</t>
  </si>
  <si>
    <t xml:space="preserve">     ilukegEg</t>
  </si>
  <si>
    <t>Republic</t>
  </si>
  <si>
    <t>Jan '11</t>
  </si>
  <si>
    <t>Jan '10</t>
  </si>
  <si>
    <t xml:space="preserve"> cSwkwtuLotwa</t>
  </si>
  <si>
    <t xml:space="preserve">Source:  National  Bureau of Statistics   </t>
  </si>
  <si>
    <t>މަޢުލޫމާތު ދެއްވި ފަރާތް: ނޭޝަނަލް ބިއުރޯ އޮފް ސްޓެޓިސްޓިކްސް</t>
  </si>
  <si>
    <t>Jan '12</t>
  </si>
  <si>
    <t>Jan '13</t>
  </si>
  <si>
    <t>Jan '14</t>
  </si>
  <si>
    <t>2015 ,uDnwgcnim egugwa egurWzWb eguhwmcswmikea : 17.6 ulwvWt</t>
  </si>
  <si>
    <t>Table  17.6 : CONSUMER PRICE INDEX, FOR MALE' AND ATOLLS BY MONTH,  2015</t>
  </si>
  <si>
    <t>Jan '15</t>
  </si>
  <si>
    <t xml:space="preserve"> 2015 ،iawa.Ip.Is eguhwmcswm</t>
  </si>
  <si>
    <t>Monthly CPI 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</si>
</sst>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0.0"/>
    <numFmt numFmtId="167" formatCode="General_)"/>
    <numFmt numFmtId="169" formatCode="0.00_)"/>
    <numFmt numFmtId="170" formatCode="_(* #,##0.0_);_(* \(#,##0.0\);_(* &quot;-&quot;??_);_(@_)"/>
    <numFmt numFmtId="171" formatCode="[$-409]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i/>
      <sz val="16"/>
      <name val="Helv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Faruma"/>
    </font>
    <font>
      <b/>
      <sz val="12"/>
      <color theme="1"/>
      <name val="A_Randhoo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8">
    <xf numFmtId="0" fontId="0" fillId="0" borderId="0"/>
    <xf numFmtId="0" fontId="2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10" fillId="0" borderId="0"/>
    <xf numFmtId="0" fontId="2" fillId="0" borderId="0"/>
    <xf numFmtId="0" fontId="2" fillId="0" borderId="0"/>
    <xf numFmtId="167" fontId="3" fillId="0" borderId="0"/>
    <xf numFmtId="0" fontId="2" fillId="0" borderId="0"/>
    <xf numFmtId="167" fontId="3" fillId="0" borderId="0"/>
    <xf numFmtId="167" fontId="3" fillId="0" borderId="0"/>
    <xf numFmtId="9" fontId="9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120">
    <xf numFmtId="0" fontId="0" fillId="0" borderId="0" xfId="0"/>
    <xf numFmtId="167" fontId="6" fillId="2" borderId="0" xfId="9" applyFont="1" applyFill="1" applyBorder="1" applyAlignment="1">
      <alignment horizontal="right" vertical="center" wrapText="1"/>
    </xf>
    <xf numFmtId="167" fontId="8" fillId="2" borderId="0" xfId="9" applyFont="1" applyFill="1" applyAlignment="1">
      <alignment horizontal="right" vertical="center"/>
    </xf>
    <xf numFmtId="0" fontId="9" fillId="2" borderId="0" xfId="5" applyFont="1" applyFill="1"/>
    <xf numFmtId="2" fontId="0" fillId="2" borderId="0" xfId="0" applyNumberFormat="1" applyFill="1"/>
    <xf numFmtId="167" fontId="6" fillId="2" borderId="3" xfId="9" applyFont="1" applyFill="1" applyBorder="1" applyAlignment="1">
      <alignment horizontal="right" vertical="center"/>
    </xf>
    <xf numFmtId="167" fontId="14" fillId="2" borderId="0" xfId="7" applyFont="1" applyFill="1" applyAlignment="1">
      <alignment vertical="center" wrapText="1"/>
    </xf>
    <xf numFmtId="167" fontId="14" fillId="2" borderId="0" xfId="7" applyFont="1" applyFill="1" applyAlignment="1">
      <alignment vertical="center"/>
    </xf>
    <xf numFmtId="0" fontId="14" fillId="2" borderId="0" xfId="6" applyFont="1" applyFill="1" applyAlignment="1">
      <alignment vertical="center"/>
    </xf>
    <xf numFmtId="167" fontId="14" fillId="2" borderId="0" xfId="7" applyFont="1" applyFill="1" applyBorder="1" applyAlignment="1">
      <alignment vertical="center" wrapText="1"/>
    </xf>
    <xf numFmtId="167" fontId="8" fillId="2" borderId="0" xfId="10" applyFont="1" applyFill="1" applyAlignment="1">
      <alignment horizontal="right" vertical="center"/>
    </xf>
    <xf numFmtId="167" fontId="15" fillId="2" borderId="0" xfId="7" applyFont="1" applyFill="1" applyBorder="1" applyAlignment="1">
      <alignment vertical="center"/>
    </xf>
    <xf numFmtId="167" fontId="6" fillId="2" borderId="0" xfId="9" applyFont="1" applyFill="1" applyBorder="1" applyAlignment="1">
      <alignment horizontal="right" vertical="center"/>
    </xf>
    <xf numFmtId="167" fontId="15" fillId="2" borderId="2" xfId="7" applyFont="1" applyFill="1" applyBorder="1" applyAlignment="1">
      <alignment vertical="center"/>
    </xf>
    <xf numFmtId="167" fontId="6" fillId="2" borderId="2" xfId="10" applyFont="1" applyFill="1" applyBorder="1" applyAlignment="1">
      <alignment horizontal="right" vertical="center"/>
    </xf>
    <xf numFmtId="167" fontId="11" fillId="2" borderId="0" xfId="9" applyFont="1" applyFill="1" applyAlignment="1" applyProtection="1">
      <alignment vertical="center"/>
    </xf>
    <xf numFmtId="167" fontId="6" fillId="2" borderId="3" xfId="9" applyFont="1" applyFill="1" applyBorder="1" applyAlignment="1">
      <alignment horizontal="right" vertical="center" wrapText="1"/>
    </xf>
    <xf numFmtId="0" fontId="11" fillId="2" borderId="2" xfId="5" applyFont="1" applyFill="1" applyBorder="1" applyAlignment="1">
      <alignment horizontal="left"/>
    </xf>
    <xf numFmtId="167" fontId="8" fillId="2" borderId="0" xfId="9" applyFont="1" applyFill="1" applyAlignment="1">
      <alignment horizontal="center" vertical="center"/>
    </xf>
    <xf numFmtId="167" fontId="6" fillId="2" borderId="0" xfId="10" applyFont="1" applyFill="1" applyBorder="1" applyAlignment="1">
      <alignment horizontal="right" vertical="center"/>
    </xf>
    <xf numFmtId="167" fontId="6" fillId="2" borderId="1" xfId="9" applyFont="1" applyFill="1" applyBorder="1" applyAlignment="1">
      <alignment horizontal="right" vertical="center"/>
    </xf>
    <xf numFmtId="3" fontId="7" fillId="2" borderId="0" xfId="8" applyNumberFormat="1" applyFont="1" applyFill="1" applyBorder="1" applyAlignment="1" applyProtection="1">
      <alignment horizontal="center" vertical="center"/>
    </xf>
    <xf numFmtId="0" fontId="5" fillId="2" borderId="1" xfId="5" applyFont="1" applyFill="1" applyBorder="1"/>
    <xf numFmtId="0" fontId="7" fillId="2" borderId="0" xfId="5" applyFont="1" applyFill="1" applyBorder="1"/>
    <xf numFmtId="0" fontId="5" fillId="2" borderId="0" xfId="5" applyFont="1" applyFill="1"/>
    <xf numFmtId="0" fontId="9" fillId="2" borderId="0" xfId="5" applyFont="1" applyFill="1" applyBorder="1"/>
    <xf numFmtId="167" fontId="12" fillId="2" borderId="0" xfId="7" applyFont="1" applyFill="1" applyAlignment="1">
      <alignment vertical="center" wrapText="1"/>
    </xf>
    <xf numFmtId="0" fontId="12" fillId="2" borderId="0" xfId="5" applyFont="1" applyFill="1" applyBorder="1"/>
    <xf numFmtId="0" fontId="2" fillId="2" borderId="0" xfId="5" applyFont="1" applyFill="1"/>
    <xf numFmtId="0" fontId="5" fillId="2" borderId="0" xfId="5" applyFont="1" applyFill="1" applyBorder="1"/>
    <xf numFmtId="167" fontId="6" fillId="2" borderId="0" xfId="9" applyFont="1" applyFill="1" applyAlignment="1">
      <alignment vertical="center"/>
    </xf>
    <xf numFmtId="167" fontId="5" fillId="2" borderId="0" xfId="9" applyFont="1" applyFill="1" applyAlignment="1">
      <alignment vertical="center"/>
    </xf>
    <xf numFmtId="167" fontId="11" fillId="2" borderId="0" xfId="9" applyFont="1" applyFill="1" applyAlignment="1">
      <alignment vertical="center"/>
    </xf>
    <xf numFmtId="167" fontId="6" fillId="2" borderId="0" xfId="9" applyFont="1" applyFill="1" applyAlignment="1">
      <alignment vertical="center" wrapText="1"/>
    </xf>
    <xf numFmtId="167" fontId="5" fillId="2" borderId="0" xfId="9" applyFont="1" applyFill="1" applyBorder="1" applyAlignment="1">
      <alignment vertical="center"/>
    </xf>
    <xf numFmtId="167" fontId="11" fillId="2" borderId="0" xfId="9" applyFont="1" applyFill="1" applyBorder="1" applyAlignment="1" applyProtection="1">
      <alignment vertical="center"/>
    </xf>
    <xf numFmtId="167" fontId="11" fillId="2" borderId="0" xfId="9" applyFont="1" applyFill="1" applyBorder="1" applyAlignment="1">
      <alignment vertical="center"/>
    </xf>
    <xf numFmtId="3" fontId="12" fillId="2" borderId="2" xfId="8" applyNumberFormat="1" applyFont="1" applyFill="1" applyBorder="1" applyAlignment="1" applyProtection="1">
      <alignment horizontal="left" vertical="center"/>
    </xf>
    <xf numFmtId="3" fontId="7" fillId="2" borderId="2" xfId="8" applyNumberFormat="1" applyFont="1" applyFill="1" applyBorder="1" applyAlignment="1" applyProtection="1">
      <alignment horizontal="center" vertical="center"/>
    </xf>
    <xf numFmtId="3" fontId="7" fillId="2" borderId="2" xfId="8" applyNumberFormat="1" applyFont="1" applyFill="1" applyBorder="1" applyAlignment="1" applyProtection="1">
      <alignment horizontal="right" vertical="center"/>
    </xf>
    <xf numFmtId="0" fontId="9" fillId="2" borderId="2" xfId="5" applyFont="1" applyFill="1" applyBorder="1"/>
    <xf numFmtId="0" fontId="5" fillId="2" borderId="2" xfId="5" applyFont="1" applyFill="1" applyBorder="1"/>
    <xf numFmtId="3" fontId="8" fillId="2" borderId="2" xfId="8" applyNumberFormat="1" applyFont="1" applyFill="1" applyBorder="1" applyAlignment="1" applyProtection="1">
      <alignment horizontal="right" vertical="center"/>
    </xf>
    <xf numFmtId="0" fontId="11" fillId="2" borderId="1" xfId="5" applyFont="1" applyFill="1" applyBorder="1"/>
    <xf numFmtId="0" fontId="7" fillId="2" borderId="1" xfId="5" applyFont="1" applyFill="1" applyBorder="1"/>
    <xf numFmtId="0" fontId="7" fillId="2" borderId="1" xfId="5" applyFont="1" applyFill="1" applyBorder="1" applyAlignment="1">
      <alignment horizontal="right"/>
    </xf>
    <xf numFmtId="0" fontId="7" fillId="2" borderId="0" xfId="5" applyFont="1" applyFill="1"/>
    <xf numFmtId="0" fontId="7" fillId="2" borderId="3" xfId="5" applyFont="1" applyFill="1" applyBorder="1"/>
    <xf numFmtId="0" fontId="11" fillId="2" borderId="0" xfId="5" applyFont="1" applyFill="1" applyBorder="1" applyAlignment="1">
      <alignment horizontal="left"/>
    </xf>
    <xf numFmtId="167" fontId="6" fillId="2" borderId="4" xfId="9" applyFont="1" applyFill="1" applyBorder="1" applyAlignment="1">
      <alignment horizontal="right" wrapText="1"/>
    </xf>
    <xf numFmtId="167" fontId="6" fillId="2" borderId="0" xfId="9" applyFont="1" applyFill="1" applyBorder="1" applyAlignment="1">
      <alignment horizontal="right" wrapText="1"/>
    </xf>
    <xf numFmtId="164" fontId="6" fillId="2" borderId="0" xfId="9" applyNumberFormat="1" applyFont="1" applyFill="1" applyBorder="1" applyAlignment="1">
      <alignment horizontal="right"/>
    </xf>
    <xf numFmtId="0" fontId="5" fillId="2" borderId="0" xfId="5" applyFont="1" applyFill="1" applyAlignment="1"/>
    <xf numFmtId="167" fontId="6" fillId="2" borderId="0" xfId="9" applyFont="1" applyFill="1" applyBorder="1" applyAlignment="1">
      <alignment horizontal="right"/>
    </xf>
    <xf numFmtId="17" fontId="15" fillId="2" borderId="2" xfId="5" applyNumberFormat="1" applyFont="1" applyFill="1" applyBorder="1" applyAlignment="1">
      <alignment horizontal="right"/>
    </xf>
    <xf numFmtId="0" fontId="15" fillId="2" borderId="2" xfId="5" applyFont="1" applyFill="1" applyBorder="1" applyAlignment="1">
      <alignment horizontal="right"/>
    </xf>
    <xf numFmtId="167" fontId="15" fillId="2" borderId="2" xfId="9" applyFont="1" applyFill="1" applyBorder="1" applyAlignment="1">
      <alignment horizontal="right"/>
    </xf>
    <xf numFmtId="0" fontId="5" fillId="2" borderId="2" xfId="5" applyFont="1" applyFill="1" applyBorder="1" applyAlignment="1"/>
    <xf numFmtId="0" fontId="8" fillId="2" borderId="2" xfId="5" applyFont="1" applyFill="1" applyBorder="1" applyAlignment="1"/>
    <xf numFmtId="166" fontId="5" fillId="2" borderId="0" xfId="5" applyNumberFormat="1" applyFont="1" applyFill="1"/>
    <xf numFmtId="3" fontId="12" fillId="2" borderId="0" xfId="8" applyNumberFormat="1" applyFont="1" applyFill="1" applyBorder="1" applyAlignment="1" applyProtection="1">
      <alignment horizontal="left" vertical="center"/>
    </xf>
    <xf numFmtId="3" fontId="8" fillId="2" borderId="0" xfId="8" applyNumberFormat="1" applyFont="1" applyFill="1" applyBorder="1" applyAlignment="1" applyProtection="1">
      <alignment horizontal="right" vertical="center"/>
    </xf>
    <xf numFmtId="0" fontId="11" fillId="2" borderId="1" xfId="5" applyFont="1" applyFill="1" applyBorder="1" applyAlignment="1">
      <alignment horizontal="left"/>
    </xf>
    <xf numFmtId="167" fontId="7" fillId="2" borderId="3" xfId="9" applyFont="1" applyFill="1" applyBorder="1" applyAlignment="1">
      <alignment horizontal="right" vertical="center" wrapText="1"/>
    </xf>
    <xf numFmtId="0" fontId="5" fillId="2" borderId="3" xfId="5" applyFont="1" applyFill="1" applyBorder="1"/>
    <xf numFmtId="0" fontId="12" fillId="2" borderId="2" xfId="5" applyFont="1" applyFill="1" applyBorder="1"/>
    <xf numFmtId="0" fontId="8" fillId="2" borderId="2" xfId="5" applyFont="1" applyFill="1" applyBorder="1"/>
    <xf numFmtId="170" fontId="14" fillId="2" borderId="0" xfId="0" applyNumberFormat="1" applyFont="1" applyFill="1" applyBorder="1" applyAlignment="1">
      <alignment horizontal="left"/>
    </xf>
    <xf numFmtId="164" fontId="5" fillId="2" borderId="0" xfId="5" applyNumberFormat="1" applyFont="1" applyFill="1"/>
    <xf numFmtId="170" fontId="14" fillId="2" borderId="0" xfId="3" applyNumberFormat="1" applyFont="1" applyFill="1" applyBorder="1"/>
    <xf numFmtId="170" fontId="15" fillId="2" borderId="0" xfId="3" applyNumberFormat="1" applyFont="1" applyFill="1" applyBorder="1" applyAlignment="1">
      <alignment horizontal="left"/>
    </xf>
    <xf numFmtId="0" fontId="12" fillId="2" borderId="0" xfId="5" applyFont="1" applyFill="1"/>
    <xf numFmtId="0" fontId="5" fillId="2" borderId="0" xfId="5" applyFont="1" applyFill="1" applyAlignment="1">
      <alignment horizontal="right"/>
    </xf>
    <xf numFmtId="0" fontId="8" fillId="2" borderId="0" xfId="5" applyFont="1" applyFill="1"/>
    <xf numFmtId="166" fontId="11" fillId="2" borderId="0" xfId="9" applyNumberFormat="1" applyFont="1" applyFill="1" applyBorder="1" applyAlignment="1">
      <alignment horizontal="right" vertical="center"/>
    </xf>
    <xf numFmtId="167" fontId="12" fillId="2" borderId="0" xfId="7" applyFont="1" applyFill="1" applyAlignment="1">
      <alignment wrapText="1"/>
    </xf>
    <xf numFmtId="167" fontId="12" fillId="2" borderId="0" xfId="7" applyFont="1" applyFill="1"/>
    <xf numFmtId="0" fontId="12" fillId="2" borderId="0" xfId="6" applyFont="1" applyFill="1"/>
    <xf numFmtId="167" fontId="12" fillId="2" borderId="0" xfId="7" applyFont="1" applyFill="1" applyBorder="1" applyAlignment="1">
      <alignment wrapText="1"/>
    </xf>
    <xf numFmtId="171" fontId="5" fillId="2" borderId="0" xfId="5" applyNumberFormat="1" applyFont="1" applyFill="1"/>
    <xf numFmtId="167" fontId="16" fillId="2" borderId="0" xfId="10" applyFont="1" applyFill="1" applyAlignment="1">
      <alignment horizontal="right" vertical="center"/>
    </xf>
    <xf numFmtId="2" fontId="5" fillId="2" borderId="0" xfId="5" applyNumberFormat="1" applyFont="1" applyFill="1"/>
    <xf numFmtId="2" fontId="9" fillId="2" borderId="0" xfId="5" applyNumberFormat="1" applyFont="1" applyFill="1"/>
    <xf numFmtId="170" fontId="5" fillId="2" borderId="0" xfId="5" applyNumberFormat="1" applyFont="1" applyFill="1"/>
    <xf numFmtId="167" fontId="13" fillId="2" borderId="0" xfId="10" applyFont="1" applyFill="1" applyBorder="1" applyAlignment="1" applyProtection="1">
      <alignment horizontal="left" vertical="center"/>
    </xf>
    <xf numFmtId="3" fontId="7" fillId="2" borderId="0" xfId="8" applyNumberFormat="1" applyFont="1" applyFill="1" applyBorder="1" applyAlignment="1" applyProtection="1">
      <alignment horizontal="right" vertical="center"/>
    </xf>
    <xf numFmtId="0" fontId="11" fillId="2" borderId="0" xfId="5" applyFont="1" applyFill="1" applyBorder="1"/>
    <xf numFmtId="0" fontId="7" fillId="2" borderId="0" xfId="5" applyFont="1" applyFill="1" applyBorder="1" applyAlignment="1">
      <alignment horizontal="right"/>
    </xf>
    <xf numFmtId="0" fontId="5" fillId="2" borderId="0" xfId="5" applyFont="1" applyFill="1" applyBorder="1" applyAlignment="1"/>
    <xf numFmtId="17" fontId="15" fillId="2" borderId="0" xfId="5" applyNumberFormat="1" applyFont="1" applyFill="1" applyBorder="1" applyAlignment="1">
      <alignment horizontal="right"/>
    </xf>
    <xf numFmtId="0" fontId="15" fillId="2" borderId="0" xfId="5" applyFont="1" applyFill="1" applyBorder="1" applyAlignment="1">
      <alignment horizontal="right"/>
    </xf>
    <xf numFmtId="167" fontId="15" fillId="2" borderId="0" xfId="9" applyFont="1" applyFill="1" applyBorder="1" applyAlignment="1">
      <alignment horizontal="right"/>
    </xf>
    <xf numFmtId="0" fontId="8" fillId="2" borderId="0" xfId="5" applyFont="1" applyFill="1" applyBorder="1" applyAlignment="1"/>
    <xf numFmtId="167" fontId="8" fillId="2" borderId="0" xfId="9" applyFont="1" applyFill="1" applyBorder="1" applyAlignment="1">
      <alignment horizontal="right" vertical="center"/>
    </xf>
    <xf numFmtId="167" fontId="14" fillId="2" borderId="0" xfId="7" applyFont="1" applyFill="1" applyBorder="1" applyAlignment="1">
      <alignment vertical="center"/>
    </xf>
    <xf numFmtId="167" fontId="8" fillId="2" borderId="0" xfId="9" applyFont="1" applyFill="1" applyBorder="1" applyAlignment="1">
      <alignment horizontal="center" vertical="center"/>
    </xf>
    <xf numFmtId="0" fontId="14" fillId="2" borderId="0" xfId="6" applyFont="1" applyFill="1" applyBorder="1" applyAlignment="1">
      <alignment vertical="center"/>
    </xf>
    <xf numFmtId="167" fontId="8" fillId="2" borderId="0" xfId="10" applyFont="1" applyFill="1" applyBorder="1" applyAlignment="1">
      <alignment horizontal="right" vertical="center"/>
    </xf>
    <xf numFmtId="0" fontId="5" fillId="2" borderId="0" xfId="5" applyFont="1" applyFill="1" applyBorder="1" applyAlignment="1">
      <alignment horizontal="right"/>
    </xf>
    <xf numFmtId="0" fontId="8" fillId="2" borderId="0" xfId="5" applyFont="1" applyFill="1" applyBorder="1"/>
    <xf numFmtId="167" fontId="7" fillId="2" borderId="0" xfId="9" applyFont="1" applyFill="1" applyBorder="1" applyAlignment="1">
      <alignment horizontal="left" vertical="center"/>
    </xf>
    <xf numFmtId="167" fontId="7" fillId="2" borderId="0" xfId="9" applyFont="1" applyFill="1" applyBorder="1" applyAlignment="1">
      <alignment horizontal="right" vertical="center" wrapText="1"/>
    </xf>
    <xf numFmtId="0" fontId="2" fillId="2" borderId="0" xfId="5" applyFont="1" applyFill="1" applyBorder="1"/>
    <xf numFmtId="167" fontId="16" fillId="2" borderId="0" xfId="10" applyFont="1" applyFill="1" applyBorder="1" applyAlignment="1">
      <alignment horizontal="right" vertical="center"/>
    </xf>
    <xf numFmtId="0" fontId="4" fillId="2" borderId="0" xfId="5" applyFont="1" applyFill="1"/>
    <xf numFmtId="0" fontId="7" fillId="2" borderId="2" xfId="5" applyFont="1" applyFill="1" applyBorder="1"/>
    <xf numFmtId="0" fontId="18" fillId="2" borderId="0" xfId="5" applyFont="1" applyFill="1"/>
    <xf numFmtId="170" fontId="14" fillId="2" borderId="0" xfId="0" applyNumberFormat="1" applyFont="1" applyFill="1" applyAlignment="1">
      <alignment horizontal="left"/>
    </xf>
    <xf numFmtId="170" fontId="15" fillId="2" borderId="0" xfId="0" applyNumberFormat="1" applyFont="1" applyFill="1" applyBorder="1" applyAlignment="1">
      <alignment horizontal="left"/>
    </xf>
    <xf numFmtId="170" fontId="15" fillId="2" borderId="0" xfId="0" applyNumberFormat="1" applyFont="1" applyFill="1" applyAlignment="1">
      <alignment horizontal="left"/>
    </xf>
    <xf numFmtId="170" fontId="15" fillId="2" borderId="2" xfId="0" applyNumberFormat="1" applyFont="1" applyFill="1" applyBorder="1" applyAlignment="1">
      <alignment horizontal="left"/>
    </xf>
    <xf numFmtId="170" fontId="14" fillId="2" borderId="1" xfId="0" applyNumberFormat="1" applyFont="1" applyFill="1" applyBorder="1" applyAlignment="1">
      <alignment horizontal="left"/>
    </xf>
    <xf numFmtId="170" fontId="15" fillId="2" borderId="2" xfId="3" applyNumberFormat="1" applyFont="1" applyFill="1" applyBorder="1" applyAlignment="1">
      <alignment horizontal="left"/>
    </xf>
    <xf numFmtId="167" fontId="15" fillId="2" borderId="0" xfId="9" applyFont="1" applyFill="1" applyBorder="1" applyAlignment="1" applyProtection="1">
      <alignment horizontal="center" vertical="center"/>
    </xf>
    <xf numFmtId="167" fontId="6" fillId="2" borderId="0" xfId="9" applyFont="1" applyFill="1" applyBorder="1" applyAlignment="1">
      <alignment horizontal="center" vertical="center" wrapText="1"/>
    </xf>
    <xf numFmtId="167" fontId="11" fillId="2" borderId="0" xfId="9" applyFont="1" applyFill="1" applyBorder="1" applyAlignment="1" applyProtection="1">
      <alignment horizontal="center" vertical="center"/>
    </xf>
    <xf numFmtId="167" fontId="17" fillId="2" borderId="0" xfId="9" applyFont="1" applyFill="1" applyAlignment="1">
      <alignment horizontal="center" vertical="center"/>
    </xf>
    <xf numFmtId="167" fontId="15" fillId="2" borderId="0" xfId="9" applyFont="1" applyFill="1" applyAlignment="1" applyProtection="1">
      <alignment horizontal="center" vertical="center"/>
    </xf>
    <xf numFmtId="167" fontId="6" fillId="2" borderId="0" xfId="9" applyFont="1" applyFill="1" applyAlignment="1">
      <alignment horizontal="center" vertical="center" wrapText="1"/>
    </xf>
    <xf numFmtId="167" fontId="17" fillId="2" borderId="0" xfId="9" applyFont="1" applyFill="1" applyBorder="1" applyAlignment="1">
      <alignment horizontal="center" vertical="center"/>
    </xf>
  </cellXfs>
  <cellStyles count="18">
    <cellStyle name="1" xfId="1"/>
    <cellStyle name="Comma 2" xfId="2"/>
    <cellStyle name="Comma 2 2" xfId="13"/>
    <cellStyle name="Comma 3" xfId="3"/>
    <cellStyle name="Comma 3 2" xfId="14"/>
    <cellStyle name="Normal" xfId="0" builtinId="0"/>
    <cellStyle name="Normal - Style1" xfId="4"/>
    <cellStyle name="Normal 2" xfId="12"/>
    <cellStyle name="Normal 3" xfId="16"/>
    <cellStyle name="Normal 4" xfId="17"/>
    <cellStyle name="Normal_17 Prices_done" xfId="5"/>
    <cellStyle name="Normal_CPI new tables" xfId="6"/>
    <cellStyle name="Normal_Dec97" xfId="7"/>
    <cellStyle name="Normal_II-15(Population)" xfId="8"/>
    <cellStyle name="Normal_XII-11(Commerce)" xfId="9"/>
    <cellStyle name="Normal_XII-12 (Commerce)" xfId="10"/>
    <cellStyle name="Percent 2" xfId="11"/>
    <cellStyle name="Percent 2 2" xfId="15"/>
  </cellStyles>
  <dxfs count="0"/>
  <tableStyles count="0" defaultTableStyle="TableStyleMedium9" defaultPivotStyle="PivotStyleLight16"/>
  <colors>
    <mruColors>
      <color rgb="FF73F3DE"/>
      <color rgb="FF33CCCC"/>
      <color rgb="FFE7FFFF"/>
      <color rgb="FFAEF8EC"/>
      <color rgb="FFCC00FF"/>
      <color rgb="FFEFD5DD"/>
      <color rgb="FFFF61FF"/>
      <color rgb="FF7030A0"/>
      <color rgb="FFFF97FF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688203921325424E-2"/>
          <c:y val="0.12298054518664273"/>
          <c:w val="0.91787753419041462"/>
          <c:h val="0.452192929560931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'17.6'!$BQ$78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invertIfNegative val="0"/>
          <c:cat>
            <c:strRef>
              <c:f>'17.6'!$BM$79:$BM$94</c:f>
              <c:strCache>
                <c:ptCount val="16"/>
                <c:pt idx="0">
                  <c:v>Food and beverages including fish</c:v>
                </c:pt>
                <c:pt idx="1">
                  <c:v>Food and beverages excluding fish</c:v>
                </c:pt>
                <c:pt idx="2">
                  <c:v>Fish Index</c:v>
                </c:pt>
                <c:pt idx="3">
                  <c:v>Tobacco </c:v>
                </c:pt>
                <c:pt idx="4">
                  <c:v>Clothing and footwear</c:v>
                </c:pt>
                <c:pt idx="5">
                  <c:v>Housing, water, electricity, gas and other fuel</c:v>
                </c:pt>
                <c:pt idx="6">
                  <c:v>  Actual rentals for housing</c:v>
                </c:pt>
                <c:pt idx="7">
                  <c:v>Furnishing,  household equipment &amp; routine maintenance </c:v>
                </c:pt>
                <c:pt idx="8">
                  <c:v>Health</c:v>
                </c:pt>
                <c:pt idx="9">
                  <c:v>Transport </c:v>
                </c:pt>
                <c:pt idx="10">
                  <c:v>Communication</c:v>
                </c:pt>
                <c:pt idx="11">
                  <c:v>Recreation and culture</c:v>
                </c:pt>
                <c:pt idx="12">
                  <c:v>Education</c:v>
                </c:pt>
                <c:pt idx="13">
                  <c:v>Hotels, cafés and restaurants</c:v>
                </c:pt>
                <c:pt idx="14">
                  <c:v>Miscellaneous goods and services</c:v>
                </c:pt>
                <c:pt idx="15">
                  <c:v>All groups CPI (Total)</c:v>
                </c:pt>
              </c:strCache>
            </c:strRef>
          </c:cat>
          <c:val>
            <c:numRef>
              <c:f>'17.6'!$BQ$79:$BQ$94</c:f>
              <c:numCache>
                <c:formatCode>0.0</c:formatCode>
                <c:ptCount val="16"/>
                <c:pt idx="0">
                  <c:v>105.15731822206406</c:v>
                </c:pt>
                <c:pt idx="1">
                  <c:v>105.46827201556327</c:v>
                </c:pt>
                <c:pt idx="2">
                  <c:v>104.44563486657425</c:v>
                </c:pt>
                <c:pt idx="3">
                  <c:v>98.00579870542515</c:v>
                </c:pt>
                <c:pt idx="4">
                  <c:v>101.52586212230904</c:v>
                </c:pt>
                <c:pt idx="5">
                  <c:v>103.51724004351574</c:v>
                </c:pt>
                <c:pt idx="6">
                  <c:v>104.08964183574052</c:v>
                </c:pt>
                <c:pt idx="7">
                  <c:v>97.029807398560521</c:v>
                </c:pt>
                <c:pt idx="8">
                  <c:v>110.75985912203326</c:v>
                </c:pt>
                <c:pt idx="9">
                  <c:v>102.17949400970934</c:v>
                </c:pt>
                <c:pt idx="10">
                  <c:v>99.050815085253589</c:v>
                </c:pt>
                <c:pt idx="11">
                  <c:v>98.82807875047888</c:v>
                </c:pt>
                <c:pt idx="12">
                  <c:v>105.75107702222947</c:v>
                </c:pt>
                <c:pt idx="13">
                  <c:v>115.92908544747458</c:v>
                </c:pt>
                <c:pt idx="14">
                  <c:v>99.01609787482279</c:v>
                </c:pt>
                <c:pt idx="15">
                  <c:v>103.19281073321666</c:v>
                </c:pt>
              </c:numCache>
            </c:numRef>
          </c:val>
        </c:ser>
        <c:ser>
          <c:idx val="1"/>
          <c:order val="1"/>
          <c:tx>
            <c:strRef>
              <c:f>'17.6'!$BR$78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AEF8EC"/>
            </a:solidFill>
          </c:spPr>
          <c:invertIfNegative val="0"/>
          <c:cat>
            <c:strRef>
              <c:f>'17.6'!$BM$79:$BM$94</c:f>
              <c:strCache>
                <c:ptCount val="16"/>
                <c:pt idx="0">
                  <c:v>Food and beverages including fish</c:v>
                </c:pt>
                <c:pt idx="1">
                  <c:v>Food and beverages excluding fish</c:v>
                </c:pt>
                <c:pt idx="2">
                  <c:v>Fish Index</c:v>
                </c:pt>
                <c:pt idx="3">
                  <c:v>Tobacco </c:v>
                </c:pt>
                <c:pt idx="4">
                  <c:v>Clothing and footwear</c:v>
                </c:pt>
                <c:pt idx="5">
                  <c:v>Housing, water, electricity, gas and other fuel</c:v>
                </c:pt>
                <c:pt idx="6">
                  <c:v>  Actual rentals for housing</c:v>
                </c:pt>
                <c:pt idx="7">
                  <c:v>Furnishing,  household equipment &amp; routine maintenance </c:v>
                </c:pt>
                <c:pt idx="8">
                  <c:v>Health</c:v>
                </c:pt>
                <c:pt idx="9">
                  <c:v>Transport </c:v>
                </c:pt>
                <c:pt idx="10">
                  <c:v>Communication</c:v>
                </c:pt>
                <c:pt idx="11">
                  <c:v>Recreation and culture</c:v>
                </c:pt>
                <c:pt idx="12">
                  <c:v>Education</c:v>
                </c:pt>
                <c:pt idx="13">
                  <c:v>Hotels, cafés and restaurants</c:v>
                </c:pt>
                <c:pt idx="14">
                  <c:v>Miscellaneous goods and services</c:v>
                </c:pt>
                <c:pt idx="15">
                  <c:v>All groups CPI (Total)</c:v>
                </c:pt>
              </c:strCache>
            </c:strRef>
          </c:cat>
          <c:val>
            <c:numRef>
              <c:f>'17.6'!$BR$79:$BR$94</c:f>
              <c:numCache>
                <c:formatCode>_(* #,##0.0_);_(* \(#,##0.0\);_(* "-"??_);_(@_)</c:formatCode>
                <c:ptCount val="16"/>
                <c:pt idx="0">
                  <c:v>105.91516633353841</c:v>
                </c:pt>
                <c:pt idx="1">
                  <c:v>105.77637644985344</c:v>
                </c:pt>
                <c:pt idx="2">
                  <c:v>106.23281626157906</c:v>
                </c:pt>
                <c:pt idx="3">
                  <c:v>100.18505236961772</c:v>
                </c:pt>
                <c:pt idx="4">
                  <c:v>102.46527730468375</c:v>
                </c:pt>
                <c:pt idx="5">
                  <c:v>106.69055604936631</c:v>
                </c:pt>
                <c:pt idx="6">
                  <c:v>108.54742074440985</c:v>
                </c:pt>
                <c:pt idx="7">
                  <c:v>96.030794344264748</c:v>
                </c:pt>
                <c:pt idx="8">
                  <c:v>120.99690521142638</c:v>
                </c:pt>
                <c:pt idx="9">
                  <c:v>105.37961599773739</c:v>
                </c:pt>
                <c:pt idx="10">
                  <c:v>100.28780520090577</c:v>
                </c:pt>
                <c:pt idx="11">
                  <c:v>102.2003441480955</c:v>
                </c:pt>
                <c:pt idx="12">
                  <c:v>110.56855328746506</c:v>
                </c:pt>
                <c:pt idx="13">
                  <c:v>121.3287709962447</c:v>
                </c:pt>
                <c:pt idx="14">
                  <c:v>98.892634758290214</c:v>
                </c:pt>
                <c:pt idx="15">
                  <c:v>105.38050013404563</c:v>
                </c:pt>
              </c:numCache>
            </c:numRef>
          </c:val>
        </c:ser>
        <c:ser>
          <c:idx val="2"/>
          <c:order val="2"/>
          <c:tx>
            <c:strRef>
              <c:f>'17.6'!$BS$78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'17.6'!$BM$79:$BM$94</c:f>
              <c:strCache>
                <c:ptCount val="16"/>
                <c:pt idx="0">
                  <c:v>Food and beverages including fish</c:v>
                </c:pt>
                <c:pt idx="1">
                  <c:v>Food and beverages excluding fish</c:v>
                </c:pt>
                <c:pt idx="2">
                  <c:v>Fish Index</c:v>
                </c:pt>
                <c:pt idx="3">
                  <c:v>Tobacco </c:v>
                </c:pt>
                <c:pt idx="4">
                  <c:v>Clothing and footwear</c:v>
                </c:pt>
                <c:pt idx="5">
                  <c:v>Housing, water, electricity, gas and other fuel</c:v>
                </c:pt>
                <c:pt idx="6">
                  <c:v>  Actual rentals for housing</c:v>
                </c:pt>
                <c:pt idx="7">
                  <c:v>Furnishing,  household equipment &amp; routine maintenance </c:v>
                </c:pt>
                <c:pt idx="8">
                  <c:v>Health</c:v>
                </c:pt>
                <c:pt idx="9">
                  <c:v>Transport </c:v>
                </c:pt>
                <c:pt idx="10">
                  <c:v>Communication</c:v>
                </c:pt>
                <c:pt idx="11">
                  <c:v>Recreation and culture</c:v>
                </c:pt>
                <c:pt idx="12">
                  <c:v>Education</c:v>
                </c:pt>
                <c:pt idx="13">
                  <c:v>Hotels, cafés and restaurants</c:v>
                </c:pt>
                <c:pt idx="14">
                  <c:v>Miscellaneous goods and services</c:v>
                </c:pt>
                <c:pt idx="15">
                  <c:v>All groups CPI (Total)</c:v>
                </c:pt>
              </c:strCache>
            </c:strRef>
          </c:cat>
          <c:val>
            <c:numRef>
              <c:f>'17.6'!$BS$79:$BS$94</c:f>
              <c:numCache>
                <c:formatCode>_(* #,##0.0_);_(* \(#,##0.0\);_(* "-"??_);_(@_)</c:formatCode>
                <c:ptCount val="16"/>
                <c:pt idx="0">
                  <c:v>106.42761479980396</c:v>
                </c:pt>
                <c:pt idx="1">
                  <c:v>106.72890504792964</c:v>
                </c:pt>
                <c:pt idx="2">
                  <c:v>105.73804850653096</c:v>
                </c:pt>
                <c:pt idx="3">
                  <c:v>117.46360163260034</c:v>
                </c:pt>
                <c:pt idx="4">
                  <c:v>101.54061731751705</c:v>
                </c:pt>
                <c:pt idx="5">
                  <c:v>107.78553856963902</c:v>
                </c:pt>
                <c:pt idx="6">
                  <c:v>112.36921152715941</c:v>
                </c:pt>
                <c:pt idx="7">
                  <c:v>96.619226474540611</c:v>
                </c:pt>
                <c:pt idx="8">
                  <c:v>123.58711110547449</c:v>
                </c:pt>
                <c:pt idx="9">
                  <c:v>102.92917404156066</c:v>
                </c:pt>
                <c:pt idx="10">
                  <c:v>100.55782006117782</c:v>
                </c:pt>
                <c:pt idx="11">
                  <c:v>101.95630588932649</c:v>
                </c:pt>
                <c:pt idx="12">
                  <c:v>119.00762505009182</c:v>
                </c:pt>
                <c:pt idx="13">
                  <c:v>121.06073734975051</c:v>
                </c:pt>
                <c:pt idx="14">
                  <c:v>98.735605526974709</c:v>
                </c:pt>
                <c:pt idx="15">
                  <c:v>106.38499407837655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253056"/>
        <c:axId val="138254592"/>
      </c:barChart>
      <c:catAx>
        <c:axId val="138253056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8254592"/>
        <c:crosses val="autoZero"/>
        <c:auto val="1"/>
        <c:lblAlgn val="ctr"/>
        <c:lblOffset val="100"/>
        <c:noMultiLvlLbl val="0"/>
      </c:catAx>
      <c:valAx>
        <c:axId val="138254592"/>
        <c:scaling>
          <c:orientation val="minMax"/>
          <c:max val="14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none"/>
        <c:minorTickMark val="none"/>
        <c:tickLblPos val="nextTo"/>
        <c:crossAx val="138253056"/>
        <c:crosses val="autoZero"/>
        <c:crossBetween val="between"/>
      </c:valAx>
      <c:spPr>
        <a:solidFill>
          <a:srgbClr val="E7FFFF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9665480777932552"/>
          <c:y val="0.8840427656318306"/>
          <c:w val="0.27319471340034907"/>
          <c:h val="5.4795301738732073E-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904541290315825E-2"/>
          <c:y val="0.14541768764652582"/>
          <c:w val="0.92474503881256354"/>
          <c:h val="0.65702248645521599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5">
                  <a:lumMod val="50000"/>
                </a:schemeClr>
              </a:solidFill>
            </a:ln>
          </c:spPr>
          <c:marker>
            <c:symbol val="diamond"/>
            <c:size val="7"/>
            <c:spPr>
              <a:solidFill>
                <a:srgbClr val="33CCCC"/>
              </a:solidFill>
              <a:ln>
                <a:solidFill>
                  <a:schemeClr val="accent5">
                    <a:lumMod val="75000"/>
                  </a:schemeClr>
                </a:solidFill>
              </a:ln>
            </c:spPr>
          </c:marker>
          <c:cat>
            <c:strRef>
              <c:f>'17.6'!$BO$136:$BO$171</c:f>
              <c:strCache>
                <c:ptCount val="36"/>
                <c:pt idx="0">
                  <c:v>Jan '13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 '14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 '15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</c:strCache>
            </c:strRef>
          </c:cat>
          <c:val>
            <c:numRef>
              <c:f>'17.6'!$BP$136:$BP$171</c:f>
              <c:numCache>
                <c:formatCode>0.0</c:formatCode>
                <c:ptCount val="36"/>
                <c:pt idx="0">
                  <c:v>101.82326041829094</c:v>
                </c:pt>
                <c:pt idx="1">
                  <c:v>101.61695886850373</c:v>
                </c:pt>
                <c:pt idx="2">
                  <c:v>102.12566814142265</c:v>
                </c:pt>
                <c:pt idx="3">
                  <c:v>102.24323827834799</c:v>
                </c:pt>
                <c:pt idx="4">
                  <c:v>102.34106701439609</c:v>
                </c:pt>
                <c:pt idx="5">
                  <c:v>102.06719267346149</c:v>
                </c:pt>
                <c:pt idx="6">
                  <c:v>103.25634477540279</c:v>
                </c:pt>
                <c:pt idx="7">
                  <c:v>103.43085978874505</c:v>
                </c:pt>
                <c:pt idx="8">
                  <c:v>104.3457858782799</c:v>
                </c:pt>
                <c:pt idx="9">
                  <c:v>104.94594055432941</c:v>
                </c:pt>
                <c:pt idx="10">
                  <c:v>105.07383775862121</c:v>
                </c:pt>
                <c:pt idx="11">
                  <c:v>105.04357464879853</c:v>
                </c:pt>
                <c:pt idx="12" formatCode="_(* #,##0.0_);_(* \(#,##0.0\);_(* &quot;-&quot;??_);_(@_)">
                  <c:v>105.15896985278053</c:v>
                </c:pt>
                <c:pt idx="13" formatCode="_(* #,##0.0_);_(* \(#,##0.0\);_(* &quot;-&quot;??_);_(@_)">
                  <c:v>105.01355186464795</c:v>
                </c:pt>
                <c:pt idx="14" formatCode="_(* #,##0.0_);_(* \(#,##0.0\);_(* &quot;-&quot;??_);_(@_)">
                  <c:v>104.39801712089321</c:v>
                </c:pt>
                <c:pt idx="15" formatCode="_(* #,##0.0_);_(* \(#,##0.0\);_(* &quot;-&quot;??_);_(@_)">
                  <c:v>104.59296064304696</c:v>
                </c:pt>
                <c:pt idx="16" formatCode="_(* #,##0.0_);_(* \(#,##0.0\);_(* &quot;-&quot;??_);_(@_)">
                  <c:v>105.60752384285271</c:v>
                </c:pt>
                <c:pt idx="17" formatCode="_(* #,##0.0_);_(* \(#,##0.0\);_(* &quot;-&quot;??_);_(@_)">
                  <c:v>105.45481378593364</c:v>
                </c:pt>
                <c:pt idx="18" formatCode="_(* #,##0.0_);_(* \(#,##0.0\);_(* &quot;-&quot;??_);_(@_)">
                  <c:v>105.89024984877231</c:v>
                </c:pt>
                <c:pt idx="19" formatCode="_(* #,##0.0_);_(* \(#,##0.0\);_(* &quot;-&quot;??_);_(@_)">
                  <c:v>105.74086822284956</c:v>
                </c:pt>
                <c:pt idx="20" formatCode="_(* #,##0.0_);_(* \(#,##0.0\);_(* &quot;-&quot;??_);_(@_)">
                  <c:v>105.8090548036067</c:v>
                </c:pt>
                <c:pt idx="21" formatCode="_(* #,##0.0_);_(* \(#,##0.0\);_(* &quot;-&quot;??_);_(@_)">
                  <c:v>105.85453303952553</c:v>
                </c:pt>
                <c:pt idx="22" formatCode="_(* #,##0.0_);_(* \(#,##0.0\);_(* &quot;-&quot;??_);_(@_)">
                  <c:v>105.44398185358602</c:v>
                </c:pt>
                <c:pt idx="23" formatCode="_(* #,##0.0_);_(* \(#,##0.0\);_(* &quot;-&quot;??_);_(@_)">
                  <c:v>105.60147673005247</c:v>
                </c:pt>
                <c:pt idx="24" formatCode="_(* #,##0.0_);_(* \(#,##0.0\);_(* &quot;-&quot;??_);_(@_)">
                  <c:v>105.0602739482481</c:v>
                </c:pt>
                <c:pt idx="25" formatCode="_(* #,##0.0_);_(* \(#,##0.0\);_(* &quot;-&quot;??_);_(@_)">
                  <c:v>104.86187476268142</c:v>
                </c:pt>
                <c:pt idx="26" formatCode="_(* #,##0.0_);_(* \(#,##0.0\);_(* &quot;-&quot;??_);_(@_)">
                  <c:v>104.06961068785094</c:v>
                </c:pt>
                <c:pt idx="27" formatCode="_(* #,##0.0_);_(* \(#,##0.0\);_(* &quot;-&quot;??_);_(@_)">
                  <c:v>104.84597200495379</c:v>
                </c:pt>
                <c:pt idx="28" formatCode="_(* #,##0.0_);_(* \(#,##0.0\);_(* &quot;-&quot;??_);_(@_)">
                  <c:v>106.29515996319527</c:v>
                </c:pt>
                <c:pt idx="29" formatCode="_(* #,##0.0_);_(* \(#,##0.0\);_(* &quot;-&quot;??_);_(@_)">
                  <c:v>108.07688907155077</c:v>
                </c:pt>
                <c:pt idx="30" formatCode="_(* #,##0.0_);_(* \(#,##0.0\);_(* &quot;-&quot;??_);_(@_)">
                  <c:v>107.00270549325546</c:v>
                </c:pt>
                <c:pt idx="31" formatCode="_(* #,##0.0_);_(* \(#,##0.0\);_(* &quot;-&quot;??_);_(@_)">
                  <c:v>107.57666338228667</c:v>
                </c:pt>
                <c:pt idx="32" formatCode="_(* #,##0.0_);_(* \(#,##0.0\);_(* &quot;-&quot;??_);_(@_)">
                  <c:v>107.46304061853701</c:v>
                </c:pt>
                <c:pt idx="33" formatCode="_(* #,##0.0_);_(* \(#,##0.0\);_(* &quot;-&quot;??_);_(@_)">
                  <c:v>107.37180460525754</c:v>
                </c:pt>
                <c:pt idx="34" formatCode="_(* #,##0.0_);_(* \(#,##0.0\);_(* &quot;-&quot;??_);_(@_)">
                  <c:v>108.21375705493733</c:v>
                </c:pt>
                <c:pt idx="35" formatCode="_(* #,##0.0_);_(* \(#,##0.0\);_(* &quot;-&quot;??_);_(@_)">
                  <c:v>106.29362600489323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266496"/>
        <c:axId val="138272768"/>
      </c:lineChart>
      <c:catAx>
        <c:axId val="138266496"/>
        <c:scaling>
          <c:orientation val="minMax"/>
        </c:scaling>
        <c:delete val="0"/>
        <c:axPos val="b"/>
        <c:majorTickMark val="none"/>
        <c:minorTickMark val="cross"/>
        <c:tickLblPos val="nextTo"/>
        <c:txPr>
          <a:bodyPr rot="-5400000" vert="horz"/>
          <a:lstStyle/>
          <a:p>
            <a:pPr>
              <a:defRPr lang="en-AU" sz="1050"/>
            </a:pPr>
            <a:endParaRPr lang="en-US"/>
          </a:p>
        </c:txPr>
        <c:crossAx val="138272768"/>
        <c:crosses val="autoZero"/>
        <c:auto val="1"/>
        <c:lblAlgn val="ctr"/>
        <c:lblOffset val="100"/>
        <c:noMultiLvlLbl val="0"/>
      </c:catAx>
      <c:valAx>
        <c:axId val="138272768"/>
        <c:scaling>
          <c:orientation val="minMax"/>
          <c:max val="110"/>
          <c:min val="94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138266496"/>
        <c:crosses val="autoZero"/>
        <c:crossBetween val="between"/>
      </c:valAx>
      <c:spPr>
        <a:solidFill>
          <a:srgbClr val="E7FFFF"/>
        </a:solidFill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793102</xdr:colOff>
      <xdr:row>89</xdr:row>
      <xdr:rowOff>33120</xdr:rowOff>
    </xdr:from>
    <xdr:to>
      <xdr:col>12</xdr:col>
      <xdr:colOff>513184</xdr:colOff>
      <xdr:row>108</xdr:row>
      <xdr:rowOff>98961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790983</xdr:colOff>
      <xdr:row>70</xdr:row>
      <xdr:rowOff>103302</xdr:rowOff>
    </xdr:from>
    <xdr:to>
      <xdr:col>12</xdr:col>
      <xdr:colOff>495513</xdr:colOff>
      <xdr:row>88</xdr:row>
      <xdr:rowOff>89065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1247775</xdr:colOff>
      <xdr:row>90</xdr:row>
      <xdr:rowOff>66675</xdr:rowOff>
    </xdr:from>
    <xdr:to>
      <xdr:col>12</xdr:col>
      <xdr:colOff>266700</xdr:colOff>
      <xdr:row>90</xdr:row>
      <xdr:rowOff>70859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247775" y="21059775"/>
          <a:ext cx="7667625" cy="4184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0</xdr:col>
      <xdr:colOff>1819275</xdr:colOff>
      <xdr:row>72</xdr:row>
      <xdr:rowOff>66674</xdr:rowOff>
    </xdr:from>
    <xdr:to>
      <xdr:col>11</xdr:col>
      <xdr:colOff>361950</xdr:colOff>
      <xdr:row>72</xdr:row>
      <xdr:rowOff>99433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1819275" y="17478374"/>
          <a:ext cx="6638925" cy="32759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0.03077</cdr:x>
      <cdr:y>0.0186</cdr:y>
    </cdr:from>
    <cdr:to>
      <cdr:x>0.98421</cdr:x>
      <cdr:y>0.08261</cdr:y>
    </cdr:to>
    <cdr:sp macro="" textlink="">
      <cdr:nvSpPr>
        <cdr:cNvPr id="2" name="TextBox 6"/>
        <cdr:cNvSpPr txBox="1"/>
      </cdr:nvSpPr>
      <cdr:spPr>
        <a:xfrm xmlns:a="http://schemas.openxmlformats.org/drawingml/2006/main">
          <a:off x="257507" y="88390"/>
          <a:ext cx="7979091" cy="30418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rtl="0"/>
          <a:r>
            <a:rPr lang="en-US" sz="1400" b="1" i="0" baseline="0">
              <a:solidFill>
                <a:sysClr val="windowText" lastClr="000000"/>
              </a:solidFill>
              <a:latin typeface="Consolas" pitchFamily="49" charset="0"/>
              <a:ea typeface="+mn-ea"/>
              <a:cs typeface="Consolas" pitchFamily="49" charset="0"/>
            </a:rPr>
            <a:t>  Figure 17.5: Consumer Price Index by Major Catagories, Republic, 2013 - 2015</a:t>
          </a:r>
          <a:endParaRPr lang="en-US" sz="1200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0.03644</cdr:x>
      <cdr:y>0.02554</cdr:y>
    </cdr:from>
    <cdr:to>
      <cdr:x>0.91787</cdr:x>
      <cdr:y>0.08907</cdr:y>
    </cdr:to>
    <cdr:sp macro="" textlink="">
      <cdr:nvSpPr>
        <cdr:cNvPr id="3" name="TextBox 6"/>
        <cdr:cNvSpPr txBox="1"/>
      </cdr:nvSpPr>
      <cdr:spPr>
        <a:xfrm xmlns:a="http://schemas.openxmlformats.org/drawingml/2006/main">
          <a:off x="304393" y="87198"/>
          <a:ext cx="7362824" cy="216942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rtl="0"/>
          <a:r>
            <a:rPr lang="en-US" sz="14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       Figure 17.4: Consumer Price Index by Month, Republic, 2013 - 2015</a:t>
          </a:r>
          <a:endParaRPr lang="en-US" sz="1200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/Statistical%20%20Year%20Book/Yearbook2004/tables%20-%20graphs(recived)/Foreign%20Trade%20&amp;%20BOP%20-%20X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Indicators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edu"/>
      <sheetName val="Law &amp; Ord"/>
      <sheetName val="Fisher"/>
      <sheetName val="Touri"/>
      <sheetName val="11Transp"/>
      <sheetName val="Finance"/>
      <sheetName val="Money &amp; banking"/>
      <sheetName val="Foerign trade &amp; BOP"/>
      <sheetName val="NA"/>
      <sheetName val="Prices (2)"/>
      <sheetName val="Political parties &amp; Elections"/>
      <sheetName val="poverty"/>
      <sheetName val="Sheet1"/>
    </sheetNames>
    <sheetDataSet>
      <sheetData sheetId="0">
        <row r="13">
          <cell r="F13">
            <v>1996</v>
          </cell>
        </row>
      </sheetData>
      <sheetData sheetId="1"/>
      <sheetData sheetId="2"/>
      <sheetData sheetId="3"/>
      <sheetData sheetId="4">
        <row r="3">
          <cell r="R3">
            <v>2006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0">
          <cell r="N60">
            <v>2001</v>
          </cell>
          <cell r="O60">
            <v>2002</v>
          </cell>
          <cell r="P60">
            <v>2003</v>
          </cell>
          <cell r="Q60">
            <v>2004</v>
          </cell>
          <cell r="R60">
            <v>2005</v>
          </cell>
          <cell r="S60">
            <v>2006</v>
          </cell>
          <cell r="T60">
            <v>2007</v>
          </cell>
          <cell r="U60">
            <v>2008</v>
          </cell>
          <cell r="V60">
            <v>2009</v>
          </cell>
          <cell r="W60">
            <v>2010</v>
          </cell>
          <cell r="X60">
            <v>2011</v>
          </cell>
          <cell r="Y60">
            <v>2012</v>
          </cell>
          <cell r="Z60">
            <v>2013</v>
          </cell>
          <cell r="AA60">
            <v>2014</v>
          </cell>
          <cell r="AB60">
            <v>2015</v>
          </cell>
        </row>
        <row r="61">
          <cell r="L61" t="str">
            <v>over all</v>
          </cell>
          <cell r="N61">
            <v>0.7</v>
          </cell>
          <cell r="O61">
            <v>4.2</v>
          </cell>
          <cell r="P61">
            <v>-1.3</v>
          </cell>
          <cell r="Q61">
            <v>-1.7</v>
          </cell>
          <cell r="R61">
            <v>1.3</v>
          </cell>
          <cell r="S61">
            <v>2.7</v>
          </cell>
          <cell r="T61">
            <v>6.8</v>
          </cell>
          <cell r="U61">
            <v>12</v>
          </cell>
          <cell r="V61">
            <v>4.5</v>
          </cell>
          <cell r="W61">
            <v>6.2</v>
          </cell>
          <cell r="X61">
            <v>11.3</v>
          </cell>
          <cell r="Y61">
            <v>10.9</v>
          </cell>
          <cell r="Z61">
            <v>3.8</v>
          </cell>
          <cell r="AA61">
            <v>2.1</v>
          </cell>
          <cell r="AB61">
            <v>0.95</v>
          </cell>
        </row>
        <row r="62">
          <cell r="L62" t="str">
            <v>Food and non-alchoholic beverages</v>
          </cell>
          <cell r="N62">
            <v>1.9390581717451405</v>
          </cell>
          <cell r="O62">
            <v>3.5326086956521854</v>
          </cell>
          <cell r="P62">
            <v>-6.0367454068241582</v>
          </cell>
          <cell r="Q62">
            <v>15.921787709497215</v>
          </cell>
          <cell r="R62">
            <v>7.9518072289156558</v>
          </cell>
          <cell r="S62">
            <v>4</v>
          </cell>
          <cell r="T62">
            <v>16.2</v>
          </cell>
          <cell r="U62">
            <v>19.100000000000001</v>
          </cell>
          <cell r="V62">
            <v>0.5</v>
          </cell>
          <cell r="W62">
            <v>7.5</v>
          </cell>
          <cell r="X62">
            <v>19.899999999999999</v>
          </cell>
          <cell r="Y62">
            <v>17.625899280575524</v>
          </cell>
          <cell r="Z62">
            <v>7.2</v>
          </cell>
          <cell r="AA62">
            <v>0.7</v>
          </cell>
          <cell r="AB62">
            <v>0.48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31"/>
  <sheetViews>
    <sheetView showGridLines="0" tabSelected="1" zoomScale="89" zoomScaleNormal="89" zoomScaleSheetLayoutView="61" workbookViewId="0">
      <selection activeCell="AB46" sqref="AB46"/>
    </sheetView>
  </sheetViews>
  <sheetFormatPr defaultColWidth="9.140625" defaultRowHeight="15" x14ac:dyDescent="0.4"/>
  <cols>
    <col min="1" max="1" width="37.5703125" style="71" customWidth="1"/>
    <col min="2" max="2" width="8.5703125" style="24" customWidth="1"/>
    <col min="3" max="3" width="7.7109375" style="72" customWidth="1"/>
    <col min="4" max="4" width="7.85546875" style="72" customWidth="1"/>
    <col min="5" max="5" width="9.140625" style="24" customWidth="1"/>
    <col min="6" max="6" width="8.42578125" style="24" customWidth="1"/>
    <col min="7" max="7" width="7.85546875" style="24" customWidth="1"/>
    <col min="8" max="8" width="8.28515625" style="24" customWidth="1"/>
    <col min="9" max="9" width="9.42578125" style="24" customWidth="1"/>
    <col min="10" max="13" width="8.28515625" style="24" customWidth="1"/>
    <col min="14" max="14" width="8.85546875" style="24" customWidth="1"/>
    <col min="15" max="15" width="7.7109375" style="24" customWidth="1"/>
    <col min="16" max="16" width="8.85546875" style="24" customWidth="1"/>
    <col min="17" max="17" width="6.42578125" style="24" customWidth="1"/>
    <col min="18" max="18" width="12" style="73" customWidth="1"/>
    <col min="19" max="63" width="6.42578125" style="24" customWidth="1"/>
    <col min="64" max="64" width="9.140625" style="24"/>
    <col min="65" max="76" width="10.140625" style="24" customWidth="1"/>
    <col min="77" max="16384" width="9.140625" style="24"/>
  </cols>
  <sheetData>
    <row r="1" spans="1:64" s="31" customFormat="1" ht="23.25" customHeight="1" x14ac:dyDescent="0.2">
      <c r="A1" s="116" t="s">
        <v>78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</row>
    <row r="2" spans="1:64" s="32" customFormat="1" ht="12.75" x14ac:dyDescent="0.2">
      <c r="A2" s="117" t="s">
        <v>79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</row>
    <row r="3" spans="1:64" s="31" customFormat="1" ht="15" customHeight="1" x14ac:dyDescent="0.2">
      <c r="A3" s="118" t="s">
        <v>61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4"/>
    </row>
    <row r="4" spans="1:64" s="36" customFormat="1" ht="12" x14ac:dyDescent="0.2">
      <c r="A4" s="115" t="s">
        <v>60</v>
      </c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</row>
    <row r="5" spans="1:64" ht="6" customHeight="1" x14ac:dyDescent="0.2">
      <c r="A5" s="37"/>
      <c r="B5" s="38"/>
      <c r="C5" s="39"/>
      <c r="D5" s="39"/>
      <c r="E5" s="38"/>
      <c r="F5" s="40"/>
      <c r="G5" s="40"/>
      <c r="H5" s="40"/>
      <c r="I5" s="40"/>
      <c r="J5" s="40"/>
      <c r="K5" s="40"/>
      <c r="L5" s="40"/>
      <c r="M5" s="40"/>
      <c r="O5" s="41"/>
      <c r="P5" s="41"/>
      <c r="Q5" s="41"/>
      <c r="R5" s="42"/>
    </row>
    <row r="6" spans="1:64" x14ac:dyDescent="0.2">
      <c r="A6" s="43"/>
      <c r="B6" s="44" t="s">
        <v>82</v>
      </c>
      <c r="C6" s="45"/>
      <c r="D6" s="45"/>
      <c r="E6" s="44"/>
      <c r="F6" s="46"/>
      <c r="G6" s="47"/>
      <c r="H6" s="16"/>
      <c r="I6" s="16"/>
      <c r="J6" s="16"/>
      <c r="K6" s="16"/>
      <c r="L6" s="16"/>
      <c r="M6" s="47"/>
      <c r="N6" s="5" t="s">
        <v>81</v>
      </c>
      <c r="R6" s="12" t="s">
        <v>17</v>
      </c>
    </row>
    <row r="7" spans="1:64" s="52" customFormat="1" x14ac:dyDescent="0.4">
      <c r="A7" s="48" t="s">
        <v>6</v>
      </c>
      <c r="B7" s="49" t="s">
        <v>59</v>
      </c>
      <c r="C7" s="49" t="s">
        <v>58</v>
      </c>
      <c r="D7" s="49" t="s">
        <v>0</v>
      </c>
      <c r="E7" s="49" t="s">
        <v>13</v>
      </c>
      <c r="F7" s="49" t="s">
        <v>14</v>
      </c>
      <c r="G7" s="50" t="s">
        <v>1</v>
      </c>
      <c r="H7" s="50" t="s">
        <v>15</v>
      </c>
      <c r="I7" s="50" t="s">
        <v>57</v>
      </c>
      <c r="J7" s="50" t="s">
        <v>56</v>
      </c>
      <c r="K7" s="50" t="s">
        <v>55</v>
      </c>
      <c r="L7" s="50" t="s">
        <v>54</v>
      </c>
      <c r="M7" s="50" t="s">
        <v>53</v>
      </c>
      <c r="N7" s="51" t="s">
        <v>16</v>
      </c>
      <c r="R7" s="53" t="s">
        <v>41</v>
      </c>
    </row>
    <row r="8" spans="1:64" s="52" customFormat="1" ht="18" customHeight="1" x14ac:dyDescent="0.4">
      <c r="A8" s="17" t="s">
        <v>69</v>
      </c>
      <c r="B8" s="54" t="s">
        <v>18</v>
      </c>
      <c r="C8" s="55" t="s">
        <v>19</v>
      </c>
      <c r="D8" s="55" t="s">
        <v>2</v>
      </c>
      <c r="E8" s="55" t="s">
        <v>20</v>
      </c>
      <c r="F8" s="55" t="s">
        <v>21</v>
      </c>
      <c r="G8" s="55" t="s">
        <v>3</v>
      </c>
      <c r="H8" s="55" t="s">
        <v>22</v>
      </c>
      <c r="I8" s="55" t="s">
        <v>23</v>
      </c>
      <c r="J8" s="55" t="s">
        <v>4</v>
      </c>
      <c r="K8" s="55" t="s">
        <v>24</v>
      </c>
      <c r="L8" s="55" t="s">
        <v>25</v>
      </c>
      <c r="M8" s="55" t="s">
        <v>5</v>
      </c>
      <c r="N8" s="56" t="s">
        <v>26</v>
      </c>
      <c r="O8" s="57"/>
      <c r="P8" s="57"/>
      <c r="Q8" s="57"/>
      <c r="R8" s="58"/>
    </row>
    <row r="9" spans="1:64" ht="19.5" customHeight="1" x14ac:dyDescent="0.2">
      <c r="A9" s="6" t="s">
        <v>49</v>
      </c>
      <c r="B9" s="107">
        <v>105.0602739482481</v>
      </c>
      <c r="C9" s="107">
        <v>104.86187476268142</v>
      </c>
      <c r="D9" s="107">
        <v>104.06961068785094</v>
      </c>
      <c r="E9" s="107">
        <v>104.84597200495379</v>
      </c>
      <c r="F9" s="107">
        <v>106.29515996319527</v>
      </c>
      <c r="G9" s="107">
        <v>108.07688907155077</v>
      </c>
      <c r="H9" s="107">
        <v>107.00270549325546</v>
      </c>
      <c r="I9" s="107">
        <v>107.57666338228667</v>
      </c>
      <c r="J9" s="107">
        <v>107.46304061853701</v>
      </c>
      <c r="K9" s="107">
        <v>107.37180460525754</v>
      </c>
      <c r="L9" s="107">
        <v>108.21375705493733</v>
      </c>
      <c r="M9" s="107">
        <v>106.29362600489323</v>
      </c>
      <c r="N9" s="107">
        <v>106.42761479980396</v>
      </c>
      <c r="O9" s="29"/>
      <c r="P9" s="29"/>
      <c r="Q9" s="29"/>
      <c r="R9" s="2" t="s">
        <v>51</v>
      </c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</row>
    <row r="10" spans="1:64" ht="19.5" customHeight="1" x14ac:dyDescent="0.2">
      <c r="A10" s="6" t="s">
        <v>50</v>
      </c>
      <c r="B10" s="107">
        <v>105.10544961155392</v>
      </c>
      <c r="C10" s="107">
        <v>104.58903054835932</v>
      </c>
      <c r="D10" s="107">
        <v>104.50180113848212</v>
      </c>
      <c r="E10" s="107">
        <v>103.94349245216745</v>
      </c>
      <c r="F10" s="107">
        <v>106.68107530172104</v>
      </c>
      <c r="G10" s="107">
        <v>108.27854557374501</v>
      </c>
      <c r="H10" s="107">
        <v>107.34032153092625</v>
      </c>
      <c r="I10" s="107">
        <v>107.85440820752562</v>
      </c>
      <c r="J10" s="107">
        <v>108.72105386260702</v>
      </c>
      <c r="K10" s="107">
        <v>108.96915151955474</v>
      </c>
      <c r="L10" s="107">
        <v>107.72332754806094</v>
      </c>
      <c r="M10" s="107">
        <v>107.03920328045251</v>
      </c>
      <c r="N10" s="107">
        <v>106.72890504792964</v>
      </c>
      <c r="R10" s="2" t="s">
        <v>52</v>
      </c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</row>
    <row r="11" spans="1:64" ht="19.5" customHeight="1" x14ac:dyDescent="0.2">
      <c r="A11" s="7" t="s">
        <v>7</v>
      </c>
      <c r="B11" s="107">
        <v>104.95687991247793</v>
      </c>
      <c r="C11" s="107">
        <v>105.48633630659656</v>
      </c>
      <c r="D11" s="107">
        <v>103.08045166633022</v>
      </c>
      <c r="E11" s="107">
        <v>106.91148684933094</v>
      </c>
      <c r="F11" s="107">
        <v>105.41191129796337</v>
      </c>
      <c r="G11" s="107">
        <v>107.61535562465849</v>
      </c>
      <c r="H11" s="107">
        <v>106.2299999672902</v>
      </c>
      <c r="I11" s="107">
        <v>106.94098575645167</v>
      </c>
      <c r="J11" s="107">
        <v>104.58381191797878</v>
      </c>
      <c r="K11" s="107">
        <v>103.71593921427547</v>
      </c>
      <c r="L11" s="107">
        <v>109.3362084428344</v>
      </c>
      <c r="M11" s="107">
        <v>104.58721512218332</v>
      </c>
      <c r="N11" s="107">
        <v>105.73804850653096</v>
      </c>
      <c r="R11" s="2" t="s">
        <v>8</v>
      </c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</row>
    <row r="12" spans="1:64" ht="19.5" customHeight="1" x14ac:dyDescent="0.2">
      <c r="A12" s="7" t="s">
        <v>46</v>
      </c>
      <c r="B12" s="107">
        <v>104.85612870244701</v>
      </c>
      <c r="C12" s="107">
        <v>104.76402133461296</v>
      </c>
      <c r="D12" s="107">
        <v>104.4431247964275</v>
      </c>
      <c r="E12" s="107">
        <v>119.80310028587245</v>
      </c>
      <c r="F12" s="107">
        <v>122.35941994479083</v>
      </c>
      <c r="G12" s="107">
        <v>122.59596627434775</v>
      </c>
      <c r="H12" s="107">
        <v>122.56327109750755</v>
      </c>
      <c r="I12" s="107">
        <v>121.25681787196383</v>
      </c>
      <c r="J12" s="107">
        <v>121.31380903009151</v>
      </c>
      <c r="K12" s="107">
        <v>121.81346984559947</v>
      </c>
      <c r="L12" s="107">
        <v>121.76603359122298</v>
      </c>
      <c r="M12" s="107">
        <v>122.0280568163203</v>
      </c>
      <c r="N12" s="107">
        <v>117.46360163260034</v>
      </c>
      <c r="R12" s="2" t="s">
        <v>27</v>
      </c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</row>
    <row r="13" spans="1:64" ht="19.5" customHeight="1" x14ac:dyDescent="0.2">
      <c r="A13" s="7" t="s">
        <v>9</v>
      </c>
      <c r="B13" s="107">
        <v>102.64328708834029</v>
      </c>
      <c r="C13" s="107">
        <v>101.76607939976726</v>
      </c>
      <c r="D13" s="107">
        <v>101.51421205720162</v>
      </c>
      <c r="E13" s="107">
        <v>101.55217718425425</v>
      </c>
      <c r="F13" s="107">
        <v>101.74507589738278</v>
      </c>
      <c r="G13" s="107">
        <v>101.68737251311171</v>
      </c>
      <c r="H13" s="107">
        <v>101.64045832590203</v>
      </c>
      <c r="I13" s="107">
        <v>101.08288447370157</v>
      </c>
      <c r="J13" s="107">
        <v>101.29495994187158</v>
      </c>
      <c r="K13" s="107">
        <v>101.37168410149229</v>
      </c>
      <c r="L13" s="107">
        <v>101.15772837319653</v>
      </c>
      <c r="M13" s="107">
        <v>101.03148845398252</v>
      </c>
      <c r="N13" s="107">
        <v>101.54061731751705</v>
      </c>
      <c r="R13" s="2" t="s">
        <v>28</v>
      </c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</row>
    <row r="14" spans="1:64" ht="19.5" customHeight="1" x14ac:dyDescent="0.2">
      <c r="A14" s="7" t="s">
        <v>62</v>
      </c>
      <c r="B14" s="107">
        <v>106.83873069241612</v>
      </c>
      <c r="C14" s="107">
        <v>107.01765357245452</v>
      </c>
      <c r="D14" s="107">
        <v>106.96207790271455</v>
      </c>
      <c r="E14" s="107">
        <v>107.3989167035453</v>
      </c>
      <c r="F14" s="107">
        <v>107.72438609528464</v>
      </c>
      <c r="G14" s="107">
        <v>107.81111654917882</v>
      </c>
      <c r="H14" s="107">
        <v>108.14183118732882</v>
      </c>
      <c r="I14" s="107">
        <v>108.22081658770651</v>
      </c>
      <c r="J14" s="107">
        <v>108.23624887213948</v>
      </c>
      <c r="K14" s="107">
        <v>108.2893235687267</v>
      </c>
      <c r="L14" s="107">
        <v>108.37933881419633</v>
      </c>
      <c r="M14" s="107">
        <v>108.40602228997616</v>
      </c>
      <c r="N14" s="107">
        <v>107.78553856963902</v>
      </c>
      <c r="R14" s="2" t="s">
        <v>29</v>
      </c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</row>
    <row r="15" spans="1:64" ht="19.5" customHeight="1" x14ac:dyDescent="0.2">
      <c r="A15" s="7" t="s">
        <v>63</v>
      </c>
      <c r="B15" s="107">
        <v>110.99601494524522</v>
      </c>
      <c r="C15" s="107">
        <v>111.19787615361582</v>
      </c>
      <c r="D15" s="107">
        <v>110.87411910825551</v>
      </c>
      <c r="E15" s="107">
        <v>111.3914702738206</v>
      </c>
      <c r="F15" s="107">
        <v>112.05347179450717</v>
      </c>
      <c r="G15" s="107">
        <v>112.2406169406153</v>
      </c>
      <c r="H15" s="107">
        <v>112.8887456913095</v>
      </c>
      <c r="I15" s="107">
        <v>113.16315369884779</v>
      </c>
      <c r="J15" s="107">
        <v>113.21079468888074</v>
      </c>
      <c r="K15" s="107">
        <v>113.30216273475357</v>
      </c>
      <c r="L15" s="107">
        <v>113.49333627073537</v>
      </c>
      <c r="M15" s="107">
        <v>113.61877602532633</v>
      </c>
      <c r="N15" s="107">
        <v>112.36921152715941</v>
      </c>
      <c r="R15" s="18" t="s">
        <v>68</v>
      </c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</row>
    <row r="16" spans="1:64" ht="25.5" x14ac:dyDescent="0.2">
      <c r="A16" s="6" t="s">
        <v>45</v>
      </c>
      <c r="B16" s="107">
        <v>96.512473002405116</v>
      </c>
      <c r="C16" s="107">
        <v>97.947574498683352</v>
      </c>
      <c r="D16" s="107">
        <v>97.920279863400069</v>
      </c>
      <c r="E16" s="107">
        <v>97.876930337394555</v>
      </c>
      <c r="F16" s="107">
        <v>93.079716256755646</v>
      </c>
      <c r="G16" s="107">
        <v>96.037779888475143</v>
      </c>
      <c r="H16" s="107">
        <v>96.657906975127489</v>
      </c>
      <c r="I16" s="107">
        <v>97.146628908485496</v>
      </c>
      <c r="J16" s="107">
        <v>96.923400342466607</v>
      </c>
      <c r="K16" s="107">
        <v>96.87680116072633</v>
      </c>
      <c r="L16" s="107">
        <v>96.319168525158787</v>
      </c>
      <c r="M16" s="107">
        <v>96.132057935408653</v>
      </c>
      <c r="N16" s="107">
        <v>96.619226474540611</v>
      </c>
      <c r="R16" s="2" t="s">
        <v>47</v>
      </c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</row>
    <row r="17" spans="1:76" ht="19.5" customHeight="1" x14ac:dyDescent="0.2">
      <c r="A17" s="8" t="s">
        <v>30</v>
      </c>
      <c r="B17" s="107">
        <v>120.67004289344877</v>
      </c>
      <c r="C17" s="107">
        <v>122.35651284809448</v>
      </c>
      <c r="D17" s="107">
        <v>122.4070330480821</v>
      </c>
      <c r="E17" s="107">
        <v>122.35373172847233</v>
      </c>
      <c r="F17" s="107">
        <v>122.31920872433598</v>
      </c>
      <c r="G17" s="107">
        <v>124.17213710890816</v>
      </c>
      <c r="H17" s="107">
        <v>124.20965867173251</v>
      </c>
      <c r="I17" s="107">
        <v>124.80398290344044</v>
      </c>
      <c r="J17" s="107">
        <v>124.81248356683692</v>
      </c>
      <c r="K17" s="107">
        <v>125.05820679587102</v>
      </c>
      <c r="L17" s="107">
        <v>125.06311078439413</v>
      </c>
      <c r="M17" s="107">
        <v>124.81922419207697</v>
      </c>
      <c r="N17" s="107">
        <v>123.58711110547449</v>
      </c>
      <c r="R17" s="2" t="s">
        <v>31</v>
      </c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</row>
    <row r="18" spans="1:76" ht="19.5" customHeight="1" x14ac:dyDescent="0.2">
      <c r="A18" s="8" t="s">
        <v>32</v>
      </c>
      <c r="B18" s="107">
        <v>101.95879497863454</v>
      </c>
      <c r="C18" s="107">
        <v>101.92568265024272</v>
      </c>
      <c r="D18" s="107">
        <v>103.36746733636753</v>
      </c>
      <c r="E18" s="107">
        <v>104.32177987913499</v>
      </c>
      <c r="F18" s="107">
        <v>103.34079378634846</v>
      </c>
      <c r="G18" s="107">
        <v>103.09766488769068</v>
      </c>
      <c r="H18" s="107">
        <v>103.2869180657457</v>
      </c>
      <c r="I18" s="107">
        <v>103.082922667478</v>
      </c>
      <c r="J18" s="107">
        <v>102.81853243047762</v>
      </c>
      <c r="K18" s="107">
        <v>102.54620721762099</v>
      </c>
      <c r="L18" s="107">
        <v>102.58793762303365</v>
      </c>
      <c r="M18" s="107">
        <v>102.815386975953</v>
      </c>
      <c r="N18" s="107">
        <v>102.92917404156066</v>
      </c>
      <c r="R18" s="2" t="s">
        <v>33</v>
      </c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</row>
    <row r="19" spans="1:76" ht="19.5" customHeight="1" x14ac:dyDescent="0.2">
      <c r="A19" s="8" t="s">
        <v>34</v>
      </c>
      <c r="B19" s="107">
        <v>100.88024398026597</v>
      </c>
      <c r="C19" s="107">
        <v>100.88024398026597</v>
      </c>
      <c r="D19" s="107">
        <v>100.68773654328795</v>
      </c>
      <c r="E19" s="107">
        <v>100.47356353772223</v>
      </c>
      <c r="F19" s="107">
        <v>100.47356353772223</v>
      </c>
      <c r="G19" s="107">
        <v>100.47356353772223</v>
      </c>
      <c r="H19" s="107">
        <v>100.47356353772223</v>
      </c>
      <c r="I19" s="107">
        <v>100.58790024404281</v>
      </c>
      <c r="J19" s="107">
        <v>100.49343319531117</v>
      </c>
      <c r="K19" s="107">
        <v>100.49343319531117</v>
      </c>
      <c r="L19" s="107">
        <v>100.4034041194092</v>
      </c>
      <c r="M19" s="107">
        <v>100.37319132535066</v>
      </c>
      <c r="N19" s="107">
        <v>100.55782006117782</v>
      </c>
      <c r="R19" s="2" t="s">
        <v>35</v>
      </c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</row>
    <row r="20" spans="1:76" ht="19.5" customHeight="1" x14ac:dyDescent="0.2">
      <c r="A20" s="9" t="s">
        <v>36</v>
      </c>
      <c r="B20" s="107">
        <v>102.33641068511949</v>
      </c>
      <c r="C20" s="107">
        <v>101.94935217162049</v>
      </c>
      <c r="D20" s="107">
        <v>102.8444319515676</v>
      </c>
      <c r="E20" s="107">
        <v>102.95012242599086</v>
      </c>
      <c r="F20" s="107">
        <v>101.82399120996725</v>
      </c>
      <c r="G20" s="107">
        <v>101.73949754042761</v>
      </c>
      <c r="H20" s="107">
        <v>102.55945487676264</v>
      </c>
      <c r="I20" s="107">
        <v>102.28120400194865</v>
      </c>
      <c r="J20" s="107">
        <v>102.18557899110831</v>
      </c>
      <c r="K20" s="107">
        <v>102.07528639317158</v>
      </c>
      <c r="L20" s="107">
        <v>100.22291598862948</v>
      </c>
      <c r="M20" s="107">
        <v>100.50742443560405</v>
      </c>
      <c r="N20" s="107">
        <v>101.95630588932649</v>
      </c>
      <c r="R20" s="10" t="s">
        <v>37</v>
      </c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</row>
    <row r="21" spans="1:76" ht="19.5" customHeight="1" x14ac:dyDescent="0.2">
      <c r="A21" s="7" t="s">
        <v>10</v>
      </c>
      <c r="B21" s="107">
        <v>115.78120173412759</v>
      </c>
      <c r="C21" s="107">
        <v>115.78120173412759</v>
      </c>
      <c r="D21" s="107">
        <v>119.65290971328466</v>
      </c>
      <c r="E21" s="107">
        <v>119.65290971328466</v>
      </c>
      <c r="F21" s="107">
        <v>119.65290971328466</v>
      </c>
      <c r="G21" s="107">
        <v>119.65290971328466</v>
      </c>
      <c r="H21" s="107">
        <v>119.65290971328466</v>
      </c>
      <c r="I21" s="107">
        <v>119.65290971328466</v>
      </c>
      <c r="J21" s="107">
        <v>119.65290971328466</v>
      </c>
      <c r="K21" s="107">
        <v>119.65290971328466</v>
      </c>
      <c r="L21" s="107">
        <v>119.65290971328466</v>
      </c>
      <c r="M21" s="107">
        <v>119.65290971328466</v>
      </c>
      <c r="N21" s="107">
        <v>119.00762505009182</v>
      </c>
      <c r="R21" s="10" t="s">
        <v>11</v>
      </c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</row>
    <row r="22" spans="1:76" ht="19.5" customHeight="1" x14ac:dyDescent="0.2">
      <c r="A22" s="7" t="s">
        <v>38</v>
      </c>
      <c r="B22" s="107">
        <v>121.3374091540156</v>
      </c>
      <c r="C22" s="107">
        <v>121.3374091540156</v>
      </c>
      <c r="D22" s="107">
        <v>120.70209607923516</v>
      </c>
      <c r="E22" s="107">
        <v>120.82688293405351</v>
      </c>
      <c r="F22" s="107">
        <v>120.83322681194169</v>
      </c>
      <c r="G22" s="107">
        <v>120.82788481300273</v>
      </c>
      <c r="H22" s="107">
        <v>121.15750539102228</v>
      </c>
      <c r="I22" s="107">
        <v>121.1513406333668</v>
      </c>
      <c r="J22" s="107">
        <v>121.14689511476949</v>
      </c>
      <c r="K22" s="107">
        <v>121.14429118099848</v>
      </c>
      <c r="L22" s="107">
        <v>121.14461566291962</v>
      </c>
      <c r="M22" s="107">
        <v>121.1192912676651</v>
      </c>
      <c r="N22" s="107">
        <v>121.06073734975051</v>
      </c>
      <c r="R22" s="10" t="s">
        <v>39</v>
      </c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Q22" s="3"/>
      <c r="BR22" s="3"/>
      <c r="BS22" s="3"/>
    </row>
    <row r="23" spans="1:76" s="3" customFormat="1" ht="19.5" customHeight="1" x14ac:dyDescent="0.2">
      <c r="A23" s="9" t="s">
        <v>40</v>
      </c>
      <c r="B23" s="107">
        <v>99.127171326656722</v>
      </c>
      <c r="C23" s="107">
        <v>98.89616497176398</v>
      </c>
      <c r="D23" s="107">
        <v>98.726832874594919</v>
      </c>
      <c r="E23" s="107">
        <v>98.613758101291467</v>
      </c>
      <c r="F23" s="107">
        <v>98.82143544208995</v>
      </c>
      <c r="G23" s="107">
        <v>99.036576364352214</v>
      </c>
      <c r="H23" s="107">
        <v>98.789147148049523</v>
      </c>
      <c r="I23" s="107">
        <v>98.481413480430234</v>
      </c>
      <c r="J23" s="107">
        <v>98.731151545385515</v>
      </c>
      <c r="K23" s="107">
        <v>98.567802113281473</v>
      </c>
      <c r="L23" s="107">
        <v>98.644596853807514</v>
      </c>
      <c r="M23" s="107">
        <v>98.39121610199301</v>
      </c>
      <c r="N23" s="107">
        <v>98.735605526974709</v>
      </c>
      <c r="O23" s="24"/>
      <c r="P23" s="24"/>
      <c r="Q23" s="24"/>
      <c r="R23" s="10" t="s">
        <v>67</v>
      </c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M23" s="24"/>
      <c r="BN23" s="24"/>
      <c r="BO23" s="24"/>
      <c r="BP23" s="24"/>
    </row>
    <row r="24" spans="1:76" s="46" customFormat="1" ht="19.5" customHeight="1" x14ac:dyDescent="0.2">
      <c r="A24" s="11" t="s">
        <v>64</v>
      </c>
      <c r="B24" s="108">
        <v>105.30480193359342</v>
      </c>
      <c r="C24" s="108">
        <v>105.43217364780411</v>
      </c>
      <c r="D24" s="108">
        <v>105.35756355895435</v>
      </c>
      <c r="E24" s="108">
        <v>106.06388213106912</v>
      </c>
      <c r="F24" s="108">
        <v>106.10127795050008</v>
      </c>
      <c r="G24" s="108">
        <v>106.98715425252276</v>
      </c>
      <c r="H24" s="108">
        <v>106.85657855404348</v>
      </c>
      <c r="I24" s="108">
        <v>107.01969350992501</v>
      </c>
      <c r="J24" s="108">
        <v>106.97557619963439</v>
      </c>
      <c r="K24" s="108">
        <v>106.95325296574117</v>
      </c>
      <c r="L24" s="108">
        <v>107.06489578214516</v>
      </c>
      <c r="M24" s="108">
        <v>106.50307845458552</v>
      </c>
      <c r="N24" s="109">
        <v>106.38499407837655</v>
      </c>
      <c r="R24" s="12" t="s">
        <v>12</v>
      </c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M24" s="104"/>
      <c r="BN24" s="104"/>
      <c r="BO24" s="104"/>
      <c r="BP24" s="104"/>
    </row>
    <row r="25" spans="1:76" s="46" customFormat="1" ht="19.5" customHeight="1" x14ac:dyDescent="0.2">
      <c r="A25" s="13" t="s">
        <v>65</v>
      </c>
      <c r="B25" s="110">
        <v>105.3377316462401</v>
      </c>
      <c r="C25" s="110">
        <v>105.42704732442702</v>
      </c>
      <c r="D25" s="110">
        <v>105.57308495667485</v>
      </c>
      <c r="E25" s="110">
        <v>105.98365904050151</v>
      </c>
      <c r="F25" s="110">
        <v>106.16652431146184</v>
      </c>
      <c r="G25" s="110">
        <v>106.92769699079952</v>
      </c>
      <c r="H25" s="110">
        <v>106.91588222429178</v>
      </c>
      <c r="I25" s="110">
        <v>107.02714294844176</v>
      </c>
      <c r="J25" s="110">
        <v>107.20194908129653</v>
      </c>
      <c r="K25" s="110">
        <v>107.2596544152421</v>
      </c>
      <c r="L25" s="110">
        <v>106.8499232632813</v>
      </c>
      <c r="M25" s="110">
        <v>106.68440882512125</v>
      </c>
      <c r="N25" s="110">
        <v>106.44622541898161</v>
      </c>
      <c r="O25" s="105"/>
      <c r="P25" s="105"/>
      <c r="Q25" s="105"/>
      <c r="R25" s="14" t="s">
        <v>48</v>
      </c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M25" s="104"/>
      <c r="BN25" s="104"/>
      <c r="BO25" s="104"/>
      <c r="BP25" s="104"/>
    </row>
    <row r="27" spans="1:76" x14ac:dyDescent="0.2">
      <c r="A27" s="60"/>
      <c r="B27" s="25"/>
      <c r="C27" s="25"/>
      <c r="D27" s="25"/>
      <c r="E27" s="25"/>
      <c r="F27" s="25"/>
      <c r="G27" s="25"/>
      <c r="H27" s="25"/>
      <c r="J27" s="29"/>
      <c r="K27" s="29"/>
      <c r="L27" s="29"/>
      <c r="M27" s="61"/>
      <c r="R27" s="24"/>
    </row>
    <row r="28" spans="1:76" x14ac:dyDescent="0.2">
      <c r="A28" s="43"/>
      <c r="B28" s="44" t="s">
        <v>82</v>
      </c>
      <c r="C28" s="45"/>
      <c r="D28" s="45"/>
      <c r="E28" s="44"/>
      <c r="F28" s="47"/>
      <c r="G28" s="47"/>
      <c r="H28" s="16"/>
      <c r="I28" s="16"/>
      <c r="J28" s="16"/>
      <c r="K28" s="16"/>
      <c r="L28" s="16"/>
      <c r="M28" s="47"/>
      <c r="N28" s="5" t="s">
        <v>81</v>
      </c>
      <c r="O28" s="22"/>
      <c r="P28" s="22"/>
      <c r="Q28" s="22"/>
      <c r="R28" s="20" t="s">
        <v>17</v>
      </c>
    </row>
    <row r="29" spans="1:76" s="52" customFormat="1" x14ac:dyDescent="0.4">
      <c r="A29" s="48" t="s">
        <v>6</v>
      </c>
      <c r="B29" s="49" t="s">
        <v>59</v>
      </c>
      <c r="C29" s="49" t="s">
        <v>58</v>
      </c>
      <c r="D29" s="49" t="s">
        <v>0</v>
      </c>
      <c r="E29" s="49" t="s">
        <v>13</v>
      </c>
      <c r="F29" s="49" t="s">
        <v>14</v>
      </c>
      <c r="G29" s="50" t="s">
        <v>1</v>
      </c>
      <c r="H29" s="50" t="s">
        <v>15</v>
      </c>
      <c r="I29" s="50" t="s">
        <v>57</v>
      </c>
      <c r="J29" s="50" t="s">
        <v>56</v>
      </c>
      <c r="K29" s="50" t="s">
        <v>55</v>
      </c>
      <c r="L29" s="50" t="s">
        <v>54</v>
      </c>
      <c r="M29" s="50" t="s">
        <v>53</v>
      </c>
      <c r="N29" s="51" t="s">
        <v>16</v>
      </c>
      <c r="O29" s="88"/>
      <c r="P29" s="88"/>
      <c r="Q29" s="88"/>
      <c r="R29" s="53" t="s">
        <v>43</v>
      </c>
    </row>
    <row r="30" spans="1:76" s="52" customFormat="1" ht="18" customHeight="1" x14ac:dyDescent="0.4">
      <c r="A30" s="17" t="s">
        <v>42</v>
      </c>
      <c r="B30" s="54" t="s">
        <v>18</v>
      </c>
      <c r="C30" s="55" t="s">
        <v>19</v>
      </c>
      <c r="D30" s="55" t="s">
        <v>2</v>
      </c>
      <c r="E30" s="55" t="s">
        <v>20</v>
      </c>
      <c r="F30" s="55" t="s">
        <v>21</v>
      </c>
      <c r="G30" s="55" t="s">
        <v>3</v>
      </c>
      <c r="H30" s="55" t="s">
        <v>22</v>
      </c>
      <c r="I30" s="55" t="s">
        <v>23</v>
      </c>
      <c r="J30" s="55" t="s">
        <v>4</v>
      </c>
      <c r="K30" s="55" t="s">
        <v>24</v>
      </c>
      <c r="L30" s="55" t="s">
        <v>25</v>
      </c>
      <c r="M30" s="55" t="s">
        <v>5</v>
      </c>
      <c r="N30" s="56" t="s">
        <v>26</v>
      </c>
      <c r="O30" s="57"/>
      <c r="P30" s="57"/>
      <c r="Q30" s="57"/>
      <c r="R30" s="58"/>
    </row>
    <row r="31" spans="1:76" ht="19.5" customHeight="1" x14ac:dyDescent="0.2">
      <c r="A31" s="6" t="s">
        <v>49</v>
      </c>
      <c r="B31" s="111">
        <v>106.43171110753249</v>
      </c>
      <c r="C31" s="111">
        <v>105.63386012854994</v>
      </c>
      <c r="D31" s="111">
        <v>102.94475152168678</v>
      </c>
      <c r="E31" s="111">
        <v>105.42448128897597</v>
      </c>
      <c r="F31" s="111">
        <v>106.87990893496826</v>
      </c>
      <c r="G31" s="111">
        <v>109.71221947511674</v>
      </c>
      <c r="H31" s="111">
        <v>108.70046204821422</v>
      </c>
      <c r="I31" s="111">
        <v>109.06565821416099</v>
      </c>
      <c r="J31" s="111">
        <v>108.21093904973922</v>
      </c>
      <c r="K31" s="111">
        <v>108.84120324807338</v>
      </c>
      <c r="L31" s="111">
        <v>109.9997929171811</v>
      </c>
      <c r="M31" s="111">
        <v>107.54561907444814</v>
      </c>
      <c r="N31" s="107">
        <v>107.44921725072059</v>
      </c>
      <c r="O31" s="29"/>
      <c r="P31" s="29"/>
      <c r="Q31" s="29"/>
      <c r="R31" s="2" t="s">
        <v>51</v>
      </c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</row>
    <row r="32" spans="1:76" ht="19.5" customHeight="1" x14ac:dyDescent="0.2">
      <c r="A32" s="6" t="s">
        <v>50</v>
      </c>
      <c r="B32" s="67">
        <v>105.85832980600304</v>
      </c>
      <c r="C32" s="67">
        <v>106.25489209656018</v>
      </c>
      <c r="D32" s="67">
        <v>106.09464392494466</v>
      </c>
      <c r="E32" s="67">
        <v>104.74980208730487</v>
      </c>
      <c r="F32" s="67">
        <v>107.5813121529728</v>
      </c>
      <c r="G32" s="67">
        <v>110.14339560761394</v>
      </c>
      <c r="H32" s="67">
        <v>108.41694831174502</v>
      </c>
      <c r="I32" s="67">
        <v>109.02419627442796</v>
      </c>
      <c r="J32" s="67">
        <v>109.85696748331017</v>
      </c>
      <c r="K32" s="67">
        <v>110.49831861964596</v>
      </c>
      <c r="L32" s="67">
        <v>108.86864432032196</v>
      </c>
      <c r="M32" s="67">
        <v>108.67382576305945</v>
      </c>
      <c r="N32" s="107">
        <v>108.00177303732585</v>
      </c>
      <c r="R32" s="2" t="s">
        <v>52</v>
      </c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</row>
    <row r="33" spans="1:76" ht="19.5" customHeight="1" x14ac:dyDescent="0.2">
      <c r="A33" s="7" t="s">
        <v>7</v>
      </c>
      <c r="B33" s="67">
        <v>107.64264275281333</v>
      </c>
      <c r="C33" s="67">
        <v>104.32229440293499</v>
      </c>
      <c r="D33" s="67">
        <v>96.292451594640127</v>
      </c>
      <c r="E33" s="67">
        <v>106.84934532541568</v>
      </c>
      <c r="F33" s="67">
        <v>105.39860609073908</v>
      </c>
      <c r="G33" s="67">
        <v>108.80161282969972</v>
      </c>
      <c r="H33" s="67">
        <v>109.29921850303165</v>
      </c>
      <c r="I33" s="67">
        <v>109.15322223964202</v>
      </c>
      <c r="J33" s="67">
        <v>104.73466956915779</v>
      </c>
      <c r="K33" s="67">
        <v>105.34151911473015</v>
      </c>
      <c r="L33" s="67">
        <v>112.38868077905937</v>
      </c>
      <c r="M33" s="67">
        <v>105.16294426797542</v>
      </c>
      <c r="N33" s="107">
        <v>106.28226728915327</v>
      </c>
      <c r="R33" s="2" t="s">
        <v>8</v>
      </c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</row>
    <row r="34" spans="1:76" ht="19.5" customHeight="1" x14ac:dyDescent="0.2">
      <c r="A34" s="7" t="s">
        <v>46</v>
      </c>
      <c r="B34" s="67">
        <v>104.35649150853656</v>
      </c>
      <c r="C34" s="67">
        <v>104.20506071262145</v>
      </c>
      <c r="D34" s="67">
        <v>103.45045754572425</v>
      </c>
      <c r="E34" s="67">
        <v>120.65013910800496</v>
      </c>
      <c r="F34" s="67">
        <v>120.21328486178427</v>
      </c>
      <c r="G34" s="67">
        <v>120.35224250259661</v>
      </c>
      <c r="H34" s="67">
        <v>120.06707317773289</v>
      </c>
      <c r="I34" s="67">
        <v>120.02453697171555</v>
      </c>
      <c r="J34" s="67">
        <v>121.00509028437621</v>
      </c>
      <c r="K34" s="67">
        <v>120.55525036602592</v>
      </c>
      <c r="L34" s="67">
        <v>120.16100182896865</v>
      </c>
      <c r="M34" s="67">
        <v>119.42233405540935</v>
      </c>
      <c r="N34" s="107">
        <v>116.20524691029136</v>
      </c>
      <c r="R34" s="2" t="s">
        <v>27</v>
      </c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</row>
    <row r="35" spans="1:76" ht="19.5" customHeight="1" x14ac:dyDescent="0.2">
      <c r="A35" s="7" t="s">
        <v>9</v>
      </c>
      <c r="B35" s="67">
        <v>100.64204274592042</v>
      </c>
      <c r="C35" s="67">
        <v>98.940789272955129</v>
      </c>
      <c r="D35" s="67">
        <v>98.953588603278192</v>
      </c>
      <c r="E35" s="67">
        <v>98.951755820845094</v>
      </c>
      <c r="F35" s="67">
        <v>99.673474952559118</v>
      </c>
      <c r="G35" s="67">
        <v>99.467478681214132</v>
      </c>
      <c r="H35" s="67">
        <v>99.48309079319381</v>
      </c>
      <c r="I35" s="67">
        <v>97.69166931118238</v>
      </c>
      <c r="J35" s="67">
        <v>98.731353090669458</v>
      </c>
      <c r="K35" s="67">
        <v>98.923515408969749</v>
      </c>
      <c r="L35" s="67">
        <v>98.391405568532576</v>
      </c>
      <c r="M35" s="67">
        <v>98.325620315834598</v>
      </c>
      <c r="N35" s="107">
        <v>99.014648713762881</v>
      </c>
      <c r="R35" s="2" t="s">
        <v>28</v>
      </c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</row>
    <row r="36" spans="1:76" ht="19.5" customHeight="1" x14ac:dyDescent="0.2">
      <c r="A36" s="7" t="s">
        <v>62</v>
      </c>
      <c r="B36" s="67">
        <v>107.84173313583292</v>
      </c>
      <c r="C36" s="67">
        <v>108.11356345719791</v>
      </c>
      <c r="D36" s="67">
        <v>108.4095158352947</v>
      </c>
      <c r="E36" s="67">
        <v>109.07318742156151</v>
      </c>
      <c r="F36" s="67">
        <v>109.57758201914343</v>
      </c>
      <c r="G36" s="67">
        <v>109.68639951208795</v>
      </c>
      <c r="H36" s="67">
        <v>110.18016734664961</v>
      </c>
      <c r="I36" s="67">
        <v>110.36377608022833</v>
      </c>
      <c r="J36" s="67">
        <v>110.38499805502568</v>
      </c>
      <c r="K36" s="67">
        <v>110.45134041059686</v>
      </c>
      <c r="L36" s="67">
        <v>110.61554179947697</v>
      </c>
      <c r="M36" s="67">
        <v>110.66475451689352</v>
      </c>
      <c r="N36" s="107">
        <v>109.61354663249911</v>
      </c>
      <c r="R36" s="2" t="s">
        <v>29</v>
      </c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</row>
    <row r="37" spans="1:76" ht="19.5" customHeight="1" x14ac:dyDescent="0.2">
      <c r="A37" s="7" t="s">
        <v>63</v>
      </c>
      <c r="B37" s="67">
        <v>110.96744246881092</v>
      </c>
      <c r="C37" s="67">
        <v>111.18041028769045</v>
      </c>
      <c r="D37" s="67">
        <v>111.57979457403334</v>
      </c>
      <c r="E37" s="67">
        <v>112.12561093079913</v>
      </c>
      <c r="F37" s="67">
        <v>112.82403645343204</v>
      </c>
      <c r="G37" s="67">
        <v>113.02147851722555</v>
      </c>
      <c r="H37" s="67">
        <v>113.70526797584725</v>
      </c>
      <c r="I37" s="67">
        <v>113.99477419311519</v>
      </c>
      <c r="J37" s="67">
        <v>114.04503643923209</v>
      </c>
      <c r="K37" s="67">
        <v>114.14143164860336</v>
      </c>
      <c r="L37" s="67">
        <v>114.3431237484088</v>
      </c>
      <c r="M37" s="67">
        <v>114.47546532682131</v>
      </c>
      <c r="N37" s="107">
        <v>113.03365604700161</v>
      </c>
      <c r="R37" s="18" t="s">
        <v>68</v>
      </c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</row>
    <row r="38" spans="1:76" ht="25.5" x14ac:dyDescent="0.2">
      <c r="A38" s="6" t="s">
        <v>45</v>
      </c>
      <c r="B38" s="67">
        <v>94.170366753651166</v>
      </c>
      <c r="C38" s="67">
        <v>96.62330502265165</v>
      </c>
      <c r="D38" s="67">
        <v>96.597987645234539</v>
      </c>
      <c r="E38" s="67">
        <v>96.584154550675322</v>
      </c>
      <c r="F38" s="67">
        <v>88.144293568542395</v>
      </c>
      <c r="G38" s="67">
        <v>93.746832301851441</v>
      </c>
      <c r="H38" s="67">
        <v>94.535071596023357</v>
      </c>
      <c r="I38" s="67">
        <v>95.727525997544291</v>
      </c>
      <c r="J38" s="67">
        <v>95.309182250055841</v>
      </c>
      <c r="K38" s="67">
        <v>95.378040573113552</v>
      </c>
      <c r="L38" s="67">
        <v>94.332527470463233</v>
      </c>
      <c r="M38" s="67">
        <v>94.298157202473348</v>
      </c>
      <c r="N38" s="107">
        <v>94.620620411023353</v>
      </c>
      <c r="R38" s="2" t="s">
        <v>47</v>
      </c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</row>
    <row r="39" spans="1:76" ht="19.5" customHeight="1" x14ac:dyDescent="0.2">
      <c r="A39" s="8" t="s">
        <v>30</v>
      </c>
      <c r="B39" s="67">
        <v>125.30462621677339</v>
      </c>
      <c r="C39" s="67">
        <v>127.60209787020233</v>
      </c>
      <c r="D39" s="67">
        <v>127.5934106463469</v>
      </c>
      <c r="E39" s="67">
        <v>127.42846023323945</v>
      </c>
      <c r="F39" s="67">
        <v>127.41097138724366</v>
      </c>
      <c r="G39" s="67">
        <v>127.46168001290582</v>
      </c>
      <c r="H39" s="67">
        <v>127.56228612546472</v>
      </c>
      <c r="I39" s="67">
        <v>127.54057523129964</v>
      </c>
      <c r="J39" s="67">
        <v>127.44872955431511</v>
      </c>
      <c r="K39" s="67">
        <v>127.77484729577886</v>
      </c>
      <c r="L39" s="67">
        <v>127.75151337653183</v>
      </c>
      <c r="M39" s="67">
        <v>127.39977257728235</v>
      </c>
      <c r="N39" s="107">
        <v>127.35658087728201</v>
      </c>
      <c r="R39" s="2" t="s">
        <v>31</v>
      </c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</row>
    <row r="40" spans="1:76" ht="19.5" customHeight="1" x14ac:dyDescent="0.2">
      <c r="A40" s="8" t="s">
        <v>32</v>
      </c>
      <c r="B40" s="67">
        <v>105.56405663914177</v>
      </c>
      <c r="C40" s="67">
        <v>105.52455566548556</v>
      </c>
      <c r="D40" s="67">
        <v>107.43292924124285</v>
      </c>
      <c r="E40" s="67">
        <v>108.4946367531206</v>
      </c>
      <c r="F40" s="67">
        <v>107.56291956978518</v>
      </c>
      <c r="G40" s="67">
        <v>107.88798786026368</v>
      </c>
      <c r="H40" s="67">
        <v>108.08253676986384</v>
      </c>
      <c r="I40" s="67">
        <v>107.87286462327542</v>
      </c>
      <c r="J40" s="67">
        <v>107.60104822747967</v>
      </c>
      <c r="K40" s="67">
        <v>107.19209379274028</v>
      </c>
      <c r="L40" s="67">
        <v>107.23498942067749</v>
      </c>
      <c r="M40" s="67">
        <v>107.59781503114991</v>
      </c>
      <c r="N40" s="107">
        <v>107.33736946618552</v>
      </c>
      <c r="R40" s="2" t="s">
        <v>33</v>
      </c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</row>
    <row r="41" spans="1:76" ht="19.5" customHeight="1" x14ac:dyDescent="0.2">
      <c r="A41" s="8" t="s">
        <v>34</v>
      </c>
      <c r="B41" s="67">
        <v>96.871737000214267</v>
      </c>
      <c r="C41" s="67">
        <v>96.871737000214267</v>
      </c>
      <c r="D41" s="67">
        <v>96.66648284597099</v>
      </c>
      <c r="E41" s="67">
        <v>96.121869357919593</v>
      </c>
      <c r="F41" s="67">
        <v>96.121869357919593</v>
      </c>
      <c r="G41" s="67">
        <v>96.121869357919593</v>
      </c>
      <c r="H41" s="67">
        <v>96.121869357919593</v>
      </c>
      <c r="I41" s="67">
        <v>96.121869357919593</v>
      </c>
      <c r="J41" s="67">
        <v>95.996707346786849</v>
      </c>
      <c r="K41" s="67">
        <v>95.996707346786849</v>
      </c>
      <c r="L41" s="67">
        <v>95.809268458021222</v>
      </c>
      <c r="M41" s="67">
        <v>95.746365973594934</v>
      </c>
      <c r="N41" s="107">
        <v>96.214029396765625</v>
      </c>
      <c r="R41" s="2" t="s">
        <v>35</v>
      </c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</row>
    <row r="42" spans="1:76" ht="19.5" customHeight="1" x14ac:dyDescent="0.2">
      <c r="A42" s="9" t="s">
        <v>36</v>
      </c>
      <c r="B42" s="67">
        <v>101.7001375295265</v>
      </c>
      <c r="C42" s="67">
        <v>101.39236238392169</v>
      </c>
      <c r="D42" s="67">
        <v>101.96988640544808</v>
      </c>
      <c r="E42" s="67">
        <v>102.01219260594851</v>
      </c>
      <c r="F42" s="67">
        <v>100.86324316996082</v>
      </c>
      <c r="G42" s="67">
        <v>100.43069946870133</v>
      </c>
      <c r="H42" s="67">
        <v>101.48124182661589</v>
      </c>
      <c r="I42" s="67">
        <v>101.429105267121</v>
      </c>
      <c r="J42" s="67">
        <v>101.35978532475843</v>
      </c>
      <c r="K42" s="67">
        <v>101.02811065829096</v>
      </c>
      <c r="L42" s="67">
        <v>99.338127098327718</v>
      </c>
      <c r="M42" s="67">
        <v>99.683436850321087</v>
      </c>
      <c r="N42" s="107">
        <v>101.05736071574518</v>
      </c>
      <c r="R42" s="10" t="s">
        <v>37</v>
      </c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</row>
    <row r="43" spans="1:76" ht="19.5" customHeight="1" x14ac:dyDescent="0.2">
      <c r="A43" s="7" t="s">
        <v>10</v>
      </c>
      <c r="B43" s="67">
        <v>117.33257668396264</v>
      </c>
      <c r="C43" s="67">
        <v>117.33257668396264</v>
      </c>
      <c r="D43" s="67">
        <v>117.33257668396264</v>
      </c>
      <c r="E43" s="67">
        <v>117.33257668396264</v>
      </c>
      <c r="F43" s="67">
        <v>117.33257668396264</v>
      </c>
      <c r="G43" s="67">
        <v>117.33257668396264</v>
      </c>
      <c r="H43" s="67">
        <v>117.33257668396264</v>
      </c>
      <c r="I43" s="67">
        <v>117.33257668396264</v>
      </c>
      <c r="J43" s="67">
        <v>117.33257668396264</v>
      </c>
      <c r="K43" s="67">
        <v>117.33257668396264</v>
      </c>
      <c r="L43" s="67">
        <v>117.33257668396264</v>
      </c>
      <c r="M43" s="67">
        <v>117.33257668396264</v>
      </c>
      <c r="N43" s="107">
        <v>117.33257668396261</v>
      </c>
      <c r="R43" s="10" t="s">
        <v>11</v>
      </c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M43" s="81"/>
      <c r="BN43" s="81"/>
      <c r="BO43" s="81"/>
      <c r="BP43" s="81"/>
      <c r="BQ43" s="81"/>
      <c r="BR43" s="81"/>
      <c r="BS43" s="81"/>
      <c r="BT43" s="81"/>
      <c r="BU43" s="81"/>
      <c r="BV43" s="81"/>
      <c r="BW43" s="81"/>
      <c r="BX43" s="81"/>
    </row>
    <row r="44" spans="1:76" ht="19.5" customHeight="1" x14ac:dyDescent="0.2">
      <c r="A44" s="7" t="s">
        <v>38</v>
      </c>
      <c r="B44" s="67">
        <v>125.53123445033981</v>
      </c>
      <c r="C44" s="67">
        <v>125.53123445033981</v>
      </c>
      <c r="D44" s="67">
        <v>125.53123445033981</v>
      </c>
      <c r="E44" s="67">
        <v>125.60606618495126</v>
      </c>
      <c r="F44" s="67">
        <v>125.60606618495126</v>
      </c>
      <c r="G44" s="67">
        <v>125.59750152966112</v>
      </c>
      <c r="H44" s="67">
        <v>126.09324436870664</v>
      </c>
      <c r="I44" s="67">
        <v>126.0956848658581</v>
      </c>
      <c r="J44" s="67">
        <v>126.08986652453427</v>
      </c>
      <c r="K44" s="67">
        <v>126.0856917211691</v>
      </c>
      <c r="L44" s="67">
        <v>126.08621195260949</v>
      </c>
      <c r="M44" s="67">
        <v>126.04561016322971</v>
      </c>
      <c r="N44" s="107">
        <v>125.82497057055754</v>
      </c>
      <c r="R44" s="10" t="s">
        <v>39</v>
      </c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M44" s="81"/>
      <c r="BN44" s="81"/>
      <c r="BO44" s="81"/>
      <c r="BP44" s="81"/>
      <c r="BQ44" s="82"/>
      <c r="BR44" s="82"/>
      <c r="BS44" s="82"/>
      <c r="BT44" s="81"/>
      <c r="BU44" s="81"/>
      <c r="BV44" s="81"/>
      <c r="BW44" s="81"/>
      <c r="BX44" s="81"/>
    </row>
    <row r="45" spans="1:76" s="3" customFormat="1" ht="19.5" customHeight="1" x14ac:dyDescent="0.2">
      <c r="A45" s="9" t="s">
        <v>40</v>
      </c>
      <c r="B45" s="67">
        <v>99.164340724632126</v>
      </c>
      <c r="C45" s="67">
        <v>98.317260289883137</v>
      </c>
      <c r="D45" s="67">
        <v>98.346879900773729</v>
      </c>
      <c r="E45" s="67">
        <v>98.396700931334152</v>
      </c>
      <c r="F45" s="67">
        <v>98.526468574448771</v>
      </c>
      <c r="G45" s="67">
        <v>98.911298047170916</v>
      </c>
      <c r="H45" s="67">
        <v>98.287676994711688</v>
      </c>
      <c r="I45" s="67">
        <v>97.845513242016793</v>
      </c>
      <c r="J45" s="67">
        <v>98.296706506624773</v>
      </c>
      <c r="K45" s="67">
        <v>98.041480014658077</v>
      </c>
      <c r="L45" s="67">
        <v>98.214080614888374</v>
      </c>
      <c r="M45" s="67">
        <v>97.786607012465026</v>
      </c>
      <c r="N45" s="107">
        <v>98.344584404467298</v>
      </c>
      <c r="O45" s="24"/>
      <c r="P45" s="24"/>
      <c r="Q45" s="24"/>
      <c r="R45" s="10" t="s">
        <v>67</v>
      </c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M45" s="81"/>
      <c r="BN45" s="81"/>
      <c r="BO45" s="81"/>
      <c r="BP45" s="81"/>
      <c r="BQ45" s="82"/>
      <c r="BR45" s="82"/>
      <c r="BS45" s="82"/>
      <c r="BT45" s="82"/>
      <c r="BU45" s="82"/>
      <c r="BV45" s="82"/>
      <c r="BW45" s="82"/>
      <c r="BX45" s="82"/>
    </row>
    <row r="46" spans="1:76" ht="19.5" customHeight="1" x14ac:dyDescent="0.2">
      <c r="A46" s="11" t="s">
        <v>64</v>
      </c>
      <c r="B46" s="70">
        <v>106.35549201831586</v>
      </c>
      <c r="C46" s="70">
        <v>106.38592399948861</v>
      </c>
      <c r="D46" s="70">
        <v>105.94361477753759</v>
      </c>
      <c r="E46" s="70">
        <v>106.99773342131819</v>
      </c>
      <c r="F46" s="70">
        <v>106.82397230166286</v>
      </c>
      <c r="G46" s="70">
        <v>107.96828216587758</v>
      </c>
      <c r="H46" s="70">
        <v>107.98011858556926</v>
      </c>
      <c r="I46" s="70">
        <v>108.11368976368043</v>
      </c>
      <c r="J46" s="70">
        <v>107.9372591431315</v>
      </c>
      <c r="K46" s="70">
        <v>108.07561267079635</v>
      </c>
      <c r="L46" s="70">
        <v>108.24394019171041</v>
      </c>
      <c r="M46" s="70">
        <v>107.64960242752787</v>
      </c>
      <c r="N46" s="109">
        <v>107.37293678888472</v>
      </c>
      <c r="R46" s="12" t="s">
        <v>12</v>
      </c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M46" s="82"/>
      <c r="BN46" s="82"/>
      <c r="BO46" s="82"/>
      <c r="BP46" s="82"/>
      <c r="BQ46" s="81"/>
      <c r="BR46" s="81"/>
      <c r="BS46" s="81"/>
      <c r="BT46" s="81"/>
      <c r="BU46" s="81"/>
      <c r="BV46" s="81"/>
      <c r="BW46" s="81"/>
      <c r="BX46" s="81"/>
    </row>
    <row r="47" spans="1:76" ht="19.5" customHeight="1" x14ac:dyDescent="0.2">
      <c r="A47" s="13" t="s">
        <v>65</v>
      </c>
      <c r="B47" s="112">
        <v>106.24897507906481</v>
      </c>
      <c r="C47" s="112">
        <v>106.55669771113052</v>
      </c>
      <c r="D47" s="112">
        <v>106.74228764070925</v>
      </c>
      <c r="E47" s="112">
        <v>107.01001313757303</v>
      </c>
      <c r="F47" s="112">
        <v>106.94192713168421</v>
      </c>
      <c r="G47" s="112">
        <v>107.8993206765078</v>
      </c>
      <c r="H47" s="112">
        <v>107.87095772195894</v>
      </c>
      <c r="I47" s="112">
        <v>108.02766423875642</v>
      </c>
      <c r="J47" s="112">
        <v>108.20228640835711</v>
      </c>
      <c r="K47" s="112">
        <v>108.30186999203535</v>
      </c>
      <c r="L47" s="112">
        <v>107.90094611221257</v>
      </c>
      <c r="M47" s="112">
        <v>107.85538346701321</v>
      </c>
      <c r="N47" s="112">
        <v>107.46319410975025</v>
      </c>
      <c r="O47" s="41"/>
      <c r="P47" s="41"/>
      <c r="Q47" s="41"/>
      <c r="R47" s="14" t="s">
        <v>48</v>
      </c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M47" s="82"/>
      <c r="BN47" s="82"/>
      <c r="BO47" s="82"/>
      <c r="BP47" s="82"/>
      <c r="BQ47" s="81"/>
      <c r="BR47" s="81"/>
      <c r="BS47" s="81"/>
      <c r="BT47" s="81"/>
      <c r="BU47" s="81"/>
      <c r="BV47" s="81"/>
      <c r="BW47" s="81"/>
      <c r="BX47" s="81"/>
    </row>
    <row r="49" spans="1:76" x14ac:dyDescent="0.2">
      <c r="A49" s="60"/>
      <c r="B49" s="25"/>
      <c r="C49" s="25"/>
      <c r="D49" s="25"/>
      <c r="E49" s="25"/>
      <c r="F49" s="25"/>
      <c r="G49" s="25"/>
      <c r="H49" s="25"/>
      <c r="J49" s="29"/>
      <c r="K49" s="29"/>
      <c r="L49" s="29"/>
      <c r="M49" s="61"/>
      <c r="R49" s="24"/>
    </row>
    <row r="50" spans="1:76" x14ac:dyDescent="0.2">
      <c r="A50" s="62" t="s">
        <v>6</v>
      </c>
      <c r="B50" s="47" t="s">
        <v>82</v>
      </c>
      <c r="C50" s="16"/>
      <c r="D50" s="63"/>
      <c r="E50" s="16"/>
      <c r="F50" s="16"/>
      <c r="G50" s="16"/>
      <c r="H50" s="47"/>
      <c r="I50" s="64"/>
      <c r="J50" s="64"/>
      <c r="K50" s="64"/>
      <c r="L50" s="64"/>
      <c r="M50" s="64"/>
      <c r="N50" s="5" t="s">
        <v>81</v>
      </c>
      <c r="O50" s="22"/>
      <c r="P50" s="22"/>
      <c r="Q50" s="22"/>
      <c r="R50" s="20" t="s">
        <v>17</v>
      </c>
    </row>
    <row r="51" spans="1:76" x14ac:dyDescent="0.4">
      <c r="A51" s="48" t="s">
        <v>44</v>
      </c>
      <c r="B51" s="50" t="s">
        <v>59</v>
      </c>
      <c r="C51" s="50" t="s">
        <v>58</v>
      </c>
      <c r="D51" s="50" t="s">
        <v>0</v>
      </c>
      <c r="E51" s="50" t="s">
        <v>13</v>
      </c>
      <c r="F51" s="50" t="s">
        <v>14</v>
      </c>
      <c r="G51" s="50" t="s">
        <v>1</v>
      </c>
      <c r="H51" s="50" t="s">
        <v>15</v>
      </c>
      <c r="I51" s="50" t="s">
        <v>57</v>
      </c>
      <c r="J51" s="50" t="s">
        <v>56</v>
      </c>
      <c r="K51" s="50" t="s">
        <v>55</v>
      </c>
      <c r="L51" s="50" t="s">
        <v>54</v>
      </c>
      <c r="M51" s="50" t="s">
        <v>53</v>
      </c>
      <c r="N51" s="51" t="s">
        <v>16</v>
      </c>
      <c r="O51" s="29"/>
      <c r="P51" s="29"/>
      <c r="Q51" s="29"/>
      <c r="R51" s="12" t="s">
        <v>72</v>
      </c>
    </row>
    <row r="52" spans="1:76" ht="15.75" x14ac:dyDescent="0.4">
      <c r="A52" s="65"/>
      <c r="B52" s="54" t="s">
        <v>18</v>
      </c>
      <c r="C52" s="55" t="s">
        <v>19</v>
      </c>
      <c r="D52" s="55" t="s">
        <v>2</v>
      </c>
      <c r="E52" s="55" t="s">
        <v>20</v>
      </c>
      <c r="F52" s="55" t="s">
        <v>21</v>
      </c>
      <c r="G52" s="55" t="s">
        <v>3</v>
      </c>
      <c r="H52" s="55" t="s">
        <v>22</v>
      </c>
      <c r="I52" s="55" t="s">
        <v>23</v>
      </c>
      <c r="J52" s="55" t="s">
        <v>4</v>
      </c>
      <c r="K52" s="55" t="s">
        <v>24</v>
      </c>
      <c r="L52" s="55" t="s">
        <v>25</v>
      </c>
      <c r="M52" s="55" t="s">
        <v>5</v>
      </c>
      <c r="N52" s="56" t="s">
        <v>26</v>
      </c>
      <c r="O52" s="41"/>
      <c r="P52" s="41"/>
      <c r="Q52" s="41"/>
      <c r="R52" s="66"/>
    </row>
    <row r="53" spans="1:76" ht="22.5" customHeight="1" x14ac:dyDescent="0.2">
      <c r="A53" s="6" t="s">
        <v>49</v>
      </c>
      <c r="B53" s="111">
        <v>104.19954207219604</v>
      </c>
      <c r="C53" s="111">
        <v>104.37736666272917</v>
      </c>
      <c r="D53" s="111">
        <v>104.77558699440804</v>
      </c>
      <c r="E53" s="111">
        <v>104.48289202131839</v>
      </c>
      <c r="F53" s="111">
        <v>105.92816387001935</v>
      </c>
      <c r="G53" s="111">
        <v>107.05053434818832</v>
      </c>
      <c r="H53" s="111">
        <v>105.9371713018151</v>
      </c>
      <c r="I53" s="111">
        <v>106.6421507752783</v>
      </c>
      <c r="J53" s="111">
        <v>106.9936497934255</v>
      </c>
      <c r="K53" s="111">
        <v>106.44959082248444</v>
      </c>
      <c r="L53" s="111">
        <v>107.09281761706505</v>
      </c>
      <c r="M53" s="111">
        <v>105.50785879983619</v>
      </c>
      <c r="N53" s="107">
        <v>105.78644375656366</v>
      </c>
      <c r="R53" s="2" t="s">
        <v>51</v>
      </c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</row>
    <row r="54" spans="1:76" ht="22.5" customHeight="1" x14ac:dyDescent="0.2">
      <c r="A54" s="6" t="s">
        <v>50</v>
      </c>
      <c r="B54" s="67">
        <v>104.65173022541495</v>
      </c>
      <c r="C54" s="67">
        <v>103.58510763391041</v>
      </c>
      <c r="D54" s="67">
        <v>103.54188260613384</v>
      </c>
      <c r="E54" s="67">
        <v>103.45757408774534</v>
      </c>
      <c r="F54" s="67">
        <v>106.13855218245038</v>
      </c>
      <c r="G54" s="67">
        <v>107.15470326942282</v>
      </c>
      <c r="H54" s="67">
        <v>106.69149792566283</v>
      </c>
      <c r="I54" s="67">
        <v>107.14944143121669</v>
      </c>
      <c r="J54" s="67">
        <v>108.03650134748948</v>
      </c>
      <c r="K54" s="67">
        <v>108.04760681287672</v>
      </c>
      <c r="L54" s="67">
        <v>107.03310827190484</v>
      </c>
      <c r="M54" s="67">
        <v>106.05410642859542</v>
      </c>
      <c r="N54" s="107">
        <v>105.9618176852353</v>
      </c>
      <c r="R54" s="2" t="s">
        <v>52</v>
      </c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</row>
    <row r="55" spans="1:76" ht="22.5" customHeight="1" x14ac:dyDescent="0.2">
      <c r="A55" s="7" t="s">
        <v>7</v>
      </c>
      <c r="B55" s="67">
        <v>103.10962785443364</v>
      </c>
      <c r="C55" s="67">
        <v>106.28695755650564</v>
      </c>
      <c r="D55" s="67">
        <v>107.74919862868998</v>
      </c>
      <c r="E55" s="67">
        <v>106.95422742799212</v>
      </c>
      <c r="F55" s="67">
        <v>105.42106254209365</v>
      </c>
      <c r="G55" s="67">
        <v>106.79945481969077</v>
      </c>
      <c r="H55" s="67">
        <v>104.11900931257257</v>
      </c>
      <c r="I55" s="67">
        <v>105.4194223722686</v>
      </c>
      <c r="J55" s="67">
        <v>104.48005290306253</v>
      </c>
      <c r="K55" s="67">
        <v>102.59787481501708</v>
      </c>
      <c r="L55" s="67">
        <v>107.23673572672874</v>
      </c>
      <c r="M55" s="67">
        <v>104.19123196482181</v>
      </c>
      <c r="N55" s="107">
        <v>105.36373799365641</v>
      </c>
      <c r="R55" s="2" t="s">
        <v>8</v>
      </c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</row>
    <row r="56" spans="1:76" ht="22.5" customHeight="1" x14ac:dyDescent="0.2">
      <c r="A56" s="7" t="s">
        <v>46</v>
      </c>
      <c r="B56" s="67">
        <v>105.02867270929367</v>
      </c>
      <c r="C56" s="67">
        <v>104.95705201079839</v>
      </c>
      <c r="D56" s="67">
        <v>104.78593111066783</v>
      </c>
      <c r="E56" s="67">
        <v>119.51058508863179</v>
      </c>
      <c r="F56" s="67">
        <v>123.1005632202904</v>
      </c>
      <c r="G56" s="67">
        <v>123.37081069056327</v>
      </c>
      <c r="H56" s="67">
        <v>123.42530458142286</v>
      </c>
      <c r="I56" s="67">
        <v>121.68237202742083</v>
      </c>
      <c r="J56" s="67">
        <v>121.42042152816728</v>
      </c>
      <c r="K56" s="67">
        <v>122.2479815936121</v>
      </c>
      <c r="L56" s="67">
        <v>122.32031300586796</v>
      </c>
      <c r="M56" s="67">
        <v>122.9279134550552</v>
      </c>
      <c r="N56" s="107">
        <v>117.89816008514931</v>
      </c>
      <c r="R56" s="2" t="s">
        <v>27</v>
      </c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</row>
    <row r="57" spans="1:76" ht="22.5" customHeight="1" x14ac:dyDescent="0.2">
      <c r="A57" s="7" t="s">
        <v>9</v>
      </c>
      <c r="B57" s="67">
        <v>103.94468864281521</v>
      </c>
      <c r="C57" s="67">
        <v>103.60335478135808</v>
      </c>
      <c r="D57" s="67">
        <v>103.17937571199622</v>
      </c>
      <c r="E57" s="67">
        <v>103.24322126762607</v>
      </c>
      <c r="F57" s="67">
        <v>103.09223008175653</v>
      </c>
      <c r="G57" s="67">
        <v>103.13096099571921</v>
      </c>
      <c r="H57" s="67">
        <v>103.04338619489242</v>
      </c>
      <c r="I57" s="67">
        <v>103.28817874512707</v>
      </c>
      <c r="J57" s="67">
        <v>102.96206368852488</v>
      </c>
      <c r="K57" s="67">
        <v>102.96371885433662</v>
      </c>
      <c r="L57" s="67">
        <v>102.9566575303507</v>
      </c>
      <c r="M57" s="67">
        <v>102.79110417233684</v>
      </c>
      <c r="N57" s="107">
        <v>103.18324505556997</v>
      </c>
      <c r="R57" s="2" t="s">
        <v>28</v>
      </c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</row>
    <row r="58" spans="1:76" ht="22.5" customHeight="1" x14ac:dyDescent="0.2">
      <c r="A58" s="7" t="s">
        <v>62</v>
      </c>
      <c r="B58" s="67">
        <v>104.90712991534966</v>
      </c>
      <c r="C58" s="67">
        <v>104.90712991534966</v>
      </c>
      <c r="D58" s="67">
        <v>104.17457498716536</v>
      </c>
      <c r="E58" s="67">
        <v>104.17457498716536</v>
      </c>
      <c r="F58" s="67">
        <v>104.15546688668546</v>
      </c>
      <c r="G58" s="67">
        <v>104.1996617096121</v>
      </c>
      <c r="H58" s="67">
        <v>104.21636546677256</v>
      </c>
      <c r="I58" s="67">
        <v>104.09386530444115</v>
      </c>
      <c r="J58" s="67">
        <v>104.09814769539167</v>
      </c>
      <c r="K58" s="67">
        <v>104.12567128732157</v>
      </c>
      <c r="L58" s="67">
        <v>104.07281747678854</v>
      </c>
      <c r="M58" s="67">
        <v>104.0561137196281</v>
      </c>
      <c r="N58" s="107">
        <v>104.26512661263926</v>
      </c>
      <c r="R58" s="2" t="s">
        <v>29</v>
      </c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</row>
    <row r="59" spans="1:76" ht="15.6" customHeight="1" x14ac:dyDescent="0.2">
      <c r="A59" s="7" t="s">
        <v>63</v>
      </c>
      <c r="B59" s="67">
        <v>111.51531600604599</v>
      </c>
      <c r="C59" s="67">
        <v>111.51531600604599</v>
      </c>
      <c r="D59" s="67">
        <v>98.048558859712344</v>
      </c>
      <c r="E59" s="67">
        <v>98.048558859712344</v>
      </c>
      <c r="F59" s="67">
        <v>98.048558859712344</v>
      </c>
      <c r="G59" s="67">
        <v>98.048558859712344</v>
      </c>
      <c r="H59" s="67">
        <v>98.048558859712344</v>
      </c>
      <c r="I59" s="67">
        <v>98.048558859712344</v>
      </c>
      <c r="J59" s="67">
        <v>98.048558859712344</v>
      </c>
      <c r="K59" s="67">
        <v>98.048558859712344</v>
      </c>
      <c r="L59" s="67">
        <v>98.048558859712344</v>
      </c>
      <c r="M59" s="67">
        <v>98.048558859712344</v>
      </c>
      <c r="N59" s="107">
        <v>100.29301838410129</v>
      </c>
      <c r="R59" s="18" t="s">
        <v>66</v>
      </c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</row>
    <row r="60" spans="1:76" ht="30" customHeight="1" x14ac:dyDescent="0.2">
      <c r="A60" s="6" t="s">
        <v>45</v>
      </c>
      <c r="B60" s="67">
        <v>98.012166651684083</v>
      </c>
      <c r="C60" s="67">
        <v>98.795528567460352</v>
      </c>
      <c r="D60" s="67">
        <v>98.766967857648439</v>
      </c>
      <c r="E60" s="67">
        <v>98.704718418450312</v>
      </c>
      <c r="F60" s="67">
        <v>96.239958054478635</v>
      </c>
      <c r="G60" s="67">
        <v>97.504715706744918</v>
      </c>
      <c r="H60" s="67">
        <v>98.017197459152726</v>
      </c>
      <c r="I60" s="67">
        <v>98.055306567470552</v>
      </c>
      <c r="J60" s="67">
        <v>97.957013835888503</v>
      </c>
      <c r="K60" s="67">
        <v>97.836485093181793</v>
      </c>
      <c r="L60" s="67">
        <v>97.591251281741251</v>
      </c>
      <c r="M60" s="67">
        <v>97.306338258538503</v>
      </c>
      <c r="N60" s="107">
        <v>97.898970646036659</v>
      </c>
      <c r="R60" s="2" t="s">
        <v>47</v>
      </c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</row>
    <row r="61" spans="1:76" ht="22.5" customHeight="1" x14ac:dyDescent="0.2">
      <c r="A61" s="8" t="s">
        <v>30</v>
      </c>
      <c r="B61" s="67">
        <v>118.82741169670616</v>
      </c>
      <c r="C61" s="67">
        <v>120.27095780838748</v>
      </c>
      <c r="D61" s="67">
        <v>120.34501786916537</v>
      </c>
      <c r="E61" s="67">
        <v>120.33610632279186</v>
      </c>
      <c r="F61" s="67">
        <v>120.29481082822643</v>
      </c>
      <c r="G61" s="67">
        <v>122.86427101716616</v>
      </c>
      <c r="H61" s="67">
        <v>122.87671124014531</v>
      </c>
      <c r="I61" s="67">
        <v>123.71596051948586</v>
      </c>
      <c r="J61" s="67">
        <v>123.76435717446685</v>
      </c>
      <c r="K61" s="67">
        <v>123.97811691804493</v>
      </c>
      <c r="L61" s="67">
        <v>123.99424781655286</v>
      </c>
      <c r="M61" s="67">
        <v>123.79324221536888</v>
      </c>
      <c r="N61" s="107">
        <v>122.08843428554235</v>
      </c>
      <c r="R61" s="2" t="s">
        <v>31</v>
      </c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</row>
    <row r="62" spans="1:76" ht="22.5" customHeight="1" x14ac:dyDescent="0.2">
      <c r="A62" s="8" t="s">
        <v>32</v>
      </c>
      <c r="B62" s="67">
        <v>99.283241752567832</v>
      </c>
      <c r="C62" s="67">
        <v>99.254870594736403</v>
      </c>
      <c r="D62" s="67">
        <v>100.35038820610818</v>
      </c>
      <c r="E62" s="67">
        <v>101.22500030460166</v>
      </c>
      <c r="F62" s="67">
        <v>100.20745054403183</v>
      </c>
      <c r="G62" s="67">
        <v>99.542648555986759</v>
      </c>
      <c r="H62" s="67">
        <v>99.72797164159519</v>
      </c>
      <c r="I62" s="67">
        <v>99.528189097681249</v>
      </c>
      <c r="J62" s="67">
        <v>99.269309995514703</v>
      </c>
      <c r="K62" s="67">
        <v>99.098380683928681</v>
      </c>
      <c r="L62" s="67">
        <v>99.139246349087188</v>
      </c>
      <c r="M62" s="67">
        <v>99.266229656338737</v>
      </c>
      <c r="N62" s="107">
        <v>99.657743948514863</v>
      </c>
      <c r="R62" s="2" t="s">
        <v>33</v>
      </c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</row>
    <row r="63" spans="1:76" ht="22.5" customHeight="1" x14ac:dyDescent="0.2">
      <c r="A63" s="8" t="s">
        <v>34</v>
      </c>
      <c r="B63" s="67">
        <v>104.58502657404583</v>
      </c>
      <c r="C63" s="67">
        <v>104.58502657404583</v>
      </c>
      <c r="D63" s="67">
        <v>104.40430003616245</v>
      </c>
      <c r="E63" s="67">
        <v>104.49553005318975</v>
      </c>
      <c r="F63" s="67">
        <v>104.49553005318975</v>
      </c>
      <c r="G63" s="67">
        <v>104.49553005318975</v>
      </c>
      <c r="H63" s="67">
        <v>104.49553005318975</v>
      </c>
      <c r="I63" s="67">
        <v>104.71554017894422</v>
      </c>
      <c r="J63" s="67">
        <v>104.64944233674915</v>
      </c>
      <c r="K63" s="67">
        <v>104.64944233674915</v>
      </c>
      <c r="L63" s="67">
        <v>104.64944233674915</v>
      </c>
      <c r="M63" s="67">
        <v>104.64944233674915</v>
      </c>
      <c r="N63" s="107">
        <v>104.57248191024617</v>
      </c>
      <c r="R63" s="2" t="s">
        <v>35</v>
      </c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</row>
    <row r="64" spans="1:76" ht="22.5" customHeight="1" x14ac:dyDescent="0.2">
      <c r="A64" s="9" t="s">
        <v>36</v>
      </c>
      <c r="B64" s="67">
        <v>102.67924332689284</v>
      </c>
      <c r="C64" s="67">
        <v>102.24946585499535</v>
      </c>
      <c r="D64" s="67">
        <v>103.31564900243919</v>
      </c>
      <c r="E64" s="67">
        <v>103.45549178689599</v>
      </c>
      <c r="F64" s="67">
        <v>102.34165533855521</v>
      </c>
      <c r="G64" s="67">
        <v>102.44469576627385</v>
      </c>
      <c r="H64" s="67">
        <v>103.14041075259523</v>
      </c>
      <c r="I64" s="67">
        <v>102.74032640518823</v>
      </c>
      <c r="J64" s="67">
        <v>102.63052786519772</v>
      </c>
      <c r="K64" s="67">
        <v>102.63951894083498</v>
      </c>
      <c r="L64" s="67">
        <v>100.6996522928527</v>
      </c>
      <c r="M64" s="67">
        <v>100.95140016861723</v>
      </c>
      <c r="N64" s="107">
        <v>102.44066979177823</v>
      </c>
      <c r="R64" s="10" t="s">
        <v>37</v>
      </c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</row>
    <row r="65" spans="1:76" ht="18" customHeight="1" x14ac:dyDescent="0.2">
      <c r="A65" s="7" t="s">
        <v>10</v>
      </c>
      <c r="B65" s="67">
        <v>113.63172335175446</v>
      </c>
      <c r="C65" s="67">
        <v>113.63172335175446</v>
      </c>
      <c r="D65" s="67">
        <v>122.86780349957704</v>
      </c>
      <c r="E65" s="67">
        <v>122.86780349957704</v>
      </c>
      <c r="F65" s="67">
        <v>122.86780349957704</v>
      </c>
      <c r="G65" s="67">
        <v>122.86780349957704</v>
      </c>
      <c r="H65" s="67">
        <v>122.86780349957704</v>
      </c>
      <c r="I65" s="67">
        <v>122.86780349957704</v>
      </c>
      <c r="J65" s="67">
        <v>122.86780349957704</v>
      </c>
      <c r="K65" s="67">
        <v>122.86780349957704</v>
      </c>
      <c r="L65" s="67">
        <v>122.86780349957704</v>
      </c>
      <c r="M65" s="67">
        <v>122.86780349957704</v>
      </c>
      <c r="N65" s="107">
        <v>121.32845680827329</v>
      </c>
      <c r="R65" s="10" t="s">
        <v>11</v>
      </c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</row>
    <row r="66" spans="1:76" s="3" customFormat="1" ht="22.5" customHeight="1" x14ac:dyDescent="0.2">
      <c r="A66" s="7" t="s">
        <v>38</v>
      </c>
      <c r="B66" s="67">
        <v>114.3855632723329</v>
      </c>
      <c r="C66" s="67">
        <v>114.3855632723329</v>
      </c>
      <c r="D66" s="67">
        <v>112.69713084459265</v>
      </c>
      <c r="E66" s="67">
        <v>112.90472522527133</v>
      </c>
      <c r="F66" s="67">
        <v>112.92158495879366</v>
      </c>
      <c r="G66" s="67">
        <v>112.92158495879366</v>
      </c>
      <c r="H66" s="67">
        <v>112.9758348967483</v>
      </c>
      <c r="I66" s="67">
        <v>112.95540573822636</v>
      </c>
      <c r="J66" s="67">
        <v>112.95323586330595</v>
      </c>
      <c r="K66" s="67">
        <v>112.95323586330595</v>
      </c>
      <c r="L66" s="67">
        <v>112.95323586330595</v>
      </c>
      <c r="M66" s="67">
        <v>112.95323586330595</v>
      </c>
      <c r="N66" s="107">
        <v>113.16336138502629</v>
      </c>
      <c r="R66" s="10" t="s">
        <v>39</v>
      </c>
      <c r="BL66" s="2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</row>
    <row r="67" spans="1:76" s="3" customFormat="1" ht="22.5" customHeight="1" x14ac:dyDescent="0.2">
      <c r="A67" s="9" t="s">
        <v>40</v>
      </c>
      <c r="B67" s="67">
        <v>99.100064643817475</v>
      </c>
      <c r="C67" s="67">
        <v>99.318345218434033</v>
      </c>
      <c r="D67" s="67">
        <v>99.003922774247599</v>
      </c>
      <c r="E67" s="67">
        <v>98.772052294484595</v>
      </c>
      <c r="F67" s="67">
        <v>99.036547167453165</v>
      </c>
      <c r="G67" s="67">
        <v>99.127938608440715</v>
      </c>
      <c r="H67" s="67">
        <v>99.1548563911429</v>
      </c>
      <c r="I67" s="67">
        <v>98.94515911578894</v>
      </c>
      <c r="J67" s="67">
        <v>99.047981101907098</v>
      </c>
      <c r="K67" s="67">
        <v>98.95163523880187</v>
      </c>
      <c r="L67" s="67">
        <v>98.958561237981797</v>
      </c>
      <c r="M67" s="67">
        <v>98.832141909893835</v>
      </c>
      <c r="N67" s="107">
        <v>99.020767141866145</v>
      </c>
      <c r="R67" s="10" t="s">
        <v>67</v>
      </c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</row>
    <row r="68" spans="1:76" ht="22.5" customHeight="1" x14ac:dyDescent="0.2">
      <c r="A68" s="11" t="s">
        <v>64</v>
      </c>
      <c r="B68" s="70">
        <v>104.40611891928246</v>
      </c>
      <c r="C68" s="70">
        <v>104.61640575067163</v>
      </c>
      <c r="D68" s="70">
        <v>104.85629845393902</v>
      </c>
      <c r="E68" s="70">
        <v>105.2651344274007</v>
      </c>
      <c r="F68" s="70">
        <v>105.48313836074649</v>
      </c>
      <c r="G68" s="70">
        <v>106.14796960291099</v>
      </c>
      <c r="H68" s="70">
        <v>105.89558505375992</v>
      </c>
      <c r="I68" s="70">
        <v>106.08396958403534</v>
      </c>
      <c r="J68" s="70">
        <v>106.15302334695215</v>
      </c>
      <c r="K68" s="70">
        <v>105.99326902990096</v>
      </c>
      <c r="L68" s="70">
        <v>106.0564279195456</v>
      </c>
      <c r="M68" s="70">
        <v>105.5224261814123</v>
      </c>
      <c r="N68" s="70">
        <v>105.53998055254647</v>
      </c>
      <c r="R68" s="12" t="s">
        <v>12</v>
      </c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</row>
    <row r="69" spans="1:76" ht="22.5" customHeight="1" x14ac:dyDescent="0.2">
      <c r="A69" s="13" t="s">
        <v>65</v>
      </c>
      <c r="B69" s="112">
        <v>104.54228714321101</v>
      </c>
      <c r="C69" s="112">
        <v>104.44095057126573</v>
      </c>
      <c r="D69" s="112">
        <v>104.55246213028137</v>
      </c>
      <c r="E69" s="112">
        <v>105.08773189823812</v>
      </c>
      <c r="F69" s="112">
        <v>105.48965807708235</v>
      </c>
      <c r="G69" s="112">
        <v>106.07954523247766</v>
      </c>
      <c r="H69" s="112">
        <v>106.08217574451815</v>
      </c>
      <c r="I69" s="112">
        <v>106.15376583330873</v>
      </c>
      <c r="J69" s="112">
        <v>106.32873255174792</v>
      </c>
      <c r="K69" s="112">
        <v>106.34988143727762</v>
      </c>
      <c r="L69" s="112">
        <v>105.93246222309708</v>
      </c>
      <c r="M69" s="112">
        <v>105.66223921760795</v>
      </c>
      <c r="N69" s="112">
        <v>105.55849100500949</v>
      </c>
      <c r="O69" s="41"/>
      <c r="P69" s="41"/>
      <c r="Q69" s="41"/>
      <c r="R69" s="14" t="s">
        <v>48</v>
      </c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</row>
    <row r="70" spans="1:76" ht="17.25" x14ac:dyDescent="0.2">
      <c r="A70" s="84" t="s">
        <v>73</v>
      </c>
      <c r="B70" s="3"/>
      <c r="C70" s="3"/>
      <c r="D70" s="3"/>
      <c r="E70" s="3"/>
      <c r="F70" s="3"/>
      <c r="G70" s="3"/>
      <c r="H70" s="3"/>
      <c r="I70" s="28"/>
      <c r="J70" s="3"/>
      <c r="K70" s="3"/>
      <c r="L70" s="3"/>
      <c r="R70" s="80" t="s">
        <v>74</v>
      </c>
    </row>
    <row r="71" spans="1:76" ht="15" customHeight="1" x14ac:dyDescent="0.4"/>
    <row r="72" spans="1:76" ht="15" customHeight="1" x14ac:dyDescent="0.4"/>
    <row r="73" spans="1:76" ht="15" customHeight="1" x14ac:dyDescent="0.4"/>
    <row r="74" spans="1:76" ht="15" customHeight="1" x14ac:dyDescent="0.4">
      <c r="Q74" s="83"/>
    </row>
    <row r="75" spans="1:76" ht="15" customHeight="1" x14ac:dyDescent="0.4">
      <c r="Q75" s="83"/>
    </row>
    <row r="76" spans="1:76" ht="15" customHeight="1" x14ac:dyDescent="0.4">
      <c r="Q76" s="83"/>
    </row>
    <row r="77" spans="1:76" ht="15" customHeight="1" x14ac:dyDescent="0.4">
      <c r="Q77" s="83"/>
    </row>
    <row r="78" spans="1:76" ht="15" customHeight="1" x14ac:dyDescent="0.4">
      <c r="Q78" s="83"/>
      <c r="BN78" s="24">
        <v>2010</v>
      </c>
      <c r="BO78" s="24">
        <v>2011</v>
      </c>
      <c r="BP78" s="24">
        <v>2012</v>
      </c>
      <c r="BQ78" s="24">
        <v>2013</v>
      </c>
      <c r="BR78" s="24">
        <v>2014</v>
      </c>
      <c r="BS78" s="106">
        <v>2015</v>
      </c>
    </row>
    <row r="79" spans="1:76" ht="15" customHeight="1" x14ac:dyDescent="0.4">
      <c r="Q79" s="83"/>
      <c r="BM79" s="26" t="s">
        <v>49</v>
      </c>
      <c r="BN79" s="74">
        <v>69.554480633976965</v>
      </c>
      <c r="BO79" s="74">
        <v>83.416709968576413</v>
      </c>
      <c r="BP79" s="74">
        <v>98.126990664931839</v>
      </c>
      <c r="BQ79" s="74">
        <v>105.15731822206406</v>
      </c>
      <c r="BR79" s="83">
        <v>105.91516633353841</v>
      </c>
      <c r="BS79" s="83">
        <f>N9</f>
        <v>106.42761479980396</v>
      </c>
    </row>
    <row r="80" spans="1:76" ht="15" customHeight="1" x14ac:dyDescent="0.4">
      <c r="Q80" s="83"/>
      <c r="BM80" s="75" t="s">
        <v>50</v>
      </c>
      <c r="BN80" s="74">
        <v>84.204150454829019</v>
      </c>
      <c r="BO80" s="74">
        <v>94.794400673064558</v>
      </c>
      <c r="BP80" s="74">
        <v>100.0268178957039</v>
      </c>
      <c r="BQ80" s="74">
        <v>105.46827201556327</v>
      </c>
      <c r="BR80" s="83">
        <v>105.77637644985344</v>
      </c>
      <c r="BS80" s="83">
        <f t="shared" ref="BS80:BS95" si="0">N10</f>
        <v>106.72890504792964</v>
      </c>
    </row>
    <row r="81" spans="17:71" ht="15" customHeight="1" x14ac:dyDescent="0.4">
      <c r="Q81" s="83"/>
      <c r="BM81" s="76" t="s">
        <v>7</v>
      </c>
      <c r="BN81" s="74">
        <v>36.005776836416281</v>
      </c>
      <c r="BO81" s="74">
        <v>57.361052741283949</v>
      </c>
      <c r="BP81" s="74">
        <v>93.7760772522998</v>
      </c>
      <c r="BQ81" s="74">
        <v>104.44563486657425</v>
      </c>
      <c r="BR81" s="83">
        <v>106.23281626157906</v>
      </c>
      <c r="BS81" s="83">
        <f t="shared" si="0"/>
        <v>105.73804850653096</v>
      </c>
    </row>
    <row r="82" spans="17:71" ht="15" customHeight="1" x14ac:dyDescent="0.4">
      <c r="Q82" s="83"/>
      <c r="BM82" s="71" t="s">
        <v>46</v>
      </c>
      <c r="BN82" s="74">
        <v>50.532891620339313</v>
      </c>
      <c r="BO82" s="74">
        <v>64.296766109008189</v>
      </c>
      <c r="BP82" s="74">
        <v>101.2436810917912</v>
      </c>
      <c r="BQ82" s="74">
        <v>98.00579870542515</v>
      </c>
      <c r="BR82" s="83">
        <v>100.18505236961772</v>
      </c>
      <c r="BS82" s="83">
        <f t="shared" si="0"/>
        <v>117.46360163260034</v>
      </c>
    </row>
    <row r="83" spans="17:71" ht="15" customHeight="1" x14ac:dyDescent="0.4">
      <c r="Q83" s="83"/>
      <c r="BM83" s="76" t="s">
        <v>9</v>
      </c>
      <c r="BN83" s="74">
        <v>72.534285938334179</v>
      </c>
      <c r="BO83" s="74">
        <v>81.881292827210913</v>
      </c>
      <c r="BP83" s="74">
        <v>98.359038463336105</v>
      </c>
      <c r="BQ83" s="74">
        <v>101.52586212230904</v>
      </c>
      <c r="BR83" s="83">
        <v>102.46527730468375</v>
      </c>
      <c r="BS83" s="83">
        <f t="shared" si="0"/>
        <v>101.54061731751705</v>
      </c>
    </row>
    <row r="84" spans="17:71" ht="15" customHeight="1" x14ac:dyDescent="0.4">
      <c r="Q84" s="83"/>
      <c r="BM84" s="76" t="s">
        <v>62</v>
      </c>
      <c r="BN84" s="74">
        <v>93.758762276598645</v>
      </c>
      <c r="BO84" s="74">
        <v>96.487654366096692</v>
      </c>
      <c r="BP84" s="74">
        <v>99.951850044063292</v>
      </c>
      <c r="BQ84" s="74">
        <v>103.51724004351574</v>
      </c>
      <c r="BR84" s="83">
        <v>106.69055604936631</v>
      </c>
      <c r="BS84" s="83">
        <f t="shared" si="0"/>
        <v>107.78553856963902</v>
      </c>
    </row>
    <row r="85" spans="17:71" ht="15" customHeight="1" x14ac:dyDescent="0.4">
      <c r="Q85" s="83"/>
      <c r="BM85" s="76" t="s">
        <v>63</v>
      </c>
      <c r="BN85" s="74">
        <v>91.040551259171139</v>
      </c>
      <c r="BO85" s="74">
        <v>95.103608962918898</v>
      </c>
      <c r="BP85" s="74">
        <v>100.07057660044312</v>
      </c>
      <c r="BQ85" s="74">
        <v>104.08964183574052</v>
      </c>
      <c r="BR85" s="83">
        <v>108.54742074440985</v>
      </c>
      <c r="BS85" s="83">
        <f t="shared" si="0"/>
        <v>112.36921152715941</v>
      </c>
    </row>
    <row r="86" spans="17:71" ht="15" customHeight="1" x14ac:dyDescent="0.4">
      <c r="Q86" s="83"/>
      <c r="BM86" s="26" t="s">
        <v>45</v>
      </c>
      <c r="BN86" s="74">
        <v>80.397772506783596</v>
      </c>
      <c r="BO86" s="74">
        <v>83.774232067142066</v>
      </c>
      <c r="BP86" s="74">
        <v>98.65523637265558</v>
      </c>
      <c r="BQ86" s="74">
        <v>97.029807398560521</v>
      </c>
      <c r="BR86" s="83">
        <v>96.030794344264748</v>
      </c>
      <c r="BS86" s="83">
        <f t="shared" si="0"/>
        <v>96.619226474540611</v>
      </c>
    </row>
    <row r="87" spans="17:71" ht="15" customHeight="1" x14ac:dyDescent="0.4">
      <c r="Q87" s="83"/>
      <c r="BM87" s="77" t="s">
        <v>30</v>
      </c>
      <c r="BN87" s="74">
        <v>123.09882000085349</v>
      </c>
      <c r="BO87" s="74">
        <v>136.10400273752558</v>
      </c>
      <c r="BP87" s="74">
        <v>103.11447443846129</v>
      </c>
      <c r="BQ87" s="74">
        <v>110.75985912203326</v>
      </c>
      <c r="BR87" s="83">
        <v>120.99690521142638</v>
      </c>
      <c r="BS87" s="83">
        <f t="shared" si="0"/>
        <v>123.58711110547449</v>
      </c>
    </row>
    <row r="88" spans="17:71" x14ac:dyDescent="0.4">
      <c r="BM88" s="77" t="s">
        <v>32</v>
      </c>
      <c r="BN88" s="74">
        <v>80.571924425587255</v>
      </c>
      <c r="BO88" s="74">
        <v>91.644770975471246</v>
      </c>
      <c r="BP88" s="74">
        <v>99.95473548796538</v>
      </c>
      <c r="BQ88" s="74">
        <v>102.17949400970934</v>
      </c>
      <c r="BR88" s="83">
        <v>105.37961599773739</v>
      </c>
      <c r="BS88" s="83">
        <f t="shared" si="0"/>
        <v>102.92917404156066</v>
      </c>
    </row>
    <row r="89" spans="17:71" x14ac:dyDescent="0.4">
      <c r="BM89" s="77" t="s">
        <v>34</v>
      </c>
      <c r="BN89" s="74">
        <v>100.38298344923554</v>
      </c>
      <c r="BO89" s="74">
        <v>100.6195512642537</v>
      </c>
      <c r="BP89" s="74">
        <v>100.00528180711392</v>
      </c>
      <c r="BQ89" s="74">
        <v>99.050815085253589</v>
      </c>
      <c r="BR89" s="83">
        <v>100.28780520090577</v>
      </c>
      <c r="BS89" s="83">
        <f t="shared" si="0"/>
        <v>100.55782006117782</v>
      </c>
    </row>
    <row r="90" spans="17:71" ht="39" x14ac:dyDescent="0.4">
      <c r="BM90" s="78" t="s">
        <v>36</v>
      </c>
      <c r="BN90" s="74">
        <v>100.01905005623114</v>
      </c>
      <c r="BO90" s="74">
        <v>97.89290317146407</v>
      </c>
      <c r="BP90" s="74">
        <v>99.531777140452178</v>
      </c>
      <c r="BQ90" s="74">
        <v>98.82807875047888</v>
      </c>
      <c r="BR90" s="83">
        <v>102.2003441480955</v>
      </c>
      <c r="BS90" s="83">
        <f t="shared" si="0"/>
        <v>101.95630588932649</v>
      </c>
    </row>
    <row r="91" spans="17:71" x14ac:dyDescent="0.4">
      <c r="BM91" s="76" t="s">
        <v>10</v>
      </c>
      <c r="BN91" s="74">
        <v>72.465176121953334</v>
      </c>
      <c r="BO91" s="74">
        <v>85.752154766717368</v>
      </c>
      <c r="BP91" s="74">
        <v>100.26897294373833</v>
      </c>
      <c r="BQ91" s="74">
        <v>105.75107702222947</v>
      </c>
      <c r="BR91" s="83">
        <v>110.56855328746506</v>
      </c>
      <c r="BS91" s="83">
        <f t="shared" si="0"/>
        <v>119.00762505009182</v>
      </c>
    </row>
    <row r="92" spans="17:71" x14ac:dyDescent="0.4">
      <c r="BM92" s="71" t="s">
        <v>38</v>
      </c>
      <c r="BN92" s="74">
        <v>70.167294544238487</v>
      </c>
      <c r="BO92" s="74">
        <v>81.124231104476152</v>
      </c>
      <c r="BP92" s="74">
        <v>103.56604942649903</v>
      </c>
      <c r="BQ92" s="74">
        <v>115.92908544747458</v>
      </c>
      <c r="BR92" s="83">
        <v>121.3287709962447</v>
      </c>
      <c r="BS92" s="83">
        <f t="shared" si="0"/>
        <v>121.06073734975051</v>
      </c>
    </row>
    <row r="93" spans="17:71" ht="51" x14ac:dyDescent="0.4">
      <c r="BM93" s="78" t="s">
        <v>40</v>
      </c>
      <c r="BN93" s="74">
        <v>80.738363693637908</v>
      </c>
      <c r="BO93" s="74">
        <v>86.725904563278689</v>
      </c>
      <c r="BP93" s="74">
        <v>100.59989156921542</v>
      </c>
      <c r="BQ93" s="74">
        <v>99.01609787482279</v>
      </c>
      <c r="BR93" s="83">
        <v>98.892634758290214</v>
      </c>
      <c r="BS93" s="83">
        <f t="shared" si="0"/>
        <v>98.735605526974709</v>
      </c>
    </row>
    <row r="94" spans="17:71" ht="27" x14ac:dyDescent="0.4">
      <c r="BM94" s="78" t="s">
        <v>64</v>
      </c>
      <c r="BN94" s="74">
        <v>80.568542845421106</v>
      </c>
      <c r="BO94" s="74">
        <v>89.651368722070842</v>
      </c>
      <c r="BP94" s="74">
        <v>99.409647361204449</v>
      </c>
      <c r="BQ94" s="74">
        <v>103.19281073321666</v>
      </c>
      <c r="BR94" s="83">
        <v>105.38050013404563</v>
      </c>
      <c r="BS94" s="83">
        <f t="shared" si="0"/>
        <v>106.38499407837655</v>
      </c>
    </row>
    <row r="95" spans="17:71" ht="39" x14ac:dyDescent="0.4">
      <c r="BM95" s="78" t="s">
        <v>65</v>
      </c>
      <c r="BN95" s="74">
        <v>84.338371332150743</v>
      </c>
      <c r="BO95" s="74">
        <v>91.679051572020867</v>
      </c>
      <c r="BP95" s="74">
        <v>100.14126599840249</v>
      </c>
      <c r="BQ95" s="74">
        <v>103.07423491391059</v>
      </c>
      <c r="BR95" s="83">
        <v>105.29983112357628</v>
      </c>
      <c r="BS95" s="83">
        <f t="shared" si="0"/>
        <v>106.44622541898161</v>
      </c>
    </row>
    <row r="97" spans="65:68" x14ac:dyDescent="0.4">
      <c r="BM97" s="31"/>
      <c r="BN97" s="31"/>
      <c r="BO97" s="31"/>
      <c r="BP97" s="31"/>
    </row>
    <row r="98" spans="65:68" x14ac:dyDescent="0.4">
      <c r="BM98" s="32"/>
      <c r="BN98" s="32"/>
      <c r="BO98" s="32"/>
      <c r="BP98" s="32"/>
    </row>
    <row r="99" spans="65:68" x14ac:dyDescent="0.4">
      <c r="BM99" s="31"/>
      <c r="BN99" s="31"/>
      <c r="BO99" s="31"/>
      <c r="BP99" s="31"/>
    </row>
    <row r="100" spans="65:68" x14ac:dyDescent="0.4">
      <c r="BO100" s="79" t="s">
        <v>71</v>
      </c>
      <c r="BP100" s="59">
        <v>77.389912482844039</v>
      </c>
    </row>
    <row r="101" spans="65:68" x14ac:dyDescent="0.4">
      <c r="BO101" s="79" t="s">
        <v>19</v>
      </c>
      <c r="BP101" s="59">
        <v>78.114608960554079</v>
      </c>
    </row>
    <row r="102" spans="65:68" x14ac:dyDescent="0.4">
      <c r="BO102" s="79" t="s">
        <v>2</v>
      </c>
      <c r="BP102" s="59">
        <v>78.802289490440288</v>
      </c>
    </row>
    <row r="103" spans="65:68" x14ac:dyDescent="0.4">
      <c r="BO103" s="79" t="s">
        <v>20</v>
      </c>
      <c r="BP103" s="59">
        <v>79.493759054355692</v>
      </c>
    </row>
    <row r="104" spans="65:68" x14ac:dyDescent="0.4">
      <c r="BO104" s="79" t="s">
        <v>21</v>
      </c>
      <c r="BP104" s="59">
        <v>79.593148331583464</v>
      </c>
    </row>
    <row r="105" spans="65:68" x14ac:dyDescent="0.4">
      <c r="BO105" s="79" t="s">
        <v>3</v>
      </c>
      <c r="BP105" s="59">
        <v>80.456465161931419</v>
      </c>
    </row>
    <row r="106" spans="65:68" x14ac:dyDescent="0.4">
      <c r="BO106" s="79" t="s">
        <v>22</v>
      </c>
      <c r="BP106" s="59">
        <v>82.218774035333112</v>
      </c>
    </row>
    <row r="107" spans="65:68" x14ac:dyDescent="0.4">
      <c r="BO107" s="79" t="s">
        <v>23</v>
      </c>
      <c r="BP107" s="59">
        <v>82.738454625647236</v>
      </c>
    </row>
    <row r="108" spans="65:68" x14ac:dyDescent="0.4">
      <c r="BO108" s="79" t="s">
        <v>4</v>
      </c>
      <c r="BP108" s="59">
        <v>81.674668748738398</v>
      </c>
    </row>
    <row r="109" spans="65:68" x14ac:dyDescent="0.4">
      <c r="BO109" s="79" t="s">
        <v>24</v>
      </c>
      <c r="BP109" s="59">
        <v>81.490055352268982</v>
      </c>
    </row>
    <row r="110" spans="65:68" x14ac:dyDescent="0.4">
      <c r="BO110" s="79" t="s">
        <v>25</v>
      </c>
      <c r="BP110" s="59">
        <v>81.876012187767557</v>
      </c>
    </row>
    <row r="111" spans="65:68" x14ac:dyDescent="0.4">
      <c r="BO111" s="79" t="s">
        <v>5</v>
      </c>
      <c r="BP111" s="59">
        <v>82.974365713589037</v>
      </c>
    </row>
    <row r="112" spans="65:68" x14ac:dyDescent="0.4">
      <c r="BO112" s="79" t="s">
        <v>70</v>
      </c>
      <c r="BP112" s="59">
        <v>83.42322051397251</v>
      </c>
    </row>
    <row r="113" spans="1:68" x14ac:dyDescent="0.4">
      <c r="BO113" s="79" t="s">
        <v>19</v>
      </c>
      <c r="BP113" s="59">
        <v>82.763753714396117</v>
      </c>
    </row>
    <row r="114" spans="1:68" x14ac:dyDescent="0.4">
      <c r="BO114" s="79" t="s">
        <v>2</v>
      </c>
      <c r="BP114" s="59">
        <v>83.286640410427239</v>
      </c>
    </row>
    <row r="115" spans="1:68" x14ac:dyDescent="0.4">
      <c r="BO115" s="79" t="s">
        <v>20</v>
      </c>
      <c r="BP115" s="59">
        <v>86.965500988635156</v>
      </c>
    </row>
    <row r="116" spans="1:68" x14ac:dyDescent="0.4">
      <c r="BO116" s="79" t="s">
        <v>21</v>
      </c>
      <c r="BP116" s="59">
        <v>89.847381978421922</v>
      </c>
    </row>
    <row r="117" spans="1:68" x14ac:dyDescent="0.4">
      <c r="BO117" s="79" t="s">
        <v>3</v>
      </c>
      <c r="BP117" s="59">
        <v>90.663889665301312</v>
      </c>
    </row>
    <row r="118" spans="1:68" s="31" customFormat="1" ht="23.25" customHeight="1" x14ac:dyDescent="0.2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O118" s="79" t="s">
        <v>22</v>
      </c>
      <c r="BP118" s="59">
        <v>90.718393462490738</v>
      </c>
    </row>
    <row r="119" spans="1:68" s="32" customFormat="1" ht="12.75" x14ac:dyDescent="0.2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O119" s="79" t="s">
        <v>23</v>
      </c>
      <c r="BP119" s="59">
        <v>91.00443638528057</v>
      </c>
    </row>
    <row r="120" spans="1:68" s="31" customFormat="1" ht="15" customHeight="1" x14ac:dyDescent="0.2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4"/>
      <c r="BO120" s="79" t="s">
        <v>4</v>
      </c>
      <c r="BP120" s="59">
        <v>92.189005008474396</v>
      </c>
    </row>
    <row r="121" spans="1:68" s="36" customFormat="1" ht="12" x14ac:dyDescent="0.2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O121" s="79" t="s">
        <v>24</v>
      </c>
      <c r="BP121" s="59">
        <v>92.495800179178048</v>
      </c>
    </row>
    <row r="122" spans="1:68" ht="6" customHeight="1" x14ac:dyDescent="0.2">
      <c r="A122" s="60"/>
      <c r="B122" s="21"/>
      <c r="C122" s="85"/>
      <c r="D122" s="85"/>
      <c r="E122" s="21"/>
      <c r="F122" s="25"/>
      <c r="G122" s="25"/>
      <c r="H122" s="25"/>
      <c r="I122" s="25"/>
      <c r="J122" s="25"/>
      <c r="K122" s="25"/>
      <c r="L122" s="25"/>
      <c r="M122" s="25"/>
      <c r="N122" s="29"/>
      <c r="O122" s="29"/>
      <c r="P122" s="29"/>
      <c r="Q122" s="29"/>
      <c r="R122" s="61"/>
      <c r="BO122" s="79" t="s">
        <v>25</v>
      </c>
      <c r="BP122" s="59">
        <v>95.662033599649305</v>
      </c>
    </row>
    <row r="123" spans="1:68" x14ac:dyDescent="0.2">
      <c r="A123" s="86"/>
      <c r="B123" s="23"/>
      <c r="C123" s="87"/>
      <c r="D123" s="87"/>
      <c r="E123" s="23"/>
      <c r="F123" s="23"/>
      <c r="G123" s="23"/>
      <c r="H123" s="1"/>
      <c r="I123" s="1"/>
      <c r="J123" s="1"/>
      <c r="K123" s="1"/>
      <c r="L123" s="1"/>
      <c r="M123" s="23"/>
      <c r="N123" s="12"/>
      <c r="O123" s="29"/>
      <c r="P123" s="29"/>
      <c r="Q123" s="29"/>
      <c r="R123" s="12"/>
      <c r="BO123" s="79" t="s">
        <v>5</v>
      </c>
      <c r="BP123" s="59">
        <v>96.796368758622648</v>
      </c>
    </row>
    <row r="124" spans="1:68" s="52" customFormat="1" x14ac:dyDescent="0.4">
      <c r="A124" s="48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1"/>
      <c r="O124" s="88"/>
      <c r="P124" s="88"/>
      <c r="Q124" s="88"/>
      <c r="R124" s="53"/>
      <c r="BO124" s="79" t="s">
        <v>75</v>
      </c>
      <c r="BP124" s="59">
        <v>97.59859943214181</v>
      </c>
    </row>
    <row r="125" spans="1:68" s="52" customFormat="1" ht="18" customHeight="1" x14ac:dyDescent="0.4">
      <c r="A125" s="48"/>
      <c r="B125" s="89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1"/>
      <c r="O125" s="88"/>
      <c r="P125" s="88"/>
      <c r="Q125" s="88"/>
      <c r="R125" s="92"/>
      <c r="BO125" s="79" t="s">
        <v>19</v>
      </c>
      <c r="BP125" s="59">
        <v>97.302942479972216</v>
      </c>
    </row>
    <row r="126" spans="1:68" ht="19.5" customHeight="1" x14ac:dyDescent="0.2">
      <c r="A126" s="9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29"/>
      <c r="P126" s="29"/>
      <c r="Q126" s="29"/>
      <c r="R126" s="93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  <c r="BG126" s="59"/>
      <c r="BH126" s="59"/>
      <c r="BI126" s="59"/>
      <c r="BJ126" s="59"/>
      <c r="BK126" s="59"/>
      <c r="BO126" s="79" t="s">
        <v>2</v>
      </c>
      <c r="BP126" s="59">
        <v>98.042112633334924</v>
      </c>
    </row>
    <row r="127" spans="1:68" ht="19.5" customHeight="1" x14ac:dyDescent="0.2">
      <c r="A127" s="9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29"/>
      <c r="P127" s="29"/>
      <c r="Q127" s="29"/>
      <c r="R127" s="93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59"/>
      <c r="BG127" s="59"/>
      <c r="BH127" s="59"/>
      <c r="BI127" s="59"/>
      <c r="BJ127" s="59"/>
      <c r="BK127" s="59"/>
      <c r="BO127" s="79" t="s">
        <v>20</v>
      </c>
      <c r="BP127" s="59">
        <v>97.952949517338325</v>
      </c>
    </row>
    <row r="128" spans="1:68" ht="19.5" customHeight="1" x14ac:dyDescent="0.2">
      <c r="A128" s="94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29"/>
      <c r="P128" s="29"/>
      <c r="Q128" s="29"/>
      <c r="R128" s="93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9"/>
      <c r="BF128" s="59"/>
      <c r="BG128" s="59"/>
      <c r="BH128" s="59"/>
      <c r="BI128" s="59"/>
      <c r="BJ128" s="59"/>
      <c r="BK128" s="59"/>
      <c r="BO128" s="79" t="s">
        <v>21</v>
      </c>
      <c r="BP128" s="59">
        <v>96.007467362032386</v>
      </c>
    </row>
    <row r="129" spans="1:71" ht="19.5" customHeight="1" x14ac:dyDescent="0.2">
      <c r="A129" s="94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29"/>
      <c r="P129" s="29"/>
      <c r="Q129" s="29"/>
      <c r="R129" s="93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  <c r="BD129" s="59"/>
      <c r="BE129" s="59"/>
      <c r="BF129" s="59"/>
      <c r="BG129" s="59"/>
      <c r="BH129" s="59"/>
      <c r="BI129" s="59"/>
      <c r="BJ129" s="59"/>
      <c r="BK129" s="59"/>
      <c r="BO129" s="79" t="s">
        <v>3</v>
      </c>
      <c r="BP129" s="59">
        <v>100</v>
      </c>
    </row>
    <row r="130" spans="1:71" ht="19.5" customHeight="1" x14ac:dyDescent="0.2">
      <c r="A130" s="94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29"/>
      <c r="P130" s="29"/>
      <c r="Q130" s="29"/>
      <c r="R130" s="93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  <c r="BG130" s="59"/>
      <c r="BH130" s="59"/>
      <c r="BI130" s="59"/>
      <c r="BJ130" s="59"/>
      <c r="BK130" s="59"/>
      <c r="BO130" s="79" t="s">
        <v>22</v>
      </c>
      <c r="BP130" s="59">
        <v>100.24448657012601</v>
      </c>
    </row>
    <row r="131" spans="1:71" ht="19.5" customHeight="1" x14ac:dyDescent="0.2">
      <c r="A131" s="94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29"/>
      <c r="P131" s="29"/>
      <c r="Q131" s="29"/>
      <c r="R131" s="93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59"/>
      <c r="BG131" s="59"/>
      <c r="BH131" s="59"/>
      <c r="BI131" s="59"/>
      <c r="BJ131" s="59"/>
      <c r="BK131" s="59"/>
      <c r="BO131" s="79" t="s">
        <v>23</v>
      </c>
      <c r="BP131" s="59">
        <v>100.89350190672525</v>
      </c>
    </row>
    <row r="132" spans="1:71" ht="19.5" customHeight="1" x14ac:dyDescent="0.2">
      <c r="A132" s="94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29"/>
      <c r="P132" s="29"/>
      <c r="Q132" s="29"/>
      <c r="R132" s="95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59"/>
      <c r="BG132" s="59"/>
      <c r="BH132" s="59"/>
      <c r="BI132" s="59"/>
      <c r="BJ132" s="59"/>
      <c r="BK132" s="59"/>
      <c r="BO132" s="79" t="s">
        <v>4</v>
      </c>
      <c r="BP132" s="59">
        <v>100.91361135830726</v>
      </c>
    </row>
    <row r="133" spans="1:71" x14ac:dyDescent="0.2">
      <c r="A133" s="9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29"/>
      <c r="P133" s="29"/>
      <c r="Q133" s="29"/>
      <c r="R133" s="93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  <c r="BD133" s="59"/>
      <c r="BE133" s="59"/>
      <c r="BF133" s="59"/>
      <c r="BG133" s="59"/>
      <c r="BH133" s="59"/>
      <c r="BI133" s="59"/>
      <c r="BJ133" s="59"/>
      <c r="BK133" s="59"/>
      <c r="BO133" s="79" t="s">
        <v>24</v>
      </c>
      <c r="BP133" s="59">
        <v>100.95666404241017</v>
      </c>
    </row>
    <row r="134" spans="1:71" ht="19.5" customHeight="1" x14ac:dyDescent="0.2">
      <c r="A134" s="96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29"/>
      <c r="P134" s="29"/>
      <c r="Q134" s="29"/>
      <c r="R134" s="93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  <c r="BD134" s="59"/>
      <c r="BE134" s="59"/>
      <c r="BF134" s="59"/>
      <c r="BG134" s="59"/>
      <c r="BH134" s="59"/>
      <c r="BI134" s="59"/>
      <c r="BJ134" s="59"/>
      <c r="BK134" s="59"/>
      <c r="BO134" s="79" t="s">
        <v>25</v>
      </c>
      <c r="BP134" s="59">
        <v>101.30243465313896</v>
      </c>
    </row>
    <row r="135" spans="1:71" ht="19.5" customHeight="1" x14ac:dyDescent="0.2">
      <c r="A135" s="96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29"/>
      <c r="P135" s="29"/>
      <c r="Q135" s="29"/>
      <c r="R135" s="93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  <c r="BD135" s="59"/>
      <c r="BE135" s="59"/>
      <c r="BF135" s="59"/>
      <c r="BG135" s="59"/>
      <c r="BH135" s="59"/>
      <c r="BI135" s="59"/>
      <c r="BJ135" s="59"/>
      <c r="BK135" s="59"/>
      <c r="BO135" s="79" t="s">
        <v>5</v>
      </c>
      <c r="BP135" s="59">
        <v>101.7009983789261</v>
      </c>
    </row>
    <row r="136" spans="1:71" ht="19.5" customHeight="1" x14ac:dyDescent="0.2">
      <c r="A136" s="96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29"/>
      <c r="P136" s="29"/>
      <c r="Q136" s="29"/>
      <c r="R136" s="93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O136" s="79" t="s">
        <v>76</v>
      </c>
      <c r="BP136" s="59">
        <v>101.82326041829094</v>
      </c>
    </row>
    <row r="137" spans="1:71" ht="19.5" customHeight="1" x14ac:dyDescent="0.2">
      <c r="A137" s="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29"/>
      <c r="P137" s="29"/>
      <c r="Q137" s="29"/>
      <c r="R137" s="97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  <c r="BG137" s="59"/>
      <c r="BH137" s="59"/>
      <c r="BI137" s="59"/>
      <c r="BJ137" s="59"/>
      <c r="BK137" s="59"/>
      <c r="BO137" s="79" t="s">
        <v>19</v>
      </c>
      <c r="BP137" s="59">
        <v>101.61695886850373</v>
      </c>
    </row>
    <row r="138" spans="1:71" ht="19.5" customHeight="1" x14ac:dyDescent="0.2">
      <c r="A138" s="94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29"/>
      <c r="P138" s="29"/>
      <c r="Q138" s="29"/>
      <c r="R138" s="97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  <c r="BG138" s="59"/>
      <c r="BH138" s="59"/>
      <c r="BI138" s="59"/>
      <c r="BJ138" s="59"/>
      <c r="BK138" s="59"/>
      <c r="BO138" s="79" t="s">
        <v>2</v>
      </c>
      <c r="BP138" s="59">
        <v>102.12566814142265</v>
      </c>
    </row>
    <row r="139" spans="1:71" ht="19.5" customHeight="1" x14ac:dyDescent="0.2">
      <c r="A139" s="94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29"/>
      <c r="P139" s="29"/>
      <c r="Q139" s="29"/>
      <c r="R139" s="97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  <c r="BO139" s="79" t="s">
        <v>20</v>
      </c>
      <c r="BP139" s="59">
        <v>102.24323827834799</v>
      </c>
      <c r="BQ139" s="3"/>
      <c r="BR139" s="3"/>
      <c r="BS139" s="3"/>
    </row>
    <row r="140" spans="1:71" s="3" customFormat="1" ht="19.5" customHeight="1" x14ac:dyDescent="0.2">
      <c r="A140" s="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29"/>
      <c r="P140" s="29"/>
      <c r="Q140" s="29"/>
      <c r="R140" s="97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O140" s="79" t="s">
        <v>21</v>
      </c>
      <c r="BP140" s="59">
        <v>102.34106701439609</v>
      </c>
    </row>
    <row r="141" spans="1:71" ht="19.5" customHeight="1" x14ac:dyDescent="0.2">
      <c r="A141" s="11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29"/>
      <c r="P141" s="29"/>
      <c r="Q141" s="29"/>
      <c r="R141" s="12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O141" s="79" t="s">
        <v>3</v>
      </c>
      <c r="BP141" s="59">
        <v>102.06719267346149</v>
      </c>
    </row>
    <row r="142" spans="1:71" ht="19.5" customHeight="1" x14ac:dyDescent="0.2">
      <c r="A142" s="11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29"/>
      <c r="P142" s="29"/>
      <c r="Q142" s="29"/>
      <c r="R142" s="1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  <c r="BO142" s="79" t="s">
        <v>22</v>
      </c>
      <c r="BP142" s="59">
        <v>103.25634477540279</v>
      </c>
    </row>
    <row r="143" spans="1:71" x14ac:dyDescent="0.4">
      <c r="A143" s="27"/>
      <c r="B143" s="29"/>
      <c r="C143" s="98"/>
      <c r="D143" s="98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99"/>
      <c r="BO143" s="79" t="s">
        <v>23</v>
      </c>
      <c r="BP143" s="59">
        <v>103.43085978874505</v>
      </c>
    </row>
    <row r="144" spans="1:71" x14ac:dyDescent="0.2">
      <c r="A144" s="60"/>
      <c r="B144" s="25"/>
      <c r="C144" s="25"/>
      <c r="D144" s="25"/>
      <c r="E144" s="25"/>
      <c r="F144" s="25"/>
      <c r="G144" s="25"/>
      <c r="H144" s="25"/>
      <c r="I144" s="29"/>
      <c r="J144" s="29"/>
      <c r="K144" s="29"/>
      <c r="L144" s="29"/>
      <c r="M144" s="61"/>
      <c r="N144" s="29"/>
      <c r="O144" s="29"/>
      <c r="P144" s="29"/>
      <c r="Q144" s="29"/>
      <c r="R144" s="29"/>
      <c r="BO144" s="79" t="s">
        <v>4</v>
      </c>
      <c r="BP144" s="59">
        <v>104.3457858782799</v>
      </c>
    </row>
    <row r="145" spans="1:82" x14ac:dyDescent="0.2">
      <c r="A145" s="86"/>
      <c r="B145" s="23"/>
      <c r="C145" s="87"/>
      <c r="D145" s="87"/>
      <c r="E145" s="23"/>
      <c r="F145" s="23"/>
      <c r="G145" s="23"/>
      <c r="H145" s="1"/>
      <c r="I145" s="1"/>
      <c r="J145" s="1"/>
      <c r="K145" s="1"/>
      <c r="L145" s="1"/>
      <c r="M145" s="23"/>
      <c r="N145" s="12"/>
      <c r="O145" s="29"/>
      <c r="P145" s="29"/>
      <c r="Q145" s="29"/>
      <c r="R145" s="12"/>
      <c r="BO145" s="79" t="s">
        <v>24</v>
      </c>
      <c r="BP145" s="59">
        <v>104.94594055432941</v>
      </c>
    </row>
    <row r="146" spans="1:82" s="52" customFormat="1" x14ac:dyDescent="0.4">
      <c r="A146" s="48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1"/>
      <c r="O146" s="88"/>
      <c r="P146" s="88"/>
      <c r="Q146" s="88"/>
      <c r="R146" s="53"/>
      <c r="BO146" s="79" t="s">
        <v>25</v>
      </c>
      <c r="BP146" s="59">
        <v>105.07383775862121</v>
      </c>
    </row>
    <row r="147" spans="1:82" s="52" customFormat="1" ht="18" customHeight="1" x14ac:dyDescent="0.4">
      <c r="A147" s="48"/>
      <c r="B147" s="89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1"/>
      <c r="O147" s="88"/>
      <c r="P147" s="88"/>
      <c r="Q147" s="88"/>
      <c r="R147" s="92"/>
      <c r="BO147" s="79" t="s">
        <v>5</v>
      </c>
      <c r="BP147" s="59">
        <v>105.04357464879853</v>
      </c>
    </row>
    <row r="148" spans="1:82" ht="19.5" customHeight="1" x14ac:dyDescent="0.2">
      <c r="A148" s="9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29"/>
      <c r="P148" s="29"/>
      <c r="Q148" s="29"/>
      <c r="R148" s="93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O148" s="79" t="s">
        <v>77</v>
      </c>
      <c r="BP148" s="83">
        <v>105.15896985278053</v>
      </c>
      <c r="BQ148" s="83"/>
      <c r="BR148" s="83"/>
      <c r="BS148" s="83"/>
      <c r="BT148" s="83"/>
      <c r="BU148" s="83"/>
      <c r="BV148" s="83"/>
      <c r="BW148" s="83"/>
      <c r="BX148" s="83"/>
      <c r="BY148" s="83"/>
      <c r="BZ148" s="83"/>
      <c r="CA148" s="83"/>
      <c r="CB148" s="83"/>
      <c r="CC148" s="83"/>
      <c r="CD148" s="83"/>
    </row>
    <row r="149" spans="1:82" ht="19.5" customHeight="1" x14ac:dyDescent="0.2">
      <c r="A149" s="9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29"/>
      <c r="P149" s="29"/>
      <c r="Q149" s="29"/>
      <c r="R149" s="93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  <c r="BO149" s="79" t="s">
        <v>19</v>
      </c>
      <c r="BP149" s="83">
        <v>105.01355186464795</v>
      </c>
      <c r="BQ149" s="83"/>
    </row>
    <row r="150" spans="1:82" ht="19.5" customHeight="1" x14ac:dyDescent="0.2">
      <c r="A150" s="94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29"/>
      <c r="P150" s="29"/>
      <c r="Q150" s="29"/>
      <c r="R150" s="93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O150" s="79" t="s">
        <v>2</v>
      </c>
      <c r="BP150" s="83">
        <v>104.39801712089321</v>
      </c>
      <c r="BQ150" s="83"/>
    </row>
    <row r="151" spans="1:82" ht="19.5" customHeight="1" x14ac:dyDescent="0.2">
      <c r="A151" s="94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29"/>
      <c r="P151" s="29"/>
      <c r="Q151" s="29"/>
      <c r="R151" s="93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  <c r="BD151" s="59"/>
      <c r="BE151" s="59"/>
      <c r="BF151" s="59"/>
      <c r="BG151" s="59"/>
      <c r="BH151" s="59"/>
      <c r="BI151" s="59"/>
      <c r="BJ151" s="59"/>
      <c r="BK151" s="59"/>
      <c r="BO151" s="79" t="s">
        <v>20</v>
      </c>
      <c r="BP151" s="83">
        <v>104.59296064304696</v>
      </c>
      <c r="BQ151" s="83"/>
    </row>
    <row r="152" spans="1:82" ht="19.5" customHeight="1" x14ac:dyDescent="0.2">
      <c r="A152" s="94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29"/>
      <c r="P152" s="29"/>
      <c r="Q152" s="29"/>
      <c r="R152" s="93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  <c r="BD152" s="59"/>
      <c r="BE152" s="59"/>
      <c r="BF152" s="59"/>
      <c r="BG152" s="59"/>
      <c r="BH152" s="59"/>
      <c r="BI152" s="59"/>
      <c r="BJ152" s="59"/>
      <c r="BK152" s="59"/>
      <c r="BO152" s="79" t="s">
        <v>21</v>
      </c>
      <c r="BP152" s="83">
        <v>105.60752384285271</v>
      </c>
      <c r="BQ152" s="83"/>
    </row>
    <row r="153" spans="1:82" ht="19.5" customHeight="1" x14ac:dyDescent="0.2">
      <c r="A153" s="94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29"/>
      <c r="P153" s="29"/>
      <c r="Q153" s="29"/>
      <c r="R153" s="93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O153" s="79" t="s">
        <v>3</v>
      </c>
      <c r="BP153" s="83">
        <v>105.45481378593364</v>
      </c>
      <c r="BQ153" s="83"/>
    </row>
    <row r="154" spans="1:82" ht="19.5" customHeight="1" x14ac:dyDescent="0.2">
      <c r="A154" s="94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29"/>
      <c r="P154" s="29"/>
      <c r="Q154" s="29"/>
      <c r="R154" s="95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  <c r="BG154" s="59"/>
      <c r="BH154" s="59"/>
      <c r="BI154" s="59"/>
      <c r="BJ154" s="59"/>
      <c r="BK154" s="59"/>
      <c r="BO154" s="79" t="s">
        <v>22</v>
      </c>
      <c r="BP154" s="83">
        <v>105.89024984877231</v>
      </c>
      <c r="BQ154" s="83"/>
    </row>
    <row r="155" spans="1:82" x14ac:dyDescent="0.2">
      <c r="A155" s="9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29"/>
      <c r="P155" s="29"/>
      <c r="Q155" s="29"/>
      <c r="R155" s="93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  <c r="BG155" s="59"/>
      <c r="BH155" s="59"/>
      <c r="BI155" s="59"/>
      <c r="BJ155" s="59"/>
      <c r="BK155" s="59"/>
      <c r="BO155" s="79" t="s">
        <v>23</v>
      </c>
      <c r="BP155" s="83">
        <v>105.74086822284956</v>
      </c>
      <c r="BQ155" s="83"/>
    </row>
    <row r="156" spans="1:82" ht="19.5" customHeight="1" x14ac:dyDescent="0.2">
      <c r="A156" s="96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29"/>
      <c r="P156" s="29"/>
      <c r="Q156" s="29"/>
      <c r="R156" s="93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  <c r="BO156" s="79" t="s">
        <v>4</v>
      </c>
      <c r="BP156" s="83">
        <v>105.8090548036067</v>
      </c>
      <c r="BQ156" s="83"/>
    </row>
    <row r="157" spans="1:82" ht="19.5" customHeight="1" x14ac:dyDescent="0.2">
      <c r="A157" s="96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29"/>
      <c r="P157" s="29"/>
      <c r="Q157" s="29"/>
      <c r="R157" s="93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O157" s="79" t="s">
        <v>24</v>
      </c>
      <c r="BP157" s="83">
        <v>105.85453303952553</v>
      </c>
      <c r="BQ157" s="83"/>
    </row>
    <row r="158" spans="1:82" ht="19.5" customHeight="1" x14ac:dyDescent="0.2">
      <c r="A158" s="96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29"/>
      <c r="P158" s="29"/>
      <c r="Q158" s="29"/>
      <c r="R158" s="93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  <c r="BO158" s="79" t="s">
        <v>25</v>
      </c>
      <c r="BP158" s="83">
        <v>105.44398185358602</v>
      </c>
      <c r="BQ158" s="83"/>
    </row>
    <row r="159" spans="1:82" ht="19.5" customHeight="1" x14ac:dyDescent="0.2">
      <c r="A159" s="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29"/>
      <c r="P159" s="29"/>
      <c r="Q159" s="29"/>
      <c r="R159" s="97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  <c r="BH159" s="59"/>
      <c r="BI159" s="59"/>
      <c r="BJ159" s="59"/>
      <c r="BK159" s="59"/>
      <c r="BO159" s="79" t="s">
        <v>5</v>
      </c>
      <c r="BP159" s="83">
        <v>105.60147673005247</v>
      </c>
      <c r="BQ159" s="83"/>
    </row>
    <row r="160" spans="1:82" ht="19.5" customHeight="1" x14ac:dyDescent="0.2">
      <c r="A160" s="94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29"/>
      <c r="P160" s="29"/>
      <c r="Q160" s="29"/>
      <c r="R160" s="97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  <c r="BG160" s="59"/>
      <c r="BH160" s="59"/>
      <c r="BI160" s="59"/>
      <c r="BJ160" s="59"/>
      <c r="BK160" s="59"/>
      <c r="BO160" s="79" t="s">
        <v>80</v>
      </c>
      <c r="BP160" s="107">
        <v>105.0602739482481</v>
      </c>
    </row>
    <row r="161" spans="1:71" ht="19.5" customHeight="1" x14ac:dyDescent="0.2">
      <c r="A161" s="94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29"/>
      <c r="P161" s="29"/>
      <c r="Q161" s="29"/>
      <c r="R161" s="97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  <c r="BD161" s="59"/>
      <c r="BE161" s="59"/>
      <c r="BF161" s="59"/>
      <c r="BG161" s="59"/>
      <c r="BH161" s="59"/>
      <c r="BI161" s="59"/>
      <c r="BJ161" s="59"/>
      <c r="BK161" s="59"/>
      <c r="BO161" s="79" t="s">
        <v>19</v>
      </c>
      <c r="BP161" s="107">
        <v>104.86187476268142</v>
      </c>
      <c r="BQ161" s="3"/>
      <c r="BR161" s="3"/>
      <c r="BS161" s="3"/>
    </row>
    <row r="162" spans="1:71" s="3" customFormat="1" ht="19.5" customHeight="1" x14ac:dyDescent="0.2">
      <c r="A162" s="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29"/>
      <c r="P162" s="29"/>
      <c r="Q162" s="29"/>
      <c r="R162" s="97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  <c r="BD162" s="59"/>
      <c r="BE162" s="59"/>
      <c r="BF162" s="59"/>
      <c r="BG162" s="59"/>
      <c r="BH162" s="59"/>
      <c r="BI162" s="59"/>
      <c r="BJ162" s="59"/>
      <c r="BK162" s="59"/>
      <c r="BM162" s="24"/>
      <c r="BN162" s="24"/>
      <c r="BO162" s="79" t="s">
        <v>2</v>
      </c>
      <c r="BP162" s="107">
        <v>104.06961068785094</v>
      </c>
    </row>
    <row r="163" spans="1:71" ht="19.5" customHeight="1" x14ac:dyDescent="0.2">
      <c r="A163" s="11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29"/>
      <c r="P163" s="29"/>
      <c r="Q163" s="29"/>
      <c r="R163" s="12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  <c r="BG163" s="59"/>
      <c r="BH163" s="59"/>
      <c r="BI163" s="59"/>
      <c r="BJ163" s="59"/>
      <c r="BK163" s="59"/>
      <c r="BM163" s="3"/>
      <c r="BN163" s="3"/>
      <c r="BO163" s="79" t="s">
        <v>20</v>
      </c>
      <c r="BP163" s="107">
        <v>104.84597200495379</v>
      </c>
    </row>
    <row r="164" spans="1:71" ht="19.5" customHeight="1" x14ac:dyDescent="0.2">
      <c r="A164" s="11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29"/>
      <c r="P164" s="29"/>
      <c r="Q164" s="29"/>
      <c r="R164" s="1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  <c r="BG164" s="59"/>
      <c r="BH164" s="59"/>
      <c r="BI164" s="59"/>
      <c r="BJ164" s="59"/>
      <c r="BK164" s="59"/>
      <c r="BM164" s="3"/>
      <c r="BN164" s="3"/>
      <c r="BO164" s="79" t="s">
        <v>21</v>
      </c>
      <c r="BP164" s="107">
        <v>106.29515996319527</v>
      </c>
    </row>
    <row r="165" spans="1:71" ht="15.75" x14ac:dyDescent="0.4">
      <c r="A165" s="27"/>
      <c r="B165" s="29"/>
      <c r="C165" s="98"/>
      <c r="D165" s="98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99"/>
      <c r="BO165" s="79" t="s">
        <v>3</v>
      </c>
      <c r="BP165" s="107">
        <v>108.07688907155077</v>
      </c>
    </row>
    <row r="166" spans="1:71" x14ac:dyDescent="0.2">
      <c r="A166" s="60"/>
      <c r="B166" s="25"/>
      <c r="C166" s="25"/>
      <c r="D166" s="25"/>
      <c r="E166" s="25"/>
      <c r="F166" s="25"/>
      <c r="G166" s="25"/>
      <c r="H166" s="25"/>
      <c r="I166" s="29"/>
      <c r="J166" s="29"/>
      <c r="K166" s="29"/>
      <c r="L166" s="29"/>
      <c r="M166" s="61"/>
      <c r="N166" s="29"/>
      <c r="O166" s="29"/>
      <c r="P166" s="29"/>
      <c r="Q166" s="29"/>
      <c r="R166" s="29"/>
      <c r="BO166" s="79" t="s">
        <v>22</v>
      </c>
      <c r="BP166" s="107">
        <v>107.00270549325546</v>
      </c>
    </row>
    <row r="167" spans="1:71" x14ac:dyDescent="0.2">
      <c r="A167" s="48"/>
      <c r="B167" s="100"/>
      <c r="C167" s="1"/>
      <c r="D167" s="101"/>
      <c r="E167" s="1"/>
      <c r="F167" s="1"/>
      <c r="G167" s="1"/>
      <c r="H167" s="23"/>
      <c r="I167" s="29"/>
      <c r="J167" s="29"/>
      <c r="K167" s="29"/>
      <c r="L167" s="29"/>
      <c r="M167" s="29"/>
      <c r="N167" s="12"/>
      <c r="O167" s="29"/>
      <c r="P167" s="29"/>
      <c r="Q167" s="29"/>
      <c r="R167" s="12"/>
      <c r="BO167" s="79" t="s">
        <v>23</v>
      </c>
      <c r="BP167" s="107">
        <v>107.57666338228667</v>
      </c>
    </row>
    <row r="168" spans="1:71" ht="15.75" x14ac:dyDescent="0.4">
      <c r="A168" s="48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1"/>
      <c r="O168" s="29"/>
      <c r="P168" s="29"/>
      <c r="Q168" s="29"/>
      <c r="R168" s="12"/>
      <c r="BO168" s="79" t="s">
        <v>4</v>
      </c>
      <c r="BP168" s="107">
        <v>107.46304061853701</v>
      </c>
    </row>
    <row r="169" spans="1:71" ht="15.75" x14ac:dyDescent="0.4">
      <c r="A169" s="27"/>
      <c r="B169" s="89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1"/>
      <c r="O169" s="29"/>
      <c r="P169" s="29"/>
      <c r="Q169" s="29"/>
      <c r="R169" s="99"/>
      <c r="BO169" s="79" t="s">
        <v>24</v>
      </c>
      <c r="BP169" s="107">
        <v>107.37180460525754</v>
      </c>
    </row>
    <row r="170" spans="1:71" ht="22.5" customHeight="1" x14ac:dyDescent="0.2">
      <c r="A170" s="9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29"/>
      <c r="P170" s="29"/>
      <c r="Q170" s="29"/>
      <c r="R170" s="93"/>
      <c r="BL170" s="4"/>
      <c r="BM170" s="68"/>
      <c r="BO170" s="79" t="s">
        <v>25</v>
      </c>
      <c r="BP170" s="107">
        <v>108.21375705493733</v>
      </c>
    </row>
    <row r="171" spans="1:71" ht="22.5" customHeight="1" x14ac:dyDescent="0.2">
      <c r="A171" s="9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29"/>
      <c r="P171" s="29"/>
      <c r="Q171" s="29"/>
      <c r="R171" s="93"/>
      <c r="BL171" s="4"/>
      <c r="BM171" s="68"/>
      <c r="BO171" s="79" t="s">
        <v>5</v>
      </c>
      <c r="BP171" s="107">
        <v>106.29362600489323</v>
      </c>
    </row>
    <row r="172" spans="1:71" ht="22.5" customHeight="1" x14ac:dyDescent="0.2">
      <c r="A172" s="94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29"/>
      <c r="P172" s="29"/>
      <c r="Q172" s="29"/>
      <c r="R172" s="93"/>
      <c r="BL172" s="4"/>
      <c r="BM172" s="68"/>
    </row>
    <row r="173" spans="1:71" ht="22.5" customHeight="1" x14ac:dyDescent="0.2">
      <c r="A173" s="94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29"/>
      <c r="P173" s="29"/>
      <c r="Q173" s="29"/>
      <c r="R173" s="93"/>
      <c r="BL173" s="4"/>
      <c r="BM173" s="68"/>
    </row>
    <row r="174" spans="1:71" ht="22.5" customHeight="1" x14ac:dyDescent="0.2">
      <c r="A174" s="94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29"/>
      <c r="P174" s="29"/>
      <c r="Q174" s="29"/>
      <c r="R174" s="93"/>
      <c r="BL174" s="4"/>
      <c r="BM174" s="68"/>
    </row>
    <row r="175" spans="1:71" ht="22.5" customHeight="1" x14ac:dyDescent="0.2">
      <c r="A175" s="94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29"/>
      <c r="P175" s="29"/>
      <c r="Q175" s="29"/>
      <c r="R175" s="93"/>
      <c r="BL175" s="4"/>
      <c r="BM175" s="68"/>
    </row>
    <row r="176" spans="1:71" x14ac:dyDescent="0.2">
      <c r="A176" s="94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29"/>
      <c r="P176" s="29"/>
      <c r="Q176" s="29"/>
      <c r="R176" s="95"/>
      <c r="BL176" s="4"/>
      <c r="BM176" s="68"/>
    </row>
    <row r="177" spans="1:71" ht="30" customHeight="1" x14ac:dyDescent="0.2">
      <c r="A177" s="9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29"/>
      <c r="P177" s="29"/>
      <c r="Q177" s="29"/>
      <c r="R177" s="93"/>
      <c r="BL177" s="4"/>
      <c r="BM177" s="68"/>
    </row>
    <row r="178" spans="1:71" ht="22.5" customHeight="1" x14ac:dyDescent="0.2">
      <c r="A178" s="96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29"/>
      <c r="P178" s="29"/>
      <c r="Q178" s="29"/>
      <c r="R178" s="93"/>
      <c r="BL178" s="4"/>
      <c r="BM178" s="68"/>
    </row>
    <row r="179" spans="1:71" ht="22.5" customHeight="1" x14ac:dyDescent="0.2">
      <c r="A179" s="96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29"/>
      <c r="P179" s="29"/>
      <c r="Q179" s="29"/>
      <c r="R179" s="93"/>
      <c r="BL179" s="4"/>
      <c r="BM179" s="68"/>
    </row>
    <row r="180" spans="1:71" ht="22.5" customHeight="1" x14ac:dyDescent="0.2">
      <c r="A180" s="96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29"/>
      <c r="P180" s="29"/>
      <c r="Q180" s="29"/>
      <c r="R180" s="93"/>
      <c r="BL180" s="4"/>
      <c r="BM180" s="68"/>
    </row>
    <row r="181" spans="1:71" ht="22.5" customHeight="1" x14ac:dyDescent="0.2">
      <c r="A181" s="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29"/>
      <c r="P181" s="29"/>
      <c r="Q181" s="29"/>
      <c r="R181" s="97"/>
      <c r="BL181" s="4"/>
      <c r="BM181" s="68"/>
    </row>
    <row r="182" spans="1:71" ht="18" customHeight="1" x14ac:dyDescent="0.2">
      <c r="A182" s="94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29"/>
      <c r="P182" s="29"/>
      <c r="Q182" s="29"/>
      <c r="R182" s="97"/>
      <c r="BL182" s="4"/>
      <c r="BM182" s="68"/>
    </row>
    <row r="183" spans="1:71" s="3" customFormat="1" ht="22.5" customHeight="1" x14ac:dyDescent="0.2">
      <c r="A183" s="94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25"/>
      <c r="P183" s="25"/>
      <c r="Q183" s="25"/>
      <c r="R183" s="97"/>
      <c r="BL183" s="4"/>
      <c r="BM183" s="68"/>
      <c r="BN183" s="24"/>
      <c r="BO183" s="24"/>
      <c r="BP183" s="24"/>
      <c r="BQ183" s="24"/>
      <c r="BR183" s="24"/>
      <c r="BS183" s="24"/>
    </row>
    <row r="184" spans="1:71" s="3" customFormat="1" ht="22.5" customHeight="1" x14ac:dyDescent="0.2">
      <c r="A184" s="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25"/>
      <c r="P184" s="25"/>
      <c r="Q184" s="25"/>
      <c r="R184" s="97"/>
      <c r="BL184" s="4"/>
      <c r="BM184" s="68"/>
      <c r="BN184" s="24"/>
      <c r="BO184" s="24"/>
      <c r="BP184" s="24"/>
      <c r="BQ184" s="24"/>
      <c r="BR184" s="24"/>
      <c r="BS184" s="24"/>
    </row>
    <row r="185" spans="1:71" ht="22.5" customHeight="1" x14ac:dyDescent="0.2">
      <c r="A185" s="11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29"/>
      <c r="P185" s="29"/>
      <c r="Q185" s="29"/>
      <c r="R185" s="12"/>
      <c r="BM185" s="68"/>
    </row>
    <row r="186" spans="1:71" ht="22.5" customHeight="1" x14ac:dyDescent="0.2">
      <c r="A186" s="11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29"/>
      <c r="P186" s="29"/>
      <c r="Q186" s="29"/>
      <c r="R186" s="19"/>
      <c r="BM186" s="68"/>
    </row>
    <row r="187" spans="1:71" ht="17.25" x14ac:dyDescent="0.2">
      <c r="A187" s="84"/>
      <c r="B187" s="25"/>
      <c r="C187" s="25"/>
      <c r="D187" s="25"/>
      <c r="E187" s="25"/>
      <c r="F187" s="25"/>
      <c r="G187" s="25"/>
      <c r="H187" s="25"/>
      <c r="I187" s="102"/>
      <c r="J187" s="25"/>
      <c r="K187" s="25"/>
      <c r="L187" s="25"/>
      <c r="M187" s="29"/>
      <c r="N187" s="29"/>
      <c r="O187" s="29"/>
      <c r="P187" s="29"/>
      <c r="Q187" s="29"/>
      <c r="R187" s="103"/>
    </row>
    <row r="188" spans="1:71" x14ac:dyDescent="0.4">
      <c r="A188" s="27"/>
      <c r="B188" s="29"/>
      <c r="C188" s="98"/>
      <c r="D188" s="98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99"/>
    </row>
    <row r="189" spans="1:71" x14ac:dyDescent="0.4">
      <c r="A189" s="27"/>
      <c r="B189" s="29"/>
      <c r="C189" s="98"/>
      <c r="D189" s="98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99"/>
    </row>
    <row r="190" spans="1:71" x14ac:dyDescent="0.4">
      <c r="A190" s="27"/>
      <c r="B190" s="29"/>
      <c r="C190" s="98"/>
      <c r="D190" s="98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99"/>
    </row>
    <row r="191" spans="1:71" x14ac:dyDescent="0.4">
      <c r="A191" s="27"/>
      <c r="B191" s="29"/>
      <c r="C191" s="98"/>
      <c r="D191" s="98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99"/>
    </row>
    <row r="192" spans="1:71" x14ac:dyDescent="0.4">
      <c r="A192" s="27"/>
      <c r="B192" s="29"/>
      <c r="C192" s="98"/>
      <c r="D192" s="98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99"/>
    </row>
    <row r="193" spans="1:18" x14ac:dyDescent="0.4">
      <c r="A193" s="27"/>
      <c r="B193" s="29"/>
      <c r="C193" s="98"/>
      <c r="D193" s="98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99"/>
    </row>
    <row r="194" spans="1:18" x14ac:dyDescent="0.4">
      <c r="A194" s="27"/>
      <c r="B194" s="29"/>
      <c r="C194" s="98"/>
      <c r="D194" s="98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99"/>
    </row>
    <row r="195" spans="1:18" x14ac:dyDescent="0.4">
      <c r="A195" s="27"/>
      <c r="B195" s="29"/>
      <c r="C195" s="98"/>
      <c r="D195" s="98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99"/>
    </row>
    <row r="196" spans="1:18" x14ac:dyDescent="0.4">
      <c r="A196" s="27"/>
      <c r="B196" s="29"/>
      <c r="C196" s="98"/>
      <c r="D196" s="98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99"/>
    </row>
    <row r="197" spans="1:18" x14ac:dyDescent="0.4">
      <c r="A197" s="27"/>
      <c r="B197" s="29"/>
      <c r="C197" s="98"/>
      <c r="D197" s="98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99"/>
    </row>
    <row r="198" spans="1:18" x14ac:dyDescent="0.4">
      <c r="A198" s="27"/>
      <c r="B198" s="29"/>
      <c r="C198" s="98"/>
      <c r="D198" s="98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99"/>
    </row>
    <row r="199" spans="1:18" x14ac:dyDescent="0.4">
      <c r="A199" s="27"/>
      <c r="B199" s="29"/>
      <c r="C199" s="98"/>
      <c r="D199" s="98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99"/>
    </row>
    <row r="200" spans="1:18" x14ac:dyDescent="0.4">
      <c r="A200" s="27"/>
      <c r="B200" s="29"/>
      <c r="C200" s="98"/>
      <c r="D200" s="98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99"/>
    </row>
    <row r="201" spans="1:18" x14ac:dyDescent="0.4">
      <c r="A201" s="27"/>
      <c r="B201" s="29"/>
      <c r="C201" s="98"/>
      <c r="D201" s="98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99"/>
    </row>
    <row r="202" spans="1:18" x14ac:dyDescent="0.4">
      <c r="A202" s="27"/>
      <c r="B202" s="29"/>
      <c r="C202" s="98"/>
      <c r="D202" s="98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99"/>
    </row>
    <row r="203" spans="1:18" x14ac:dyDescent="0.4">
      <c r="A203" s="27"/>
      <c r="B203" s="29"/>
      <c r="C203" s="98"/>
      <c r="D203" s="98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99"/>
    </row>
    <row r="204" spans="1:18" x14ac:dyDescent="0.4">
      <c r="A204" s="27"/>
      <c r="B204" s="29"/>
      <c r="C204" s="98"/>
      <c r="D204" s="98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99"/>
    </row>
    <row r="205" spans="1:18" x14ac:dyDescent="0.4">
      <c r="A205" s="27"/>
      <c r="B205" s="29"/>
      <c r="C205" s="98"/>
      <c r="D205" s="98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99"/>
    </row>
    <row r="206" spans="1:18" x14ac:dyDescent="0.4">
      <c r="A206" s="27"/>
      <c r="B206" s="29"/>
      <c r="C206" s="98"/>
      <c r="D206" s="98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99"/>
    </row>
    <row r="207" spans="1:18" x14ac:dyDescent="0.4">
      <c r="A207" s="27"/>
      <c r="B207" s="29"/>
      <c r="C207" s="98"/>
      <c r="D207" s="98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99"/>
    </row>
    <row r="208" spans="1:18" x14ac:dyDescent="0.4">
      <c r="A208" s="27"/>
      <c r="B208" s="29"/>
      <c r="C208" s="98"/>
      <c r="D208" s="98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99"/>
    </row>
    <row r="209" spans="1:18" x14ac:dyDescent="0.4">
      <c r="A209" s="27"/>
      <c r="B209" s="29"/>
      <c r="C209" s="98"/>
      <c r="D209" s="98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99"/>
    </row>
    <row r="210" spans="1:18" x14ac:dyDescent="0.4">
      <c r="A210" s="27"/>
      <c r="B210" s="29"/>
      <c r="C210" s="98"/>
      <c r="D210" s="98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99"/>
    </row>
    <row r="211" spans="1:18" x14ac:dyDescent="0.4">
      <c r="A211" s="27"/>
      <c r="B211" s="29"/>
      <c r="C211" s="98"/>
      <c r="D211" s="98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99"/>
    </row>
    <row r="212" spans="1:18" x14ac:dyDescent="0.4">
      <c r="A212" s="27"/>
      <c r="B212" s="29"/>
      <c r="C212" s="98"/>
      <c r="D212" s="98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99"/>
    </row>
    <row r="213" spans="1:18" x14ac:dyDescent="0.4">
      <c r="A213" s="27"/>
      <c r="B213" s="29"/>
      <c r="C213" s="98"/>
      <c r="D213" s="98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99"/>
    </row>
    <row r="214" spans="1:18" x14ac:dyDescent="0.4">
      <c r="A214" s="27"/>
      <c r="B214" s="29"/>
      <c r="C214" s="98"/>
      <c r="D214" s="98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99"/>
    </row>
    <row r="215" spans="1:18" x14ac:dyDescent="0.4">
      <c r="A215" s="27"/>
      <c r="B215" s="29"/>
      <c r="C215" s="98"/>
      <c r="D215" s="98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99"/>
    </row>
    <row r="216" spans="1:18" x14ac:dyDescent="0.4">
      <c r="A216" s="27"/>
      <c r="B216" s="29"/>
      <c r="C216" s="98"/>
      <c r="D216" s="98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99"/>
    </row>
    <row r="217" spans="1:18" x14ac:dyDescent="0.4">
      <c r="A217" s="27"/>
      <c r="B217" s="29"/>
      <c r="C217" s="98"/>
      <c r="D217" s="98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99"/>
    </row>
    <row r="218" spans="1:18" x14ac:dyDescent="0.4">
      <c r="A218" s="27"/>
      <c r="B218" s="29"/>
      <c r="C218" s="98"/>
      <c r="D218" s="98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99"/>
    </row>
    <row r="219" spans="1:18" x14ac:dyDescent="0.4">
      <c r="A219" s="27"/>
      <c r="B219" s="29"/>
      <c r="C219" s="98"/>
      <c r="D219" s="98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99"/>
    </row>
    <row r="220" spans="1:18" x14ac:dyDescent="0.4">
      <c r="A220" s="27"/>
      <c r="B220" s="29"/>
      <c r="C220" s="98"/>
      <c r="D220" s="98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99"/>
    </row>
    <row r="221" spans="1:18" x14ac:dyDescent="0.4">
      <c r="A221" s="27"/>
      <c r="B221" s="29"/>
      <c r="C221" s="98"/>
      <c r="D221" s="98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99"/>
    </row>
    <row r="222" spans="1:18" x14ac:dyDescent="0.4">
      <c r="A222" s="27"/>
      <c r="B222" s="29"/>
      <c r="C222" s="98"/>
      <c r="D222" s="98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99"/>
    </row>
    <row r="223" spans="1:18" x14ac:dyDescent="0.4">
      <c r="A223" s="27"/>
      <c r="B223" s="29"/>
      <c r="C223" s="98"/>
      <c r="D223" s="98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99"/>
    </row>
    <row r="224" spans="1:18" x14ac:dyDescent="0.4">
      <c r="A224" s="27"/>
      <c r="B224" s="29"/>
      <c r="C224" s="98"/>
      <c r="D224" s="98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99"/>
    </row>
    <row r="225" spans="1:18" x14ac:dyDescent="0.4">
      <c r="A225" s="27"/>
      <c r="B225" s="29"/>
      <c r="C225" s="98"/>
      <c r="D225" s="98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99"/>
    </row>
    <row r="226" spans="1:18" x14ac:dyDescent="0.4">
      <c r="A226" s="27"/>
      <c r="B226" s="29"/>
      <c r="C226" s="98"/>
      <c r="D226" s="98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99"/>
    </row>
    <row r="227" spans="1:18" x14ac:dyDescent="0.4">
      <c r="A227" s="27"/>
      <c r="B227" s="29"/>
      <c r="C227" s="98"/>
      <c r="D227" s="98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99"/>
    </row>
    <row r="228" spans="1:18" x14ac:dyDescent="0.4">
      <c r="A228" s="27"/>
      <c r="B228" s="29"/>
      <c r="C228" s="98"/>
      <c r="D228" s="98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99"/>
    </row>
    <row r="229" spans="1:18" x14ac:dyDescent="0.4">
      <c r="A229" s="27"/>
      <c r="B229" s="29"/>
      <c r="C229" s="98"/>
      <c r="D229" s="98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99"/>
    </row>
    <row r="230" spans="1:18" x14ac:dyDescent="0.4">
      <c r="A230" s="27"/>
      <c r="B230" s="29"/>
      <c r="C230" s="98"/>
      <c r="D230" s="98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99"/>
    </row>
    <row r="231" spans="1:18" x14ac:dyDescent="0.4">
      <c r="A231" s="27"/>
      <c r="B231" s="29"/>
      <c r="C231" s="98"/>
      <c r="D231" s="98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99"/>
    </row>
  </sheetData>
  <mergeCells count="8">
    <mergeCell ref="A119:R119"/>
    <mergeCell ref="A120:R120"/>
    <mergeCell ref="A121:R121"/>
    <mergeCell ref="A1:R1"/>
    <mergeCell ref="A2:R2"/>
    <mergeCell ref="A3:R3"/>
    <mergeCell ref="A4:R4"/>
    <mergeCell ref="A118:R118"/>
  </mergeCells>
  <pageMargins left="0.16" right="0.13" top="0.25" bottom="0.21" header="0.18" footer="0.17"/>
  <pageSetup paperSize="9" scale="80" orientation="landscape" r:id="rId1"/>
  <rowBreaks count="4" manualBreakCount="4">
    <brk id="26" max="17" man="1"/>
    <brk id="48" max="17" man="1"/>
    <brk id="70" max="17" man="1"/>
    <brk id="110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17.6</vt:lpstr>
      <vt:lpstr>'17.6'!Print_Area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2016-04-14T07:38:31Z</cp:lastPrinted>
  <dcterms:created xsi:type="dcterms:W3CDTF">2007-02-08T08:33:33Z</dcterms:created>
  <dcterms:modified xsi:type="dcterms:W3CDTF">2016-04-14T07:39:38Z</dcterms:modified>
</cp:coreProperties>
</file>