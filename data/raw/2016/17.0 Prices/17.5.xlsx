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35" yWindow="-150" windowWidth="20550" windowHeight="12255" tabRatio="803"/>
  </bookViews>
  <sheets>
    <sheet name="17.5" sheetId="10" r:id="rId1"/>
  </sheets>
  <externalReferences>
    <externalReference r:id="rId2"/>
    <externalReference r:id="rId3"/>
    <externalReference r:id="rId4"/>
    <externalReference r:id="rId5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'17.5'!$A$1:$V$91</definedName>
    <definedName name="Print_Area_MI">#REF!</definedName>
    <definedName name="total">'[2]4'!#REF!</definedName>
  </definedNames>
  <calcPr calcId="144525"/>
</workbook>
</file>

<file path=xl/calcChain.xml><?xml version="1.0" encoding="utf-8"?>
<calcChain xmlns="http://schemas.openxmlformats.org/spreadsheetml/2006/main">
  <c r="AU20" i="10" l="1"/>
  <c r="AU19" i="10"/>
  <c r="AU24" i="10"/>
  <c r="AV25" i="10"/>
  <c r="AU25" i="10"/>
  <c r="U10" i="10" l="1"/>
  <c r="U9" i="10"/>
  <c r="U14" i="10"/>
  <c r="U8" i="10"/>
  <c r="BA11" i="10" l="1"/>
  <c r="BA10" i="10"/>
  <c r="AV24" i="10"/>
  <c r="AV23" i="10"/>
  <c r="AV22" i="10"/>
  <c r="AV20" i="10"/>
  <c r="AV19" i="10"/>
  <c r="AV17" i="10"/>
  <c r="AU23" i="10"/>
  <c r="AU22" i="10"/>
  <c r="AU21" i="10"/>
  <c r="AU18" i="10"/>
  <c r="AU17" i="10"/>
  <c r="AY11" i="10" l="1"/>
  <c r="AZ11" i="10"/>
  <c r="AY10" i="10"/>
  <c r="AZ10" i="10"/>
  <c r="B44" i="10" l="1"/>
  <c r="B45" i="10" s="1"/>
  <c r="B30" i="10"/>
  <c r="B23" i="10" l="1"/>
  <c r="B24" i="10" s="1"/>
  <c r="B9" i="10"/>
  <c r="AX10" i="10" l="1"/>
  <c r="AX11" i="10"/>
  <c r="AW11" i="10"/>
  <c r="AV11" i="10"/>
  <c r="AU10" i="10"/>
  <c r="AV21" i="10" l="1"/>
  <c r="AV18" i="10"/>
  <c r="AU11" i="10"/>
  <c r="AW10" i="10"/>
  <c r="AV10" i="10"/>
</calcChain>
</file>

<file path=xl/sharedStrings.xml><?xml version="1.0" encoding="utf-8"?>
<sst xmlns="http://schemas.openxmlformats.org/spreadsheetml/2006/main" count="133" uniqueCount="57">
  <si>
    <t xml:space="preserve">  % urwvcnim ivurutia eruvcSwrwhwaIruk</t>
  </si>
  <si>
    <t>Base weights</t>
  </si>
  <si>
    <t>Fish Index</t>
  </si>
  <si>
    <t>uDnwgcnim eguhwm</t>
  </si>
  <si>
    <t>Clothing and footwear</t>
  </si>
  <si>
    <t>Education</t>
  </si>
  <si>
    <t>cmIluAwt</t>
  </si>
  <si>
    <t>wlcmuj</t>
  </si>
  <si>
    <t>cSwa ejcaWr - cawtiawb uDnwgiawm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</si>
  <si>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</si>
  <si>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</si>
  <si>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</si>
  <si>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</si>
  <si>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</si>
  <si>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</si>
  <si>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</si>
  <si>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</si>
  <si>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</si>
  <si>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</si>
  <si>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</si>
  <si>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</si>
  <si>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</si>
  <si>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</si>
  <si>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>Major Groups - Male'</t>
  </si>
  <si>
    <t xml:space="preserve"> cSwa elWm - cawtiawb uDnwgiawm</t>
  </si>
  <si>
    <t>Male'</t>
  </si>
  <si>
    <t>Percentage change over previous year</t>
  </si>
  <si>
    <t xml:space="preserve">Furnishing,  household equipment &amp; routine maintenance </t>
  </si>
  <si>
    <t xml:space="preserve">Tobacco </t>
  </si>
  <si>
    <t xml:space="preserve"> cSwCcaekwt   WviawfWLwawDnwk  cnwdurwb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</si>
  <si>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</si>
  <si>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</si>
  <si>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</si>
  <si>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</si>
  <si>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</si>
  <si>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</si>
  <si>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Including fish</t>
  </si>
  <si>
    <t>Excluding fish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</si>
  <si>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</si>
  <si>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</si>
  <si>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</si>
  <si>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</si>
  <si>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</si>
  <si>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</si>
  <si>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                                   ilukegEg</t>
  </si>
  <si>
    <t>ctwmcdiK iaWlwdum cnehinehea</t>
  </si>
  <si>
    <t>Republic</t>
  </si>
  <si>
    <t>Major Groups - Republic</t>
  </si>
  <si>
    <t>Major Groups - Atolls</t>
  </si>
  <si>
    <t xml:space="preserve"> cSwkwtuLotwa - cawtiawb uDnwgiawm</t>
  </si>
  <si>
    <t>Total inflation rates 2009-2012</t>
  </si>
  <si>
    <t>Total national inflation rates 2007-2012</t>
  </si>
  <si>
    <t>Note: The series for the Republic prior to June 2012 is linked to previously published series for Male'. Hence, CPI for Male' and Republic prior to June 2012 is the same.</t>
  </si>
  <si>
    <t xml:space="preserve">Source:  National  Bureau of Statistics   </t>
  </si>
  <si>
    <t>މަޢުލޫމާތު ދެއްވި ފަރާތް: ނޭޝަނަލް ބިއުރޯ އޮފް ސްޓެޓިސްޓިކްސް</t>
  </si>
  <si>
    <t>2015 - 2006 ,uDnwgcnim egugwa egurWzWb : 17.5 ulwvWt</t>
  </si>
  <si>
    <t>Table 17.5 :  CONSUMER PRICE INDEX, 2006 - 2015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</si>
</sst>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8" formatCode="0.00_);[Red]\(0.00\)"/>
    <numFmt numFmtId="169" formatCode="0.00_)"/>
    <numFmt numFmtId="170" formatCode="_(* #,##0.0_);_(* \(#,##0.0\);_(* &quot;-&quot;??_);_(@_)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Courier"/>
      <family val="3"/>
    </font>
    <font>
      <sz val="10"/>
      <name val="Courier"/>
      <family val="3"/>
    </font>
    <font>
      <sz val="8"/>
      <name val="Arial"/>
      <family val="2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Times New Roman"/>
      <family val="1"/>
    </font>
    <font>
      <u/>
      <sz val="10"/>
      <name val="Courier"/>
      <family val="3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i/>
      <sz val="16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9"/>
      <name val="Faruma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9">
    <xf numFmtId="0" fontId="0" fillId="0" borderId="0"/>
    <xf numFmtId="0" fontId="2" fillId="0" borderId="0"/>
    <xf numFmtId="165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169" fontId="14" fillId="0" borderId="0"/>
    <xf numFmtId="0" fontId="2" fillId="0" borderId="0"/>
    <xf numFmtId="0" fontId="2" fillId="0" borderId="0"/>
    <xf numFmtId="167" fontId="4" fillId="0" borderId="0"/>
    <xf numFmtId="0" fontId="2" fillId="0" borderId="0"/>
    <xf numFmtId="167" fontId="4" fillId="0" borderId="0"/>
    <xf numFmtId="167" fontId="4" fillId="0" borderId="0"/>
    <xf numFmtId="9" fontId="12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139">
    <xf numFmtId="0" fontId="0" fillId="0" borderId="0" xfId="0"/>
    <xf numFmtId="167" fontId="11" fillId="2" borderId="0" xfId="10" applyFont="1" applyFill="1" applyAlignment="1">
      <alignment horizontal="right" vertical="center"/>
    </xf>
    <xf numFmtId="167" fontId="6" fillId="2" borderId="0" xfId="11" applyFont="1" applyFill="1" applyAlignment="1">
      <alignment vertical="center"/>
    </xf>
    <xf numFmtId="0" fontId="12" fillId="2" borderId="0" xfId="6" applyFont="1" applyFill="1"/>
    <xf numFmtId="0" fontId="18" fillId="2" borderId="1" xfId="6" applyFont="1" applyFill="1" applyBorder="1" applyAlignment="1">
      <alignment horizontal="left"/>
    </xf>
    <xf numFmtId="0" fontId="8" fillId="2" borderId="1" xfId="6" applyFont="1" applyFill="1" applyBorder="1" applyAlignment="1">
      <alignment horizontal="right"/>
    </xf>
    <xf numFmtId="167" fontId="20" fillId="2" borderId="0" xfId="8" applyFont="1" applyFill="1" applyAlignment="1">
      <alignment vertical="center" wrapText="1"/>
    </xf>
    <xf numFmtId="166" fontId="20" fillId="2" borderId="0" xfId="7" applyNumberFormat="1" applyFont="1" applyFill="1" applyBorder="1" applyAlignment="1">
      <alignment horizontal="right" vertical="center"/>
    </xf>
    <xf numFmtId="166" fontId="20" fillId="2" borderId="0" xfId="6" applyNumberFormat="1" applyFont="1" applyFill="1" applyBorder="1" applyAlignment="1">
      <alignment horizontal="right" vertical="center"/>
    </xf>
    <xf numFmtId="166" fontId="20" fillId="2" borderId="0" xfId="6" applyNumberFormat="1" applyFont="1" applyFill="1" applyAlignment="1">
      <alignment horizontal="right" vertical="center"/>
    </xf>
    <xf numFmtId="166" fontId="20" fillId="2" borderId="0" xfId="8" applyNumberFormat="1" applyFont="1" applyFill="1" applyBorder="1" applyAlignment="1">
      <alignment horizontal="right" vertical="center"/>
    </xf>
    <xf numFmtId="0" fontId="12" fillId="2" borderId="0" xfId="6" applyFont="1" applyFill="1" applyAlignment="1">
      <alignment vertical="center"/>
    </xf>
    <xf numFmtId="167" fontId="20" fillId="2" borderId="0" xfId="8" applyFont="1" applyFill="1" applyAlignment="1">
      <alignment vertical="center"/>
    </xf>
    <xf numFmtId="0" fontId="20" fillId="2" borderId="0" xfId="7" applyFont="1" applyFill="1" applyAlignment="1">
      <alignment vertical="center"/>
    </xf>
    <xf numFmtId="167" fontId="20" fillId="2" borderId="0" xfId="8" applyFont="1" applyFill="1" applyBorder="1" applyAlignment="1">
      <alignment vertical="center" wrapText="1"/>
    </xf>
    <xf numFmtId="167" fontId="11" fillId="2" borderId="0" xfId="11" applyFont="1" applyFill="1" applyAlignment="1">
      <alignment horizontal="right" vertical="center"/>
    </xf>
    <xf numFmtId="167" fontId="21" fillId="2" borderId="0" xfId="8" applyFont="1" applyFill="1" applyBorder="1" applyAlignment="1">
      <alignment vertical="center"/>
    </xf>
    <xf numFmtId="166" fontId="21" fillId="2" borderId="0" xfId="7" applyNumberFormat="1" applyFont="1" applyFill="1" applyBorder="1" applyAlignment="1">
      <alignment horizontal="right" vertical="center"/>
    </xf>
    <xf numFmtId="166" fontId="21" fillId="2" borderId="0" xfId="6" applyNumberFormat="1" applyFont="1" applyFill="1" applyBorder="1" applyAlignment="1">
      <alignment horizontal="right" vertical="center"/>
    </xf>
    <xf numFmtId="166" fontId="21" fillId="2" borderId="0" xfId="8" applyNumberFormat="1" applyFont="1" applyFill="1" applyBorder="1" applyAlignment="1">
      <alignment horizontal="right" vertical="center"/>
    </xf>
    <xf numFmtId="167" fontId="9" fillId="2" borderId="0" xfId="10" applyFont="1" applyFill="1" applyBorder="1" applyAlignment="1">
      <alignment horizontal="right" vertical="center"/>
    </xf>
    <xf numFmtId="0" fontId="7" fillId="2" borderId="0" xfId="6" applyFont="1" applyFill="1" applyAlignment="1">
      <alignment vertical="center"/>
    </xf>
    <xf numFmtId="167" fontId="21" fillId="2" borderId="2" xfId="8" applyFont="1" applyFill="1" applyBorder="1" applyAlignment="1">
      <alignment vertical="center"/>
    </xf>
    <xf numFmtId="166" fontId="21" fillId="2" borderId="2" xfId="8" applyNumberFormat="1" applyFont="1" applyFill="1" applyBorder="1" applyAlignment="1">
      <alignment horizontal="right" vertical="center"/>
    </xf>
    <xf numFmtId="167" fontId="9" fillId="2" borderId="2" xfId="11" applyFont="1" applyFill="1" applyBorder="1" applyAlignment="1">
      <alignment horizontal="right" vertical="center"/>
    </xf>
    <xf numFmtId="0" fontId="12" fillId="2" borderId="0" xfId="6" applyFont="1" applyFill="1" applyBorder="1" applyAlignment="1">
      <alignment vertical="center"/>
    </xf>
    <xf numFmtId="0" fontId="17" fillId="2" borderId="2" xfId="6" applyFont="1" applyFill="1" applyBorder="1" applyAlignment="1">
      <alignment horizontal="right" vertical="center"/>
    </xf>
    <xf numFmtId="0" fontId="15" fillId="2" borderId="2" xfId="6" applyFont="1" applyFill="1" applyBorder="1" applyAlignment="1">
      <alignment horizontal="right" vertical="center"/>
    </xf>
    <xf numFmtId="0" fontId="10" fillId="2" borderId="0" xfId="6" applyFont="1" applyFill="1" applyAlignment="1">
      <alignment vertical="center"/>
    </xf>
    <xf numFmtId="0" fontId="8" fillId="2" borderId="0" xfId="6" applyFont="1" applyFill="1" applyAlignment="1">
      <alignment vertical="center"/>
    </xf>
    <xf numFmtId="0" fontId="17" fillId="2" borderId="0" xfId="6" applyFont="1" applyFill="1" applyBorder="1" applyAlignment="1">
      <alignment horizontal="left" vertical="center"/>
    </xf>
    <xf numFmtId="0" fontId="8" fillId="2" borderId="0" xfId="6" applyFont="1" applyFill="1" applyBorder="1" applyAlignment="1">
      <alignment vertical="center"/>
    </xf>
    <xf numFmtId="167" fontId="11" fillId="2" borderId="0" xfId="10" applyFont="1" applyFill="1" applyAlignment="1">
      <alignment horizontal="center" vertical="center"/>
    </xf>
    <xf numFmtId="166" fontId="21" fillId="2" borderId="2" xfId="6" applyNumberFormat="1" applyFont="1" applyFill="1" applyBorder="1" applyAlignment="1">
      <alignment horizontal="right" vertical="center"/>
    </xf>
    <xf numFmtId="167" fontId="9" fillId="2" borderId="0" xfId="11" applyFont="1" applyFill="1" applyBorder="1" applyAlignment="1">
      <alignment horizontal="right" vertical="center"/>
    </xf>
    <xf numFmtId="166" fontId="12" fillId="2" borderId="0" xfId="6" applyNumberFormat="1" applyFont="1" applyFill="1" applyAlignment="1">
      <alignment vertical="center"/>
    </xf>
    <xf numFmtId="0" fontId="21" fillId="2" borderId="0" xfId="6" applyFont="1" applyFill="1" applyBorder="1" applyAlignment="1">
      <alignment horizontal="left" vertical="center"/>
    </xf>
    <xf numFmtId="0" fontId="13" fillId="2" borderId="0" xfId="6" applyFont="1" applyFill="1" applyBorder="1" applyAlignment="1">
      <alignment horizontal="right" vertical="center"/>
    </xf>
    <xf numFmtId="167" fontId="7" fillId="2" borderId="0" xfId="11" applyFont="1" applyFill="1" applyAlignment="1" applyProtection="1">
      <alignment vertical="center"/>
    </xf>
    <xf numFmtId="0" fontId="22" fillId="2" borderId="5" xfId="6" applyFont="1" applyFill="1" applyBorder="1" applyAlignment="1">
      <alignment horizontal="right" vertical="center"/>
    </xf>
    <xf numFmtId="0" fontId="22" fillId="2" borderId="2" xfId="6" applyFont="1" applyFill="1" applyBorder="1" applyAlignment="1">
      <alignment horizontal="right" vertical="center"/>
    </xf>
    <xf numFmtId="166" fontId="20" fillId="2" borderId="0" xfId="7" applyNumberFormat="1" applyFont="1" applyFill="1" applyAlignment="1">
      <alignment horizontal="center" vertical="center"/>
    </xf>
    <xf numFmtId="166" fontId="20" fillId="2" borderId="3" xfId="8" applyNumberFormat="1" applyFont="1" applyFill="1" applyBorder="1" applyAlignment="1">
      <alignment horizontal="right" vertical="center"/>
    </xf>
    <xf numFmtId="0" fontId="2" fillId="2" borderId="0" xfId="6" applyFont="1" applyFill="1" applyAlignment="1">
      <alignment vertical="center"/>
    </xf>
    <xf numFmtId="166" fontId="20" fillId="2" borderId="4" xfId="8" applyNumberFormat="1" applyFont="1" applyFill="1" applyBorder="1" applyAlignment="1">
      <alignment horizontal="right" vertical="center"/>
    </xf>
    <xf numFmtId="170" fontId="12" fillId="2" borderId="0" xfId="6" applyNumberFormat="1" applyFont="1" applyFill="1" applyAlignment="1">
      <alignment vertical="center"/>
    </xf>
    <xf numFmtId="167" fontId="11" fillId="2" borderId="0" xfId="10" applyFont="1" applyFill="1" applyAlignment="1">
      <alignment horizontal="right" vertical="center" wrapText="1"/>
    </xf>
    <xf numFmtId="166" fontId="21" fillId="2" borderId="0" xfId="8" applyNumberFormat="1" applyFont="1" applyFill="1" applyBorder="1" applyAlignment="1">
      <alignment horizontal="center" vertical="center"/>
    </xf>
    <xf numFmtId="166" fontId="21" fillId="2" borderId="4" xfId="8" applyNumberFormat="1" applyFont="1" applyFill="1" applyBorder="1" applyAlignment="1">
      <alignment horizontal="right" vertical="center"/>
    </xf>
    <xf numFmtId="166" fontId="7" fillId="2" borderId="0" xfId="6" applyNumberFormat="1" applyFont="1" applyFill="1" applyAlignment="1">
      <alignment vertical="center"/>
    </xf>
    <xf numFmtId="166" fontId="21" fillId="2" borderId="2" xfId="8" applyNumberFormat="1" applyFont="1" applyFill="1" applyBorder="1" applyAlignment="1">
      <alignment horizontal="center" vertical="center"/>
    </xf>
    <xf numFmtId="166" fontId="21" fillId="2" borderId="5" xfId="8" applyNumberFormat="1" applyFont="1" applyFill="1" applyBorder="1" applyAlignment="1">
      <alignment horizontal="right" vertical="center"/>
    </xf>
    <xf numFmtId="3" fontId="20" fillId="2" borderId="0" xfId="9" applyNumberFormat="1" applyFont="1" applyFill="1" applyAlignment="1" applyProtection="1">
      <alignment horizontal="left" vertical="center"/>
    </xf>
    <xf numFmtId="3" fontId="10" fillId="2" borderId="0" xfId="9" applyNumberFormat="1" applyFont="1" applyFill="1" applyAlignment="1" applyProtection="1">
      <alignment horizontal="center" vertical="center"/>
    </xf>
    <xf numFmtId="3" fontId="11" fillId="2" borderId="0" xfId="9" applyNumberFormat="1" applyFont="1" applyFill="1" applyAlignment="1" applyProtection="1">
      <alignment horizontal="right" vertical="center"/>
    </xf>
    <xf numFmtId="3" fontId="10" fillId="2" borderId="0" xfId="9" applyNumberFormat="1" applyFont="1" applyFill="1" applyBorder="1" applyAlignment="1" applyProtection="1">
      <alignment horizontal="center" vertical="center"/>
    </xf>
    <xf numFmtId="3" fontId="8" fillId="2" borderId="0" xfId="9" applyNumberFormat="1" applyFont="1" applyFill="1"/>
    <xf numFmtId="3" fontId="16" fillId="2" borderId="0" xfId="4" applyNumberFormat="1" applyFont="1" applyFill="1" applyAlignment="1" applyProtection="1"/>
    <xf numFmtId="0" fontId="8" fillId="2" borderId="1" xfId="6" applyFont="1" applyFill="1" applyBorder="1"/>
    <xf numFmtId="0" fontId="10" fillId="2" borderId="0" xfId="6" applyFont="1" applyFill="1" applyBorder="1"/>
    <xf numFmtId="0" fontId="21" fillId="2" borderId="2" xfId="6" applyFont="1" applyFill="1" applyBorder="1" applyAlignment="1">
      <alignment horizontal="left" vertical="top"/>
    </xf>
    <xf numFmtId="0" fontId="21" fillId="2" borderId="2" xfId="6" applyFont="1" applyFill="1" applyBorder="1" applyAlignment="1">
      <alignment horizontal="center" vertical="top"/>
    </xf>
    <xf numFmtId="0" fontId="21" fillId="2" borderId="2" xfId="6" applyFont="1" applyFill="1" applyBorder="1" applyAlignment="1">
      <alignment horizontal="right" vertical="top"/>
    </xf>
    <xf numFmtId="0" fontId="21" fillId="2" borderId="5" xfId="6" applyFont="1" applyFill="1" applyBorder="1" applyAlignment="1">
      <alignment horizontal="right" vertical="center"/>
    </xf>
    <xf numFmtId="0" fontId="21" fillId="2" borderId="2" xfId="6" applyFont="1" applyFill="1" applyBorder="1" applyAlignment="1">
      <alignment horizontal="right" vertical="center"/>
    </xf>
    <xf numFmtId="2" fontId="8" fillId="2" borderId="0" xfId="6" applyNumberFormat="1" applyFont="1" applyFill="1" applyAlignment="1">
      <alignment vertical="center"/>
    </xf>
    <xf numFmtId="2" fontId="8" fillId="2" borderId="1" xfId="6" applyNumberFormat="1" applyFont="1" applyFill="1" applyBorder="1" applyAlignment="1">
      <alignment vertical="center"/>
    </xf>
    <xf numFmtId="168" fontId="10" fillId="2" borderId="0" xfId="8" applyNumberFormat="1" applyFont="1" applyFill="1" applyAlignment="1">
      <alignment vertical="center"/>
    </xf>
    <xf numFmtId="168" fontId="8" fillId="2" borderId="0" xfId="6" applyNumberFormat="1" applyFont="1" applyFill="1" applyBorder="1" applyAlignment="1">
      <alignment vertical="center"/>
    </xf>
    <xf numFmtId="2" fontId="8" fillId="2" borderId="0" xfId="6" applyNumberFormat="1" applyFont="1" applyFill="1" applyBorder="1" applyAlignment="1">
      <alignment vertical="center"/>
    </xf>
    <xf numFmtId="0" fontId="8" fillId="2" borderId="0" xfId="6" applyFont="1" applyFill="1"/>
    <xf numFmtId="166" fontId="20" fillId="2" borderId="0" xfId="7" applyNumberFormat="1" applyFont="1" applyFill="1" applyBorder="1" applyAlignment="1">
      <alignment horizontal="center" vertical="center"/>
    </xf>
    <xf numFmtId="168" fontId="8" fillId="2" borderId="0" xfId="6" applyNumberFormat="1" applyFont="1" applyFill="1" applyAlignment="1">
      <alignment vertical="center"/>
    </xf>
    <xf numFmtId="166" fontId="21" fillId="2" borderId="0" xfId="7" applyNumberFormat="1" applyFont="1" applyFill="1" applyBorder="1" applyAlignment="1">
      <alignment horizontal="center" vertical="center"/>
    </xf>
    <xf numFmtId="2" fontId="10" fillId="2" borderId="0" xfId="6" applyNumberFormat="1" applyFont="1" applyFill="1" applyAlignment="1">
      <alignment vertical="center"/>
    </xf>
    <xf numFmtId="2" fontId="10" fillId="2" borderId="0" xfId="6" applyNumberFormat="1" applyFont="1" applyFill="1" applyBorder="1" applyAlignment="1">
      <alignment vertical="center"/>
    </xf>
    <xf numFmtId="168" fontId="10" fillId="2" borderId="0" xfId="6" applyNumberFormat="1" applyFont="1" applyFill="1" applyAlignment="1">
      <alignment vertical="center"/>
    </xf>
    <xf numFmtId="0" fontId="12" fillId="2" borderId="0" xfId="6" applyFont="1" applyFill="1" applyBorder="1"/>
    <xf numFmtId="168" fontId="10" fillId="2" borderId="0" xfId="8" applyNumberFormat="1" applyFont="1" applyFill="1" applyBorder="1" applyAlignment="1">
      <alignment vertical="center"/>
    </xf>
    <xf numFmtId="0" fontId="10" fillId="2" borderId="0" xfId="6" applyFont="1" applyFill="1" applyBorder="1" applyAlignment="1">
      <alignment vertical="center"/>
    </xf>
    <xf numFmtId="168" fontId="10" fillId="2" borderId="0" xfId="6" applyNumberFormat="1" applyFont="1" applyFill="1" applyBorder="1" applyAlignment="1">
      <alignment vertical="center"/>
    </xf>
    <xf numFmtId="167" fontId="25" fillId="2" borderId="0" xfId="8" applyFont="1" applyFill="1" applyBorder="1" applyAlignment="1">
      <alignment horizontal="left" vertical="center" indent="1"/>
    </xf>
    <xf numFmtId="0" fontId="12" fillId="2" borderId="0" xfId="6" applyFont="1" applyFill="1" applyAlignment="1">
      <alignment horizontal="center"/>
    </xf>
    <xf numFmtId="0" fontId="13" fillId="2" borderId="1" xfId="6" applyFont="1" applyFill="1" applyBorder="1" applyAlignment="1"/>
    <xf numFmtId="0" fontId="12" fillId="2" borderId="1" xfId="6" applyFont="1" applyFill="1" applyBorder="1"/>
    <xf numFmtId="0" fontId="13" fillId="2" borderId="0" xfId="6" applyNumberFormat="1" applyFont="1" applyFill="1" applyBorder="1" applyAlignment="1">
      <alignment horizontal="right" vertical="center"/>
    </xf>
    <xf numFmtId="0" fontId="17" fillId="2" borderId="2" xfId="6" applyFont="1" applyFill="1" applyBorder="1" applyAlignment="1">
      <alignment horizontal="left" vertical="top"/>
    </xf>
    <xf numFmtId="0" fontId="17" fillId="2" borderId="2" xfId="6" applyFont="1" applyFill="1" applyBorder="1" applyAlignment="1">
      <alignment horizontal="center" vertical="top"/>
    </xf>
    <xf numFmtId="0" fontId="17" fillId="2" borderId="2" xfId="6" applyFont="1" applyFill="1" applyBorder="1" applyAlignment="1">
      <alignment horizontal="right" vertical="top"/>
    </xf>
    <xf numFmtId="167" fontId="18" fillId="2" borderId="0" xfId="8" applyFont="1" applyFill="1" applyAlignment="1">
      <alignment vertical="center" wrapText="1"/>
    </xf>
    <xf numFmtId="166" fontId="18" fillId="2" borderId="0" xfId="7" applyNumberFormat="1" applyFont="1" applyFill="1" applyAlignment="1">
      <alignment horizontal="center" vertical="center"/>
    </xf>
    <xf numFmtId="166" fontId="18" fillId="2" borderId="0" xfId="7" applyNumberFormat="1" applyFont="1" applyFill="1" applyBorder="1" applyAlignment="1">
      <alignment horizontal="right" vertical="center"/>
    </xf>
    <xf numFmtId="166" fontId="18" fillId="2" borderId="0" xfId="6" applyNumberFormat="1" applyFont="1" applyFill="1" applyBorder="1" applyAlignment="1">
      <alignment horizontal="right" vertical="center"/>
    </xf>
    <xf numFmtId="166" fontId="18" fillId="2" borderId="0" xfId="8" applyNumberFormat="1" applyFont="1" applyFill="1" applyBorder="1" applyAlignment="1">
      <alignment horizontal="right" vertical="center"/>
    </xf>
    <xf numFmtId="167" fontId="18" fillId="2" borderId="0" xfId="8" applyFont="1" applyFill="1" applyAlignment="1">
      <alignment vertical="center"/>
    </xf>
    <xf numFmtId="167" fontId="18" fillId="2" borderId="0" xfId="8" applyFont="1" applyFill="1" applyBorder="1" applyAlignment="1">
      <alignment vertical="center" wrapText="1"/>
    </xf>
    <xf numFmtId="166" fontId="18" fillId="2" borderId="0" xfId="7" applyNumberFormat="1" applyFont="1" applyFill="1" applyBorder="1" applyAlignment="1">
      <alignment horizontal="center" vertical="center"/>
    </xf>
    <xf numFmtId="167" fontId="17" fillId="2" borderId="0" xfId="8" applyFont="1" applyFill="1" applyBorder="1" applyAlignment="1">
      <alignment vertical="center"/>
    </xf>
    <xf numFmtId="166" fontId="17" fillId="2" borderId="0" xfId="7" applyNumberFormat="1" applyFont="1" applyFill="1" applyBorder="1" applyAlignment="1">
      <alignment horizontal="center" vertical="center"/>
    </xf>
    <xf numFmtId="166" fontId="17" fillId="2" borderId="0" xfId="7" applyNumberFormat="1" applyFont="1" applyFill="1" applyBorder="1" applyAlignment="1">
      <alignment horizontal="right" vertical="center"/>
    </xf>
    <xf numFmtId="166" fontId="17" fillId="2" borderId="0" xfId="6" applyNumberFormat="1" applyFont="1" applyFill="1" applyBorder="1" applyAlignment="1">
      <alignment horizontal="right" vertical="center"/>
    </xf>
    <xf numFmtId="166" fontId="17" fillId="2" borderId="0" xfId="8" applyNumberFormat="1" applyFont="1" applyFill="1" applyBorder="1" applyAlignment="1">
      <alignment horizontal="right" vertical="center"/>
    </xf>
    <xf numFmtId="167" fontId="17" fillId="2" borderId="2" xfId="8" applyFont="1" applyFill="1" applyBorder="1" applyAlignment="1">
      <alignment vertical="center"/>
    </xf>
    <xf numFmtId="166" fontId="17" fillId="2" borderId="2" xfId="8" applyNumberFormat="1" applyFont="1" applyFill="1" applyBorder="1" applyAlignment="1">
      <alignment horizontal="center" vertical="center"/>
    </xf>
    <xf numFmtId="166" fontId="17" fillId="2" borderId="2" xfId="8" applyNumberFormat="1" applyFont="1" applyFill="1" applyBorder="1" applyAlignment="1">
      <alignment horizontal="right" vertical="center"/>
    </xf>
    <xf numFmtId="167" fontId="24" fillId="2" borderId="0" xfId="11" applyFont="1" applyFill="1" applyBorder="1" applyAlignment="1" applyProtection="1">
      <alignment horizontal="left" vertical="center"/>
    </xf>
    <xf numFmtId="0" fontId="20" fillId="2" borderId="0" xfId="6" applyFont="1" applyFill="1"/>
    <xf numFmtId="166" fontId="12" fillId="2" borderId="0" xfId="6" applyNumberFormat="1" applyFont="1" applyFill="1"/>
    <xf numFmtId="0" fontId="23" fillId="2" borderId="0" xfId="6" applyFont="1" applyFill="1"/>
    <xf numFmtId="167" fontId="26" fillId="2" borderId="0" xfId="11" applyFont="1" applyFill="1" applyAlignment="1">
      <alignment horizontal="right" vertical="center"/>
    </xf>
    <xf numFmtId="2" fontId="12" fillId="2" borderId="0" xfId="6" applyNumberFormat="1" applyFont="1" applyFill="1"/>
    <xf numFmtId="166" fontId="21" fillId="2" borderId="2" xfId="7" applyNumberFormat="1" applyFont="1" applyFill="1" applyBorder="1" applyAlignment="1">
      <alignment horizontal="right" vertical="center"/>
    </xf>
    <xf numFmtId="167" fontId="19" fillId="2" borderId="0" xfId="11" applyFont="1" applyFill="1" applyBorder="1" applyAlignment="1" applyProtection="1">
      <alignment horizontal="left" vertical="center"/>
    </xf>
    <xf numFmtId="166" fontId="21" fillId="2" borderId="7" xfId="6" applyNumberFormat="1" applyFont="1" applyFill="1" applyBorder="1" applyAlignment="1">
      <alignment horizontal="right" vertical="center"/>
    </xf>
    <xf numFmtId="0" fontId="7" fillId="2" borderId="0" xfId="6" applyFont="1" applyFill="1"/>
    <xf numFmtId="166" fontId="7" fillId="2" borderId="0" xfId="6" applyNumberFormat="1" applyFont="1" applyFill="1"/>
    <xf numFmtId="0" fontId="7" fillId="2" borderId="0" xfId="6" applyFont="1" applyFill="1" applyBorder="1"/>
    <xf numFmtId="0" fontId="9" fillId="2" borderId="1" xfId="6" applyFont="1" applyFill="1" applyBorder="1" applyAlignment="1">
      <alignment horizontal="center" wrapText="1"/>
    </xf>
    <xf numFmtId="0" fontId="9" fillId="2" borderId="0" xfId="6" applyFont="1" applyFill="1" applyBorder="1" applyAlignment="1">
      <alignment horizontal="center" wrapText="1"/>
    </xf>
    <xf numFmtId="0" fontId="17" fillId="2" borderId="0" xfId="6" applyFont="1" applyFill="1" applyBorder="1" applyAlignment="1">
      <alignment horizontal="center" vertical="top" wrapText="1"/>
    </xf>
    <xf numFmtId="166" fontId="10" fillId="2" borderId="0" xfId="9" applyNumberFormat="1" applyFont="1" applyFill="1" applyAlignment="1" applyProtection="1">
      <alignment horizontal="center" vertical="center"/>
    </xf>
    <xf numFmtId="166" fontId="17" fillId="2" borderId="2" xfId="6" applyNumberFormat="1" applyFont="1" applyFill="1" applyBorder="1" applyAlignment="1">
      <alignment horizontal="right" vertical="center"/>
    </xf>
    <xf numFmtId="167" fontId="6" fillId="2" borderId="0" xfId="11" applyFont="1" applyFill="1" applyAlignment="1">
      <alignment horizontal="center" vertical="center"/>
    </xf>
    <xf numFmtId="0" fontId="9" fillId="2" borderId="1" xfId="6" applyFont="1" applyFill="1" applyBorder="1" applyAlignment="1">
      <alignment horizontal="center" wrapText="1"/>
    </xf>
    <xf numFmtId="0" fontId="9" fillId="2" borderId="0" xfId="6" applyFont="1" applyFill="1" applyBorder="1" applyAlignment="1">
      <alignment horizontal="center" wrapText="1"/>
    </xf>
    <xf numFmtId="0" fontId="17" fillId="2" borderId="0" xfId="6" applyFont="1" applyFill="1" applyBorder="1" applyAlignment="1">
      <alignment horizontal="center" vertical="top" wrapText="1"/>
    </xf>
    <xf numFmtId="0" fontId="13" fillId="2" borderId="3" xfId="6" applyFont="1" applyFill="1" applyBorder="1" applyAlignment="1">
      <alignment horizontal="center" vertical="center"/>
    </xf>
    <xf numFmtId="0" fontId="13" fillId="2" borderId="1" xfId="6" applyFont="1" applyFill="1" applyBorder="1" applyAlignment="1">
      <alignment horizontal="center" vertical="center"/>
    </xf>
    <xf numFmtId="0" fontId="17" fillId="2" borderId="8" xfId="6" applyFont="1" applyFill="1" applyBorder="1" applyAlignment="1">
      <alignment horizontal="center" vertical="center" wrapText="1"/>
    </xf>
    <xf numFmtId="0" fontId="17" fillId="2" borderId="6" xfId="6" applyFont="1" applyFill="1" applyBorder="1" applyAlignment="1">
      <alignment horizontal="center" vertical="center" wrapText="1"/>
    </xf>
    <xf numFmtId="0" fontId="8" fillId="2" borderId="1" xfId="6" applyFont="1" applyFill="1" applyBorder="1" applyAlignment="1">
      <alignment horizontal="center"/>
    </xf>
    <xf numFmtId="0" fontId="8" fillId="2" borderId="9" xfId="6" applyFont="1" applyFill="1" applyBorder="1" applyAlignment="1">
      <alignment horizontal="center"/>
    </xf>
    <xf numFmtId="0" fontId="10" fillId="2" borderId="0" xfId="6" applyFont="1" applyFill="1" applyBorder="1" applyAlignment="1">
      <alignment horizontal="center"/>
    </xf>
    <xf numFmtId="0" fontId="10" fillId="2" borderId="10" xfId="6" applyFont="1" applyFill="1" applyBorder="1" applyAlignment="1">
      <alignment horizontal="center"/>
    </xf>
    <xf numFmtId="167" fontId="27" fillId="2" borderId="0" xfId="11" applyFont="1" applyFill="1" applyAlignment="1" applyProtection="1">
      <alignment horizontal="center" vertical="center"/>
    </xf>
    <xf numFmtId="0" fontId="9" fillId="2" borderId="1" xfId="6" applyFont="1" applyFill="1" applyBorder="1" applyAlignment="1">
      <alignment horizontal="center" vertical="center" wrapText="1"/>
    </xf>
    <xf numFmtId="0" fontId="9" fillId="2" borderId="0" xfId="6" applyFont="1" applyFill="1" applyBorder="1" applyAlignment="1">
      <alignment horizontal="center" vertical="center" wrapText="1"/>
    </xf>
    <xf numFmtId="167" fontId="21" fillId="2" borderId="2" xfId="11" applyFont="1" applyFill="1" applyBorder="1" applyAlignment="1" applyProtection="1">
      <alignment horizontal="center" vertical="center"/>
    </xf>
    <xf numFmtId="167" fontId="13" fillId="2" borderId="0" xfId="11" applyFont="1" applyFill="1" applyAlignment="1">
      <alignment horizontal="center" vertical="center" wrapText="1"/>
    </xf>
  </cellXfs>
  <cellStyles count="19">
    <cellStyle name="1" xfId="1"/>
    <cellStyle name="Comma 2" xfId="2"/>
    <cellStyle name="Comma 2 2" xfId="14"/>
    <cellStyle name="Comma 3" xfId="3"/>
    <cellStyle name="Comma 3 2" xfId="15"/>
    <cellStyle name="Hyperlink" xfId="4" builtinId="8"/>
    <cellStyle name="Normal" xfId="0" builtinId="0"/>
    <cellStyle name="Normal - Style1" xfId="5"/>
    <cellStyle name="Normal 2" xfId="13"/>
    <cellStyle name="Normal 3" xfId="17"/>
    <cellStyle name="Normal 4" xfId="18"/>
    <cellStyle name="Normal_17 Prices_done" xfId="6"/>
    <cellStyle name="Normal_CPI new tables" xfId="7"/>
    <cellStyle name="Normal_Dec97" xfId="8"/>
    <cellStyle name="Normal_II-15(Population)" xfId="9"/>
    <cellStyle name="Normal_XII-11(Commerce)" xfId="10"/>
    <cellStyle name="Normal_XII-12 (Commerce)" xfId="11"/>
    <cellStyle name="Percent 2" xfId="12"/>
    <cellStyle name="Percent 2 2" xfId="16"/>
  </cellStyles>
  <dxfs count="0"/>
  <tableStyles count="0" defaultTableStyle="TableStyleMedium9" defaultPivotStyle="PivotStyleLight16"/>
  <colors>
    <mruColors>
      <color rgb="FF73F3DE"/>
      <color rgb="FF33CCCC"/>
      <color rgb="FFE7FFFF"/>
      <color rgb="FFAEF8EC"/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97487862083047E-2"/>
          <c:y val="0.16191904298815241"/>
          <c:w val="0.89786554764173832"/>
          <c:h val="0.6921002603758196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'17.5'!$AY$9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strRef>
              <c:f>'17.5'!$AT$10:$AT$11</c:f>
              <c:strCache>
                <c:ptCount val="2"/>
                <c:pt idx="0">
                  <c:v>Republic</c:v>
                </c:pt>
                <c:pt idx="1">
                  <c:v>Male'</c:v>
                </c:pt>
              </c:strCache>
            </c:strRef>
          </c:cat>
          <c:val>
            <c:numRef>
              <c:f>'17.5'!$AY$10:$AY$11</c:f>
              <c:numCache>
                <c:formatCode>_(* #,##0.0_);_(* \(#,##0.0\);_(* "-"??_);_(@_)</c:formatCode>
                <c:ptCount val="2"/>
                <c:pt idx="0">
                  <c:v>103.19281073321666</c:v>
                </c:pt>
                <c:pt idx="1">
                  <c:v>103.38895723436703</c:v>
                </c:pt>
              </c:numCache>
            </c:numRef>
          </c:val>
        </c:ser>
        <c:ser>
          <c:idx val="3"/>
          <c:order val="1"/>
          <c:tx>
            <c:strRef>
              <c:f>'17.5'!$AZ$9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'17.5'!$AT$10:$AT$11</c:f>
              <c:strCache>
                <c:ptCount val="2"/>
                <c:pt idx="0">
                  <c:v>Republic</c:v>
                </c:pt>
                <c:pt idx="1">
                  <c:v>Male'</c:v>
                </c:pt>
              </c:strCache>
            </c:strRef>
          </c:cat>
          <c:val>
            <c:numRef>
              <c:f>'17.5'!$AZ$10:$AZ$11</c:f>
              <c:numCache>
                <c:formatCode>_(* #,##0.0_);_(* \(#,##0.0\);_(* "-"??_);_(@_)</c:formatCode>
                <c:ptCount val="2"/>
                <c:pt idx="0">
                  <c:v>105.38050013404563</c:v>
                </c:pt>
                <c:pt idx="1">
                  <c:v>105.92043432963987</c:v>
                </c:pt>
              </c:numCache>
            </c:numRef>
          </c:val>
        </c:ser>
        <c:ser>
          <c:idx val="4"/>
          <c:order val="2"/>
          <c:tx>
            <c:strRef>
              <c:f>'17.5'!$BA$9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73F3DE"/>
            </a:solidFill>
          </c:spPr>
          <c:invertIfNegative val="0"/>
          <c:cat>
            <c:strRef>
              <c:f>'17.5'!$AT$10:$AT$11</c:f>
              <c:strCache>
                <c:ptCount val="2"/>
                <c:pt idx="0">
                  <c:v>Republic</c:v>
                </c:pt>
                <c:pt idx="1">
                  <c:v>Male'</c:v>
                </c:pt>
              </c:strCache>
            </c:strRef>
          </c:cat>
          <c:val>
            <c:numRef>
              <c:f>'17.5'!$BA$10:$BA$11</c:f>
              <c:numCache>
                <c:formatCode>_(* #,##0.0_);_(* \(#,##0.0\);_(* "-"??_);_(@_)</c:formatCode>
                <c:ptCount val="2"/>
                <c:pt idx="0">
                  <c:v>106.38499407837655</c:v>
                </c:pt>
                <c:pt idx="1">
                  <c:v>107.37293678888472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756096"/>
        <c:axId val="138757632"/>
      </c:barChart>
      <c:catAx>
        <c:axId val="13875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38757632"/>
        <c:crosses val="autoZero"/>
        <c:auto val="1"/>
        <c:lblAlgn val="ctr"/>
        <c:lblOffset val="100"/>
        <c:noMultiLvlLbl val="0"/>
      </c:catAx>
      <c:valAx>
        <c:axId val="138757632"/>
        <c:scaling>
          <c:orientation val="minMax"/>
        </c:scaling>
        <c:delete val="0"/>
        <c:axPos val="l"/>
        <c:majorGridlines>
          <c:spPr>
            <a:ln w="3175">
              <a:solidFill>
                <a:srgbClr val="73F3DE"/>
              </a:solidFill>
            </a:ln>
          </c:spPr>
        </c:majorGridlines>
        <c:numFmt formatCode="0" sourceLinked="0"/>
        <c:majorTickMark val="none"/>
        <c:minorTickMark val="none"/>
        <c:tickLblPos val="nextTo"/>
        <c:crossAx val="138756096"/>
        <c:crosses val="autoZero"/>
        <c:crossBetween val="between"/>
      </c:valAx>
      <c:spPr>
        <a:solidFill>
          <a:srgbClr val="E7FFFF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22284494634651603"/>
          <c:y val="0.16427518427518428"/>
          <c:w val="0.46421125917202238"/>
          <c:h val="9.7833588369009933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256281093353731E-2"/>
          <c:y val="0.18225362817125693"/>
          <c:w val="0.90067274875771441"/>
          <c:h val="0.65526220549382963"/>
        </c:manualLayout>
      </c:layout>
      <c:lineChart>
        <c:grouping val="standard"/>
        <c:varyColors val="0"/>
        <c:ser>
          <c:idx val="0"/>
          <c:order val="0"/>
          <c:tx>
            <c:strRef>
              <c:f>'17.5'!$AU$16</c:f>
              <c:strCache>
                <c:ptCount val="1"/>
                <c:pt idx="0">
                  <c:v>Including fish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diamond"/>
            <c:size val="6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cat>
            <c:numRef>
              <c:f>'17.5'!$AT$19:$AT$25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'17.5'!$AU$19:$AU$25</c:f>
              <c:numCache>
                <c:formatCode>0.0</c:formatCode>
                <c:ptCount val="7"/>
                <c:pt idx="0">
                  <c:v>75.900734670117231</c:v>
                </c:pt>
                <c:pt idx="1">
                  <c:v>80.568542845421106</c:v>
                </c:pt>
                <c:pt idx="2">
                  <c:v>89.651368722070842</c:v>
                </c:pt>
                <c:pt idx="3">
                  <c:v>99.409647361204449</c:v>
                </c:pt>
                <c:pt idx="4">
                  <c:v>103.19281073321666</c:v>
                </c:pt>
                <c:pt idx="5">
                  <c:v>105.38050013404563</c:v>
                </c:pt>
                <c:pt idx="6">
                  <c:v>106.38499407837655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'17.5'!$AV$16</c:f>
              <c:strCache>
                <c:ptCount val="1"/>
                <c:pt idx="0">
                  <c:v>Excluding fish</c:v>
                </c:pt>
              </c:strCache>
            </c:strRef>
          </c:tx>
          <c:spPr>
            <a:ln>
              <a:solidFill>
                <a:srgbClr val="33CCCC"/>
              </a:solidFill>
            </a:ln>
          </c:spPr>
          <c:marker>
            <c:symbol val="square"/>
            <c:size val="5"/>
            <c:spPr>
              <a:solidFill>
                <a:srgbClr val="33CCCC"/>
              </a:solidFill>
              <a:ln>
                <a:solidFill>
                  <a:schemeClr val="accent5">
                    <a:lumMod val="50000"/>
                  </a:schemeClr>
                </a:solidFill>
              </a:ln>
            </c:spPr>
          </c:marker>
          <c:cat>
            <c:numRef>
              <c:f>'17.5'!$AT$19:$AT$25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'17.5'!$AV$19:$AV$25</c:f>
              <c:numCache>
                <c:formatCode>_(* #,##0.0_);_(* \(#,##0.0\);_(* "-"??_);_(@_)</c:formatCode>
                <c:ptCount val="7"/>
                <c:pt idx="0" formatCode="0.0">
                  <c:v>79.51493809042644</c:v>
                </c:pt>
                <c:pt idx="1">
                  <c:v>84.338371332150743</c:v>
                </c:pt>
                <c:pt idx="2">
                  <c:v>91.679051572020867</c:v>
                </c:pt>
                <c:pt idx="3">
                  <c:v>100.14126599840249</c:v>
                </c:pt>
                <c:pt idx="4" formatCode="0.0">
                  <c:v>103.07423491391059</c:v>
                </c:pt>
                <c:pt idx="5" formatCode="0.0">
                  <c:v>105.29983112357628</c:v>
                </c:pt>
                <c:pt idx="6" formatCode="0.0">
                  <c:v>106.44622541898161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80032"/>
        <c:axId val="138790400"/>
      </c:lineChart>
      <c:catAx>
        <c:axId val="13878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138790400"/>
        <c:crosses val="autoZero"/>
        <c:auto val="1"/>
        <c:lblAlgn val="ctr"/>
        <c:lblOffset val="100"/>
        <c:noMultiLvlLbl val="0"/>
      </c:catAx>
      <c:valAx>
        <c:axId val="138790400"/>
        <c:scaling>
          <c:orientation val="minMax"/>
          <c:max val="110"/>
          <c:min val="60"/>
        </c:scaling>
        <c:delete val="0"/>
        <c:axPos val="l"/>
        <c:majorGridlines>
          <c:spPr>
            <a:ln>
              <a:solidFill>
                <a:srgbClr val="AEF8EC"/>
              </a:solidFill>
            </a:ln>
          </c:spPr>
        </c:majorGridlines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138780032"/>
        <c:crosses val="autoZero"/>
        <c:crossBetween val="between"/>
      </c:valAx>
      <c:spPr>
        <a:solidFill>
          <a:srgbClr val="E7FFFF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2171042715676726"/>
          <c:y val="0.58025468566125371"/>
          <c:w val="0.49414443284706638"/>
          <c:h val="5.7346522182892136E-2"/>
        </c:manualLayout>
      </c:layout>
      <c:overlay val="0"/>
      <c:txPr>
        <a:bodyPr/>
        <a:lstStyle/>
        <a:p>
          <a:pPr>
            <a:defRPr lang="en-AU" sz="1200"/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</c:spPr>
  <c:printSettings>
    <c:headerFooter/>
    <c:pageMargins b="0.75000000000000455" l="0.70000000000000062" r="0.70000000000000062" t="0.75000000000000455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26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31745" name="Text 10"/>
        <xdr:cNvSpPr txBox="1">
          <a:spLocks noChangeArrowheads="1"/>
        </xdr:cNvSpPr>
      </xdr:nvSpPr>
      <xdr:spPr bwMode="auto">
        <a:xfrm>
          <a:off x="3752850" y="54102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271803</xdr:colOff>
      <xdr:row>70</xdr:row>
      <xdr:rowOff>246255</xdr:rowOff>
    </xdr:from>
    <xdr:to>
      <xdr:col>9</xdr:col>
      <xdr:colOff>23232</xdr:colOff>
      <xdr:row>89</xdr:row>
      <xdr:rowOff>11615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409182</xdr:colOff>
      <xdr:row>70</xdr:row>
      <xdr:rowOff>248347</xdr:rowOff>
    </xdr:from>
    <xdr:to>
      <xdr:col>21</xdr:col>
      <xdr:colOff>673719</xdr:colOff>
      <xdr:row>88</xdr:row>
      <xdr:rowOff>81311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49</xdr:row>
      <xdr:rowOff>0</xdr:rowOff>
    </xdr:from>
    <xdr:to>
      <xdr:col>2</xdr:col>
      <xdr:colOff>0</xdr:colOff>
      <xdr:row>49</xdr:row>
      <xdr:rowOff>0</xdr:rowOff>
    </xdr:to>
    <xdr:sp macro="" textlink="">
      <xdr:nvSpPr>
        <xdr:cNvPr id="6" name="Text 10"/>
        <xdr:cNvSpPr txBox="1">
          <a:spLocks noChangeArrowheads="1"/>
        </xdr:cNvSpPr>
      </xdr:nvSpPr>
      <xdr:spPr bwMode="auto">
        <a:xfrm>
          <a:off x="2976563" y="5298281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1190707</xdr:colOff>
      <xdr:row>71</xdr:row>
      <xdr:rowOff>58244</xdr:rowOff>
    </xdr:from>
    <xdr:to>
      <xdr:col>7</xdr:col>
      <xdr:colOff>197246</xdr:colOff>
      <xdr:row>72</xdr:row>
      <xdr:rowOff>121436</xdr:rowOff>
    </xdr:to>
    <xdr:sp macro="" textlink="">
      <xdr:nvSpPr>
        <xdr:cNvPr id="7" name="TextBox 6"/>
        <xdr:cNvSpPr txBox="1"/>
      </xdr:nvSpPr>
      <xdr:spPr>
        <a:xfrm>
          <a:off x="1190707" y="9966567"/>
          <a:ext cx="4605380" cy="2258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      Figure 17.2</a:t>
          </a:r>
          <a:r>
            <a:rPr lang="en-US" sz="12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: </a:t>
          </a:r>
          <a:r>
            <a:rPr lang="en-US" sz="1200" b="1">
              <a:latin typeface="Consolas" pitchFamily="49" charset="0"/>
              <a:cs typeface="Consolas" pitchFamily="49" charset="0"/>
            </a:rPr>
            <a:t>Consumer Price Index, 2013 - 2015</a:t>
          </a:r>
          <a:endParaRPr lang="en-US" sz="1100" b="1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1859482</xdr:colOff>
      <xdr:row>72</xdr:row>
      <xdr:rowOff>151007</xdr:rowOff>
    </xdr:from>
    <xdr:to>
      <xdr:col>7</xdr:col>
      <xdr:colOff>174238</xdr:colOff>
      <xdr:row>72</xdr:row>
      <xdr:rowOff>155191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1859482" y="10221952"/>
          <a:ext cx="3913597" cy="4184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12</xdr:col>
      <xdr:colOff>11616</xdr:colOff>
      <xdr:row>72</xdr:row>
      <xdr:rowOff>127775</xdr:rowOff>
    </xdr:from>
    <xdr:to>
      <xdr:col>19</xdr:col>
      <xdr:colOff>428841</xdr:colOff>
      <xdr:row>72</xdr:row>
      <xdr:rowOff>131959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 flipV="1">
          <a:off x="8107866" y="10198720"/>
          <a:ext cx="3913597" cy="4184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0.0686</cdr:x>
      <cdr:y>0.0246</cdr:y>
    </cdr:from>
    <cdr:to>
      <cdr:x>0.94253</cdr:x>
      <cdr:y>0.13478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429320" y="73629"/>
          <a:ext cx="5469331" cy="329682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 Figure 17.3: </a:t>
          </a:r>
          <a:r>
            <a:rPr lang="en-US" sz="1100" b="1">
              <a:latin typeface="Consolas" pitchFamily="49" charset="0"/>
              <a:cs typeface="Consolas" pitchFamily="49" charset="0"/>
            </a:rPr>
            <a:t>Consumer Price Index, 2011 - 2015</a:t>
          </a: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T2/PES/STI/CPI%20(consumer%20price%20index)/Rebasing%202010/Documentation/Writeup/Tables/2015/Annual/Graphs%20&amp;%20tables%20used_annual%202015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  <cell r="O60">
            <v>2002</v>
          </cell>
          <cell r="P60">
            <v>2003</v>
          </cell>
          <cell r="Q60">
            <v>2004</v>
          </cell>
          <cell r="R60">
            <v>2005</v>
          </cell>
          <cell r="S60">
            <v>2006</v>
          </cell>
          <cell r="T60">
            <v>2007</v>
          </cell>
          <cell r="U60">
            <v>2008</v>
          </cell>
          <cell r="V60">
            <v>2009</v>
          </cell>
          <cell r="W60">
            <v>2010</v>
          </cell>
          <cell r="X60">
            <v>2011</v>
          </cell>
          <cell r="Y60">
            <v>2012</v>
          </cell>
          <cell r="Z60">
            <v>2013</v>
          </cell>
          <cell r="AA60">
            <v>2014</v>
          </cell>
          <cell r="AB60">
            <v>2015</v>
          </cell>
        </row>
        <row r="61">
          <cell r="L61" t="str">
            <v>over all</v>
          </cell>
          <cell r="N61">
            <v>0.7</v>
          </cell>
          <cell r="O61">
            <v>4.2</v>
          </cell>
          <cell r="P61">
            <v>-1.3</v>
          </cell>
          <cell r="Q61">
            <v>-1.7</v>
          </cell>
          <cell r="R61">
            <v>1.3</v>
          </cell>
          <cell r="S61">
            <v>2.7</v>
          </cell>
          <cell r="T61">
            <v>6.8</v>
          </cell>
          <cell r="U61">
            <v>12</v>
          </cell>
          <cell r="V61">
            <v>4.5</v>
          </cell>
          <cell r="W61">
            <v>6.2</v>
          </cell>
          <cell r="X61">
            <v>11.3</v>
          </cell>
          <cell r="Y61">
            <v>10.9</v>
          </cell>
          <cell r="Z61">
            <v>3.8</v>
          </cell>
          <cell r="AA61">
            <v>2.1</v>
          </cell>
          <cell r="AB61">
            <v>0.95</v>
          </cell>
        </row>
        <row r="62">
          <cell r="L62" t="str">
            <v>Food and non-alchoholic beverages</v>
          </cell>
          <cell r="N62">
            <v>1.9390581717451405</v>
          </cell>
          <cell r="O62">
            <v>3.5326086956521854</v>
          </cell>
          <cell r="P62">
            <v>-6.0367454068241582</v>
          </cell>
          <cell r="Q62">
            <v>15.921787709497215</v>
          </cell>
          <cell r="R62">
            <v>7.9518072289156558</v>
          </cell>
          <cell r="S62">
            <v>4</v>
          </cell>
          <cell r="T62">
            <v>16.2</v>
          </cell>
          <cell r="U62">
            <v>19.100000000000001</v>
          </cell>
          <cell r="V62">
            <v>0.5</v>
          </cell>
          <cell r="W62">
            <v>7.5</v>
          </cell>
          <cell r="X62">
            <v>19.899999999999999</v>
          </cell>
          <cell r="Y62">
            <v>17.625899280575524</v>
          </cell>
          <cell r="Z62">
            <v>7.2</v>
          </cell>
          <cell r="AA62">
            <v>0.7</v>
          </cell>
          <cell r="AB62">
            <v>0.48</v>
          </cell>
        </row>
      </sheetData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graph"/>
      <sheetName val="Male"/>
      <sheetName val="Male , month on month &amp; monthly"/>
      <sheetName val="Atolls"/>
      <sheetName val="Atolls month on month"/>
      <sheetName val="graph (monthly n MnM)"/>
      <sheetName val="Annual"/>
      <sheetName val="annual work"/>
      <sheetName val="Annual CPI 2015"/>
      <sheetName val="Sheet2"/>
      <sheetName val="Sheet3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3">
          <cell r="C13">
            <v>0.48382916630824724</v>
          </cell>
          <cell r="P13">
            <v>0.90051165491358276</v>
          </cell>
          <cell r="Q13">
            <v>-0.46573909311584671</v>
          </cell>
          <cell r="R13">
            <v>3.5208490045548935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36"/>
  <sheetViews>
    <sheetView showGridLines="0" tabSelected="1" zoomScaleNormal="100" zoomScaleSheetLayoutView="100" workbookViewId="0">
      <pane xSplit="7" ySplit="19" topLeftCell="H20" activePane="bottomRight" state="frozen"/>
      <selection pane="topRight" activeCell="H1" sqref="H1"/>
      <selection pane="bottomLeft" activeCell="A20" sqref="A20"/>
      <selection pane="bottomRight" activeCell="S18" sqref="S18"/>
    </sheetView>
  </sheetViews>
  <sheetFormatPr defaultColWidth="9.140625" defaultRowHeight="12.75" x14ac:dyDescent="0.2"/>
  <cols>
    <col min="1" max="1" width="35.28515625" style="106" customWidth="1"/>
    <col min="2" max="2" width="11.140625" style="82" customWidth="1"/>
    <col min="3" max="21" width="7.42578125" style="3" customWidth="1"/>
    <col min="22" max="22" width="36.5703125" style="3" customWidth="1"/>
    <col min="23" max="44" width="9.140625" style="3" customWidth="1"/>
    <col min="45" max="55" width="9.140625" style="3"/>
    <col min="56" max="56" width="36" style="3" customWidth="1"/>
    <col min="57" max="16384" width="9.140625" style="3"/>
  </cols>
  <sheetData>
    <row r="1" spans="1:53" ht="19.5" x14ac:dyDescent="0.2">
      <c r="A1" s="122" t="s">
        <v>55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53" ht="15.75" x14ac:dyDescent="0.2">
      <c r="A2" s="134" t="s">
        <v>56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</row>
    <row r="3" spans="1:53" ht="15" customHeight="1" x14ac:dyDescent="0.2">
      <c r="A3" s="138" t="s">
        <v>39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</row>
    <row r="4" spans="1:53" x14ac:dyDescent="0.2">
      <c r="A4" s="137" t="s">
        <v>38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</row>
    <row r="5" spans="1:53" ht="16.5" customHeight="1" x14ac:dyDescent="0.4">
      <c r="A5" s="4"/>
      <c r="B5" s="135" t="s">
        <v>29</v>
      </c>
      <c r="C5" s="123"/>
      <c r="D5" s="123"/>
      <c r="E5" s="123"/>
      <c r="F5" s="123"/>
      <c r="G5" s="123"/>
      <c r="H5" s="123"/>
      <c r="I5" s="123"/>
      <c r="J5" s="117"/>
      <c r="K5" s="117"/>
      <c r="L5" s="117"/>
      <c r="M5" s="126" t="s">
        <v>0</v>
      </c>
      <c r="N5" s="127"/>
      <c r="O5" s="127"/>
      <c r="P5" s="127"/>
      <c r="Q5" s="127"/>
      <c r="R5" s="127"/>
      <c r="S5" s="127"/>
      <c r="T5" s="127"/>
      <c r="U5" s="127"/>
      <c r="V5" s="5"/>
    </row>
    <row r="6" spans="1:53" ht="27.75" customHeight="1" x14ac:dyDescent="0.4">
      <c r="A6" s="36" t="s">
        <v>47</v>
      </c>
      <c r="B6" s="136"/>
      <c r="C6" s="124"/>
      <c r="D6" s="124"/>
      <c r="E6" s="124"/>
      <c r="F6" s="124"/>
      <c r="G6" s="124"/>
      <c r="H6" s="124"/>
      <c r="I6" s="124"/>
      <c r="J6" s="118"/>
      <c r="K6" s="118"/>
      <c r="L6" s="118"/>
      <c r="M6" s="128" t="s">
        <v>26</v>
      </c>
      <c r="N6" s="129"/>
      <c r="O6" s="129"/>
      <c r="P6" s="129"/>
      <c r="Q6" s="129"/>
      <c r="R6" s="129"/>
      <c r="S6" s="129"/>
      <c r="T6" s="129"/>
      <c r="U6" s="129"/>
      <c r="V6" s="37" t="s">
        <v>8</v>
      </c>
    </row>
    <row r="7" spans="1:53" x14ac:dyDescent="0.2">
      <c r="A7" s="26"/>
      <c r="B7" s="26" t="s">
        <v>1</v>
      </c>
      <c r="C7" s="26">
        <v>2006</v>
      </c>
      <c r="D7" s="26">
        <v>2007</v>
      </c>
      <c r="E7" s="26">
        <v>2008</v>
      </c>
      <c r="F7" s="26">
        <v>2009</v>
      </c>
      <c r="G7" s="26">
        <v>2010</v>
      </c>
      <c r="H7" s="26">
        <v>2011</v>
      </c>
      <c r="I7" s="26">
        <v>2012</v>
      </c>
      <c r="J7" s="26">
        <v>2013</v>
      </c>
      <c r="K7" s="26">
        <v>2014</v>
      </c>
      <c r="L7" s="26">
        <v>2015</v>
      </c>
      <c r="M7" s="39">
        <v>2007</v>
      </c>
      <c r="N7" s="40">
        <v>2008</v>
      </c>
      <c r="O7" s="40">
        <v>2009</v>
      </c>
      <c r="P7" s="40">
        <v>2010</v>
      </c>
      <c r="Q7" s="40">
        <v>2011</v>
      </c>
      <c r="R7" s="40">
        <v>2012</v>
      </c>
      <c r="S7" s="40">
        <v>2013</v>
      </c>
      <c r="T7" s="40">
        <v>2014</v>
      </c>
      <c r="U7" s="26">
        <v>2015</v>
      </c>
      <c r="V7" s="27"/>
      <c r="AS7" s="11"/>
    </row>
    <row r="8" spans="1:53" s="11" customFormat="1" ht="15" x14ac:dyDescent="0.2">
      <c r="A8" s="6" t="s">
        <v>32</v>
      </c>
      <c r="B8" s="41">
        <v>28.43529313839241</v>
      </c>
      <c r="C8" s="7">
        <v>46.54226956659236</v>
      </c>
      <c r="D8" s="7">
        <v>54.070703301292049</v>
      </c>
      <c r="E8" s="8">
        <v>64.381973226397193</v>
      </c>
      <c r="F8" s="9">
        <v>64.715472651196961</v>
      </c>
      <c r="G8" s="9">
        <v>69.554480633976965</v>
      </c>
      <c r="H8" s="9">
        <v>83.416709968576413</v>
      </c>
      <c r="I8" s="9">
        <v>98.126990664931839</v>
      </c>
      <c r="J8" s="9">
        <v>105.15731822206406</v>
      </c>
      <c r="K8" s="9">
        <v>105.91516633353841</v>
      </c>
      <c r="L8" s="7">
        <v>106.42761479980396</v>
      </c>
      <c r="M8" s="42">
        <v>16.175476195736561</v>
      </c>
      <c r="N8" s="10">
        <v>19.06997559778134</v>
      </c>
      <c r="O8" s="10">
        <v>0.51800124800001068</v>
      </c>
      <c r="P8" s="10">
        <v>7.4773586354862198</v>
      </c>
      <c r="Q8" s="10">
        <v>19.930030687092536</v>
      </c>
      <c r="R8" s="10">
        <v>17.634692979256638</v>
      </c>
      <c r="S8" s="10">
        <v>7.1645196795428578</v>
      </c>
      <c r="T8" s="10">
        <v>0.72068033332113313</v>
      </c>
      <c r="U8" s="10">
        <f>'[4]annual work'!$C$13</f>
        <v>0.48382916630824724</v>
      </c>
      <c r="V8" s="1" t="s">
        <v>34</v>
      </c>
      <c r="AT8" s="43" t="s">
        <v>50</v>
      </c>
    </row>
    <row r="9" spans="1:53" s="11" customFormat="1" ht="15" x14ac:dyDescent="0.2">
      <c r="A9" s="6" t="s">
        <v>33</v>
      </c>
      <c r="B9" s="41">
        <f>B8-B10</f>
        <v>19.788959216936362</v>
      </c>
      <c r="C9" s="7">
        <v>56.866771691184077</v>
      </c>
      <c r="D9" s="7">
        <v>62.767090501684173</v>
      </c>
      <c r="E9" s="8">
        <v>76.153290746199403</v>
      </c>
      <c r="F9" s="9">
        <v>78.381813378991197</v>
      </c>
      <c r="G9" s="9">
        <v>84.204150454829019</v>
      </c>
      <c r="H9" s="9">
        <v>94.794400673064558</v>
      </c>
      <c r="I9" s="9">
        <v>100.0268178957039</v>
      </c>
      <c r="J9" s="9">
        <v>105.46827201556327</v>
      </c>
      <c r="K9" s="9">
        <v>105.77637644985344</v>
      </c>
      <c r="L9" s="7">
        <v>106.72890504792964</v>
      </c>
      <c r="M9" s="44">
        <v>10.375688007298667</v>
      </c>
      <c r="N9" s="10">
        <v>21.326781498906744</v>
      </c>
      <c r="O9" s="10">
        <v>2.9263641937929075</v>
      </c>
      <c r="P9" s="10">
        <v>7.4281734816285638</v>
      </c>
      <c r="Q9" s="10">
        <v>12.576874371432133</v>
      </c>
      <c r="R9" s="10">
        <v>5.5197534722386976</v>
      </c>
      <c r="S9" s="10">
        <v>5.4399952276129371</v>
      </c>
      <c r="T9" s="10">
        <v>0.29212997274166153</v>
      </c>
      <c r="U9" s="10">
        <f>'[4]annual work'!$P$13</f>
        <v>0.90051165491358276</v>
      </c>
      <c r="V9" s="1" t="s">
        <v>35</v>
      </c>
      <c r="AT9" s="43"/>
      <c r="AU9" s="11">
        <v>2009</v>
      </c>
      <c r="AV9" s="11">
        <v>2010</v>
      </c>
      <c r="AW9" s="11">
        <v>2011</v>
      </c>
      <c r="AX9" s="11">
        <v>2012</v>
      </c>
      <c r="AY9" s="11">
        <v>2013</v>
      </c>
      <c r="AZ9" s="11">
        <v>2014</v>
      </c>
      <c r="BA9" s="11">
        <v>2015</v>
      </c>
    </row>
    <row r="10" spans="1:53" s="11" customFormat="1" ht="15" x14ac:dyDescent="0.2">
      <c r="A10" s="12" t="s">
        <v>2</v>
      </c>
      <c r="B10" s="41">
        <v>8.646333921456046</v>
      </c>
      <c r="C10" s="7">
        <v>22.898483196595674</v>
      </c>
      <c r="D10" s="7">
        <v>34.155406788630842</v>
      </c>
      <c r="E10" s="8">
        <v>37.424884799955599</v>
      </c>
      <c r="F10" s="9">
        <v>33.418656908585071</v>
      </c>
      <c r="G10" s="9">
        <v>36.005776836416281</v>
      </c>
      <c r="H10" s="9">
        <v>57.361052741283949</v>
      </c>
      <c r="I10" s="9">
        <v>93.7760772522998</v>
      </c>
      <c r="J10" s="9">
        <v>104.44563486657425</v>
      </c>
      <c r="K10" s="9">
        <v>106.23281626157906</v>
      </c>
      <c r="L10" s="7">
        <v>105.73804850653096</v>
      </c>
      <c r="M10" s="44">
        <v>49.160127749023744</v>
      </c>
      <c r="N10" s="10">
        <v>9.5723585772459643</v>
      </c>
      <c r="O10" s="10">
        <v>-10.704716695281002</v>
      </c>
      <c r="P10" s="10">
        <v>7.7415436979054508</v>
      </c>
      <c r="Q10" s="10">
        <v>59.310693397590896</v>
      </c>
      <c r="R10" s="10">
        <v>63.483884571050076</v>
      </c>
      <c r="S10" s="10">
        <v>11.377696665183112</v>
      </c>
      <c r="T10" s="10">
        <v>1.7111116202107146</v>
      </c>
      <c r="U10" s="10">
        <f>'[4]annual work'!$Q$13</f>
        <v>-0.46573909311584671</v>
      </c>
      <c r="V10" s="1" t="s">
        <v>3</v>
      </c>
      <c r="AT10" s="43" t="s">
        <v>46</v>
      </c>
      <c r="AU10" s="35">
        <f>F23</f>
        <v>75.900734670117231</v>
      </c>
      <c r="AV10" s="45">
        <f>G23</f>
        <v>80.568542845421106</v>
      </c>
      <c r="AW10" s="45">
        <f>H23</f>
        <v>89.651368722070842</v>
      </c>
      <c r="AX10" s="45">
        <f>I23</f>
        <v>99.409647361204449</v>
      </c>
      <c r="AY10" s="45">
        <f>J23</f>
        <v>103.19281073321666</v>
      </c>
      <c r="AZ10" s="45">
        <f t="shared" ref="AZ10" si="0">K23</f>
        <v>105.38050013404563</v>
      </c>
      <c r="BA10" s="45">
        <f>L23</f>
        <v>106.38499407837655</v>
      </c>
    </row>
    <row r="11" spans="1:53" s="11" customFormat="1" ht="15" x14ac:dyDescent="0.2">
      <c r="A11" s="12" t="s">
        <v>28</v>
      </c>
      <c r="B11" s="41">
        <v>2.254164063270403</v>
      </c>
      <c r="C11" s="7">
        <v>49.327553362016907</v>
      </c>
      <c r="D11" s="7">
        <v>49.926435555846972</v>
      </c>
      <c r="E11" s="8">
        <v>51.632567552779186</v>
      </c>
      <c r="F11" s="9">
        <v>50.700704461040182</v>
      </c>
      <c r="G11" s="9">
        <v>50.532891620339313</v>
      </c>
      <c r="H11" s="9">
        <v>64.296766109008189</v>
      </c>
      <c r="I11" s="9">
        <v>101.2436810917912</v>
      </c>
      <c r="J11" s="9">
        <v>98.00579870542515</v>
      </c>
      <c r="K11" s="9">
        <v>100.18505236961772</v>
      </c>
      <c r="L11" s="7">
        <v>117.46360163260034</v>
      </c>
      <c r="M11" s="44">
        <v>1.2140926379113903</v>
      </c>
      <c r="N11" s="10">
        <v>3.4172918173254407</v>
      </c>
      <c r="O11" s="10">
        <v>-1.8047971191563317</v>
      </c>
      <c r="P11" s="10">
        <v>-0.33098719728800186</v>
      </c>
      <c r="Q11" s="10">
        <v>27.237456728340014</v>
      </c>
      <c r="R11" s="10">
        <v>57.463099963913479</v>
      </c>
      <c r="S11" s="10">
        <v>-3.1981081203778738</v>
      </c>
      <c r="T11" s="10">
        <v>2.2235966575230304</v>
      </c>
      <c r="U11" s="10">
        <v>17.246633958163748</v>
      </c>
      <c r="V11" s="1" t="s">
        <v>9</v>
      </c>
      <c r="AT11" s="43" t="s">
        <v>25</v>
      </c>
      <c r="AU11" s="35">
        <f>F44</f>
        <v>75.900734670117231</v>
      </c>
      <c r="AV11" s="45">
        <f>G44</f>
        <v>80.568542845421106</v>
      </c>
      <c r="AW11" s="45">
        <f>H44</f>
        <v>89.651368722070842</v>
      </c>
      <c r="AX11" s="45">
        <f>I44</f>
        <v>99.415139330518244</v>
      </c>
      <c r="AY11" s="45">
        <f t="shared" ref="AY11:AZ11" si="1">J44</f>
        <v>103.38895723436703</v>
      </c>
      <c r="AZ11" s="45">
        <f t="shared" si="1"/>
        <v>105.92043432963987</v>
      </c>
      <c r="BA11" s="45">
        <f>L44</f>
        <v>107.37293678888472</v>
      </c>
    </row>
    <row r="12" spans="1:53" s="11" customFormat="1" ht="15" x14ac:dyDescent="0.2">
      <c r="A12" s="12" t="s">
        <v>4</v>
      </c>
      <c r="B12" s="41">
        <v>3.890313123952799</v>
      </c>
      <c r="C12" s="7">
        <v>67.493428550865232</v>
      </c>
      <c r="D12" s="7">
        <v>66.522696340505789</v>
      </c>
      <c r="E12" s="8">
        <v>68.251967675022911</v>
      </c>
      <c r="F12" s="9">
        <v>70.445891756658199</v>
      </c>
      <c r="G12" s="9">
        <v>72.534285938334179</v>
      </c>
      <c r="H12" s="9">
        <v>81.881292827210913</v>
      </c>
      <c r="I12" s="9">
        <v>98.359038463336105</v>
      </c>
      <c r="J12" s="9">
        <v>101.52586212230904</v>
      </c>
      <c r="K12" s="9">
        <v>102.46527730468375</v>
      </c>
      <c r="L12" s="7">
        <v>101.54061731751705</v>
      </c>
      <c r="M12" s="44">
        <v>-1.4382618148192972</v>
      </c>
      <c r="N12" s="10">
        <v>2.5995208096581068</v>
      </c>
      <c r="O12" s="10">
        <v>3.2144481051176621</v>
      </c>
      <c r="P12" s="10">
        <v>2.964536511071425</v>
      </c>
      <c r="Q12" s="10">
        <v>12.886329227564453</v>
      </c>
      <c r="R12" s="10">
        <v>20.123944147898555</v>
      </c>
      <c r="S12" s="10">
        <v>3.2196569918212292</v>
      </c>
      <c r="T12" s="10">
        <v>0.92529643456067401</v>
      </c>
      <c r="U12" s="10">
        <v>-0.90241300418013592</v>
      </c>
      <c r="V12" s="1" t="s">
        <v>10</v>
      </c>
      <c r="AT12" s="43"/>
      <c r="AU12" s="35"/>
      <c r="AV12" s="35"/>
      <c r="AW12" s="35"/>
      <c r="AX12" s="35"/>
    </row>
    <row r="13" spans="1:53" s="11" customFormat="1" ht="15" x14ac:dyDescent="0.2">
      <c r="A13" s="12" t="s">
        <v>40</v>
      </c>
      <c r="B13" s="41">
        <v>23.290469082093963</v>
      </c>
      <c r="C13" s="7">
        <v>70.128284933346336</v>
      </c>
      <c r="D13" s="7">
        <v>72.790167958905229</v>
      </c>
      <c r="E13" s="8">
        <v>80.824789456236729</v>
      </c>
      <c r="F13" s="9">
        <v>87.147430127106858</v>
      </c>
      <c r="G13" s="9">
        <v>93.758762276598645</v>
      </c>
      <c r="H13" s="9">
        <v>96.487654366096692</v>
      </c>
      <c r="I13" s="9">
        <v>99.951850044063292</v>
      </c>
      <c r="J13" s="9">
        <v>103.51724004351574</v>
      </c>
      <c r="K13" s="9">
        <v>106.69055604936631</v>
      </c>
      <c r="L13" s="7">
        <v>107.78553856963902</v>
      </c>
      <c r="M13" s="44">
        <v>3.7957338156620946</v>
      </c>
      <c r="N13" s="10">
        <v>11.038058741487667</v>
      </c>
      <c r="O13" s="10">
        <v>7.8226503445376405</v>
      </c>
      <c r="P13" s="10">
        <v>7.5863764884965379</v>
      </c>
      <c r="Q13" s="10">
        <v>2.9105461966824064</v>
      </c>
      <c r="R13" s="10">
        <v>3.5902994022661616</v>
      </c>
      <c r="S13" s="10">
        <v>3.5671075601708901</v>
      </c>
      <c r="T13" s="10">
        <v>3.0654951817847831</v>
      </c>
      <c r="U13" s="10">
        <v>1.0263162559262184</v>
      </c>
      <c r="V13" s="1" t="s">
        <v>11</v>
      </c>
    </row>
    <row r="14" spans="1:53" s="11" customFormat="1" ht="15" x14ac:dyDescent="0.2">
      <c r="A14" s="12" t="s">
        <v>41</v>
      </c>
      <c r="B14" s="41">
        <v>11.680398408355288</v>
      </c>
      <c r="C14" s="7">
        <v>64.647461828276832</v>
      </c>
      <c r="D14" s="7">
        <v>67.343842950624648</v>
      </c>
      <c r="E14" s="8">
        <v>74.851279000594886</v>
      </c>
      <c r="F14" s="9">
        <v>85.550267697798958</v>
      </c>
      <c r="G14" s="9">
        <v>91.040551259171139</v>
      </c>
      <c r="H14" s="9">
        <v>95.103608962918898</v>
      </c>
      <c r="I14" s="9">
        <v>100.07057660044312</v>
      </c>
      <c r="J14" s="9">
        <v>104.08964183574052</v>
      </c>
      <c r="K14" s="9">
        <v>108.54742074440985</v>
      </c>
      <c r="L14" s="7">
        <v>112.36921152715941</v>
      </c>
      <c r="M14" s="44">
        <v>4.1709002118446969</v>
      </c>
      <c r="N14" s="10">
        <v>11.147917494810278</v>
      </c>
      <c r="O14" s="10">
        <v>14.293661831909432</v>
      </c>
      <c r="P14" s="10">
        <v>6.4176111999628915</v>
      </c>
      <c r="Q14" s="10">
        <v>4.4629098215598351</v>
      </c>
      <c r="R14" s="10">
        <v>5.2226910121369263</v>
      </c>
      <c r="S14" s="10">
        <v>4.0162307161919708</v>
      </c>
      <c r="T14" s="10">
        <v>4.2826344966235608</v>
      </c>
      <c r="U14" s="10">
        <f>'[4]annual work'!$R$13</f>
        <v>3.5208490045548935</v>
      </c>
      <c r="V14" s="32" t="s">
        <v>44</v>
      </c>
    </row>
    <row r="15" spans="1:53" s="11" customFormat="1" ht="25.5" x14ac:dyDescent="0.2">
      <c r="A15" s="6" t="s">
        <v>27</v>
      </c>
      <c r="B15" s="41">
        <v>8.7141649537725758</v>
      </c>
      <c r="C15" s="7">
        <v>62.787235480784801</v>
      </c>
      <c r="D15" s="7">
        <v>65.996050857083574</v>
      </c>
      <c r="E15" s="8">
        <v>68.380911967950468</v>
      </c>
      <c r="F15" s="9">
        <v>75.858602553560274</v>
      </c>
      <c r="G15" s="9">
        <v>80.397772506783596</v>
      </c>
      <c r="H15" s="9">
        <v>83.774232067142066</v>
      </c>
      <c r="I15" s="9">
        <v>98.65523637265558</v>
      </c>
      <c r="J15" s="9">
        <v>97.029807398560521</v>
      </c>
      <c r="K15" s="9">
        <v>96.030794344264748</v>
      </c>
      <c r="L15" s="7">
        <v>96.619226474540611</v>
      </c>
      <c r="M15" s="44">
        <v>5.1106173917798703</v>
      </c>
      <c r="N15" s="10">
        <v>3.6136421496361759</v>
      </c>
      <c r="O15" s="10">
        <v>10.935347848409126</v>
      </c>
      <c r="P15" s="10">
        <v>5.9837247199728161</v>
      </c>
      <c r="Q15" s="10">
        <v>4.1996929206882916</v>
      </c>
      <c r="R15" s="10">
        <v>17.763223772182023</v>
      </c>
      <c r="S15" s="10">
        <v>-1.6475850992391683</v>
      </c>
      <c r="T15" s="10">
        <v>-1.0295939784691344</v>
      </c>
      <c r="U15" s="10">
        <v>0.61275358003014535</v>
      </c>
      <c r="V15" s="1" t="s">
        <v>30</v>
      </c>
      <c r="AT15" s="43" t="s">
        <v>51</v>
      </c>
    </row>
    <row r="16" spans="1:53" s="11" customFormat="1" ht="18.75" customHeight="1" x14ac:dyDescent="0.2">
      <c r="A16" s="13" t="s">
        <v>12</v>
      </c>
      <c r="B16" s="41">
        <v>5.4197286759786749</v>
      </c>
      <c r="C16" s="7">
        <v>87.683380878679159</v>
      </c>
      <c r="D16" s="7">
        <v>95.725018168451655</v>
      </c>
      <c r="E16" s="8">
        <v>115.02993652927483</v>
      </c>
      <c r="F16" s="9">
        <v>117.62003560285746</v>
      </c>
      <c r="G16" s="9">
        <v>123.09882000085349</v>
      </c>
      <c r="H16" s="9">
        <v>136.10400273752558</v>
      </c>
      <c r="I16" s="9">
        <v>103.11447443846129</v>
      </c>
      <c r="J16" s="9">
        <v>110.75985912203326</v>
      </c>
      <c r="K16" s="9">
        <v>120.99690521142638</v>
      </c>
      <c r="L16" s="7">
        <v>123.58711110547449</v>
      </c>
      <c r="M16" s="44">
        <v>9.171221740296609</v>
      </c>
      <c r="N16" s="10">
        <v>20.167056356000312</v>
      </c>
      <c r="O16" s="10">
        <v>2.2516739135324482</v>
      </c>
      <c r="P16" s="10">
        <v>4.6580366770973214</v>
      </c>
      <c r="Q16" s="10">
        <v>10.564831357913839</v>
      </c>
      <c r="R16" s="10">
        <v>-24.238470313532279</v>
      </c>
      <c r="S16" s="10">
        <v>7.4144631248009185</v>
      </c>
      <c r="T16" s="10">
        <v>9.2425596877241603</v>
      </c>
      <c r="U16" s="10">
        <v>2.140720780851435</v>
      </c>
      <c r="V16" s="1" t="s">
        <v>13</v>
      </c>
      <c r="AU16" s="43" t="s">
        <v>36</v>
      </c>
      <c r="AV16" s="43" t="s">
        <v>37</v>
      </c>
    </row>
    <row r="17" spans="1:62" s="11" customFormat="1" ht="15" x14ac:dyDescent="0.2">
      <c r="A17" s="13" t="s">
        <v>14</v>
      </c>
      <c r="B17" s="41">
        <v>5.4378723050111919</v>
      </c>
      <c r="C17" s="7">
        <v>60.859975065826738</v>
      </c>
      <c r="D17" s="7">
        <v>63.749393784738366</v>
      </c>
      <c r="E17" s="8">
        <v>77.220453300900303</v>
      </c>
      <c r="F17" s="9">
        <v>77.979582923899997</v>
      </c>
      <c r="G17" s="9">
        <v>80.571924425587255</v>
      </c>
      <c r="H17" s="9">
        <v>91.644770975471246</v>
      </c>
      <c r="I17" s="9">
        <v>99.95473548796538</v>
      </c>
      <c r="J17" s="9">
        <v>102.17949400970934</v>
      </c>
      <c r="K17" s="9">
        <v>105.37961599773739</v>
      </c>
      <c r="L17" s="7">
        <v>102.92917404156066</v>
      </c>
      <c r="M17" s="44">
        <v>4.7476501851773767</v>
      </c>
      <c r="N17" s="10">
        <v>21.13127469360645</v>
      </c>
      <c r="O17" s="10">
        <v>0.9830680740005926</v>
      </c>
      <c r="P17" s="10">
        <v>3.3243849280613746</v>
      </c>
      <c r="Q17" s="10">
        <v>13.742810077858314</v>
      </c>
      <c r="R17" s="10">
        <v>9.0675817332974695</v>
      </c>
      <c r="S17" s="10">
        <v>2.2257660038646376</v>
      </c>
      <c r="T17" s="10">
        <v>3.1318632168250593</v>
      </c>
      <c r="U17" s="10">
        <v>-2.3253472058859526</v>
      </c>
      <c r="V17" s="1" t="s">
        <v>15</v>
      </c>
      <c r="AT17" s="11">
        <v>2007</v>
      </c>
      <c r="AU17" s="35">
        <f>D23</f>
        <v>64.807540880908348</v>
      </c>
      <c r="AV17" s="35">
        <f>D24</f>
        <v>67.18924401230818</v>
      </c>
      <c r="AW17" s="35"/>
    </row>
    <row r="18" spans="1:62" s="11" customFormat="1" ht="15" x14ac:dyDescent="0.2">
      <c r="A18" s="13" t="s">
        <v>16</v>
      </c>
      <c r="B18" s="41">
        <v>4.7510307288693099</v>
      </c>
      <c r="C18" s="7">
        <v>115.34450273124089</v>
      </c>
      <c r="D18" s="7">
        <v>104.72754551977413</v>
      </c>
      <c r="E18" s="8">
        <v>100.9097966458598</v>
      </c>
      <c r="F18" s="9">
        <v>100.15439105359373</v>
      </c>
      <c r="G18" s="9">
        <v>100.38298344923554</v>
      </c>
      <c r="H18" s="9">
        <v>100.6195512642537</v>
      </c>
      <c r="I18" s="9">
        <v>100.00528180711392</v>
      </c>
      <c r="J18" s="9">
        <v>99.050815085253589</v>
      </c>
      <c r="K18" s="9">
        <v>100.28780520090577</v>
      </c>
      <c r="L18" s="7">
        <v>100.55782006117782</v>
      </c>
      <c r="M18" s="44">
        <v>-9.204562818398788</v>
      </c>
      <c r="N18" s="10">
        <v>-3.6454104361621664</v>
      </c>
      <c r="O18" s="10">
        <v>-0.74859490096600423</v>
      </c>
      <c r="P18" s="10">
        <v>0.22824001348027423</v>
      </c>
      <c r="Q18" s="10">
        <v>0.23566525609173272</v>
      </c>
      <c r="R18" s="10">
        <v>-0.61048717612200987</v>
      </c>
      <c r="S18" s="10">
        <v>-0.95441631143169392</v>
      </c>
      <c r="T18" s="10">
        <v>1.2488439540729646</v>
      </c>
      <c r="U18" s="10">
        <v>0.26923997362504615</v>
      </c>
      <c r="V18" s="1" t="s">
        <v>17</v>
      </c>
      <c r="AT18" s="11">
        <v>2008</v>
      </c>
      <c r="AU18" s="35">
        <f>E23</f>
        <v>72.611313924073201</v>
      </c>
      <c r="AV18" s="35">
        <f>E24</f>
        <v>75.385471686170362</v>
      </c>
      <c r="AW18" s="35"/>
    </row>
    <row r="19" spans="1:62" s="11" customFormat="1" ht="15" x14ac:dyDescent="0.2">
      <c r="A19" s="14" t="s">
        <v>18</v>
      </c>
      <c r="B19" s="41">
        <v>5.1031994041341724</v>
      </c>
      <c r="C19" s="7">
        <v>94.874945972791352</v>
      </c>
      <c r="D19" s="7">
        <v>96.624178349214034</v>
      </c>
      <c r="E19" s="8">
        <v>90.077187080296483</v>
      </c>
      <c r="F19" s="9">
        <v>94.587232125872092</v>
      </c>
      <c r="G19" s="9">
        <v>100.01905005623114</v>
      </c>
      <c r="H19" s="9">
        <v>97.89290317146407</v>
      </c>
      <c r="I19" s="9">
        <v>99.531777140452178</v>
      </c>
      <c r="J19" s="9">
        <v>98.82807875047888</v>
      </c>
      <c r="K19" s="9">
        <v>102.2003441480955</v>
      </c>
      <c r="L19" s="7">
        <v>101.95630588932649</v>
      </c>
      <c r="M19" s="44">
        <v>1.8437242398265274</v>
      </c>
      <c r="N19" s="10">
        <v>-6.7757277534156728</v>
      </c>
      <c r="O19" s="10">
        <v>5.0068671011621158</v>
      </c>
      <c r="P19" s="10">
        <v>5.7426544875852192</v>
      </c>
      <c r="Q19" s="10">
        <v>-2.1257419297341262</v>
      </c>
      <c r="R19" s="10">
        <v>1.6741499290480188</v>
      </c>
      <c r="S19" s="10">
        <v>-0.70700876663770673</v>
      </c>
      <c r="T19" s="10">
        <v>3.4122543312117948</v>
      </c>
      <c r="U19" s="10">
        <v>-0.2387841849293415</v>
      </c>
      <c r="V19" s="15" t="s">
        <v>19</v>
      </c>
      <c r="AT19" s="11">
        <v>2009</v>
      </c>
      <c r="AU19" s="35">
        <f>F23</f>
        <v>75.900734670117231</v>
      </c>
      <c r="AV19" s="35">
        <f>F24</f>
        <v>79.51493809042644</v>
      </c>
      <c r="AW19" s="35"/>
    </row>
    <row r="20" spans="1:62" s="11" customFormat="1" ht="15" x14ac:dyDescent="0.2">
      <c r="A20" s="12" t="s">
        <v>5</v>
      </c>
      <c r="B20" s="41">
        <v>2.4983461177360984</v>
      </c>
      <c r="C20" s="7">
        <v>47.049388033467601</v>
      </c>
      <c r="D20" s="7">
        <v>48.13102192510862</v>
      </c>
      <c r="E20" s="8">
        <v>49.012472981378899</v>
      </c>
      <c r="F20" s="9">
        <v>66.212440093936394</v>
      </c>
      <c r="G20" s="9">
        <v>72.465176121953334</v>
      </c>
      <c r="H20" s="9">
        <v>85.752154766717368</v>
      </c>
      <c r="I20" s="9">
        <v>100.26897294373833</v>
      </c>
      <c r="J20" s="9">
        <v>105.75107702222947</v>
      </c>
      <c r="K20" s="9">
        <v>110.56855328746506</v>
      </c>
      <c r="L20" s="7">
        <v>119.00762505009182</v>
      </c>
      <c r="M20" s="44">
        <v>2.2989329656564639</v>
      </c>
      <c r="N20" s="10">
        <v>1.8313574510049113</v>
      </c>
      <c r="O20" s="10">
        <v>35.093040743102691</v>
      </c>
      <c r="P20" s="10">
        <v>9.4434460037209114</v>
      </c>
      <c r="Q20" s="10">
        <v>18.335674258768186</v>
      </c>
      <c r="R20" s="10">
        <v>16.928808630538718</v>
      </c>
      <c r="S20" s="10">
        <v>5.4673982564548584</v>
      </c>
      <c r="T20" s="10">
        <v>4.5554867154903089</v>
      </c>
      <c r="U20" s="10">
        <v>7.6324339169801414</v>
      </c>
      <c r="V20" s="15" t="s">
        <v>6</v>
      </c>
      <c r="AT20" s="11">
        <v>2010</v>
      </c>
      <c r="AU20" s="35">
        <f>G23</f>
        <v>80.568542845421106</v>
      </c>
      <c r="AV20" s="45">
        <f>G24</f>
        <v>84.338371332150743</v>
      </c>
      <c r="AW20" s="35"/>
    </row>
    <row r="21" spans="1:62" s="11" customFormat="1" ht="15" x14ac:dyDescent="0.2">
      <c r="A21" s="12" t="s">
        <v>20</v>
      </c>
      <c r="B21" s="41">
        <v>3.0243474234302665</v>
      </c>
      <c r="C21" s="7">
        <v>49.094342913656533</v>
      </c>
      <c r="D21" s="7">
        <v>57.310377045571919</v>
      </c>
      <c r="E21" s="8">
        <v>66.268774405103429</v>
      </c>
      <c r="F21" s="9">
        <v>67.972496509520113</v>
      </c>
      <c r="G21" s="9">
        <v>70.167294544238487</v>
      </c>
      <c r="H21" s="9">
        <v>81.124231104476152</v>
      </c>
      <c r="I21" s="9">
        <v>103.56604942649903</v>
      </c>
      <c r="J21" s="9">
        <v>115.92908544747458</v>
      </c>
      <c r="K21" s="9">
        <v>121.3287709962447</v>
      </c>
      <c r="L21" s="7">
        <v>121.06073734975051</v>
      </c>
      <c r="M21" s="44">
        <v>16.735195226800649</v>
      </c>
      <c r="N21" s="10">
        <v>15.631370480092976</v>
      </c>
      <c r="O21" s="10">
        <v>2.5709274386180203</v>
      </c>
      <c r="P21" s="10">
        <v>3.2289501598796955</v>
      </c>
      <c r="Q21" s="10">
        <v>15.615446813799583</v>
      </c>
      <c r="R21" s="10">
        <v>27.663520524615027</v>
      </c>
      <c r="S21" s="10">
        <v>11.937344418790063</v>
      </c>
      <c r="T21" s="10">
        <v>4.6577487676434881</v>
      </c>
      <c r="U21" s="10">
        <v>-0.22091515828713826</v>
      </c>
      <c r="V21" s="15" t="s">
        <v>21</v>
      </c>
      <c r="AT21" s="11">
        <v>2011</v>
      </c>
      <c r="AU21" s="35">
        <f>H23</f>
        <v>89.651368722070842</v>
      </c>
      <c r="AV21" s="45">
        <f>H24</f>
        <v>91.679051572020867</v>
      </c>
      <c r="AW21" s="35"/>
    </row>
    <row r="22" spans="1:62" s="11" customFormat="1" ht="15" x14ac:dyDescent="0.2">
      <c r="A22" s="14" t="s">
        <v>22</v>
      </c>
      <c r="B22" s="41">
        <v>7.1810709833581452</v>
      </c>
      <c r="C22" s="7">
        <v>66.045812015945941</v>
      </c>
      <c r="D22" s="7">
        <v>67.578746700557247</v>
      </c>
      <c r="E22" s="8">
        <v>71.846737489273423</v>
      </c>
      <c r="F22" s="9">
        <v>76.948539555294857</v>
      </c>
      <c r="G22" s="9">
        <v>80.738363693637908</v>
      </c>
      <c r="H22" s="9">
        <v>86.725904563278689</v>
      </c>
      <c r="I22" s="9">
        <v>100.59989156921542</v>
      </c>
      <c r="J22" s="9">
        <v>99.01609787482279</v>
      </c>
      <c r="K22" s="9">
        <v>98.892634758290214</v>
      </c>
      <c r="L22" s="7">
        <v>98.735605526974709</v>
      </c>
      <c r="M22" s="44">
        <v>2.3210172421548769</v>
      </c>
      <c r="N22" s="10">
        <v>6.3155814469713745</v>
      </c>
      <c r="O22" s="10">
        <v>7.1009516149332708</v>
      </c>
      <c r="P22" s="10">
        <v>4.9251410881160362</v>
      </c>
      <c r="Q22" s="10">
        <v>7.4159799576327012</v>
      </c>
      <c r="R22" s="10">
        <v>15.997512018815229</v>
      </c>
      <c r="S22" s="10">
        <v>-1.5743493056381008</v>
      </c>
      <c r="T22" s="10">
        <v>-0.12468994353691532</v>
      </c>
      <c r="U22" s="10">
        <v>-0.15878758989413821</v>
      </c>
      <c r="V22" s="46" t="s">
        <v>45</v>
      </c>
      <c r="AT22" s="11">
        <v>2012</v>
      </c>
      <c r="AU22" s="35">
        <f>I23</f>
        <v>99.409647361204449</v>
      </c>
      <c r="AV22" s="45">
        <f>I24</f>
        <v>100.14126599840249</v>
      </c>
    </row>
    <row r="23" spans="1:62" s="21" customFormat="1" ht="15" x14ac:dyDescent="0.2">
      <c r="A23" s="16" t="s">
        <v>42</v>
      </c>
      <c r="B23" s="47">
        <f>SUM(B8,B12:B13,B11,B15:B22)</f>
        <v>100.00000000000003</v>
      </c>
      <c r="C23" s="17">
        <v>60.684187749186492</v>
      </c>
      <c r="D23" s="17">
        <v>64.807540880908348</v>
      </c>
      <c r="E23" s="18">
        <v>72.611313924073201</v>
      </c>
      <c r="F23" s="18">
        <v>75.900734670117231</v>
      </c>
      <c r="G23" s="18">
        <v>80.568542845421106</v>
      </c>
      <c r="H23" s="18">
        <v>89.651368722070842</v>
      </c>
      <c r="I23" s="18">
        <v>99.409647361204449</v>
      </c>
      <c r="J23" s="18">
        <v>103.19281073321666</v>
      </c>
      <c r="K23" s="18">
        <v>105.38050013404563</v>
      </c>
      <c r="L23" s="17">
        <v>106.38499407837655</v>
      </c>
      <c r="M23" s="48">
        <v>6.7947735393016462</v>
      </c>
      <c r="N23" s="19">
        <v>12.041458350510826</v>
      </c>
      <c r="O23" s="19">
        <v>4.5301765913279723</v>
      </c>
      <c r="P23" s="19">
        <v>6.1498853675017617</v>
      </c>
      <c r="Q23" s="19">
        <v>11.273414605593723</v>
      </c>
      <c r="R23" s="19">
        <v>10.884695658563071</v>
      </c>
      <c r="S23" s="19">
        <v>3.8056300091942941</v>
      </c>
      <c r="T23" s="19">
        <v>2.1200017571813001</v>
      </c>
      <c r="U23" s="19">
        <v>0.95</v>
      </c>
      <c r="V23" s="20" t="s">
        <v>7</v>
      </c>
      <c r="AT23" s="21">
        <v>2013</v>
      </c>
      <c r="AU23" s="49">
        <f>J23</f>
        <v>103.19281073321666</v>
      </c>
      <c r="AV23" s="49">
        <f>J24</f>
        <v>103.07423491391059</v>
      </c>
    </row>
    <row r="24" spans="1:62" s="25" customFormat="1" ht="15" x14ac:dyDescent="0.2">
      <c r="A24" s="22" t="s">
        <v>43</v>
      </c>
      <c r="B24" s="50">
        <f>B23-B10</f>
        <v>91.353666078543981</v>
      </c>
      <c r="C24" s="23">
        <v>64.052485645287277</v>
      </c>
      <c r="D24" s="23">
        <v>67.18924401230818</v>
      </c>
      <c r="E24" s="23">
        <v>75.385471686170362</v>
      </c>
      <c r="F24" s="23">
        <v>79.51493809042644</v>
      </c>
      <c r="G24" s="23">
        <v>84.338371332150743</v>
      </c>
      <c r="H24" s="23">
        <v>91.679051572020867</v>
      </c>
      <c r="I24" s="23">
        <v>100.14126599840249</v>
      </c>
      <c r="J24" s="23">
        <v>103.07423491391059</v>
      </c>
      <c r="K24" s="23">
        <v>105.29983112357628</v>
      </c>
      <c r="L24" s="111">
        <v>106.44622541898161</v>
      </c>
      <c r="M24" s="51">
        <v>4.8971688380553768</v>
      </c>
      <c r="N24" s="23">
        <v>12.198719890881261</v>
      </c>
      <c r="O24" s="23">
        <v>5.4778013745765852</v>
      </c>
      <c r="P24" s="23">
        <v>6.0660718068332953</v>
      </c>
      <c r="Q24" s="23">
        <v>8.7038439608470028</v>
      </c>
      <c r="R24" s="23">
        <v>9.2302595645133998</v>
      </c>
      <c r="S24" s="23">
        <v>2.9288314724869702</v>
      </c>
      <c r="T24" s="23">
        <v>2.159216812546938</v>
      </c>
      <c r="U24" s="23">
        <v>1.0900000000000001</v>
      </c>
      <c r="V24" s="24" t="s">
        <v>31</v>
      </c>
      <c r="AT24" s="21">
        <v>2014</v>
      </c>
      <c r="AU24" s="49">
        <f>K23</f>
        <v>105.38050013404563</v>
      </c>
      <c r="AV24" s="49">
        <f>K24</f>
        <v>105.29983112357628</v>
      </c>
    </row>
    <row r="25" spans="1:62" s="56" customFormat="1" ht="15.75" customHeight="1" x14ac:dyDescent="0.2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120"/>
      <c r="M25" s="53"/>
      <c r="N25" s="53"/>
      <c r="O25" s="53"/>
      <c r="P25" s="53"/>
      <c r="Q25" s="53"/>
      <c r="R25" s="53"/>
      <c r="S25" s="53"/>
      <c r="T25" s="53"/>
      <c r="U25" s="53"/>
      <c r="V25" s="54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3"/>
      <c r="AT25" s="21">
        <v>2015</v>
      </c>
      <c r="AU25" s="49">
        <f>L23</f>
        <v>106.38499407837655</v>
      </c>
      <c r="AV25" s="49">
        <f>L24</f>
        <v>106.44622541898161</v>
      </c>
    </row>
    <row r="26" spans="1:62" ht="21" customHeight="1" x14ac:dyDescent="0.2">
      <c r="A26" s="4"/>
      <c r="B26" s="123" t="s">
        <v>29</v>
      </c>
      <c r="C26" s="130"/>
      <c r="D26" s="130"/>
      <c r="E26" s="130"/>
      <c r="F26" s="130"/>
      <c r="G26" s="130"/>
      <c r="H26" s="130"/>
      <c r="I26" s="130"/>
      <c r="J26" s="130"/>
      <c r="K26" s="130"/>
      <c r="L26" s="131"/>
      <c r="M26" s="126" t="s">
        <v>0</v>
      </c>
      <c r="N26" s="127"/>
      <c r="O26" s="127"/>
      <c r="P26" s="127"/>
      <c r="Q26" s="127"/>
      <c r="R26" s="127"/>
      <c r="S26" s="127"/>
      <c r="T26" s="127"/>
      <c r="U26" s="127"/>
      <c r="V26" s="5"/>
    </row>
    <row r="27" spans="1:62" ht="28.5" customHeight="1" x14ac:dyDescent="0.2">
      <c r="A27" s="30" t="s">
        <v>23</v>
      </c>
      <c r="B27" s="124"/>
      <c r="C27" s="132"/>
      <c r="D27" s="132"/>
      <c r="E27" s="132"/>
      <c r="F27" s="132"/>
      <c r="G27" s="132"/>
      <c r="H27" s="132"/>
      <c r="I27" s="132"/>
      <c r="J27" s="132"/>
      <c r="K27" s="132"/>
      <c r="L27" s="133"/>
      <c r="M27" s="128" t="s">
        <v>26</v>
      </c>
      <c r="N27" s="129"/>
      <c r="O27" s="129"/>
      <c r="P27" s="129"/>
      <c r="Q27" s="129"/>
      <c r="R27" s="129"/>
      <c r="S27" s="129"/>
      <c r="T27" s="129"/>
      <c r="U27" s="129"/>
      <c r="V27" s="37" t="s">
        <v>24</v>
      </c>
    </row>
    <row r="28" spans="1:62" x14ac:dyDescent="0.2">
      <c r="A28" s="60"/>
      <c r="B28" s="61" t="s">
        <v>1</v>
      </c>
      <c r="C28" s="62">
        <v>2006</v>
      </c>
      <c r="D28" s="62">
        <v>2007</v>
      </c>
      <c r="E28" s="62">
        <v>2008</v>
      </c>
      <c r="F28" s="62">
        <v>2009</v>
      </c>
      <c r="G28" s="62">
        <v>2010</v>
      </c>
      <c r="H28" s="62">
        <v>2011</v>
      </c>
      <c r="I28" s="62">
        <v>2012</v>
      </c>
      <c r="J28" s="62">
        <v>2013</v>
      </c>
      <c r="K28" s="62">
        <v>2014</v>
      </c>
      <c r="L28" s="121">
        <v>2015</v>
      </c>
      <c r="M28" s="63">
        <v>2007</v>
      </c>
      <c r="N28" s="64">
        <v>2008</v>
      </c>
      <c r="O28" s="64">
        <v>2009</v>
      </c>
      <c r="P28" s="64">
        <v>2010</v>
      </c>
      <c r="Q28" s="64">
        <v>2011</v>
      </c>
      <c r="R28" s="64">
        <v>2012</v>
      </c>
      <c r="S28" s="64">
        <v>2013</v>
      </c>
      <c r="T28" s="40">
        <v>2014</v>
      </c>
      <c r="U28" s="26">
        <v>2015</v>
      </c>
      <c r="V28" s="27"/>
      <c r="AU28" s="107"/>
    </row>
    <row r="29" spans="1:62" s="29" customFormat="1" ht="18" customHeight="1" x14ac:dyDescent="0.2">
      <c r="A29" s="6" t="s">
        <v>32</v>
      </c>
      <c r="B29" s="41">
        <v>23.78411261195577</v>
      </c>
      <c r="C29" s="7">
        <v>46.54226956659236</v>
      </c>
      <c r="D29" s="7">
        <v>54.070703301292049</v>
      </c>
      <c r="E29" s="8">
        <v>64.381973226397193</v>
      </c>
      <c r="F29" s="9">
        <v>64.715472651196961</v>
      </c>
      <c r="G29" s="9">
        <v>69.554480633976965</v>
      </c>
      <c r="H29" s="9">
        <v>83.416709968576413</v>
      </c>
      <c r="I29" s="9">
        <v>98.167408450774488</v>
      </c>
      <c r="J29" s="9">
        <v>105.5418979724201</v>
      </c>
      <c r="K29" s="9">
        <v>106.60711823254361</v>
      </c>
      <c r="L29" s="9">
        <v>107.44921725072059</v>
      </c>
      <c r="M29" s="44">
        <v>16.175476195736561</v>
      </c>
      <c r="N29" s="10">
        <v>19.06997559778134</v>
      </c>
      <c r="O29" s="10">
        <v>0.51800124800001068</v>
      </c>
      <c r="P29" s="10">
        <v>7.4773586354862198</v>
      </c>
      <c r="Q29" s="10">
        <v>19.930030687092536</v>
      </c>
      <c r="R29" s="10">
        <v>17.683145844225635</v>
      </c>
      <c r="S29" s="10">
        <v>7.5121566699435816</v>
      </c>
      <c r="T29" s="9">
        <v>1.0092866251105947</v>
      </c>
      <c r="U29" s="9">
        <v>0.78990880922238382</v>
      </c>
      <c r="V29" s="1" t="s">
        <v>34</v>
      </c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T29" s="3"/>
      <c r="AU29" s="3"/>
      <c r="AV29" s="3"/>
      <c r="AW29" s="66"/>
      <c r="AX29" s="66"/>
      <c r="AY29" s="66"/>
      <c r="AZ29" s="66"/>
      <c r="BA29" s="66"/>
      <c r="BB29" s="66"/>
      <c r="BC29" s="67"/>
      <c r="BF29" s="31"/>
      <c r="BG29" s="31"/>
      <c r="BH29" s="31"/>
      <c r="BI29" s="68"/>
      <c r="BJ29" s="31"/>
    </row>
    <row r="30" spans="1:62" s="29" customFormat="1" ht="18" customHeight="1" x14ac:dyDescent="0.2">
      <c r="A30" s="6" t="s">
        <v>33</v>
      </c>
      <c r="B30" s="41">
        <f>B29-B31</f>
        <v>16.141190180918223</v>
      </c>
      <c r="C30" s="7">
        <v>56.866771691184077</v>
      </c>
      <c r="D30" s="7">
        <v>62.767090501684173</v>
      </c>
      <c r="E30" s="8">
        <v>76.153290746199403</v>
      </c>
      <c r="F30" s="9">
        <v>78.381813378991197</v>
      </c>
      <c r="G30" s="9">
        <v>84.204150454829019</v>
      </c>
      <c r="H30" s="9">
        <v>94.794400673064558</v>
      </c>
      <c r="I30" s="9">
        <v>99.776621425288184</v>
      </c>
      <c r="J30" s="9">
        <v>106.34377466951754</v>
      </c>
      <c r="K30" s="9">
        <v>106.61664175076959</v>
      </c>
      <c r="L30" s="9">
        <v>108.00177303732585</v>
      </c>
      <c r="M30" s="44">
        <v>10.375688007298667</v>
      </c>
      <c r="N30" s="10">
        <v>21.326781498906744</v>
      </c>
      <c r="O30" s="10">
        <v>2.9263641937929075</v>
      </c>
      <c r="P30" s="10">
        <v>7.4281734816285638</v>
      </c>
      <c r="Q30" s="10">
        <v>12.576874371432133</v>
      </c>
      <c r="R30" s="10">
        <v>5.2558175555186493</v>
      </c>
      <c r="S30" s="10">
        <v>6.5818556996809052</v>
      </c>
      <c r="T30" s="9">
        <v>0.25658961429573246</v>
      </c>
      <c r="U30" s="9">
        <v>1.2991698704918786</v>
      </c>
      <c r="V30" s="1" t="s">
        <v>35</v>
      </c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T30" s="3"/>
      <c r="AU30" s="107"/>
      <c r="AV30" s="3"/>
      <c r="AW30" s="69"/>
      <c r="AX30" s="69"/>
      <c r="AY30" s="69"/>
      <c r="AZ30" s="69"/>
      <c r="BA30" s="69"/>
      <c r="BB30" s="69"/>
      <c r="BC30" s="67"/>
      <c r="BF30" s="31"/>
      <c r="BG30" s="31"/>
      <c r="BH30" s="31"/>
      <c r="BI30" s="68"/>
      <c r="BJ30" s="31"/>
    </row>
    <row r="31" spans="1:62" s="29" customFormat="1" ht="15" x14ac:dyDescent="0.2">
      <c r="A31" s="12" t="s">
        <v>2</v>
      </c>
      <c r="B31" s="41">
        <v>7.6429224310375492</v>
      </c>
      <c r="C31" s="7">
        <v>22.898483196595674</v>
      </c>
      <c r="D31" s="7">
        <v>34.155406788630842</v>
      </c>
      <c r="E31" s="8">
        <v>37.424884799955599</v>
      </c>
      <c r="F31" s="9">
        <v>33.418656908585071</v>
      </c>
      <c r="G31" s="9">
        <v>36.005776836416281</v>
      </c>
      <c r="H31" s="9">
        <v>57.361052741283949</v>
      </c>
      <c r="I31" s="9">
        <v>94.406157167404913</v>
      </c>
      <c r="J31" s="9">
        <v>103.84840384287946</v>
      </c>
      <c r="K31" s="9">
        <v>106.58700538693205</v>
      </c>
      <c r="L31" s="9">
        <v>106.28226728915327</v>
      </c>
      <c r="M31" s="44">
        <v>49.160127749023744</v>
      </c>
      <c r="N31" s="10">
        <v>9.5723585772459643</v>
      </c>
      <c r="O31" s="10">
        <v>-10.704716695281002</v>
      </c>
      <c r="P31" s="10">
        <v>7.7415436979054508</v>
      </c>
      <c r="Q31" s="10">
        <v>59.310693397590896</v>
      </c>
      <c r="R31" s="10">
        <v>64.582330092869483</v>
      </c>
      <c r="S31" s="10">
        <v>10.001727597842125</v>
      </c>
      <c r="T31" s="9">
        <v>2.6371147198333666</v>
      </c>
      <c r="U31" s="9">
        <v>-0.28590548788993697</v>
      </c>
      <c r="V31" s="1" t="s">
        <v>3</v>
      </c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9"/>
      <c r="AT31" s="3"/>
      <c r="AU31" s="107"/>
      <c r="AV31" s="3"/>
      <c r="AW31" s="69"/>
      <c r="AX31" s="69"/>
      <c r="AY31" s="69"/>
      <c r="AZ31" s="69"/>
      <c r="BA31" s="69"/>
      <c r="BB31" s="69"/>
      <c r="BC31" s="67"/>
      <c r="BF31" s="31"/>
      <c r="BG31" s="31"/>
      <c r="BH31" s="31"/>
      <c r="BI31" s="68"/>
      <c r="BJ31" s="31"/>
    </row>
    <row r="32" spans="1:62" s="29" customFormat="1" ht="15" x14ac:dyDescent="0.2">
      <c r="A32" s="12" t="s">
        <v>28</v>
      </c>
      <c r="B32" s="41">
        <v>1.2551264274393874</v>
      </c>
      <c r="C32" s="7">
        <v>49.327553362016907</v>
      </c>
      <c r="D32" s="7">
        <v>49.926435555846972</v>
      </c>
      <c r="E32" s="8">
        <v>51.632567552779186</v>
      </c>
      <c r="F32" s="9">
        <v>50.700704461040182</v>
      </c>
      <c r="G32" s="9">
        <v>50.532891620339313</v>
      </c>
      <c r="H32" s="9">
        <v>64.296766109008189</v>
      </c>
      <c r="I32" s="9">
        <v>101.10997281948137</v>
      </c>
      <c r="J32" s="9">
        <v>98.191752361218789</v>
      </c>
      <c r="K32" s="9">
        <v>101.20504904236994</v>
      </c>
      <c r="L32" s="9">
        <v>116.20524691029136</v>
      </c>
      <c r="M32" s="44">
        <v>1.2140926379113903</v>
      </c>
      <c r="N32" s="10">
        <v>3.4172918173254407</v>
      </c>
      <c r="O32" s="10">
        <v>-1.8047971191563317</v>
      </c>
      <c r="P32" s="10">
        <v>-0.33098719728800186</v>
      </c>
      <c r="Q32" s="10">
        <v>27.237456728340014</v>
      </c>
      <c r="R32" s="10">
        <v>57.255145069132077</v>
      </c>
      <c r="S32" s="10">
        <v>-2.8861845937518726</v>
      </c>
      <c r="T32" s="9">
        <v>3.068787967105524</v>
      </c>
      <c r="U32" s="9">
        <v>14.821590434328558</v>
      </c>
      <c r="V32" s="1" t="s">
        <v>9</v>
      </c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9"/>
      <c r="AT32" s="3"/>
      <c r="AU32" s="107"/>
      <c r="AV32" s="3"/>
      <c r="AW32" s="69"/>
      <c r="AX32" s="69"/>
      <c r="AY32" s="69"/>
      <c r="AZ32" s="69"/>
      <c r="BA32" s="69"/>
      <c r="BB32" s="69"/>
      <c r="BC32" s="67"/>
      <c r="BF32" s="31"/>
      <c r="BG32" s="31"/>
      <c r="BH32" s="31"/>
      <c r="BI32" s="68"/>
      <c r="BJ32" s="31"/>
    </row>
    <row r="33" spans="1:62" s="29" customFormat="1" ht="15" x14ac:dyDescent="0.2">
      <c r="A33" s="12" t="s">
        <v>4</v>
      </c>
      <c r="B33" s="41">
        <v>3.325234690971965</v>
      </c>
      <c r="C33" s="7">
        <v>67.493428550865232</v>
      </c>
      <c r="D33" s="7">
        <v>66.522696340505789</v>
      </c>
      <c r="E33" s="8">
        <v>68.251967675022911</v>
      </c>
      <c r="F33" s="9">
        <v>70.445891756658199</v>
      </c>
      <c r="G33" s="9">
        <v>72.534285938334179</v>
      </c>
      <c r="H33" s="9">
        <v>81.881292827210913</v>
      </c>
      <c r="I33" s="9">
        <v>98.218343825881036</v>
      </c>
      <c r="J33" s="9">
        <v>99.664487530793849</v>
      </c>
      <c r="K33" s="9">
        <v>99.988590307242035</v>
      </c>
      <c r="L33" s="9">
        <v>99.014648713762881</v>
      </c>
      <c r="M33" s="44">
        <v>-1.4382618148192972</v>
      </c>
      <c r="N33" s="10">
        <v>2.5995208096581068</v>
      </c>
      <c r="O33" s="10">
        <v>3.2144481051176621</v>
      </c>
      <c r="P33" s="10">
        <v>2.964536511071425</v>
      </c>
      <c r="Q33" s="10">
        <v>12.886329227564453</v>
      </c>
      <c r="R33" s="10">
        <v>19.95211657581568</v>
      </c>
      <c r="S33" s="10">
        <v>1.4723763897673825</v>
      </c>
      <c r="T33" s="9">
        <v>0.32519384233831161</v>
      </c>
      <c r="U33" s="9">
        <v>-0.97405272990294112</v>
      </c>
      <c r="V33" s="1" t="s">
        <v>10</v>
      </c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9"/>
      <c r="AT33" s="3"/>
      <c r="AU33" s="107"/>
      <c r="AV33" s="3"/>
      <c r="AW33" s="69"/>
      <c r="AX33" s="69"/>
      <c r="AY33" s="69"/>
      <c r="AZ33" s="69"/>
      <c r="BA33" s="69"/>
      <c r="BB33" s="69"/>
      <c r="BC33" s="67"/>
      <c r="BF33" s="31"/>
      <c r="BG33" s="31"/>
      <c r="BH33" s="31"/>
      <c r="BI33" s="68"/>
      <c r="BJ33" s="31"/>
    </row>
    <row r="34" spans="1:62" s="29" customFormat="1" ht="15" x14ac:dyDescent="0.2">
      <c r="A34" s="12" t="s">
        <v>40</v>
      </c>
      <c r="B34" s="41">
        <v>33.253292498580983</v>
      </c>
      <c r="C34" s="7">
        <v>70.128284933346336</v>
      </c>
      <c r="D34" s="7">
        <v>72.790167958905229</v>
      </c>
      <c r="E34" s="8">
        <v>80.824789456236729</v>
      </c>
      <c r="F34" s="9">
        <v>87.147430127106858</v>
      </c>
      <c r="G34" s="9">
        <v>93.758762276598645</v>
      </c>
      <c r="H34" s="9">
        <v>96.487654366096692</v>
      </c>
      <c r="I34" s="9">
        <v>100.00377000426182</v>
      </c>
      <c r="J34" s="9">
        <v>103.95006675159617</v>
      </c>
      <c r="K34" s="9">
        <v>107.01057323330696</v>
      </c>
      <c r="L34" s="9">
        <v>109.61354663249911</v>
      </c>
      <c r="M34" s="44">
        <v>3.7957338156620946</v>
      </c>
      <c r="N34" s="10">
        <v>11.038058741487667</v>
      </c>
      <c r="O34" s="10">
        <v>7.8226503445376405</v>
      </c>
      <c r="P34" s="10">
        <v>7.5863764884965379</v>
      </c>
      <c r="Q34" s="10">
        <v>2.9105461966824064</v>
      </c>
      <c r="R34" s="10">
        <v>3.6441093539533842</v>
      </c>
      <c r="S34" s="10">
        <v>3.9461479773874153</v>
      </c>
      <c r="T34" s="9">
        <v>2.9442082889896692</v>
      </c>
      <c r="U34" s="9">
        <v>2.4324450571039158</v>
      </c>
      <c r="V34" s="1" t="s">
        <v>11</v>
      </c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9"/>
      <c r="AT34" s="3"/>
      <c r="AU34" s="107"/>
      <c r="AV34" s="3"/>
      <c r="AW34" s="69"/>
      <c r="AX34" s="69"/>
      <c r="AY34" s="69"/>
      <c r="AZ34" s="69"/>
      <c r="BA34" s="69"/>
      <c r="BB34" s="69"/>
      <c r="BC34" s="67"/>
      <c r="BF34" s="31"/>
      <c r="BG34" s="31"/>
      <c r="BH34" s="31"/>
      <c r="BI34" s="68"/>
      <c r="BJ34" s="31"/>
    </row>
    <row r="35" spans="1:62" s="29" customFormat="1" ht="15" x14ac:dyDescent="0.2">
      <c r="A35" s="12" t="s">
        <v>41</v>
      </c>
      <c r="B35" s="41">
        <v>24.01513195689877</v>
      </c>
      <c r="C35" s="7">
        <v>64.647461828276832</v>
      </c>
      <c r="D35" s="7">
        <v>67.343842950624648</v>
      </c>
      <c r="E35" s="8">
        <v>74.851279000594886</v>
      </c>
      <c r="F35" s="9">
        <v>85.550267697798958</v>
      </c>
      <c r="G35" s="9">
        <v>91.040551259171139</v>
      </c>
      <c r="H35" s="9">
        <v>95.103608962918898</v>
      </c>
      <c r="I35" s="9">
        <v>100.09393014432733</v>
      </c>
      <c r="J35" s="9">
        <v>104.20681505043228</v>
      </c>
      <c r="K35" s="9">
        <v>108.38813271909099</v>
      </c>
      <c r="L35" s="9">
        <v>113.03365604700161</v>
      </c>
      <c r="M35" s="44">
        <v>4.1709002118446969</v>
      </c>
      <c r="N35" s="10">
        <v>11.147917494810278</v>
      </c>
      <c r="O35" s="10">
        <v>14.293661831909432</v>
      </c>
      <c r="P35" s="10">
        <v>6.4176111999628915</v>
      </c>
      <c r="Q35" s="10">
        <v>4.4629098215598351</v>
      </c>
      <c r="R35" s="10">
        <v>5.2472469087415652</v>
      </c>
      <c r="S35" s="10">
        <v>4.1090252927170612</v>
      </c>
      <c r="T35" s="9">
        <v>4.012518439062851</v>
      </c>
      <c r="U35" s="9">
        <v>4.2860073435810664</v>
      </c>
      <c r="V35" s="32" t="s">
        <v>44</v>
      </c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9"/>
      <c r="AT35" s="3"/>
      <c r="AU35" s="107"/>
      <c r="AV35" s="3"/>
      <c r="AW35" s="69"/>
      <c r="AX35" s="69"/>
      <c r="AY35" s="69"/>
      <c r="AZ35" s="69"/>
      <c r="BA35" s="69"/>
      <c r="BB35" s="69"/>
      <c r="BC35" s="67"/>
      <c r="BF35" s="31"/>
      <c r="BG35" s="31"/>
      <c r="BH35" s="31"/>
      <c r="BI35" s="68"/>
      <c r="BJ35" s="31"/>
    </row>
    <row r="36" spans="1:62" s="29" customFormat="1" ht="25.5" x14ac:dyDescent="0.2">
      <c r="A36" s="6" t="s">
        <v>27</v>
      </c>
      <c r="B36" s="41">
        <v>7.3787368723932971</v>
      </c>
      <c r="C36" s="7">
        <v>62.787235480784801</v>
      </c>
      <c r="D36" s="7">
        <v>65.996050857083574</v>
      </c>
      <c r="E36" s="8">
        <v>68.380911967950468</v>
      </c>
      <c r="F36" s="9">
        <v>75.858602553560274</v>
      </c>
      <c r="G36" s="9">
        <v>80.397772506783596</v>
      </c>
      <c r="H36" s="9">
        <v>83.774232067142066</v>
      </c>
      <c r="I36" s="9">
        <v>98.524372725422779</v>
      </c>
      <c r="J36" s="9">
        <v>96.547282672985318</v>
      </c>
      <c r="K36" s="9">
        <v>93.814065718362556</v>
      </c>
      <c r="L36" s="9">
        <v>94.620620411023353</v>
      </c>
      <c r="M36" s="44">
        <v>5.1106173917798703</v>
      </c>
      <c r="N36" s="10">
        <v>3.6136421496361759</v>
      </c>
      <c r="O36" s="10">
        <v>10.935347848409126</v>
      </c>
      <c r="P36" s="10">
        <v>5.9837247199728161</v>
      </c>
      <c r="Q36" s="10">
        <v>4.1996929206882916</v>
      </c>
      <c r="R36" s="10">
        <v>17.60701386848762</v>
      </c>
      <c r="S36" s="10">
        <v>-2.0067014868974664</v>
      </c>
      <c r="T36" s="9">
        <v>-2.8309620726255202</v>
      </c>
      <c r="U36" s="9">
        <v>0.85973748870680211</v>
      </c>
      <c r="V36" s="1" t="s">
        <v>30</v>
      </c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9"/>
      <c r="AT36" s="3"/>
      <c r="AU36" s="107"/>
      <c r="AV36" s="3"/>
      <c r="AW36" s="69"/>
      <c r="AX36" s="69"/>
      <c r="AY36" s="69"/>
      <c r="AZ36" s="69"/>
      <c r="BA36" s="69"/>
      <c r="BB36" s="69"/>
      <c r="BC36" s="67"/>
      <c r="BF36" s="31"/>
      <c r="BG36" s="31"/>
      <c r="BH36" s="31"/>
      <c r="BI36" s="68"/>
      <c r="BJ36" s="31"/>
    </row>
    <row r="37" spans="1:62" s="29" customFormat="1" ht="15" x14ac:dyDescent="0.2">
      <c r="A37" s="13" t="s">
        <v>12</v>
      </c>
      <c r="B37" s="41">
        <v>3.3443838651865483</v>
      </c>
      <c r="C37" s="7">
        <v>87.683380878679159</v>
      </c>
      <c r="D37" s="7">
        <v>95.725018168451655</v>
      </c>
      <c r="E37" s="8">
        <v>115.02993652927483</v>
      </c>
      <c r="F37" s="9">
        <v>117.62003560285746</v>
      </c>
      <c r="G37" s="9">
        <v>123.09882000085349</v>
      </c>
      <c r="H37" s="9">
        <v>136.10400273752558</v>
      </c>
      <c r="I37" s="9">
        <v>102.76543099265899</v>
      </c>
      <c r="J37" s="9">
        <v>110.56654167287611</v>
      </c>
      <c r="K37" s="9">
        <v>124.65316422633758</v>
      </c>
      <c r="L37" s="9">
        <v>127.35658087728201</v>
      </c>
      <c r="M37" s="44">
        <v>9.171221740296609</v>
      </c>
      <c r="N37" s="10">
        <v>20.167056356000312</v>
      </c>
      <c r="O37" s="10">
        <v>2.2516739135324482</v>
      </c>
      <c r="P37" s="10">
        <v>4.6580366770973214</v>
      </c>
      <c r="Q37" s="10">
        <v>10.564831357913839</v>
      </c>
      <c r="R37" s="10">
        <v>-24.49492378939031</v>
      </c>
      <c r="S37" s="10">
        <v>7.591181786387291</v>
      </c>
      <c r="T37" s="9">
        <v>12.740402603111489</v>
      </c>
      <c r="U37" s="9">
        <v>2.1687509239923797</v>
      </c>
      <c r="V37" s="1" t="s">
        <v>13</v>
      </c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9"/>
      <c r="AT37" s="3"/>
      <c r="AU37" s="107"/>
      <c r="AV37" s="3"/>
      <c r="AW37" s="69"/>
      <c r="AX37" s="69"/>
      <c r="AY37" s="69"/>
      <c r="AZ37" s="69"/>
      <c r="BA37" s="69"/>
      <c r="BB37" s="69"/>
      <c r="BC37" s="67"/>
      <c r="BF37" s="31"/>
      <c r="BG37" s="31"/>
      <c r="BH37" s="31"/>
      <c r="BI37" s="68"/>
      <c r="BJ37" s="31"/>
    </row>
    <row r="38" spans="1:62" s="29" customFormat="1" ht="15" x14ac:dyDescent="0.2">
      <c r="A38" s="13" t="s">
        <v>14</v>
      </c>
      <c r="B38" s="41">
        <v>5.0247567425570834</v>
      </c>
      <c r="C38" s="7">
        <v>60.859975065826738</v>
      </c>
      <c r="D38" s="7">
        <v>63.749393784738366</v>
      </c>
      <c r="E38" s="8">
        <v>77.220453300900303</v>
      </c>
      <c r="F38" s="9">
        <v>77.979582923899997</v>
      </c>
      <c r="G38" s="9">
        <v>80.571924425587255</v>
      </c>
      <c r="H38" s="9">
        <v>91.644770975471246</v>
      </c>
      <c r="I38" s="9">
        <v>99.919914617161496</v>
      </c>
      <c r="J38" s="9">
        <v>102.42725062633708</v>
      </c>
      <c r="K38" s="9">
        <v>107.6673987994979</v>
      </c>
      <c r="L38" s="9">
        <v>107.33736946618552</v>
      </c>
      <c r="M38" s="44">
        <v>4.7476501851773767</v>
      </c>
      <c r="N38" s="10">
        <v>21.13127469360645</v>
      </c>
      <c r="O38" s="10">
        <v>0.9830680740005926</v>
      </c>
      <c r="P38" s="10">
        <v>3.3243849280613746</v>
      </c>
      <c r="Q38" s="10">
        <v>13.742810077858314</v>
      </c>
      <c r="R38" s="10">
        <v>9.0295862531045046</v>
      </c>
      <c r="S38" s="10">
        <v>2.5093456282286875</v>
      </c>
      <c r="T38" s="9">
        <v>5.1159707412994138</v>
      </c>
      <c r="U38" s="9">
        <v>-0.30652670817001848</v>
      </c>
      <c r="V38" s="1" t="s">
        <v>15</v>
      </c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9"/>
      <c r="AT38" s="3"/>
      <c r="AU38" s="107"/>
      <c r="AV38" s="3"/>
      <c r="AW38" s="69"/>
      <c r="AX38" s="69"/>
      <c r="AY38" s="69"/>
      <c r="AZ38" s="69"/>
      <c r="BA38" s="69"/>
      <c r="BB38" s="69"/>
      <c r="BC38" s="67"/>
      <c r="BF38" s="31"/>
      <c r="BG38" s="31"/>
      <c r="BH38" s="31"/>
      <c r="BI38" s="68"/>
      <c r="BJ38" s="31"/>
    </row>
    <row r="39" spans="1:62" s="29" customFormat="1" ht="15" x14ac:dyDescent="0.2">
      <c r="A39" s="13" t="s">
        <v>16</v>
      </c>
      <c r="B39" s="41">
        <v>4.9499335195000258</v>
      </c>
      <c r="C39" s="7">
        <v>115.34450273124089</v>
      </c>
      <c r="D39" s="7">
        <v>104.72754551977413</v>
      </c>
      <c r="E39" s="8">
        <v>100.9097966458598</v>
      </c>
      <c r="F39" s="9">
        <v>100.15439105359373</v>
      </c>
      <c r="G39" s="9">
        <v>100.38298344923554</v>
      </c>
      <c r="H39" s="9">
        <v>100.6195512642537</v>
      </c>
      <c r="I39" s="9">
        <v>99.902385256204028</v>
      </c>
      <c r="J39" s="9">
        <v>98.048576495455336</v>
      </c>
      <c r="K39" s="9">
        <v>97.118601810845405</v>
      </c>
      <c r="L39" s="9">
        <v>96.214029396765625</v>
      </c>
      <c r="M39" s="44">
        <v>-9.204562818398788</v>
      </c>
      <c r="N39" s="10">
        <v>-3.6454104361621664</v>
      </c>
      <c r="O39" s="10">
        <v>-0.74859490096600423</v>
      </c>
      <c r="P39" s="10">
        <v>0.22824001348027423</v>
      </c>
      <c r="Q39" s="10">
        <v>0.23566525609173272</v>
      </c>
      <c r="R39" s="10">
        <v>-0.71275015545061438</v>
      </c>
      <c r="S39" s="10">
        <v>-1.8556201195742417</v>
      </c>
      <c r="T39" s="9">
        <v>-0.94848361684581883</v>
      </c>
      <c r="U39" s="9">
        <v>-0.93141004628709556</v>
      </c>
      <c r="V39" s="1" t="s">
        <v>17</v>
      </c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9"/>
      <c r="AT39" s="3"/>
      <c r="AU39" s="107"/>
      <c r="AV39" s="3"/>
      <c r="AW39" s="69"/>
      <c r="AX39" s="69"/>
      <c r="AY39" s="69"/>
      <c r="AZ39" s="69"/>
      <c r="BA39" s="69"/>
      <c r="BB39" s="69"/>
      <c r="BC39" s="67"/>
      <c r="BF39" s="31"/>
      <c r="BG39" s="31"/>
      <c r="BH39" s="31"/>
      <c r="BI39" s="68"/>
      <c r="BJ39" s="31"/>
    </row>
    <row r="40" spans="1:62" s="29" customFormat="1" ht="15" x14ac:dyDescent="0.2">
      <c r="A40" s="14" t="s">
        <v>18</v>
      </c>
      <c r="B40" s="41">
        <v>3.8759977554993457</v>
      </c>
      <c r="C40" s="7">
        <v>94.874945972791352</v>
      </c>
      <c r="D40" s="7">
        <v>96.624178349214034</v>
      </c>
      <c r="E40" s="8">
        <v>90.077187080296483</v>
      </c>
      <c r="F40" s="9">
        <v>94.587232125872092</v>
      </c>
      <c r="G40" s="9">
        <v>100.01905005623114</v>
      </c>
      <c r="H40" s="9">
        <v>97.89290317146407</v>
      </c>
      <c r="I40" s="9">
        <v>99.123228888029075</v>
      </c>
      <c r="J40" s="9">
        <v>99.19328729416749</v>
      </c>
      <c r="K40" s="9">
        <v>101.98521882257955</v>
      </c>
      <c r="L40" s="9">
        <v>101.05736071574518</v>
      </c>
      <c r="M40" s="44">
        <v>1.8437242398265274</v>
      </c>
      <c r="N40" s="10">
        <v>-6.7757277534156728</v>
      </c>
      <c r="O40" s="10">
        <v>5.0068671011621158</v>
      </c>
      <c r="P40" s="10">
        <v>5.7426544875852192</v>
      </c>
      <c r="Q40" s="10">
        <v>-2.1257419297341262</v>
      </c>
      <c r="R40" s="10">
        <v>1.256807875449395</v>
      </c>
      <c r="S40" s="10">
        <v>7.0678091224762873E-2</v>
      </c>
      <c r="T40" s="9">
        <v>2.8146375672905233</v>
      </c>
      <c r="U40" s="9">
        <v>-0.90979665244288466</v>
      </c>
      <c r="V40" s="15" t="s">
        <v>19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9"/>
      <c r="AT40" s="3"/>
      <c r="AU40" s="107"/>
      <c r="AV40" s="3"/>
      <c r="AW40" s="69"/>
      <c r="AX40" s="69"/>
      <c r="AY40" s="69"/>
      <c r="AZ40" s="69"/>
      <c r="BA40" s="69"/>
      <c r="BB40" s="69"/>
      <c r="BC40" s="67"/>
      <c r="BF40" s="31"/>
      <c r="BG40" s="31"/>
      <c r="BH40" s="31"/>
      <c r="BI40" s="68"/>
      <c r="BJ40" s="31"/>
    </row>
    <row r="41" spans="1:62" s="29" customFormat="1" ht="15" x14ac:dyDescent="0.2">
      <c r="A41" s="12" t="s">
        <v>5</v>
      </c>
      <c r="B41" s="41">
        <v>3.1475471737470042</v>
      </c>
      <c r="C41" s="7">
        <v>47.049388033467601</v>
      </c>
      <c r="D41" s="7">
        <v>48.13102192510862</v>
      </c>
      <c r="E41" s="8">
        <v>49.012472981378899</v>
      </c>
      <c r="F41" s="9">
        <v>66.212440093936394</v>
      </c>
      <c r="G41" s="9">
        <v>72.465176121953334</v>
      </c>
      <c r="H41" s="9">
        <v>85.752154766717368</v>
      </c>
      <c r="I41" s="9">
        <v>99.974205552764317</v>
      </c>
      <c r="J41" s="9">
        <v>102.13692109662372</v>
      </c>
      <c r="K41" s="9">
        <v>111.56417616429451</v>
      </c>
      <c r="L41" s="9">
        <v>117.33257668396261</v>
      </c>
      <c r="M41" s="44">
        <v>2.2989329656564639</v>
      </c>
      <c r="N41" s="10">
        <v>1.8313574510049113</v>
      </c>
      <c r="O41" s="10">
        <v>35.093040743102691</v>
      </c>
      <c r="P41" s="10">
        <v>9.4434460037209114</v>
      </c>
      <c r="Q41" s="10">
        <v>18.335674258768186</v>
      </c>
      <c r="R41" s="10">
        <v>16.585065208841733</v>
      </c>
      <c r="S41" s="10">
        <v>2.1632735483133825</v>
      </c>
      <c r="T41" s="9">
        <v>9.2300168895363512</v>
      </c>
      <c r="U41" s="9">
        <v>5.1704774041205548</v>
      </c>
      <c r="V41" s="15" t="s">
        <v>6</v>
      </c>
      <c r="AS41" s="31"/>
      <c r="AT41" s="3"/>
      <c r="AU41" s="107"/>
      <c r="AV41" s="3"/>
      <c r="AW41" s="31"/>
      <c r="AX41" s="31"/>
      <c r="AY41" s="31"/>
      <c r="AZ41" s="31"/>
      <c r="BA41" s="31"/>
      <c r="BB41" s="31"/>
      <c r="BC41" s="67"/>
      <c r="BF41" s="31"/>
      <c r="BG41" s="31"/>
      <c r="BH41" s="31"/>
      <c r="BI41" s="68"/>
      <c r="BJ41" s="31"/>
    </row>
    <row r="42" spans="1:62" s="29" customFormat="1" ht="15" x14ac:dyDescent="0.2">
      <c r="A42" s="12" t="s">
        <v>20</v>
      </c>
      <c r="B42" s="41">
        <v>4.0917964761770804</v>
      </c>
      <c r="C42" s="7">
        <v>49.094342913656533</v>
      </c>
      <c r="D42" s="7">
        <v>57.310377045571919</v>
      </c>
      <c r="E42" s="8">
        <v>66.268774405103429</v>
      </c>
      <c r="F42" s="9">
        <v>67.972496509520113</v>
      </c>
      <c r="G42" s="9">
        <v>70.167294544238487</v>
      </c>
      <c r="H42" s="9">
        <v>81.124231104476152</v>
      </c>
      <c r="I42" s="9">
        <v>103.92316833381101</v>
      </c>
      <c r="J42" s="9">
        <v>117.33190209291605</v>
      </c>
      <c r="K42" s="9">
        <v>125.48306357044619</v>
      </c>
      <c r="L42" s="9">
        <v>125.82497057055754</v>
      </c>
      <c r="M42" s="44">
        <v>16.735195226800649</v>
      </c>
      <c r="N42" s="10">
        <v>15.631370480092976</v>
      </c>
      <c r="O42" s="10">
        <v>2.5709274386180203</v>
      </c>
      <c r="P42" s="10">
        <v>3.2289501598796955</v>
      </c>
      <c r="Q42" s="10">
        <v>15.615446813799583</v>
      </c>
      <c r="R42" s="10">
        <v>28.103732903148448</v>
      </c>
      <c r="S42" s="10">
        <v>12.902545191881497</v>
      </c>
      <c r="T42" s="9">
        <v>6.9470973640870293</v>
      </c>
      <c r="U42" s="9">
        <v>0.27247262728757882</v>
      </c>
      <c r="V42" s="15" t="s">
        <v>21</v>
      </c>
      <c r="AS42" s="31"/>
      <c r="AT42" s="3"/>
      <c r="AU42" s="107"/>
      <c r="AV42" s="70"/>
      <c r="AW42" s="31"/>
      <c r="AX42" s="31"/>
      <c r="AY42" s="31"/>
      <c r="AZ42" s="31"/>
      <c r="BA42" s="31"/>
      <c r="BB42" s="31"/>
      <c r="BC42" s="67"/>
      <c r="BF42" s="31"/>
      <c r="BG42" s="31"/>
      <c r="BH42" s="31"/>
      <c r="BI42" s="68"/>
      <c r="BJ42" s="31"/>
    </row>
    <row r="43" spans="1:62" s="29" customFormat="1" ht="15" x14ac:dyDescent="0.2">
      <c r="A43" s="14" t="s">
        <v>22</v>
      </c>
      <c r="B43" s="71">
        <v>6.5690813659915177</v>
      </c>
      <c r="C43" s="7">
        <v>66.045812015945941</v>
      </c>
      <c r="D43" s="7">
        <v>67.578746700557247</v>
      </c>
      <c r="E43" s="8">
        <v>71.846737489273423</v>
      </c>
      <c r="F43" s="9">
        <v>76.948539555294857</v>
      </c>
      <c r="G43" s="9">
        <v>80.738363693637908</v>
      </c>
      <c r="H43" s="9">
        <v>86.725904563278689</v>
      </c>
      <c r="I43" s="9">
        <v>100.69814215631898</v>
      </c>
      <c r="J43" s="9">
        <v>98.812991503112301</v>
      </c>
      <c r="K43" s="9">
        <v>98.609462577367751</v>
      </c>
      <c r="L43" s="9">
        <v>98.344584404467298</v>
      </c>
      <c r="M43" s="44">
        <v>2.3210172421548769</v>
      </c>
      <c r="N43" s="10">
        <v>6.3155814469713745</v>
      </c>
      <c r="O43" s="10">
        <v>7.1009516149332708</v>
      </c>
      <c r="P43" s="10">
        <v>4.9251410881160362</v>
      </c>
      <c r="Q43" s="10">
        <v>7.4159799576327012</v>
      </c>
      <c r="R43" s="10">
        <v>16.110800646473034</v>
      </c>
      <c r="S43" s="10">
        <v>-1.8720808674704825</v>
      </c>
      <c r="T43" s="9">
        <v>-0.20597385287959291</v>
      </c>
      <c r="U43" s="9">
        <v>-0.26861334194234754</v>
      </c>
      <c r="V43" s="46" t="s">
        <v>45</v>
      </c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9"/>
      <c r="AT43" s="3"/>
      <c r="AU43" s="107"/>
      <c r="AV43" s="3"/>
      <c r="AW43" s="69"/>
      <c r="AX43" s="69"/>
      <c r="AY43" s="69"/>
      <c r="AZ43" s="69"/>
      <c r="BA43" s="69"/>
      <c r="BB43" s="69"/>
      <c r="BC43" s="67"/>
      <c r="BI43" s="72"/>
    </row>
    <row r="44" spans="1:62" s="28" customFormat="1" ht="15" x14ac:dyDescent="0.2">
      <c r="A44" s="16" t="s">
        <v>42</v>
      </c>
      <c r="B44" s="73">
        <f>SUM(B36:B43,B32:B34,B29)</f>
        <v>100</v>
      </c>
      <c r="C44" s="17">
        <v>60.684187749186492</v>
      </c>
      <c r="D44" s="17">
        <v>64.807540880908348</v>
      </c>
      <c r="E44" s="18">
        <v>72.611313924073201</v>
      </c>
      <c r="F44" s="18">
        <v>75.900734670117231</v>
      </c>
      <c r="G44" s="18">
        <v>80.568542845421106</v>
      </c>
      <c r="H44" s="18">
        <v>89.651368722070842</v>
      </c>
      <c r="I44" s="18">
        <v>99.415139330518244</v>
      </c>
      <c r="J44" s="18">
        <v>103.38895723436703</v>
      </c>
      <c r="K44" s="18">
        <v>105.92043432963987</v>
      </c>
      <c r="L44" s="18">
        <v>107.37293678888472</v>
      </c>
      <c r="M44" s="48">
        <v>6.7947735393016462</v>
      </c>
      <c r="N44" s="19">
        <v>12.041458350510826</v>
      </c>
      <c r="O44" s="19">
        <v>4.5301765913279723</v>
      </c>
      <c r="P44" s="19">
        <v>6.1498853675017617</v>
      </c>
      <c r="Q44" s="19">
        <v>11.273414605593723</v>
      </c>
      <c r="R44" s="19">
        <v>10.890821576540755</v>
      </c>
      <c r="S44" s="19">
        <v>3.9971959307297356</v>
      </c>
      <c r="T44" s="18">
        <v>2.4484985272985815</v>
      </c>
      <c r="U44" s="18">
        <v>1.3713146744890103</v>
      </c>
      <c r="V44" s="20" t="s">
        <v>7</v>
      </c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5"/>
      <c r="AT44" s="114"/>
      <c r="AU44" s="115"/>
      <c r="AV44" s="114"/>
      <c r="AW44" s="75"/>
      <c r="AX44" s="75"/>
      <c r="AY44" s="75"/>
      <c r="AZ44" s="75"/>
      <c r="BA44" s="75"/>
      <c r="BB44" s="75"/>
      <c r="BC44" s="67"/>
      <c r="BI44" s="76"/>
    </row>
    <row r="45" spans="1:62" s="79" customFormat="1" ht="15" x14ac:dyDescent="0.2">
      <c r="A45" s="22" t="s">
        <v>43</v>
      </c>
      <c r="B45" s="50">
        <f>B44-B31</f>
        <v>92.357077568962453</v>
      </c>
      <c r="C45" s="23">
        <v>64.052485645287277</v>
      </c>
      <c r="D45" s="23">
        <v>67.18924401230818</v>
      </c>
      <c r="E45" s="23">
        <v>75.385471686170362</v>
      </c>
      <c r="F45" s="23">
        <v>79.51493809042644</v>
      </c>
      <c r="G45" s="23">
        <v>84.338371332150743</v>
      </c>
      <c r="H45" s="23">
        <v>91.679051572020867</v>
      </c>
      <c r="I45" s="23">
        <v>100.09850402946053</v>
      </c>
      <c r="J45" s="23">
        <v>103.35093616567913</v>
      </c>
      <c r="K45" s="113">
        <v>105.86527287347694</v>
      </c>
      <c r="L45" s="113">
        <v>107.46319410975025</v>
      </c>
      <c r="M45" s="51">
        <v>4.8971688380553768</v>
      </c>
      <c r="N45" s="23">
        <v>12.198719890881261</v>
      </c>
      <c r="O45" s="23">
        <v>5.4778013745765852</v>
      </c>
      <c r="P45" s="23">
        <v>6.0660718068332953</v>
      </c>
      <c r="Q45" s="23">
        <v>8.7038439608470028</v>
      </c>
      <c r="R45" s="23">
        <v>9.1836164457106619</v>
      </c>
      <c r="S45" s="23">
        <v>3.2492315122525373</v>
      </c>
      <c r="T45" s="33">
        <v>2.4328146421113583</v>
      </c>
      <c r="U45" s="33">
        <v>1.5093913168136242</v>
      </c>
      <c r="V45" s="24" t="s">
        <v>31</v>
      </c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114"/>
      <c r="AU45" s="115"/>
      <c r="AV45" s="116"/>
      <c r="AW45" s="75"/>
      <c r="AX45" s="75"/>
      <c r="AY45" s="75"/>
      <c r="AZ45" s="75"/>
      <c r="BA45" s="75"/>
      <c r="BB45" s="75"/>
      <c r="BC45" s="78"/>
      <c r="BI45" s="80"/>
    </row>
    <row r="46" spans="1:62" s="25" customFormat="1" ht="15" x14ac:dyDescent="0.2">
      <c r="A46" s="81" t="s">
        <v>52</v>
      </c>
      <c r="B46" s="47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34"/>
    </row>
    <row r="47" spans="1:62" ht="17.25" x14ac:dyDescent="0.2">
      <c r="A47" s="112" t="s">
        <v>53</v>
      </c>
      <c r="V47" s="109" t="s">
        <v>54</v>
      </c>
    </row>
    <row r="48" spans="1:62" s="56" customFormat="1" ht="15.75" hidden="1" customHeight="1" x14ac:dyDescent="0.2">
      <c r="A48" s="52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4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3"/>
      <c r="AV48" s="57"/>
    </row>
    <row r="49" spans="1:62" ht="21" hidden="1" customHeight="1" x14ac:dyDescent="0.4">
      <c r="A49" s="4"/>
      <c r="B49" s="123" t="s">
        <v>29</v>
      </c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83" t="s">
        <v>0</v>
      </c>
      <c r="N49" s="58"/>
      <c r="O49" s="84"/>
      <c r="P49" s="84"/>
      <c r="Q49" s="84"/>
      <c r="R49" s="84"/>
      <c r="S49" s="84"/>
      <c r="T49" s="84"/>
      <c r="U49" s="84"/>
      <c r="V49" s="5"/>
    </row>
    <row r="50" spans="1:62" ht="28.5" hidden="1" customHeight="1" x14ac:dyDescent="0.2">
      <c r="A50" s="30" t="s">
        <v>48</v>
      </c>
      <c r="B50" s="124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125" t="s">
        <v>26</v>
      </c>
      <c r="N50" s="125"/>
      <c r="O50" s="125"/>
      <c r="P50" s="125"/>
      <c r="Q50" s="125"/>
      <c r="R50" s="119"/>
      <c r="S50" s="119"/>
      <c r="T50" s="119"/>
      <c r="U50" s="119"/>
      <c r="V50" s="85" t="s">
        <v>49</v>
      </c>
    </row>
    <row r="51" spans="1:62" hidden="1" x14ac:dyDescent="0.2">
      <c r="A51" s="86"/>
      <c r="B51" s="87" t="s">
        <v>1</v>
      </c>
      <c r="C51" s="88">
        <v>2006</v>
      </c>
      <c r="D51" s="88">
        <v>2007</v>
      </c>
      <c r="E51" s="88">
        <v>2008</v>
      </c>
      <c r="F51" s="88">
        <v>2009</v>
      </c>
      <c r="G51" s="88">
        <v>2010</v>
      </c>
      <c r="H51" s="88">
        <v>2011</v>
      </c>
      <c r="I51" s="88">
        <v>2012</v>
      </c>
      <c r="J51" s="88">
        <v>2012</v>
      </c>
      <c r="K51" s="88">
        <v>2012</v>
      </c>
      <c r="L51" s="88"/>
      <c r="M51" s="87">
        <v>2007</v>
      </c>
      <c r="N51" s="87">
        <v>2008</v>
      </c>
      <c r="O51" s="87">
        <v>2009</v>
      </c>
      <c r="P51" s="87">
        <v>2010</v>
      </c>
      <c r="Q51" s="87">
        <v>2011</v>
      </c>
      <c r="R51" s="87">
        <v>2012</v>
      </c>
      <c r="S51" s="87">
        <v>2012</v>
      </c>
      <c r="T51" s="87">
        <v>2012</v>
      </c>
      <c r="U51" s="87"/>
      <c r="V51" s="27"/>
    </row>
    <row r="52" spans="1:62" s="29" customFormat="1" ht="18" hidden="1" customHeight="1" x14ac:dyDescent="0.2">
      <c r="A52" s="89" t="s">
        <v>32</v>
      </c>
      <c r="B52" s="90">
        <v>32.41357084023938</v>
      </c>
      <c r="C52" s="91"/>
      <c r="D52" s="91"/>
      <c r="E52" s="92"/>
      <c r="F52" s="9"/>
      <c r="G52" s="9"/>
      <c r="H52" s="9"/>
      <c r="I52" s="9"/>
      <c r="J52" s="9"/>
      <c r="K52" s="9"/>
      <c r="L52" s="9"/>
      <c r="M52" s="93"/>
      <c r="N52" s="93"/>
      <c r="O52" s="93"/>
      <c r="P52" s="93"/>
      <c r="Q52" s="93"/>
      <c r="R52" s="93"/>
      <c r="S52" s="93"/>
      <c r="T52" s="93"/>
      <c r="U52" s="93"/>
      <c r="V52" s="1" t="s">
        <v>34</v>
      </c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T52" s="3"/>
      <c r="AU52" s="3"/>
      <c r="AV52" s="3"/>
      <c r="AW52" s="66"/>
      <c r="AX52" s="66"/>
      <c r="AY52" s="66"/>
      <c r="AZ52" s="66"/>
      <c r="BA52" s="66"/>
      <c r="BB52" s="66"/>
      <c r="BC52" s="67"/>
      <c r="BF52" s="31"/>
      <c r="BG52" s="31"/>
      <c r="BH52" s="31"/>
      <c r="BI52" s="68"/>
      <c r="BJ52" s="31"/>
    </row>
    <row r="53" spans="1:62" s="29" customFormat="1" ht="18" hidden="1" customHeight="1" x14ac:dyDescent="0.2">
      <c r="A53" s="89" t="s">
        <v>33</v>
      </c>
      <c r="B53" s="90">
        <v>22.908992536433551</v>
      </c>
      <c r="C53" s="91"/>
      <c r="D53" s="91"/>
      <c r="E53" s="92"/>
      <c r="F53" s="9"/>
      <c r="G53" s="9"/>
      <c r="H53" s="9"/>
      <c r="I53" s="9"/>
      <c r="J53" s="9"/>
      <c r="K53" s="9"/>
      <c r="L53" s="9"/>
      <c r="M53" s="93"/>
      <c r="N53" s="93"/>
      <c r="O53" s="93"/>
      <c r="P53" s="93"/>
      <c r="Q53" s="93"/>
      <c r="R53" s="93"/>
      <c r="S53" s="93"/>
      <c r="T53" s="93"/>
      <c r="U53" s="93"/>
      <c r="V53" s="1" t="s">
        <v>35</v>
      </c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T53" s="3"/>
      <c r="AU53" s="3"/>
      <c r="AV53" s="3"/>
      <c r="AW53" s="69"/>
      <c r="AX53" s="69"/>
      <c r="AY53" s="69"/>
      <c r="AZ53" s="69"/>
      <c r="BA53" s="69"/>
      <c r="BB53" s="69"/>
      <c r="BC53" s="67"/>
      <c r="BF53" s="31"/>
      <c r="BG53" s="31"/>
      <c r="BH53" s="31"/>
      <c r="BI53" s="68"/>
      <c r="BJ53" s="31"/>
    </row>
    <row r="54" spans="1:62" s="29" customFormat="1" ht="15" hidden="1" x14ac:dyDescent="0.2">
      <c r="A54" s="94" t="s">
        <v>2</v>
      </c>
      <c r="B54" s="90">
        <v>9.5045783038058271</v>
      </c>
      <c r="C54" s="91"/>
      <c r="D54" s="91"/>
      <c r="E54" s="92"/>
      <c r="F54" s="9"/>
      <c r="G54" s="9"/>
      <c r="H54" s="9"/>
      <c r="I54" s="9"/>
      <c r="J54" s="9"/>
      <c r="K54" s="9"/>
      <c r="L54" s="9"/>
      <c r="M54" s="93"/>
      <c r="N54" s="93"/>
      <c r="O54" s="93"/>
      <c r="P54" s="93"/>
      <c r="Q54" s="93"/>
      <c r="R54" s="93"/>
      <c r="S54" s="93"/>
      <c r="T54" s="93"/>
      <c r="U54" s="93"/>
      <c r="V54" s="1" t="s">
        <v>3</v>
      </c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9"/>
      <c r="AT54" s="3"/>
      <c r="AU54" s="3"/>
      <c r="AV54" s="3"/>
      <c r="AW54" s="69"/>
      <c r="AX54" s="69"/>
      <c r="AY54" s="69"/>
      <c r="AZ54" s="69"/>
      <c r="BA54" s="69"/>
      <c r="BB54" s="69"/>
      <c r="BC54" s="67"/>
      <c r="BF54" s="31"/>
      <c r="BG54" s="31"/>
      <c r="BH54" s="31"/>
      <c r="BI54" s="68"/>
      <c r="BJ54" s="31"/>
    </row>
    <row r="55" spans="1:62" s="29" customFormat="1" ht="15" hidden="1" x14ac:dyDescent="0.2">
      <c r="A55" s="94" t="s">
        <v>28</v>
      </c>
      <c r="B55" s="90">
        <v>3.1086673721276403</v>
      </c>
      <c r="C55" s="91"/>
      <c r="D55" s="91"/>
      <c r="E55" s="92"/>
      <c r="F55" s="9"/>
      <c r="G55" s="9"/>
      <c r="H55" s="9"/>
      <c r="I55" s="9"/>
      <c r="J55" s="9"/>
      <c r="K55" s="9"/>
      <c r="L55" s="9"/>
      <c r="M55" s="93"/>
      <c r="N55" s="93"/>
      <c r="O55" s="93"/>
      <c r="P55" s="93"/>
      <c r="Q55" s="93"/>
      <c r="R55" s="93"/>
      <c r="S55" s="93"/>
      <c r="T55" s="93"/>
      <c r="U55" s="93"/>
      <c r="V55" s="1" t="s">
        <v>9</v>
      </c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9"/>
      <c r="AT55" s="3"/>
      <c r="AU55" s="3"/>
      <c r="AV55" s="3"/>
      <c r="AW55" s="69"/>
      <c r="AX55" s="69"/>
      <c r="AY55" s="69"/>
      <c r="AZ55" s="69"/>
      <c r="BA55" s="69"/>
      <c r="BB55" s="69"/>
      <c r="BC55" s="67"/>
      <c r="BF55" s="31"/>
      <c r="BG55" s="31"/>
      <c r="BH55" s="31"/>
      <c r="BI55" s="68"/>
      <c r="BJ55" s="31"/>
    </row>
    <row r="56" spans="1:62" s="29" customFormat="1" ht="15" hidden="1" x14ac:dyDescent="0.2">
      <c r="A56" s="94" t="s">
        <v>4</v>
      </c>
      <c r="B56" s="90">
        <v>4.37363965083017</v>
      </c>
      <c r="C56" s="91"/>
      <c r="D56" s="91"/>
      <c r="E56" s="92"/>
      <c r="F56" s="9"/>
      <c r="G56" s="9"/>
      <c r="H56" s="9"/>
      <c r="I56" s="9"/>
      <c r="J56" s="9"/>
      <c r="K56" s="9"/>
      <c r="L56" s="9"/>
      <c r="M56" s="93"/>
      <c r="N56" s="93"/>
      <c r="O56" s="93"/>
      <c r="P56" s="93"/>
      <c r="Q56" s="93"/>
      <c r="R56" s="93"/>
      <c r="S56" s="93"/>
      <c r="T56" s="93"/>
      <c r="U56" s="93"/>
      <c r="V56" s="1" t="s">
        <v>10</v>
      </c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9"/>
      <c r="AT56" s="3"/>
      <c r="AU56" s="3"/>
      <c r="AV56" s="3"/>
      <c r="AW56" s="69"/>
      <c r="AX56" s="69"/>
      <c r="AY56" s="69"/>
      <c r="AZ56" s="69"/>
      <c r="BA56" s="69"/>
      <c r="BB56" s="69"/>
      <c r="BC56" s="67"/>
      <c r="BF56" s="31"/>
      <c r="BG56" s="31"/>
      <c r="BH56" s="31"/>
      <c r="BI56" s="68"/>
      <c r="BJ56" s="31"/>
    </row>
    <row r="57" spans="1:62" s="29" customFormat="1" ht="15" hidden="1" x14ac:dyDescent="0.2">
      <c r="A57" s="94" t="s">
        <v>40</v>
      </c>
      <c r="B57" s="90">
        <v>14.769002753283388</v>
      </c>
      <c r="C57" s="91"/>
      <c r="D57" s="91"/>
      <c r="E57" s="92"/>
      <c r="F57" s="9"/>
      <c r="G57" s="9"/>
      <c r="H57" s="9"/>
      <c r="I57" s="9"/>
      <c r="J57" s="9"/>
      <c r="K57" s="9"/>
      <c r="L57" s="9"/>
      <c r="M57" s="93"/>
      <c r="N57" s="93"/>
      <c r="O57" s="93"/>
      <c r="P57" s="93"/>
      <c r="Q57" s="93"/>
      <c r="R57" s="93"/>
      <c r="S57" s="93"/>
      <c r="T57" s="93"/>
      <c r="U57" s="93"/>
      <c r="V57" s="1" t="s">
        <v>11</v>
      </c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9"/>
      <c r="AT57" s="3"/>
      <c r="AU57" s="3"/>
      <c r="AV57" s="3"/>
      <c r="AW57" s="69"/>
      <c r="AX57" s="69"/>
      <c r="AY57" s="69"/>
      <c r="AZ57" s="69"/>
      <c r="BA57" s="69"/>
      <c r="BB57" s="69"/>
      <c r="BC57" s="67"/>
      <c r="BF57" s="31"/>
      <c r="BG57" s="31"/>
      <c r="BH57" s="31"/>
      <c r="BI57" s="68"/>
      <c r="BJ57" s="31"/>
    </row>
    <row r="58" spans="1:62" s="29" customFormat="1" ht="15" hidden="1" x14ac:dyDescent="0.2">
      <c r="A58" s="94" t="s">
        <v>41</v>
      </c>
      <c r="B58" s="90">
        <v>1.130174619903735</v>
      </c>
      <c r="C58" s="91"/>
      <c r="D58" s="91"/>
      <c r="E58" s="92"/>
      <c r="F58" s="9"/>
      <c r="G58" s="9"/>
      <c r="H58" s="9"/>
      <c r="I58" s="9"/>
      <c r="J58" s="9"/>
      <c r="K58" s="9"/>
      <c r="L58" s="9"/>
      <c r="M58" s="93"/>
      <c r="N58" s="93"/>
      <c r="O58" s="93"/>
      <c r="P58" s="93"/>
      <c r="Q58" s="93"/>
      <c r="R58" s="93"/>
      <c r="S58" s="93"/>
      <c r="T58" s="93"/>
      <c r="U58" s="93"/>
      <c r="V58" s="32" t="s">
        <v>44</v>
      </c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9"/>
      <c r="AT58" s="3"/>
      <c r="AU58" s="3"/>
      <c r="AV58" s="3"/>
      <c r="AW58" s="69"/>
      <c r="AX58" s="69"/>
      <c r="AY58" s="69"/>
      <c r="AZ58" s="69"/>
      <c r="BA58" s="69"/>
      <c r="BB58" s="69"/>
      <c r="BC58" s="67"/>
      <c r="BF58" s="31"/>
      <c r="BG58" s="31"/>
      <c r="BH58" s="31"/>
      <c r="BI58" s="68"/>
      <c r="BJ58" s="31"/>
    </row>
    <row r="59" spans="1:62" s="29" customFormat="1" ht="24" hidden="1" x14ac:dyDescent="0.2">
      <c r="A59" s="89" t="s">
        <v>27</v>
      </c>
      <c r="B59" s="90">
        <v>9.8563919063440419</v>
      </c>
      <c r="C59" s="91"/>
      <c r="D59" s="91"/>
      <c r="E59" s="92"/>
      <c r="F59" s="9"/>
      <c r="G59" s="9"/>
      <c r="H59" s="9"/>
      <c r="I59" s="9"/>
      <c r="J59" s="9"/>
      <c r="K59" s="9"/>
      <c r="L59" s="9"/>
      <c r="M59" s="93"/>
      <c r="N59" s="93"/>
      <c r="O59" s="93"/>
      <c r="P59" s="93"/>
      <c r="Q59" s="93"/>
      <c r="R59" s="93"/>
      <c r="S59" s="93"/>
      <c r="T59" s="93"/>
      <c r="U59" s="93"/>
      <c r="V59" s="1" t="s">
        <v>30</v>
      </c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9"/>
      <c r="AT59" s="3"/>
      <c r="AU59" s="3"/>
      <c r="AV59" s="3"/>
      <c r="AW59" s="69"/>
      <c r="AX59" s="69"/>
      <c r="AY59" s="69"/>
      <c r="AZ59" s="69"/>
      <c r="BA59" s="69"/>
      <c r="BB59" s="69"/>
      <c r="BC59" s="67"/>
      <c r="BF59" s="31"/>
      <c r="BG59" s="31"/>
      <c r="BH59" s="31"/>
      <c r="BI59" s="68"/>
      <c r="BJ59" s="31"/>
    </row>
    <row r="60" spans="1:62" s="29" customFormat="1" ht="15" hidden="1" x14ac:dyDescent="0.2">
      <c r="A60" s="13" t="s">
        <v>12</v>
      </c>
      <c r="B60" s="90">
        <v>7.1948259738561822</v>
      </c>
      <c r="C60" s="91"/>
      <c r="D60" s="91"/>
      <c r="E60" s="92"/>
      <c r="F60" s="9"/>
      <c r="G60" s="9"/>
      <c r="H60" s="9"/>
      <c r="I60" s="9"/>
      <c r="J60" s="9"/>
      <c r="K60" s="9"/>
      <c r="L60" s="9"/>
      <c r="M60" s="93"/>
      <c r="N60" s="93"/>
      <c r="O60" s="93"/>
      <c r="P60" s="93"/>
      <c r="Q60" s="93"/>
      <c r="R60" s="93"/>
      <c r="S60" s="93"/>
      <c r="T60" s="93"/>
      <c r="U60" s="93"/>
      <c r="V60" s="1" t="s">
        <v>13</v>
      </c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9"/>
      <c r="AT60" s="3"/>
      <c r="AU60" s="3"/>
      <c r="AV60" s="3"/>
      <c r="AW60" s="69"/>
      <c r="AX60" s="69"/>
      <c r="AY60" s="69"/>
      <c r="AZ60" s="69"/>
      <c r="BA60" s="69"/>
      <c r="BB60" s="69"/>
      <c r="BC60" s="67"/>
      <c r="BF60" s="31"/>
      <c r="BG60" s="31"/>
      <c r="BH60" s="31"/>
      <c r="BI60" s="68"/>
      <c r="BJ60" s="31"/>
    </row>
    <row r="61" spans="1:62" s="29" customFormat="1" ht="15" hidden="1" x14ac:dyDescent="0.2">
      <c r="A61" s="13" t="s">
        <v>14</v>
      </c>
      <c r="B61" s="90">
        <v>5.7912209701631463</v>
      </c>
      <c r="C61" s="91"/>
      <c r="D61" s="91"/>
      <c r="E61" s="92"/>
      <c r="F61" s="9"/>
      <c r="G61" s="9"/>
      <c r="H61" s="9"/>
      <c r="I61" s="9"/>
      <c r="J61" s="9"/>
      <c r="K61" s="9"/>
      <c r="L61" s="9"/>
      <c r="M61" s="93"/>
      <c r="N61" s="93"/>
      <c r="O61" s="93"/>
      <c r="P61" s="93"/>
      <c r="Q61" s="93"/>
      <c r="R61" s="93"/>
      <c r="S61" s="93"/>
      <c r="T61" s="93"/>
      <c r="U61" s="93"/>
      <c r="V61" s="1" t="s">
        <v>15</v>
      </c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9"/>
      <c r="AT61" s="3"/>
      <c r="AU61" s="3"/>
      <c r="AV61" s="3"/>
      <c r="AW61" s="69"/>
      <c r="AX61" s="69"/>
      <c r="AY61" s="69"/>
      <c r="AZ61" s="69"/>
      <c r="BA61" s="69"/>
      <c r="BB61" s="69"/>
      <c r="BC61" s="67"/>
      <c r="BF61" s="31"/>
      <c r="BG61" s="31"/>
      <c r="BH61" s="31"/>
      <c r="BI61" s="68"/>
      <c r="BJ61" s="31"/>
    </row>
    <row r="62" spans="1:62" s="29" customFormat="1" ht="15" hidden="1" x14ac:dyDescent="0.2">
      <c r="A62" s="13" t="s">
        <v>16</v>
      </c>
      <c r="B62" s="90">
        <v>4.58090391218186</v>
      </c>
      <c r="C62" s="91"/>
      <c r="D62" s="91"/>
      <c r="E62" s="92"/>
      <c r="F62" s="9"/>
      <c r="G62" s="9"/>
      <c r="H62" s="9"/>
      <c r="I62" s="9"/>
      <c r="J62" s="9"/>
      <c r="K62" s="9"/>
      <c r="L62" s="9"/>
      <c r="M62" s="93"/>
      <c r="N62" s="93"/>
      <c r="O62" s="93"/>
      <c r="P62" s="93"/>
      <c r="Q62" s="93"/>
      <c r="R62" s="93"/>
      <c r="S62" s="93"/>
      <c r="T62" s="93"/>
      <c r="U62" s="93"/>
      <c r="V62" s="1" t="s">
        <v>17</v>
      </c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9"/>
      <c r="AT62" s="3"/>
      <c r="AU62" s="3"/>
      <c r="AV62" s="3"/>
      <c r="AW62" s="69"/>
      <c r="AX62" s="69"/>
      <c r="AY62" s="69"/>
      <c r="AZ62" s="69"/>
      <c r="BA62" s="69"/>
      <c r="BB62" s="69"/>
      <c r="BC62" s="67"/>
      <c r="BF62" s="31"/>
      <c r="BG62" s="31"/>
      <c r="BH62" s="31"/>
      <c r="BI62" s="68"/>
      <c r="BJ62" s="31"/>
    </row>
    <row r="63" spans="1:62" s="29" customFormat="1" ht="15" hidden="1" x14ac:dyDescent="0.2">
      <c r="A63" s="95" t="s">
        <v>18</v>
      </c>
      <c r="B63" s="90">
        <v>6.1528574267983878</v>
      </c>
      <c r="C63" s="91"/>
      <c r="D63" s="91"/>
      <c r="E63" s="92"/>
      <c r="F63" s="9"/>
      <c r="G63" s="9"/>
      <c r="H63" s="9"/>
      <c r="I63" s="9"/>
      <c r="J63" s="9"/>
      <c r="K63" s="9"/>
      <c r="L63" s="9"/>
      <c r="M63" s="93"/>
      <c r="N63" s="93"/>
      <c r="O63" s="93"/>
      <c r="P63" s="93"/>
      <c r="Q63" s="93"/>
      <c r="R63" s="93"/>
      <c r="S63" s="93"/>
      <c r="T63" s="93"/>
      <c r="U63" s="93"/>
      <c r="V63" s="15" t="s">
        <v>19</v>
      </c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9"/>
      <c r="AT63" s="3"/>
      <c r="AU63" s="3"/>
      <c r="AV63" s="3"/>
      <c r="AW63" s="69"/>
      <c r="AX63" s="69"/>
      <c r="AY63" s="69"/>
      <c r="AZ63" s="69"/>
      <c r="BA63" s="69"/>
      <c r="BB63" s="69"/>
      <c r="BC63" s="67"/>
      <c r="BF63" s="31"/>
      <c r="BG63" s="31"/>
      <c r="BH63" s="31"/>
      <c r="BI63" s="68"/>
      <c r="BJ63" s="31"/>
    </row>
    <row r="64" spans="1:62" s="29" customFormat="1" ht="15" hidden="1" x14ac:dyDescent="0.2">
      <c r="A64" s="94" t="s">
        <v>5</v>
      </c>
      <c r="B64" s="90">
        <v>1.9430672868104886</v>
      </c>
      <c r="C64" s="91"/>
      <c r="D64" s="91"/>
      <c r="E64" s="92"/>
      <c r="F64" s="9"/>
      <c r="G64" s="9"/>
      <c r="H64" s="9"/>
      <c r="I64" s="9"/>
      <c r="J64" s="9"/>
      <c r="K64" s="9"/>
      <c r="L64" s="9"/>
      <c r="M64" s="93"/>
      <c r="N64" s="93"/>
      <c r="O64" s="93"/>
      <c r="P64" s="93"/>
      <c r="Q64" s="93"/>
      <c r="R64" s="93"/>
      <c r="S64" s="93"/>
      <c r="T64" s="93"/>
      <c r="U64" s="93"/>
      <c r="V64" s="15" t="s">
        <v>6</v>
      </c>
      <c r="AS64" s="31"/>
      <c r="AT64" s="3"/>
      <c r="AU64" s="3"/>
      <c r="AV64" s="3"/>
      <c r="AW64" s="31"/>
      <c r="AX64" s="31"/>
      <c r="AY64" s="31"/>
      <c r="AZ64" s="31"/>
      <c r="BA64" s="31"/>
      <c r="BB64" s="31"/>
      <c r="BC64" s="67"/>
      <c r="BF64" s="31"/>
      <c r="BG64" s="31"/>
      <c r="BH64" s="31"/>
      <c r="BI64" s="68"/>
      <c r="BJ64" s="31"/>
    </row>
    <row r="65" spans="1:62" s="29" customFormat="1" ht="15" hidden="1" x14ac:dyDescent="0.2">
      <c r="A65" s="94" t="s">
        <v>20</v>
      </c>
      <c r="B65" s="90">
        <v>2.1113300205874355</v>
      </c>
      <c r="C65" s="91"/>
      <c r="D65" s="91"/>
      <c r="E65" s="92"/>
      <c r="F65" s="9"/>
      <c r="G65" s="9"/>
      <c r="H65" s="9"/>
      <c r="I65" s="9"/>
      <c r="J65" s="9"/>
      <c r="K65" s="9"/>
      <c r="L65" s="9"/>
      <c r="M65" s="93"/>
      <c r="N65" s="93"/>
      <c r="O65" s="93"/>
      <c r="P65" s="93"/>
      <c r="Q65" s="93"/>
      <c r="R65" s="93"/>
      <c r="S65" s="93"/>
      <c r="T65" s="93"/>
      <c r="U65" s="93"/>
      <c r="V65" s="15" t="s">
        <v>21</v>
      </c>
      <c r="AS65" s="31"/>
      <c r="AT65" s="70"/>
      <c r="AU65" s="70"/>
      <c r="AV65" s="70"/>
      <c r="AW65" s="31"/>
      <c r="AX65" s="31"/>
      <c r="AY65" s="31"/>
      <c r="AZ65" s="31"/>
      <c r="BA65" s="31"/>
      <c r="BB65" s="31"/>
      <c r="BC65" s="67"/>
      <c r="BF65" s="31"/>
      <c r="BG65" s="31"/>
      <c r="BH65" s="31"/>
      <c r="BI65" s="68"/>
      <c r="BJ65" s="31"/>
    </row>
    <row r="66" spans="1:62" s="29" customFormat="1" ht="15" hidden="1" x14ac:dyDescent="0.2">
      <c r="A66" s="95" t="s">
        <v>22</v>
      </c>
      <c r="B66" s="96">
        <v>7.7045218867778775</v>
      </c>
      <c r="C66" s="91"/>
      <c r="D66" s="91"/>
      <c r="E66" s="92"/>
      <c r="F66" s="9"/>
      <c r="G66" s="9"/>
      <c r="H66" s="9"/>
      <c r="I66" s="9"/>
      <c r="J66" s="9"/>
      <c r="K66" s="9"/>
      <c r="L66" s="9"/>
      <c r="M66" s="93"/>
      <c r="N66" s="93"/>
      <c r="O66" s="93"/>
      <c r="P66" s="93"/>
      <c r="Q66" s="93"/>
      <c r="R66" s="93"/>
      <c r="S66" s="93"/>
      <c r="T66" s="93"/>
      <c r="U66" s="93"/>
      <c r="V66" s="46" t="s">
        <v>45</v>
      </c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9"/>
      <c r="AT66" s="3"/>
      <c r="AU66" s="3"/>
      <c r="AV66" s="3"/>
      <c r="AW66" s="69"/>
      <c r="AX66" s="69"/>
      <c r="AY66" s="69"/>
      <c r="AZ66" s="69"/>
      <c r="BA66" s="69"/>
      <c r="BB66" s="69"/>
      <c r="BC66" s="67"/>
      <c r="BI66" s="72"/>
    </row>
    <row r="67" spans="1:62" s="28" customFormat="1" ht="15" hidden="1" x14ac:dyDescent="0.2">
      <c r="A67" s="97" t="s">
        <v>42</v>
      </c>
      <c r="B67" s="98">
        <v>100</v>
      </c>
      <c r="C67" s="99"/>
      <c r="D67" s="99"/>
      <c r="E67" s="100"/>
      <c r="F67" s="100"/>
      <c r="G67" s="100"/>
      <c r="H67" s="100"/>
      <c r="I67" s="100"/>
      <c r="J67" s="100"/>
      <c r="K67" s="100"/>
      <c r="L67" s="100"/>
      <c r="M67" s="101"/>
      <c r="N67" s="101"/>
      <c r="O67" s="101"/>
      <c r="P67" s="101"/>
      <c r="Q67" s="101"/>
      <c r="R67" s="101"/>
      <c r="S67" s="101"/>
      <c r="T67" s="101"/>
      <c r="U67" s="101"/>
      <c r="V67" s="20" t="s">
        <v>7</v>
      </c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5"/>
      <c r="AT67" s="3"/>
      <c r="AU67" s="3"/>
      <c r="AV67" s="3"/>
      <c r="AW67" s="75"/>
      <c r="AX67" s="75"/>
      <c r="AY67" s="75"/>
      <c r="AZ67" s="75"/>
      <c r="BA67" s="75"/>
      <c r="BB67" s="75"/>
      <c r="BC67" s="67"/>
      <c r="BI67" s="76"/>
    </row>
    <row r="68" spans="1:62" s="79" customFormat="1" ht="15" hidden="1" x14ac:dyDescent="0.2">
      <c r="A68" s="102" t="s">
        <v>43</v>
      </c>
      <c r="B68" s="103">
        <v>90.495421696194171</v>
      </c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24" t="s">
        <v>31</v>
      </c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7"/>
      <c r="AU68" s="77"/>
      <c r="AV68" s="77"/>
      <c r="AW68" s="75"/>
      <c r="AX68" s="75"/>
      <c r="AY68" s="75"/>
      <c r="AZ68" s="75"/>
      <c r="BA68" s="75"/>
      <c r="BB68" s="75"/>
      <c r="BC68" s="78"/>
      <c r="BI68" s="80"/>
    </row>
    <row r="69" spans="1:62" ht="21" hidden="1" x14ac:dyDescent="0.2">
      <c r="A69" s="105"/>
    </row>
    <row r="70" spans="1:62" ht="21.75" hidden="1" customHeight="1" x14ac:dyDescent="0.2">
      <c r="A70" s="105"/>
    </row>
    <row r="71" spans="1:62" ht="21" x14ac:dyDescent="0.2">
      <c r="A71" s="105"/>
    </row>
    <row r="72" spans="1:62" x14ac:dyDescent="0.2">
      <c r="B72" s="3"/>
    </row>
    <row r="73" spans="1:62" x14ac:dyDescent="0.2">
      <c r="B73" s="3"/>
      <c r="AT73" s="107"/>
    </row>
    <row r="74" spans="1:62" x14ac:dyDescent="0.2">
      <c r="B74" s="3"/>
      <c r="AS74" s="110"/>
      <c r="AT74" s="107"/>
      <c r="AU74" s="107"/>
    </row>
    <row r="75" spans="1:62" x14ac:dyDescent="0.2">
      <c r="B75" s="3"/>
      <c r="AS75" s="110"/>
      <c r="AT75" s="107"/>
      <c r="AU75" s="107"/>
    </row>
    <row r="76" spans="1:62" x14ac:dyDescent="0.2">
      <c r="AS76" s="110"/>
      <c r="AT76" s="107"/>
      <c r="AU76" s="107"/>
    </row>
    <row r="77" spans="1:62" x14ac:dyDescent="0.2">
      <c r="AS77" s="110"/>
      <c r="AT77" s="107"/>
      <c r="AU77" s="107"/>
    </row>
    <row r="78" spans="1:62" x14ac:dyDescent="0.2">
      <c r="AS78" s="110"/>
      <c r="AT78" s="107"/>
      <c r="AU78" s="107"/>
    </row>
    <row r="79" spans="1:62" x14ac:dyDescent="0.2">
      <c r="AS79" s="110"/>
      <c r="AT79" s="107"/>
      <c r="AU79" s="107"/>
    </row>
    <row r="80" spans="1:62" x14ac:dyDescent="0.2">
      <c r="AS80" s="110"/>
      <c r="AT80" s="107"/>
      <c r="AU80" s="107"/>
    </row>
    <row r="81" spans="1:47" x14ac:dyDescent="0.2">
      <c r="A81" s="3"/>
      <c r="AS81" s="110"/>
      <c r="AT81" s="107"/>
      <c r="AU81" s="107"/>
    </row>
    <row r="82" spans="1:47" x14ac:dyDescent="0.2"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  <c r="AI82" s="107"/>
      <c r="AJ82" s="107"/>
      <c r="AK82" s="107"/>
      <c r="AL82" s="107"/>
      <c r="AM82" s="107"/>
      <c r="AN82" s="107"/>
      <c r="AO82" s="107"/>
      <c r="AP82" s="107"/>
      <c r="AQ82" s="107"/>
      <c r="AR82" s="107"/>
      <c r="AS82" s="110"/>
      <c r="AT82" s="107"/>
      <c r="AU82" s="107"/>
    </row>
    <row r="83" spans="1:47" x14ac:dyDescent="0.2">
      <c r="A83" s="3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10"/>
      <c r="AT83" s="107"/>
      <c r="AU83" s="107"/>
    </row>
    <row r="84" spans="1:47" x14ac:dyDescent="0.2"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  <c r="AQ84" s="107"/>
      <c r="AR84" s="107"/>
      <c r="AS84" s="110"/>
      <c r="AT84" s="107"/>
      <c r="AU84" s="107"/>
    </row>
    <row r="85" spans="1:47" ht="23.25" x14ac:dyDescent="0.35">
      <c r="A85" s="108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  <c r="AL85" s="107"/>
      <c r="AM85" s="107"/>
      <c r="AN85" s="107"/>
      <c r="AO85" s="107"/>
      <c r="AP85" s="107"/>
      <c r="AQ85" s="107"/>
      <c r="AR85" s="107"/>
      <c r="AS85" s="110"/>
      <c r="AT85" s="107"/>
      <c r="AU85" s="107"/>
    </row>
    <row r="86" spans="1:47" x14ac:dyDescent="0.2"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  <c r="AI86" s="107"/>
      <c r="AJ86" s="107"/>
      <c r="AK86" s="107"/>
      <c r="AL86" s="107"/>
      <c r="AM86" s="107"/>
      <c r="AN86" s="107"/>
      <c r="AO86" s="107"/>
      <c r="AP86" s="107"/>
      <c r="AQ86" s="107"/>
      <c r="AR86" s="107"/>
      <c r="AS86" s="110"/>
      <c r="AT86" s="107"/>
      <c r="AU86" s="107"/>
    </row>
    <row r="87" spans="1:47" x14ac:dyDescent="0.2"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  <c r="AL87" s="107"/>
      <c r="AM87" s="107"/>
      <c r="AN87" s="107"/>
      <c r="AO87" s="107"/>
      <c r="AP87" s="107"/>
      <c r="AQ87" s="107"/>
      <c r="AR87" s="107"/>
      <c r="AS87" s="110"/>
      <c r="AT87" s="107"/>
      <c r="AU87" s="107"/>
    </row>
    <row r="88" spans="1:47" x14ac:dyDescent="0.2"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  <c r="AL88" s="107"/>
      <c r="AM88" s="107"/>
      <c r="AN88" s="107"/>
      <c r="AO88" s="107"/>
      <c r="AP88" s="107"/>
      <c r="AQ88" s="107"/>
      <c r="AR88" s="107"/>
      <c r="AS88" s="110"/>
      <c r="AT88" s="107"/>
    </row>
    <row r="89" spans="1:47" x14ac:dyDescent="0.2"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107"/>
      <c r="AO89" s="107"/>
      <c r="AP89" s="107"/>
      <c r="AQ89" s="107"/>
      <c r="AR89" s="107"/>
      <c r="AS89" s="110"/>
      <c r="AT89" s="107"/>
    </row>
    <row r="90" spans="1:47" x14ac:dyDescent="0.2"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  <c r="AL90" s="107"/>
      <c r="AM90" s="107"/>
      <c r="AN90" s="107"/>
      <c r="AO90" s="107"/>
      <c r="AP90" s="107"/>
      <c r="AQ90" s="107"/>
      <c r="AR90" s="107"/>
      <c r="AS90" s="110"/>
    </row>
    <row r="91" spans="1:47" x14ac:dyDescent="0.2"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  <c r="AL91" s="107"/>
      <c r="AM91" s="107"/>
      <c r="AN91" s="107"/>
      <c r="AO91" s="107"/>
      <c r="AP91" s="107"/>
      <c r="AQ91" s="107"/>
      <c r="AR91" s="107"/>
      <c r="AS91" s="110"/>
    </row>
    <row r="92" spans="1:47" x14ac:dyDescent="0.2"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107"/>
      <c r="AO92" s="107"/>
      <c r="AP92" s="107"/>
      <c r="AQ92" s="107"/>
      <c r="AR92" s="107"/>
      <c r="AS92" s="110"/>
    </row>
    <row r="93" spans="1:47" x14ac:dyDescent="0.2"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  <c r="AL93" s="107"/>
      <c r="AM93" s="107"/>
      <c r="AN93" s="107"/>
      <c r="AO93" s="107"/>
      <c r="AP93" s="107"/>
      <c r="AQ93" s="107"/>
      <c r="AR93" s="107"/>
      <c r="AS93" s="110"/>
    </row>
    <row r="94" spans="1:47" x14ac:dyDescent="0.2"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  <c r="AL94" s="107"/>
      <c r="AM94" s="107"/>
      <c r="AN94" s="107"/>
      <c r="AO94" s="107"/>
      <c r="AP94" s="107"/>
      <c r="AQ94" s="107"/>
      <c r="AR94" s="107"/>
      <c r="AS94" s="110"/>
    </row>
    <row r="95" spans="1:47" x14ac:dyDescent="0.2"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7"/>
      <c r="AP95" s="107"/>
      <c r="AQ95" s="107"/>
      <c r="AR95" s="107"/>
      <c r="AS95" s="110"/>
    </row>
    <row r="96" spans="1:47" x14ac:dyDescent="0.2"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  <c r="AI96" s="107"/>
      <c r="AJ96" s="107"/>
      <c r="AK96" s="107"/>
      <c r="AL96" s="107"/>
      <c r="AM96" s="107"/>
      <c r="AN96" s="107"/>
      <c r="AO96" s="107"/>
      <c r="AP96" s="107"/>
      <c r="AQ96" s="107"/>
      <c r="AR96" s="107"/>
    </row>
    <row r="97" spans="8:44" x14ac:dyDescent="0.2"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  <c r="AL97" s="107"/>
      <c r="AM97" s="107"/>
      <c r="AN97" s="107"/>
      <c r="AO97" s="107"/>
      <c r="AP97" s="107"/>
      <c r="AQ97" s="107"/>
      <c r="AR97" s="107"/>
    </row>
    <row r="98" spans="8:44" x14ac:dyDescent="0.2"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107"/>
      <c r="AO98" s="107"/>
      <c r="AP98" s="107"/>
      <c r="AQ98" s="107"/>
      <c r="AR98" s="107"/>
    </row>
    <row r="99" spans="8:44" x14ac:dyDescent="0.2"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</row>
    <row r="100" spans="8:44" x14ac:dyDescent="0.2"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07"/>
      <c r="AP100" s="107"/>
      <c r="AQ100" s="107"/>
      <c r="AR100" s="107"/>
    </row>
    <row r="101" spans="8:44" x14ac:dyDescent="0.2"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107"/>
      <c r="AO101" s="107"/>
      <c r="AP101" s="107"/>
      <c r="AQ101" s="107"/>
      <c r="AR101" s="107"/>
    </row>
    <row r="102" spans="8:44" x14ac:dyDescent="0.2"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107"/>
      <c r="AN102" s="107"/>
      <c r="AO102" s="107"/>
      <c r="AP102" s="107"/>
      <c r="AQ102" s="107"/>
      <c r="AR102" s="107"/>
    </row>
    <row r="103" spans="8:44" x14ac:dyDescent="0.2"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  <c r="AI103" s="107"/>
      <c r="AJ103" s="107"/>
      <c r="AK103" s="107"/>
      <c r="AL103" s="107"/>
      <c r="AM103" s="107"/>
      <c r="AN103" s="107"/>
      <c r="AO103" s="107"/>
      <c r="AP103" s="107"/>
      <c r="AQ103" s="107"/>
      <c r="AR103" s="107"/>
    </row>
    <row r="104" spans="8:44" x14ac:dyDescent="0.2"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  <c r="AI104" s="107"/>
      <c r="AJ104" s="107"/>
      <c r="AK104" s="107"/>
      <c r="AL104" s="107"/>
      <c r="AM104" s="107"/>
      <c r="AN104" s="107"/>
      <c r="AO104" s="107"/>
      <c r="AP104" s="107"/>
      <c r="AQ104" s="107"/>
      <c r="AR104" s="107"/>
    </row>
    <row r="105" spans="8:44" x14ac:dyDescent="0.2"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  <c r="AI105" s="107"/>
      <c r="AJ105" s="107"/>
      <c r="AK105" s="107"/>
      <c r="AL105" s="107"/>
      <c r="AM105" s="107"/>
      <c r="AN105" s="107"/>
      <c r="AO105" s="107"/>
      <c r="AP105" s="107"/>
      <c r="AQ105" s="107"/>
      <c r="AR105" s="107"/>
    </row>
    <row r="106" spans="8:44" x14ac:dyDescent="0.2"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  <c r="AI106" s="107"/>
      <c r="AJ106" s="107"/>
      <c r="AK106" s="107"/>
      <c r="AL106" s="107"/>
      <c r="AM106" s="107"/>
      <c r="AN106" s="107"/>
      <c r="AO106" s="107"/>
      <c r="AP106" s="107"/>
      <c r="AQ106" s="107"/>
      <c r="AR106" s="107"/>
    </row>
    <row r="107" spans="8:44" x14ac:dyDescent="0.2"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  <c r="AK107" s="107"/>
      <c r="AL107" s="107"/>
      <c r="AM107" s="107"/>
      <c r="AN107" s="107"/>
      <c r="AO107" s="107"/>
      <c r="AP107" s="107"/>
      <c r="AQ107" s="107"/>
      <c r="AR107" s="107"/>
    </row>
    <row r="108" spans="8:44" x14ac:dyDescent="0.2"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  <c r="AK108" s="107"/>
      <c r="AL108" s="107"/>
      <c r="AM108" s="107"/>
      <c r="AN108" s="107"/>
      <c r="AO108" s="107"/>
      <c r="AP108" s="107"/>
      <c r="AQ108" s="107"/>
      <c r="AR108" s="107"/>
    </row>
    <row r="109" spans="8:44" x14ac:dyDescent="0.2"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  <c r="AI109" s="107"/>
      <c r="AJ109" s="107"/>
      <c r="AK109" s="107"/>
      <c r="AL109" s="107"/>
      <c r="AM109" s="107"/>
      <c r="AN109" s="107"/>
      <c r="AO109" s="107"/>
      <c r="AP109" s="107"/>
      <c r="AQ109" s="107"/>
      <c r="AR109" s="107"/>
    </row>
    <row r="110" spans="8:44" x14ac:dyDescent="0.2"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  <c r="AI110" s="107"/>
      <c r="AJ110" s="107"/>
      <c r="AK110" s="107"/>
      <c r="AL110" s="107"/>
      <c r="AM110" s="107"/>
      <c r="AN110" s="107"/>
      <c r="AO110" s="107"/>
      <c r="AP110" s="107"/>
      <c r="AQ110" s="107"/>
      <c r="AR110" s="107"/>
    </row>
    <row r="111" spans="8:44" x14ac:dyDescent="0.2"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  <c r="AI111" s="107"/>
      <c r="AJ111" s="107"/>
      <c r="AK111" s="107"/>
      <c r="AL111" s="107"/>
      <c r="AM111" s="107"/>
      <c r="AN111" s="107"/>
      <c r="AO111" s="107"/>
      <c r="AP111" s="107"/>
      <c r="AQ111" s="107"/>
      <c r="AR111" s="107"/>
    </row>
    <row r="112" spans="8:44" x14ac:dyDescent="0.2"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  <c r="AK112" s="107"/>
      <c r="AL112" s="107"/>
      <c r="AM112" s="107"/>
      <c r="AN112" s="107"/>
      <c r="AO112" s="107"/>
      <c r="AP112" s="107"/>
      <c r="AQ112" s="107"/>
      <c r="AR112" s="107"/>
    </row>
    <row r="113" spans="8:44" x14ac:dyDescent="0.2"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  <c r="AK113" s="107"/>
      <c r="AL113" s="107"/>
      <c r="AM113" s="107"/>
      <c r="AN113" s="107"/>
      <c r="AO113" s="107"/>
      <c r="AP113" s="107"/>
      <c r="AQ113" s="107"/>
      <c r="AR113" s="107"/>
    </row>
    <row r="114" spans="8:44" x14ac:dyDescent="0.2"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  <c r="AI114" s="107"/>
      <c r="AJ114" s="107"/>
      <c r="AK114" s="107"/>
      <c r="AL114" s="107"/>
      <c r="AM114" s="107"/>
      <c r="AN114" s="107"/>
      <c r="AO114" s="107"/>
      <c r="AP114" s="107"/>
      <c r="AQ114" s="107"/>
      <c r="AR114" s="107"/>
    </row>
    <row r="115" spans="8:44" x14ac:dyDescent="0.2"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  <c r="AI115" s="107"/>
      <c r="AJ115" s="107"/>
      <c r="AK115" s="107"/>
      <c r="AL115" s="107"/>
      <c r="AM115" s="107"/>
      <c r="AN115" s="107"/>
      <c r="AO115" s="107"/>
      <c r="AP115" s="107"/>
      <c r="AQ115" s="107"/>
      <c r="AR115" s="107"/>
    </row>
    <row r="116" spans="8:44" x14ac:dyDescent="0.2"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  <c r="AI116" s="107"/>
      <c r="AJ116" s="107"/>
      <c r="AK116" s="107"/>
      <c r="AL116" s="107"/>
      <c r="AM116" s="107"/>
      <c r="AN116" s="107"/>
      <c r="AO116" s="107"/>
      <c r="AP116" s="107"/>
      <c r="AQ116" s="107"/>
      <c r="AR116" s="107"/>
    </row>
    <row r="117" spans="8:44" x14ac:dyDescent="0.2"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  <c r="AI117" s="107"/>
      <c r="AJ117" s="107"/>
      <c r="AK117" s="107"/>
      <c r="AL117" s="107"/>
      <c r="AM117" s="107"/>
      <c r="AN117" s="107"/>
      <c r="AO117" s="107"/>
      <c r="AP117" s="107"/>
      <c r="AQ117" s="107"/>
      <c r="AR117" s="107"/>
    </row>
    <row r="118" spans="8:44" x14ac:dyDescent="0.2"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  <c r="AI118" s="107"/>
      <c r="AJ118" s="107"/>
      <c r="AK118" s="107"/>
      <c r="AL118" s="107"/>
      <c r="AM118" s="107"/>
      <c r="AN118" s="107"/>
      <c r="AO118" s="107"/>
      <c r="AP118" s="107"/>
      <c r="AQ118" s="107"/>
      <c r="AR118" s="107"/>
    </row>
    <row r="119" spans="8:44" x14ac:dyDescent="0.2"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107"/>
      <c r="AK119" s="107"/>
      <c r="AL119" s="107"/>
      <c r="AM119" s="107"/>
      <c r="AN119" s="107"/>
      <c r="AO119" s="107"/>
      <c r="AP119" s="107"/>
      <c r="AQ119" s="107"/>
      <c r="AR119" s="107"/>
    </row>
    <row r="120" spans="8:44" x14ac:dyDescent="0.2"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  <c r="AI120" s="107"/>
      <c r="AJ120" s="107"/>
      <c r="AK120" s="107"/>
      <c r="AL120" s="107"/>
      <c r="AM120" s="107"/>
      <c r="AN120" s="107"/>
      <c r="AO120" s="107"/>
      <c r="AP120" s="107"/>
      <c r="AQ120" s="107"/>
      <c r="AR120" s="107"/>
    </row>
    <row r="121" spans="8:44" x14ac:dyDescent="0.2"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  <c r="AI121" s="107"/>
      <c r="AJ121" s="107"/>
      <c r="AK121" s="107"/>
      <c r="AL121" s="107"/>
      <c r="AM121" s="107"/>
      <c r="AN121" s="107"/>
      <c r="AO121" s="107"/>
      <c r="AP121" s="107"/>
      <c r="AQ121" s="107"/>
      <c r="AR121" s="107"/>
    </row>
    <row r="122" spans="8:44" x14ac:dyDescent="0.2"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  <c r="AI122" s="107"/>
      <c r="AJ122" s="107"/>
      <c r="AK122" s="107"/>
      <c r="AL122" s="107"/>
      <c r="AM122" s="107"/>
      <c r="AN122" s="107"/>
      <c r="AO122" s="107"/>
      <c r="AP122" s="107"/>
      <c r="AQ122" s="107"/>
      <c r="AR122" s="107"/>
    </row>
    <row r="123" spans="8:44" x14ac:dyDescent="0.2"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</row>
    <row r="124" spans="8:44" x14ac:dyDescent="0.2"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  <c r="AI124" s="107"/>
      <c r="AJ124" s="107"/>
      <c r="AK124" s="107"/>
      <c r="AL124" s="107"/>
      <c r="AM124" s="107"/>
      <c r="AN124" s="107"/>
      <c r="AO124" s="107"/>
      <c r="AP124" s="107"/>
      <c r="AQ124" s="107"/>
      <c r="AR124" s="107"/>
    </row>
    <row r="125" spans="8:44" x14ac:dyDescent="0.2"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  <c r="AI125" s="107"/>
      <c r="AJ125" s="107"/>
      <c r="AK125" s="107"/>
      <c r="AL125" s="107"/>
      <c r="AM125" s="107"/>
      <c r="AN125" s="107"/>
      <c r="AO125" s="107"/>
      <c r="AP125" s="107"/>
      <c r="AQ125" s="107"/>
      <c r="AR125" s="107"/>
    </row>
    <row r="126" spans="8:44" x14ac:dyDescent="0.2"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  <c r="AI126" s="107"/>
      <c r="AJ126" s="107"/>
      <c r="AK126" s="107"/>
      <c r="AL126" s="107"/>
      <c r="AM126" s="107"/>
      <c r="AN126" s="107"/>
      <c r="AO126" s="107"/>
      <c r="AP126" s="107"/>
      <c r="AQ126" s="107"/>
      <c r="AR126" s="107"/>
    </row>
    <row r="127" spans="8:44" x14ac:dyDescent="0.2"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  <c r="AI127" s="107"/>
      <c r="AJ127" s="107"/>
      <c r="AK127" s="107"/>
      <c r="AL127" s="107"/>
      <c r="AM127" s="107"/>
      <c r="AN127" s="107"/>
      <c r="AO127" s="107"/>
      <c r="AP127" s="107"/>
      <c r="AQ127" s="107"/>
      <c r="AR127" s="107"/>
    </row>
    <row r="128" spans="8:44" x14ac:dyDescent="0.2"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  <c r="AI128" s="107"/>
      <c r="AJ128" s="107"/>
      <c r="AK128" s="107"/>
      <c r="AL128" s="107"/>
      <c r="AM128" s="107"/>
      <c r="AN128" s="107"/>
      <c r="AO128" s="107"/>
      <c r="AP128" s="107"/>
      <c r="AQ128" s="107"/>
      <c r="AR128" s="107"/>
    </row>
    <row r="129" spans="8:44" x14ac:dyDescent="0.2"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  <c r="AI129" s="107"/>
      <c r="AJ129" s="107"/>
      <c r="AK129" s="107"/>
      <c r="AL129" s="107"/>
      <c r="AM129" s="107"/>
      <c r="AN129" s="107"/>
      <c r="AO129" s="107"/>
      <c r="AP129" s="107"/>
      <c r="AQ129" s="107"/>
      <c r="AR129" s="107"/>
    </row>
    <row r="130" spans="8:44" x14ac:dyDescent="0.2"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  <c r="AI130" s="107"/>
      <c r="AJ130" s="107"/>
      <c r="AK130" s="107"/>
      <c r="AL130" s="107"/>
      <c r="AM130" s="107"/>
      <c r="AN130" s="107"/>
      <c r="AO130" s="107"/>
      <c r="AP130" s="107"/>
      <c r="AQ130" s="107"/>
      <c r="AR130" s="107"/>
    </row>
    <row r="131" spans="8:44" x14ac:dyDescent="0.2"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7"/>
      <c r="AP131" s="107"/>
      <c r="AQ131" s="107"/>
      <c r="AR131" s="107"/>
    </row>
    <row r="132" spans="8:44" x14ac:dyDescent="0.2"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  <c r="AI132" s="107"/>
      <c r="AJ132" s="107"/>
      <c r="AK132" s="107"/>
      <c r="AL132" s="107"/>
      <c r="AM132" s="107"/>
      <c r="AN132" s="107"/>
      <c r="AO132" s="107"/>
      <c r="AP132" s="107"/>
      <c r="AQ132" s="107"/>
      <c r="AR132" s="107"/>
    </row>
    <row r="133" spans="8:44" x14ac:dyDescent="0.2"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  <c r="AI133" s="107"/>
      <c r="AJ133" s="107"/>
      <c r="AK133" s="107"/>
      <c r="AL133" s="107"/>
      <c r="AM133" s="107"/>
      <c r="AN133" s="107"/>
      <c r="AO133" s="107"/>
      <c r="AP133" s="107"/>
      <c r="AQ133" s="107"/>
      <c r="AR133" s="107"/>
    </row>
    <row r="134" spans="8:44" x14ac:dyDescent="0.2"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107"/>
      <c r="AK134" s="107"/>
      <c r="AL134" s="107"/>
      <c r="AM134" s="107"/>
      <c r="AN134" s="107"/>
      <c r="AO134" s="107"/>
      <c r="AP134" s="107"/>
      <c r="AQ134" s="107"/>
      <c r="AR134" s="107"/>
    </row>
    <row r="135" spans="8:44" x14ac:dyDescent="0.2"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  <c r="AI135" s="107"/>
      <c r="AJ135" s="107"/>
      <c r="AK135" s="107"/>
      <c r="AL135" s="107"/>
      <c r="AM135" s="107"/>
      <c r="AN135" s="107"/>
      <c r="AO135" s="107"/>
      <c r="AP135" s="107"/>
      <c r="AQ135" s="107"/>
      <c r="AR135" s="107"/>
    </row>
    <row r="136" spans="8:44" x14ac:dyDescent="0.2"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  <c r="AI136" s="107"/>
      <c r="AJ136" s="107"/>
      <c r="AK136" s="107"/>
      <c r="AL136" s="107"/>
      <c r="AM136" s="107"/>
      <c r="AN136" s="107"/>
      <c r="AO136" s="107"/>
      <c r="AP136" s="107"/>
      <c r="AQ136" s="107"/>
      <c r="AR136" s="107"/>
    </row>
    <row r="137" spans="8:44" x14ac:dyDescent="0.2"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  <c r="AI137" s="107"/>
      <c r="AJ137" s="107"/>
      <c r="AK137" s="107"/>
      <c r="AL137" s="107"/>
      <c r="AM137" s="107"/>
      <c r="AN137" s="107"/>
      <c r="AO137" s="107"/>
      <c r="AP137" s="107"/>
      <c r="AQ137" s="107"/>
      <c r="AR137" s="107"/>
    </row>
    <row r="138" spans="8:44" x14ac:dyDescent="0.2"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  <c r="AI138" s="107"/>
      <c r="AJ138" s="107"/>
      <c r="AK138" s="107"/>
      <c r="AL138" s="107"/>
      <c r="AM138" s="107"/>
      <c r="AN138" s="107"/>
      <c r="AO138" s="107"/>
      <c r="AP138" s="107"/>
      <c r="AQ138" s="107"/>
      <c r="AR138" s="107"/>
    </row>
    <row r="139" spans="8:44" x14ac:dyDescent="0.2"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  <c r="AK139" s="107"/>
      <c r="AL139" s="107"/>
      <c r="AM139" s="107"/>
      <c r="AN139" s="107"/>
      <c r="AO139" s="107"/>
      <c r="AP139" s="107"/>
      <c r="AQ139" s="107"/>
      <c r="AR139" s="107"/>
    </row>
    <row r="140" spans="8:44" x14ac:dyDescent="0.2"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  <c r="AK140" s="107"/>
      <c r="AL140" s="107"/>
      <c r="AM140" s="107"/>
      <c r="AN140" s="107"/>
      <c r="AO140" s="107"/>
      <c r="AP140" s="107"/>
      <c r="AQ140" s="107"/>
      <c r="AR140" s="107"/>
    </row>
    <row r="141" spans="8:44" x14ac:dyDescent="0.2"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  <c r="AI141" s="107"/>
      <c r="AJ141" s="107"/>
      <c r="AK141" s="107"/>
      <c r="AL141" s="107"/>
      <c r="AM141" s="107"/>
      <c r="AN141" s="107"/>
      <c r="AO141" s="107"/>
      <c r="AP141" s="107"/>
      <c r="AQ141" s="107"/>
      <c r="AR141" s="107"/>
    </row>
    <row r="142" spans="8:44" x14ac:dyDescent="0.2"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  <c r="AI142" s="107"/>
      <c r="AJ142" s="107"/>
      <c r="AK142" s="107"/>
      <c r="AL142" s="107"/>
      <c r="AM142" s="107"/>
      <c r="AN142" s="107"/>
      <c r="AO142" s="107"/>
      <c r="AP142" s="107"/>
      <c r="AQ142" s="107"/>
      <c r="AR142" s="107"/>
    </row>
    <row r="143" spans="8:44" x14ac:dyDescent="0.2"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  <c r="AI143" s="107"/>
      <c r="AJ143" s="107"/>
      <c r="AK143" s="107"/>
      <c r="AL143" s="107"/>
      <c r="AM143" s="107"/>
      <c r="AN143" s="107"/>
      <c r="AO143" s="107"/>
      <c r="AP143" s="107"/>
      <c r="AQ143" s="107"/>
      <c r="AR143" s="107"/>
    </row>
    <row r="144" spans="8:44" x14ac:dyDescent="0.2">
      <c r="H144" s="107"/>
      <c r="I144" s="107"/>
      <c r="J144" s="107"/>
      <c r="K144" s="107"/>
      <c r="L144" s="107"/>
    </row>
    <row r="145" spans="8:12" x14ac:dyDescent="0.2">
      <c r="H145" s="107"/>
      <c r="I145" s="107"/>
      <c r="J145" s="107"/>
      <c r="K145" s="107"/>
      <c r="L145" s="107"/>
    </row>
    <row r="146" spans="8:12" x14ac:dyDescent="0.2">
      <c r="H146" s="107"/>
      <c r="I146" s="107"/>
      <c r="J146" s="107"/>
      <c r="K146" s="107"/>
      <c r="L146" s="107"/>
    </row>
    <row r="147" spans="8:12" x14ac:dyDescent="0.2">
      <c r="H147" s="107"/>
      <c r="I147" s="107"/>
      <c r="J147" s="107"/>
      <c r="K147" s="107"/>
      <c r="L147" s="107"/>
    </row>
    <row r="148" spans="8:12" x14ac:dyDescent="0.2">
      <c r="H148" s="107"/>
      <c r="I148" s="107"/>
      <c r="J148" s="107"/>
      <c r="K148" s="107"/>
      <c r="L148" s="107"/>
    </row>
    <row r="149" spans="8:12" x14ac:dyDescent="0.2">
      <c r="H149" s="107"/>
      <c r="I149" s="107"/>
      <c r="J149" s="107"/>
      <c r="K149" s="107"/>
      <c r="L149" s="107"/>
    </row>
    <row r="150" spans="8:12" x14ac:dyDescent="0.2">
      <c r="H150" s="107"/>
      <c r="I150" s="107"/>
      <c r="J150" s="107"/>
      <c r="K150" s="107"/>
      <c r="L150" s="107"/>
    </row>
    <row r="151" spans="8:12" x14ac:dyDescent="0.2">
      <c r="H151" s="107"/>
      <c r="I151" s="107"/>
      <c r="J151" s="107"/>
      <c r="K151" s="107"/>
      <c r="L151" s="107"/>
    </row>
    <row r="152" spans="8:12" x14ac:dyDescent="0.2">
      <c r="H152" s="107"/>
      <c r="I152" s="107"/>
      <c r="J152" s="107"/>
      <c r="K152" s="107"/>
      <c r="L152" s="107"/>
    </row>
    <row r="153" spans="8:12" x14ac:dyDescent="0.2">
      <c r="H153" s="107"/>
      <c r="I153" s="107"/>
      <c r="J153" s="107"/>
      <c r="K153" s="107"/>
      <c r="L153" s="107"/>
    </row>
    <row r="154" spans="8:12" x14ac:dyDescent="0.2">
      <c r="H154" s="107"/>
      <c r="I154" s="107"/>
      <c r="J154" s="107"/>
      <c r="K154" s="107"/>
      <c r="L154" s="107"/>
    </row>
    <row r="155" spans="8:12" x14ac:dyDescent="0.2">
      <c r="H155" s="107"/>
      <c r="I155" s="107"/>
      <c r="J155" s="107"/>
      <c r="K155" s="107"/>
      <c r="L155" s="107"/>
    </row>
    <row r="156" spans="8:12" x14ac:dyDescent="0.2">
      <c r="H156" s="107"/>
      <c r="I156" s="107"/>
      <c r="J156" s="107"/>
      <c r="K156" s="107"/>
      <c r="L156" s="107"/>
    </row>
    <row r="157" spans="8:12" x14ac:dyDescent="0.2">
      <c r="H157" s="107"/>
      <c r="I157" s="107"/>
      <c r="J157" s="107"/>
      <c r="K157" s="107"/>
      <c r="L157" s="107"/>
    </row>
    <row r="158" spans="8:12" x14ac:dyDescent="0.2">
      <c r="H158" s="107"/>
      <c r="I158" s="107"/>
      <c r="J158" s="107"/>
      <c r="K158" s="107"/>
      <c r="L158" s="107"/>
    </row>
    <row r="159" spans="8:12" x14ac:dyDescent="0.2">
      <c r="H159" s="107"/>
      <c r="I159" s="107"/>
      <c r="J159" s="107"/>
      <c r="K159" s="107"/>
      <c r="L159" s="107"/>
    </row>
    <row r="160" spans="8:12" x14ac:dyDescent="0.2">
      <c r="H160" s="107"/>
      <c r="I160" s="107"/>
      <c r="J160" s="107"/>
      <c r="K160" s="107"/>
      <c r="L160" s="107"/>
    </row>
    <row r="161" spans="8:12" x14ac:dyDescent="0.2">
      <c r="H161" s="107"/>
      <c r="I161" s="107"/>
      <c r="J161" s="107"/>
      <c r="K161" s="107"/>
      <c r="L161" s="107"/>
    </row>
    <row r="162" spans="8:12" x14ac:dyDescent="0.2">
      <c r="H162" s="107"/>
      <c r="I162" s="107"/>
      <c r="J162" s="107"/>
      <c r="K162" s="107"/>
      <c r="L162" s="107"/>
    </row>
    <row r="163" spans="8:12" x14ac:dyDescent="0.2">
      <c r="H163" s="107"/>
      <c r="I163" s="107"/>
      <c r="J163" s="107"/>
      <c r="K163" s="107"/>
      <c r="L163" s="107"/>
    </row>
    <row r="164" spans="8:12" x14ac:dyDescent="0.2">
      <c r="H164" s="107"/>
      <c r="I164" s="107"/>
      <c r="J164" s="107"/>
      <c r="K164" s="107"/>
      <c r="L164" s="107"/>
    </row>
    <row r="165" spans="8:12" x14ac:dyDescent="0.2">
      <c r="H165" s="107"/>
      <c r="I165" s="107"/>
      <c r="J165" s="107"/>
      <c r="K165" s="107"/>
      <c r="L165" s="107"/>
    </row>
    <row r="166" spans="8:12" x14ac:dyDescent="0.2">
      <c r="H166" s="107"/>
      <c r="I166" s="107"/>
      <c r="J166" s="107"/>
      <c r="K166" s="107"/>
      <c r="L166" s="107"/>
    </row>
    <row r="167" spans="8:12" x14ac:dyDescent="0.2">
      <c r="H167" s="107"/>
      <c r="I167" s="107"/>
      <c r="J167" s="107"/>
      <c r="K167" s="107"/>
      <c r="L167" s="107"/>
    </row>
    <row r="168" spans="8:12" x14ac:dyDescent="0.2">
      <c r="H168" s="107"/>
      <c r="I168" s="107"/>
      <c r="J168" s="107"/>
      <c r="K168" s="107"/>
      <c r="L168" s="107"/>
    </row>
    <row r="169" spans="8:12" x14ac:dyDescent="0.2">
      <c r="H169" s="107"/>
      <c r="I169" s="107"/>
      <c r="J169" s="107"/>
      <c r="K169" s="107"/>
      <c r="L169" s="107"/>
    </row>
    <row r="170" spans="8:12" x14ac:dyDescent="0.2">
      <c r="H170" s="107"/>
      <c r="I170" s="107"/>
      <c r="J170" s="107"/>
      <c r="K170" s="107"/>
      <c r="L170" s="107"/>
    </row>
    <row r="171" spans="8:12" x14ac:dyDescent="0.2">
      <c r="H171" s="107"/>
      <c r="I171" s="107"/>
      <c r="J171" s="107"/>
      <c r="K171" s="107"/>
      <c r="L171" s="107"/>
    </row>
    <row r="172" spans="8:12" x14ac:dyDescent="0.2">
      <c r="H172" s="107"/>
      <c r="I172" s="107"/>
      <c r="J172" s="107"/>
      <c r="K172" s="107"/>
      <c r="L172" s="107"/>
    </row>
    <row r="173" spans="8:12" x14ac:dyDescent="0.2">
      <c r="H173" s="107"/>
      <c r="I173" s="107"/>
      <c r="J173" s="107"/>
      <c r="K173" s="107"/>
      <c r="L173" s="107"/>
    </row>
    <row r="174" spans="8:12" x14ac:dyDescent="0.2">
      <c r="H174" s="107"/>
      <c r="I174" s="107"/>
      <c r="J174" s="107"/>
      <c r="K174" s="107"/>
      <c r="L174" s="107"/>
    </row>
    <row r="175" spans="8:12" x14ac:dyDescent="0.2">
      <c r="H175" s="107"/>
      <c r="I175" s="107"/>
      <c r="J175" s="107"/>
      <c r="K175" s="107"/>
      <c r="L175" s="107"/>
    </row>
    <row r="176" spans="8:12" x14ac:dyDescent="0.2">
      <c r="H176" s="107"/>
      <c r="I176" s="107"/>
      <c r="J176" s="107"/>
      <c r="K176" s="107"/>
      <c r="L176" s="107"/>
    </row>
    <row r="177" spans="8:12" x14ac:dyDescent="0.2">
      <c r="H177" s="107"/>
      <c r="I177" s="107"/>
      <c r="J177" s="107"/>
      <c r="K177" s="107"/>
      <c r="L177" s="107"/>
    </row>
    <row r="178" spans="8:12" x14ac:dyDescent="0.2">
      <c r="H178" s="107"/>
      <c r="I178" s="107"/>
      <c r="J178" s="107"/>
      <c r="K178" s="107"/>
      <c r="L178" s="107"/>
    </row>
    <row r="179" spans="8:12" x14ac:dyDescent="0.2">
      <c r="H179" s="107"/>
      <c r="I179" s="107"/>
      <c r="J179" s="107"/>
      <c r="K179" s="107"/>
      <c r="L179" s="107"/>
    </row>
    <row r="180" spans="8:12" x14ac:dyDescent="0.2">
      <c r="H180" s="107"/>
      <c r="I180" s="107"/>
      <c r="J180" s="107"/>
      <c r="K180" s="107"/>
      <c r="L180" s="107"/>
    </row>
    <row r="181" spans="8:12" x14ac:dyDescent="0.2">
      <c r="H181" s="107"/>
      <c r="I181" s="107"/>
      <c r="J181" s="107"/>
      <c r="K181" s="107"/>
      <c r="L181" s="107"/>
    </row>
    <row r="182" spans="8:12" x14ac:dyDescent="0.2">
      <c r="H182" s="107"/>
      <c r="I182" s="107"/>
      <c r="J182" s="107"/>
      <c r="K182" s="107"/>
      <c r="L182" s="107"/>
    </row>
    <row r="183" spans="8:12" x14ac:dyDescent="0.2">
      <c r="H183" s="107"/>
      <c r="I183" s="107"/>
      <c r="J183" s="107"/>
      <c r="K183" s="107"/>
      <c r="L183" s="107"/>
    </row>
    <row r="184" spans="8:12" x14ac:dyDescent="0.2">
      <c r="H184" s="107"/>
      <c r="I184" s="107"/>
      <c r="J184" s="107"/>
      <c r="K184" s="107"/>
      <c r="L184" s="107"/>
    </row>
    <row r="185" spans="8:12" x14ac:dyDescent="0.2">
      <c r="H185" s="107"/>
      <c r="I185" s="107"/>
      <c r="J185" s="107"/>
      <c r="K185" s="107"/>
      <c r="L185" s="107"/>
    </row>
    <row r="186" spans="8:12" x14ac:dyDescent="0.2">
      <c r="H186" s="107"/>
      <c r="I186" s="107"/>
      <c r="J186" s="107"/>
      <c r="K186" s="107"/>
      <c r="L186" s="107"/>
    </row>
    <row r="187" spans="8:12" x14ac:dyDescent="0.2">
      <c r="H187" s="107"/>
      <c r="I187" s="107"/>
      <c r="J187" s="107"/>
      <c r="K187" s="107"/>
      <c r="L187" s="107"/>
    </row>
    <row r="188" spans="8:12" x14ac:dyDescent="0.2">
      <c r="H188" s="107"/>
      <c r="I188" s="107"/>
      <c r="J188" s="107"/>
      <c r="K188" s="107"/>
      <c r="L188" s="107"/>
    </row>
    <row r="189" spans="8:12" x14ac:dyDescent="0.2">
      <c r="H189" s="107"/>
      <c r="I189" s="107"/>
      <c r="J189" s="107"/>
      <c r="K189" s="107"/>
      <c r="L189" s="107"/>
    </row>
    <row r="190" spans="8:12" x14ac:dyDescent="0.2">
      <c r="H190" s="107"/>
      <c r="I190" s="107"/>
      <c r="J190" s="107"/>
      <c r="K190" s="107"/>
      <c r="L190" s="107"/>
    </row>
    <row r="191" spans="8:12" x14ac:dyDescent="0.2">
      <c r="H191" s="107"/>
      <c r="I191" s="107"/>
      <c r="J191" s="107"/>
      <c r="K191" s="107"/>
      <c r="L191" s="107"/>
    </row>
    <row r="192" spans="8:12" x14ac:dyDescent="0.2">
      <c r="H192" s="107"/>
      <c r="I192" s="107"/>
      <c r="J192" s="107"/>
      <c r="K192" s="107"/>
      <c r="L192" s="107"/>
    </row>
    <row r="193" spans="8:12" x14ac:dyDescent="0.2">
      <c r="H193" s="107"/>
      <c r="I193" s="107"/>
      <c r="J193" s="107"/>
      <c r="K193" s="107"/>
      <c r="L193" s="107"/>
    </row>
    <row r="194" spans="8:12" x14ac:dyDescent="0.2">
      <c r="H194" s="107"/>
      <c r="I194" s="107"/>
      <c r="J194" s="107"/>
      <c r="K194" s="107"/>
      <c r="L194" s="107"/>
    </row>
    <row r="195" spans="8:12" x14ac:dyDescent="0.2">
      <c r="H195" s="107"/>
      <c r="I195" s="107"/>
      <c r="J195" s="107"/>
      <c r="K195" s="107"/>
      <c r="L195" s="107"/>
    </row>
    <row r="196" spans="8:12" x14ac:dyDescent="0.2">
      <c r="H196" s="107"/>
      <c r="I196" s="107"/>
      <c r="J196" s="107"/>
      <c r="K196" s="107"/>
      <c r="L196" s="107"/>
    </row>
    <row r="197" spans="8:12" x14ac:dyDescent="0.2">
      <c r="H197" s="107"/>
      <c r="I197" s="107"/>
      <c r="J197" s="107"/>
      <c r="K197" s="107"/>
      <c r="L197" s="107"/>
    </row>
    <row r="198" spans="8:12" x14ac:dyDescent="0.2">
      <c r="H198" s="107"/>
      <c r="I198" s="107"/>
      <c r="J198" s="107"/>
      <c r="K198" s="107"/>
      <c r="L198" s="107"/>
    </row>
    <row r="199" spans="8:12" x14ac:dyDescent="0.2">
      <c r="H199" s="107"/>
      <c r="I199" s="107"/>
      <c r="J199" s="107"/>
      <c r="K199" s="107"/>
      <c r="L199" s="107"/>
    </row>
    <row r="200" spans="8:12" x14ac:dyDescent="0.2">
      <c r="H200" s="107"/>
      <c r="I200" s="107"/>
      <c r="J200" s="107"/>
      <c r="K200" s="107"/>
      <c r="L200" s="107"/>
    </row>
    <row r="201" spans="8:12" x14ac:dyDescent="0.2">
      <c r="H201" s="107"/>
      <c r="I201" s="107"/>
      <c r="J201" s="107"/>
      <c r="K201" s="107"/>
      <c r="L201" s="107"/>
    </row>
    <row r="202" spans="8:12" x14ac:dyDescent="0.2">
      <c r="H202" s="107"/>
      <c r="I202" s="107"/>
      <c r="J202" s="107"/>
      <c r="K202" s="107"/>
      <c r="L202" s="107"/>
    </row>
    <row r="203" spans="8:12" x14ac:dyDescent="0.2">
      <c r="H203" s="107"/>
      <c r="I203" s="107"/>
      <c r="J203" s="107"/>
      <c r="K203" s="107"/>
      <c r="L203" s="107"/>
    </row>
    <row r="204" spans="8:12" x14ac:dyDescent="0.2">
      <c r="H204" s="107"/>
      <c r="I204" s="107"/>
      <c r="J204" s="107"/>
      <c r="K204" s="107"/>
      <c r="L204" s="107"/>
    </row>
    <row r="205" spans="8:12" x14ac:dyDescent="0.2">
      <c r="H205" s="107"/>
      <c r="I205" s="107"/>
      <c r="J205" s="107"/>
      <c r="K205" s="107"/>
      <c r="L205" s="107"/>
    </row>
    <row r="206" spans="8:12" x14ac:dyDescent="0.2">
      <c r="H206" s="107"/>
      <c r="I206" s="107"/>
      <c r="J206" s="107"/>
      <c r="K206" s="107"/>
      <c r="L206" s="107"/>
    </row>
    <row r="207" spans="8:12" x14ac:dyDescent="0.2">
      <c r="H207" s="107"/>
      <c r="I207" s="107"/>
      <c r="J207" s="107"/>
      <c r="K207" s="107"/>
      <c r="L207" s="107"/>
    </row>
    <row r="208" spans="8:12" x14ac:dyDescent="0.2">
      <c r="H208" s="107"/>
      <c r="I208" s="107"/>
      <c r="J208" s="107"/>
      <c r="K208" s="107"/>
      <c r="L208" s="107"/>
    </row>
    <row r="209" spans="8:12" x14ac:dyDescent="0.2">
      <c r="H209" s="107"/>
      <c r="I209" s="107"/>
      <c r="J209" s="107"/>
      <c r="K209" s="107"/>
      <c r="L209" s="107"/>
    </row>
    <row r="210" spans="8:12" x14ac:dyDescent="0.2">
      <c r="H210" s="107"/>
      <c r="I210" s="107"/>
      <c r="J210" s="107"/>
      <c r="K210" s="107"/>
      <c r="L210" s="107"/>
    </row>
    <row r="211" spans="8:12" x14ac:dyDescent="0.2">
      <c r="H211" s="107"/>
      <c r="I211" s="107"/>
      <c r="J211" s="107"/>
      <c r="K211" s="107"/>
      <c r="L211" s="107"/>
    </row>
    <row r="212" spans="8:12" x14ac:dyDescent="0.2">
      <c r="H212" s="107"/>
      <c r="I212" s="107"/>
      <c r="J212" s="107"/>
      <c r="K212" s="107"/>
      <c r="L212" s="107"/>
    </row>
    <row r="213" spans="8:12" x14ac:dyDescent="0.2">
      <c r="H213" s="107"/>
      <c r="I213" s="107"/>
      <c r="J213" s="107"/>
      <c r="K213" s="107"/>
      <c r="L213" s="107"/>
    </row>
    <row r="214" spans="8:12" x14ac:dyDescent="0.2">
      <c r="H214" s="107"/>
      <c r="I214" s="107"/>
      <c r="J214" s="107"/>
      <c r="K214" s="107"/>
      <c r="L214" s="107"/>
    </row>
    <row r="215" spans="8:12" x14ac:dyDescent="0.2">
      <c r="H215" s="107"/>
      <c r="I215" s="107"/>
      <c r="J215" s="107"/>
      <c r="K215" s="107"/>
      <c r="L215" s="107"/>
    </row>
    <row r="216" spans="8:12" x14ac:dyDescent="0.2">
      <c r="H216" s="107"/>
      <c r="I216" s="107"/>
      <c r="J216" s="107"/>
      <c r="K216" s="107"/>
      <c r="L216" s="107"/>
    </row>
    <row r="217" spans="8:12" x14ac:dyDescent="0.2">
      <c r="H217" s="107"/>
      <c r="I217" s="107"/>
      <c r="J217" s="107"/>
      <c r="K217" s="107"/>
      <c r="L217" s="107"/>
    </row>
    <row r="218" spans="8:12" x14ac:dyDescent="0.2">
      <c r="H218" s="107"/>
      <c r="I218" s="107"/>
      <c r="J218" s="107"/>
      <c r="K218" s="107"/>
      <c r="L218" s="107"/>
    </row>
    <row r="219" spans="8:12" x14ac:dyDescent="0.2">
      <c r="H219" s="107"/>
      <c r="I219" s="107"/>
      <c r="J219" s="107"/>
      <c r="K219" s="107"/>
      <c r="L219" s="107"/>
    </row>
    <row r="220" spans="8:12" x14ac:dyDescent="0.2">
      <c r="H220" s="107"/>
      <c r="I220" s="107"/>
      <c r="J220" s="107"/>
      <c r="K220" s="107"/>
      <c r="L220" s="107"/>
    </row>
    <row r="221" spans="8:12" x14ac:dyDescent="0.2">
      <c r="H221" s="107"/>
      <c r="I221" s="107"/>
      <c r="J221" s="107"/>
      <c r="K221" s="107"/>
      <c r="L221" s="107"/>
    </row>
    <row r="222" spans="8:12" x14ac:dyDescent="0.2">
      <c r="H222" s="107"/>
      <c r="I222" s="107"/>
      <c r="J222" s="107"/>
      <c r="K222" s="107"/>
      <c r="L222" s="107"/>
    </row>
    <row r="223" spans="8:12" x14ac:dyDescent="0.2">
      <c r="H223" s="107"/>
      <c r="I223" s="107"/>
      <c r="J223" s="107"/>
      <c r="K223" s="107"/>
      <c r="L223" s="107"/>
    </row>
    <row r="224" spans="8:12" x14ac:dyDescent="0.2">
      <c r="H224" s="107"/>
      <c r="I224" s="107"/>
      <c r="J224" s="107"/>
      <c r="K224" s="107"/>
      <c r="L224" s="107"/>
    </row>
    <row r="225" spans="8:12" x14ac:dyDescent="0.2">
      <c r="H225" s="107"/>
      <c r="I225" s="107"/>
      <c r="J225" s="107"/>
      <c r="K225" s="107"/>
      <c r="L225" s="107"/>
    </row>
    <row r="226" spans="8:12" x14ac:dyDescent="0.2">
      <c r="H226" s="107"/>
      <c r="I226" s="107"/>
      <c r="J226" s="107"/>
      <c r="K226" s="107"/>
      <c r="L226" s="107"/>
    </row>
    <row r="227" spans="8:12" x14ac:dyDescent="0.2">
      <c r="H227" s="107"/>
      <c r="I227" s="107"/>
      <c r="J227" s="107"/>
      <c r="K227" s="107"/>
      <c r="L227" s="107"/>
    </row>
    <row r="228" spans="8:12" x14ac:dyDescent="0.2">
      <c r="H228" s="107"/>
      <c r="I228" s="107"/>
      <c r="J228" s="107"/>
      <c r="K228" s="107"/>
      <c r="L228" s="107"/>
    </row>
    <row r="229" spans="8:12" x14ac:dyDescent="0.2">
      <c r="H229" s="107"/>
      <c r="I229" s="107"/>
      <c r="J229" s="107"/>
      <c r="K229" s="107"/>
      <c r="L229" s="107"/>
    </row>
    <row r="230" spans="8:12" x14ac:dyDescent="0.2">
      <c r="H230" s="107"/>
      <c r="I230" s="107"/>
      <c r="J230" s="107"/>
      <c r="K230" s="107"/>
      <c r="L230" s="107"/>
    </row>
    <row r="231" spans="8:12" x14ac:dyDescent="0.2">
      <c r="H231" s="107"/>
      <c r="I231" s="107"/>
      <c r="J231" s="107"/>
      <c r="K231" s="107"/>
      <c r="L231" s="107"/>
    </row>
    <row r="232" spans="8:12" x14ac:dyDescent="0.2">
      <c r="H232" s="107"/>
      <c r="I232" s="107"/>
      <c r="J232" s="107"/>
      <c r="K232" s="107"/>
      <c r="L232" s="107"/>
    </row>
    <row r="233" spans="8:12" x14ac:dyDescent="0.2">
      <c r="H233" s="107"/>
      <c r="I233" s="107"/>
      <c r="J233" s="107"/>
      <c r="K233" s="107"/>
      <c r="L233" s="107"/>
    </row>
    <row r="234" spans="8:12" x14ac:dyDescent="0.2">
      <c r="H234" s="107"/>
      <c r="I234" s="107"/>
      <c r="J234" s="107"/>
      <c r="K234" s="107"/>
      <c r="L234" s="107"/>
    </row>
    <row r="235" spans="8:12" x14ac:dyDescent="0.2">
      <c r="H235" s="107"/>
      <c r="I235" s="107"/>
      <c r="J235" s="107"/>
      <c r="K235" s="107"/>
      <c r="L235" s="107"/>
    </row>
    <row r="236" spans="8:12" x14ac:dyDescent="0.2">
      <c r="H236" s="107"/>
      <c r="I236" s="107"/>
      <c r="J236" s="107"/>
      <c r="K236" s="107"/>
      <c r="L236" s="107"/>
    </row>
  </sheetData>
  <mergeCells count="16">
    <mergeCell ref="A2:V2"/>
    <mergeCell ref="A1:V1"/>
    <mergeCell ref="C5:I5"/>
    <mergeCell ref="B5:B6"/>
    <mergeCell ref="A4:V4"/>
    <mergeCell ref="A3:V3"/>
    <mergeCell ref="M5:U5"/>
    <mergeCell ref="M6:U6"/>
    <mergeCell ref="B26:B27"/>
    <mergeCell ref="C6:I6"/>
    <mergeCell ref="B49:B50"/>
    <mergeCell ref="M50:Q50"/>
    <mergeCell ref="M26:U26"/>
    <mergeCell ref="M27:U27"/>
    <mergeCell ref="C26:L26"/>
    <mergeCell ref="C27:L27"/>
  </mergeCells>
  <phoneticPr fontId="5" type="noConversion"/>
  <pageMargins left="0.25" right="0.25" top="0.75" bottom="0.75" header="0.3" footer="0.3"/>
  <pageSetup paperSize="9" scale="64" orientation="landscape" r:id="rId1"/>
  <headerFooter alignWithMargins="0"/>
  <rowBreaks count="1" manualBreakCount="1">
    <brk id="47" max="2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17.5</vt:lpstr>
      <vt:lpstr>'17.5'!Print_Area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2016-04-14T07:36:58Z</cp:lastPrinted>
  <dcterms:created xsi:type="dcterms:W3CDTF">2007-02-08T08:33:33Z</dcterms:created>
  <dcterms:modified xsi:type="dcterms:W3CDTF">2016-04-14T07:37:39Z</dcterms:modified>
</cp:coreProperties>
</file>