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9" sheetId="36" r:id="rId1"/>
  </sheets>
  <externalReferences>
    <externalReference r:id="rId2"/>
    <externalReference r:id="rId3"/>
    <externalReference r:id="rId4"/>
    <externalReference r:id="rId5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'17.9'!$A$1:$AL$39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AC38" i="36" l="1"/>
  <c r="AB38" i="36"/>
  <c r="AA38" i="36"/>
  <c r="Z38" i="36"/>
  <c r="Y38" i="36"/>
  <c r="X38" i="36"/>
  <c r="W38" i="36"/>
  <c r="V38" i="36"/>
  <c r="U38" i="36"/>
  <c r="T38" i="36"/>
  <c r="S38" i="36"/>
  <c r="R38" i="36"/>
  <c r="Q38" i="36"/>
  <c r="P38" i="36"/>
  <c r="O38" i="36"/>
  <c r="AC37" i="36"/>
  <c r="AB37" i="36"/>
  <c r="AA37" i="36"/>
  <c r="Z37" i="36"/>
  <c r="Y37" i="36"/>
  <c r="X37" i="36"/>
  <c r="W37" i="36"/>
  <c r="V37" i="36"/>
  <c r="U37" i="36"/>
  <c r="T37" i="36"/>
  <c r="S37" i="36"/>
  <c r="R37" i="36"/>
  <c r="Q37" i="36"/>
  <c r="P37" i="36"/>
  <c r="O37" i="36"/>
  <c r="AC36" i="36"/>
  <c r="AB36" i="36"/>
  <c r="AA36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AC35" i="36"/>
  <c r="AB35" i="36"/>
  <c r="AA35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AC33" i="36"/>
  <c r="AB33" i="36"/>
  <c r="AA33" i="36"/>
  <c r="Z33" i="36"/>
  <c r="Y33" i="36"/>
  <c r="X33" i="36"/>
  <c r="W33" i="36"/>
  <c r="V33" i="36"/>
  <c r="U33" i="36"/>
  <c r="T33" i="36"/>
  <c r="S33" i="36"/>
  <c r="R33" i="36"/>
  <c r="Q33" i="36"/>
  <c r="P33" i="36"/>
  <c r="O33" i="36"/>
  <c r="AC32" i="36"/>
  <c r="AB32" i="36"/>
  <c r="AA32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AL14" i="36"/>
  <c r="AL38" i="36" s="1"/>
  <c r="AK14" i="36"/>
  <c r="AK38" i="36" s="1"/>
  <c r="AJ14" i="36"/>
  <c r="AJ38" i="36" s="1"/>
  <c r="AI14" i="36"/>
  <c r="AI38" i="36" s="1"/>
  <c r="AH14" i="36"/>
  <c r="AH38" i="36" s="1"/>
  <c r="AG14" i="36"/>
  <c r="AG38" i="36" s="1"/>
  <c r="AF14" i="36"/>
  <c r="AF38" i="36" s="1"/>
  <c r="AE14" i="36"/>
  <c r="AE38" i="36" s="1"/>
  <c r="AD14" i="36"/>
  <c r="AD38" i="36" s="1"/>
  <c r="AL13" i="36"/>
  <c r="AL37" i="36" s="1"/>
  <c r="AK13" i="36"/>
  <c r="AK37" i="36" s="1"/>
  <c r="AJ13" i="36"/>
  <c r="AJ37" i="36" s="1"/>
  <c r="AI13" i="36"/>
  <c r="AI37" i="36" s="1"/>
  <c r="AH13" i="36"/>
  <c r="AH37" i="36" s="1"/>
  <c r="AG13" i="36"/>
  <c r="AF13" i="36"/>
  <c r="AE13" i="36"/>
  <c r="AD13" i="36"/>
  <c r="AD37" i="36" s="1"/>
  <c r="AL12" i="36"/>
  <c r="AL36" i="36" s="1"/>
  <c r="AK12" i="36"/>
  <c r="AK36" i="36" s="1"/>
  <c r="AJ12" i="36"/>
  <c r="AI12" i="36"/>
  <c r="AH12" i="36"/>
  <c r="AG12" i="36"/>
  <c r="AF12" i="36"/>
  <c r="AE12" i="36"/>
  <c r="AD12" i="36"/>
  <c r="AD36" i="36" s="1"/>
  <c r="AL11" i="36"/>
  <c r="AL35" i="36" s="1"/>
  <c r="AK11" i="36"/>
  <c r="AK35" i="36" s="1"/>
  <c r="AJ11" i="36"/>
  <c r="AJ35" i="36" s="1"/>
  <c r="AI11" i="36"/>
  <c r="AI35" i="36" s="1"/>
  <c r="AH11" i="36"/>
  <c r="AH35" i="36" s="1"/>
  <c r="AG11" i="36"/>
  <c r="AG35" i="36" s="1"/>
  <c r="AF11" i="36"/>
  <c r="AF35" i="36" s="1"/>
  <c r="AE11" i="36"/>
  <c r="AD11" i="36"/>
  <c r="AD35" i="36" s="1"/>
  <c r="AL10" i="36"/>
  <c r="AL34" i="36" s="1"/>
  <c r="AK10" i="36"/>
  <c r="AK34" i="36" s="1"/>
  <c r="AJ10" i="36"/>
  <c r="AJ34" i="36" s="1"/>
  <c r="AI10" i="36"/>
  <c r="AI34" i="36" s="1"/>
  <c r="AH10" i="36"/>
  <c r="AG10" i="36"/>
  <c r="AF10" i="36"/>
  <c r="AE10" i="36"/>
  <c r="AD10" i="36"/>
  <c r="AD34" i="36" s="1"/>
  <c r="AL9" i="36"/>
  <c r="AL33" i="36" s="1"/>
  <c r="AK9" i="36"/>
  <c r="AJ9" i="36"/>
  <c r="AI9" i="36"/>
  <c r="AH9" i="36"/>
  <c r="AG9" i="36"/>
  <c r="AF9" i="36"/>
  <c r="AE9" i="36"/>
  <c r="AD9" i="36"/>
  <c r="AD33" i="36" s="1"/>
  <c r="AL8" i="36"/>
  <c r="AL32" i="36" s="1"/>
  <c r="AK8" i="36"/>
  <c r="AK32" i="36" s="1"/>
  <c r="AJ8" i="36"/>
  <c r="AJ32" i="36" s="1"/>
  <c r="AI8" i="36"/>
  <c r="AI32" i="36" s="1"/>
  <c r="AH8" i="36"/>
  <c r="AH32" i="36" s="1"/>
  <c r="AG8" i="36"/>
  <c r="AG32" i="36" s="1"/>
  <c r="AF8" i="36"/>
  <c r="AE8" i="36"/>
  <c r="AD8" i="36"/>
  <c r="AD32" i="36" s="1"/>
  <c r="AL7" i="36"/>
  <c r="AL31" i="36" s="1"/>
  <c r="AK7" i="36"/>
  <c r="AK31" i="36" s="1"/>
  <c r="AJ7" i="36"/>
  <c r="AJ31" i="36" s="1"/>
  <c r="AI7" i="36"/>
  <c r="AH7" i="36"/>
  <c r="AG7" i="36"/>
  <c r="AF7" i="36"/>
  <c r="AE7" i="36"/>
  <c r="AD7" i="36"/>
  <c r="AD31" i="36" s="1"/>
  <c r="AL6" i="36"/>
  <c r="AL30" i="36" s="1"/>
  <c r="AK6" i="36"/>
  <c r="AK30" i="36" s="1"/>
  <c r="AJ6" i="36"/>
  <c r="AJ30" i="36" s="1"/>
  <c r="AI6" i="36"/>
  <c r="AI30" i="36" s="1"/>
  <c r="AH6" i="36"/>
  <c r="AH30" i="36" s="1"/>
  <c r="AG6" i="36"/>
  <c r="AG30" i="36" s="1"/>
  <c r="AF6" i="36"/>
  <c r="AF30" i="36" s="1"/>
  <c r="AE6" i="36"/>
  <c r="AE30" i="36" s="1"/>
  <c r="AD6" i="36"/>
  <c r="AD30" i="36" s="1"/>
  <c r="AI24" i="36" l="1"/>
  <c r="AH21" i="36"/>
  <c r="AG22" i="36"/>
  <c r="AE24" i="36"/>
  <c r="AJ21" i="36"/>
  <c r="AG24" i="36"/>
  <c r="AF25" i="36"/>
  <c r="AI19" i="36"/>
  <c r="AG21" i="36"/>
  <c r="AF22" i="36"/>
  <c r="AE23" i="36"/>
  <c r="AE19" i="36"/>
  <c r="AK21" i="36"/>
  <c r="AH24" i="36"/>
  <c r="AG25" i="36"/>
  <c r="AE20" i="36"/>
  <c r="AG19" i="36"/>
  <c r="AJ24" i="36"/>
  <c r="AF19" i="36"/>
  <c r="AF20" i="36"/>
  <c r="AE21" i="36"/>
  <c r="AH19" i="36"/>
  <c r="AF21" i="36"/>
  <c r="AE22" i="36"/>
  <c r="AI21" i="36"/>
  <c r="AH22" i="36"/>
  <c r="AF24" i="36"/>
  <c r="AE25" i="36"/>
  <c r="AE18" i="36"/>
  <c r="AJ19" i="36"/>
  <c r="AG20" i="36"/>
  <c r="AD21" i="36"/>
  <c r="AL21" i="36"/>
  <c r="AI22" i="36"/>
  <c r="AF23" i="36"/>
  <c r="AK24" i="36"/>
  <c r="AH25" i="36"/>
  <c r="AE26" i="36"/>
  <c r="AE31" i="36"/>
  <c r="AE32" i="36"/>
  <c r="AE33" i="36"/>
  <c r="AE34" i="36"/>
  <c r="AE35" i="36"/>
  <c r="AE36" i="36"/>
  <c r="AE37" i="36"/>
  <c r="AF18" i="36"/>
  <c r="AK19" i="36"/>
  <c r="AH20" i="36"/>
  <c r="AJ22" i="36"/>
  <c r="AG23" i="36"/>
  <c r="AD24" i="36"/>
  <c r="AL24" i="36"/>
  <c r="AI25" i="36"/>
  <c r="AF26" i="36"/>
  <c r="AF31" i="36"/>
  <c r="AF32" i="36"/>
  <c r="AF33" i="36"/>
  <c r="AF34" i="36"/>
  <c r="AF36" i="36"/>
  <c r="AF37" i="36"/>
  <c r="AG18" i="36"/>
  <c r="AD19" i="36"/>
  <c r="AL19" i="36"/>
  <c r="AI20" i="36"/>
  <c r="AK22" i="36"/>
  <c r="AH23" i="36"/>
  <c r="AJ25" i="36"/>
  <c r="AG26" i="36"/>
  <c r="AG31" i="36"/>
  <c r="AG33" i="36"/>
  <c r="AG34" i="36"/>
  <c r="AG36" i="36"/>
  <c r="AG37" i="36"/>
  <c r="AH18" i="36"/>
  <c r="AJ20" i="36"/>
  <c r="AD22" i="36"/>
  <c r="AL22" i="36"/>
  <c r="AI23" i="36"/>
  <c r="AK25" i="36"/>
  <c r="AH26" i="36"/>
  <c r="AH31" i="36"/>
  <c r="AH33" i="36"/>
  <c r="AH34" i="36"/>
  <c r="AH36" i="36"/>
  <c r="AI18" i="36"/>
  <c r="AK20" i="36"/>
  <c r="AJ23" i="36"/>
  <c r="AD25" i="36"/>
  <c r="AL25" i="36"/>
  <c r="AI26" i="36"/>
  <c r="AI31" i="36"/>
  <c r="AI33" i="36"/>
  <c r="AI36" i="36"/>
  <c r="AJ18" i="36"/>
  <c r="AD20" i="36"/>
  <c r="AL20" i="36"/>
  <c r="AK23" i="36"/>
  <c r="AJ26" i="36"/>
  <c r="AJ33" i="36"/>
  <c r="AJ36" i="36"/>
  <c r="AK18" i="36"/>
  <c r="AD23" i="36"/>
  <c r="AL23" i="36"/>
  <c r="AK26" i="36"/>
  <c r="AK33" i="36"/>
  <c r="AD18" i="36"/>
  <c r="AL18" i="36"/>
  <c r="AD26" i="36"/>
  <c r="AL26" i="36"/>
</calcChain>
</file>

<file path=xl/sharedStrings.xml><?xml version="1.0" encoding="utf-8"?>
<sst xmlns="http://schemas.openxmlformats.org/spreadsheetml/2006/main" count="34" uniqueCount="18">
  <si>
    <t>Education</t>
  </si>
  <si>
    <r>
      <t xml:space="preserve">Producer Price Index    </t>
    </r>
    <r>
      <rPr>
        <b/>
        <sz val="11"/>
        <color rgb="FF000000"/>
        <rFont val="Calibri"/>
        <family val="2"/>
      </rPr>
      <t>Base period =2007| Price reference = October 2012</t>
    </r>
  </si>
  <si>
    <t>All Industries</t>
  </si>
  <si>
    <t>Fishing</t>
  </si>
  <si>
    <t>Manufacturing</t>
  </si>
  <si>
    <t xml:space="preserve">     Processing and preserving of fish and fish products</t>
  </si>
  <si>
    <t>Electricity, gas and water supply</t>
  </si>
  <si>
    <t>Hotels and restaurants</t>
  </si>
  <si>
    <t>Transport and telecommunications</t>
  </si>
  <si>
    <t xml:space="preserve">Health </t>
  </si>
  <si>
    <t>PPI - Percentage Change over previous month.</t>
  </si>
  <si>
    <t xml:space="preserve">   Processing and preserving of fish &amp; fish products</t>
  </si>
  <si>
    <t>PPI -Percentage Change-month on month</t>
  </si>
  <si>
    <t xml:space="preserve">    Processing and preserving of fish and fish products</t>
  </si>
  <si>
    <t>Source: National Bureau of Statistics</t>
  </si>
  <si>
    <t xml:space="preserve"> Base period =2007| Price reference = October 2012</t>
  </si>
  <si>
    <t>ތާވަލު 17.9:  ޕްރޮޑިއުސަރ ޕްރައިސް އިންޑެކްސް</t>
  </si>
  <si>
    <t>Table: 17.9: Producer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</si>
</sst>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9" formatCode="0.00_)"/>
    <numFmt numFmtId="172" formatCode="0.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Faruma"/>
    </font>
    <font>
      <i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833C0C"/>
      </bottom>
      <diagonal/>
    </border>
  </borders>
  <cellStyleXfs count="12">
    <xf numFmtId="0" fontId="0" fillId="0" borderId="0"/>
    <xf numFmtId="0" fontId="2" fillId="0" borderId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4" fillId="0" borderId="0"/>
    <xf numFmtId="9" fontId="3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22">
    <xf numFmtId="0" fontId="0" fillId="0" borderId="0" xfId="0"/>
    <xf numFmtId="0" fontId="7" fillId="2" borderId="0" xfId="0" applyFont="1" applyFill="1" applyBorder="1"/>
    <xf numFmtId="0" fontId="6" fillId="2" borderId="0" xfId="0" applyFont="1" applyFill="1" applyBorder="1"/>
    <xf numFmtId="0" fontId="5" fillId="2" borderId="0" xfId="0" applyFont="1" applyFill="1" applyBorder="1"/>
    <xf numFmtId="2" fontId="5" fillId="2" borderId="0" xfId="0" applyNumberFormat="1" applyFont="1" applyFill="1" applyBorder="1"/>
    <xf numFmtId="0" fontId="6" fillId="3" borderId="0" xfId="0" applyFont="1" applyFill="1" applyBorder="1"/>
    <xf numFmtId="2" fontId="6" fillId="3" borderId="0" xfId="0" applyNumberFormat="1" applyFont="1" applyFill="1" applyBorder="1"/>
    <xf numFmtId="2" fontId="6" fillId="2" borderId="0" xfId="0" applyNumberFormat="1" applyFont="1" applyFill="1" applyBorder="1"/>
    <xf numFmtId="172" fontId="6" fillId="3" borderId="0" xfId="0" applyNumberFormat="1" applyFont="1" applyFill="1" applyBorder="1"/>
    <xf numFmtId="0" fontId="6" fillId="2" borderId="3" xfId="0" applyFont="1" applyFill="1" applyBorder="1"/>
    <xf numFmtId="2" fontId="6" fillId="2" borderId="3" xfId="0" applyNumberFormat="1" applyFont="1" applyFill="1" applyBorder="1"/>
    <xf numFmtId="0" fontId="8" fillId="2" borderId="0" xfId="0" applyFont="1" applyFill="1" applyBorder="1" applyAlignment="1"/>
    <xf numFmtId="166" fontId="5" fillId="2" borderId="0" xfId="0" applyNumberFormat="1" applyFont="1" applyFill="1" applyBorder="1"/>
    <xf numFmtId="166" fontId="6" fillId="2" borderId="0" xfId="0" applyNumberFormat="1" applyFont="1" applyFill="1" applyBorder="1"/>
    <xf numFmtId="0" fontId="9" fillId="3" borderId="2" xfId="0" applyFont="1" applyFill="1" applyBorder="1"/>
    <xf numFmtId="0" fontId="9" fillId="3" borderId="1" xfId="0" applyFont="1" applyFill="1" applyBorder="1"/>
    <xf numFmtId="17" fontId="10" fillId="3" borderId="1" xfId="0" applyNumberFormat="1" applyFont="1" applyFill="1" applyBorder="1" applyAlignment="1"/>
    <xf numFmtId="0" fontId="6" fillId="3" borderId="0" xfId="0" applyFont="1" applyFill="1" applyBorder="1" applyAlignment="1">
      <alignment horizontal="left" wrapText="1"/>
    </xf>
    <xf numFmtId="0" fontId="11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3" fillId="2" borderId="0" xfId="0" applyFont="1" applyFill="1" applyBorder="1" applyAlignment="1">
      <alignment vertical="center"/>
    </xf>
  </cellXfs>
  <cellStyles count="12">
    <cellStyle name="1" xfId="1"/>
    <cellStyle name="Comma 2" xfId="2"/>
    <cellStyle name="Comma 2 2" xfId="7"/>
    <cellStyle name="Comma 3" xfId="3"/>
    <cellStyle name="Comma 3 2" xfId="8"/>
    <cellStyle name="Normal" xfId="0" builtinId="0"/>
    <cellStyle name="Normal - Style1" xfId="4"/>
    <cellStyle name="Normal 2" xfId="6"/>
    <cellStyle name="Normal 3" xfId="10"/>
    <cellStyle name="Normal 4" xfId="11"/>
    <cellStyle name="Percent 2" xfId="5"/>
    <cellStyle name="Percent 2 2" xfId="9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T2/PES/STI%20Unit/PPI%20(Producer%20Price%20Index)/Rebase%202007/Index%20Compilation/PPI%20excel%20setup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  <cell r="O60">
            <v>2002</v>
          </cell>
          <cell r="P60">
            <v>2003</v>
          </cell>
          <cell r="Q60">
            <v>2004</v>
          </cell>
          <cell r="R60">
            <v>2005</v>
          </cell>
          <cell r="S60">
            <v>2006</v>
          </cell>
          <cell r="T60">
            <v>2007</v>
          </cell>
          <cell r="U60">
            <v>2008</v>
          </cell>
          <cell r="V60">
            <v>2009</v>
          </cell>
          <cell r="W60">
            <v>2010</v>
          </cell>
          <cell r="X60">
            <v>2011</v>
          </cell>
          <cell r="Y60">
            <v>2012</v>
          </cell>
          <cell r="Z60">
            <v>2013</v>
          </cell>
          <cell r="AA60">
            <v>2014</v>
          </cell>
          <cell r="AB60">
            <v>2015</v>
          </cell>
        </row>
        <row r="61">
          <cell r="L61" t="str">
            <v>over all</v>
          </cell>
          <cell r="N61">
            <v>0.7</v>
          </cell>
          <cell r="O61">
            <v>4.2</v>
          </cell>
          <cell r="P61">
            <v>-1.3</v>
          </cell>
          <cell r="Q61">
            <v>-1.7</v>
          </cell>
          <cell r="R61">
            <v>1.3</v>
          </cell>
          <cell r="S61">
            <v>2.7</v>
          </cell>
          <cell r="T61">
            <v>6.8</v>
          </cell>
          <cell r="U61">
            <v>12</v>
          </cell>
          <cell r="V61">
            <v>4.5</v>
          </cell>
          <cell r="W61">
            <v>6.2</v>
          </cell>
          <cell r="X61">
            <v>11.3</v>
          </cell>
          <cell r="Y61">
            <v>10.9</v>
          </cell>
          <cell r="Z61">
            <v>3.8</v>
          </cell>
          <cell r="AA61">
            <v>2.1</v>
          </cell>
          <cell r="AB61">
            <v>0.95</v>
          </cell>
        </row>
        <row r="62">
          <cell r="L62" t="str">
            <v>Food and non-alchoholic beverages</v>
          </cell>
          <cell r="N62">
            <v>1.9390581717451405</v>
          </cell>
          <cell r="O62">
            <v>3.5326086956521854</v>
          </cell>
          <cell r="P62">
            <v>-6.0367454068241582</v>
          </cell>
          <cell r="Q62">
            <v>15.921787709497215</v>
          </cell>
          <cell r="R62">
            <v>7.9518072289156558</v>
          </cell>
          <cell r="S62">
            <v>4</v>
          </cell>
          <cell r="T62">
            <v>16.2</v>
          </cell>
          <cell r="U62">
            <v>19.100000000000001</v>
          </cell>
          <cell r="V62">
            <v>0.5</v>
          </cell>
          <cell r="W62">
            <v>7.5</v>
          </cell>
          <cell r="X62">
            <v>19.899999999999999</v>
          </cell>
          <cell r="Y62">
            <v>17.625899280575524</v>
          </cell>
          <cell r="Z62">
            <v>7.2</v>
          </cell>
          <cell r="AA62">
            <v>0.7</v>
          </cell>
          <cell r="AB62">
            <v>0.48</v>
          </cell>
        </row>
      </sheetData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calculation_Final"/>
      <sheetName val="Sheet1"/>
      <sheetName val="Broad index"/>
      <sheetName val="GDP"/>
    </sheetNames>
    <sheetDataSet>
      <sheetData sheetId="0" refreshError="1">
        <row r="4">
          <cell r="CJ4">
            <v>116.18965792429491</v>
          </cell>
          <cell r="CK4">
            <v>116.66044097112987</v>
          </cell>
          <cell r="CL4">
            <v>116.94643735595976</v>
          </cell>
          <cell r="CM4">
            <v>109.10436788471713</v>
          </cell>
          <cell r="CN4">
            <v>99.046719012829016</v>
          </cell>
          <cell r="CO4">
            <v>97.44917277169138</v>
          </cell>
          <cell r="CP4">
            <v>100.69491904412115</v>
          </cell>
          <cell r="CQ4">
            <v>103.43799997802988</v>
          </cell>
          <cell r="CR4">
            <v>100.36299829344136</v>
          </cell>
        </row>
        <row r="7">
          <cell r="CJ7">
            <v>96.38869825121526</v>
          </cell>
          <cell r="CK7">
            <v>99.693507729456286</v>
          </cell>
          <cell r="CL7">
            <v>93.305734737357895</v>
          </cell>
          <cell r="CM7">
            <v>88.411809292000825</v>
          </cell>
          <cell r="CN7">
            <v>100.562496236187</v>
          </cell>
          <cell r="CO7">
            <v>92.548946150918965</v>
          </cell>
          <cell r="CP7">
            <v>102.97529021023747</v>
          </cell>
          <cell r="CQ7">
            <v>99.968802087121546</v>
          </cell>
          <cell r="CR7">
            <v>93.759588020452966</v>
          </cell>
        </row>
        <row r="26">
          <cell r="CJ26">
            <v>91.809937074618972</v>
          </cell>
          <cell r="CK26">
            <v>92.711041084297449</v>
          </cell>
          <cell r="CL26">
            <v>87.614044356309435</v>
          </cell>
          <cell r="CM26">
            <v>83.27233294703332</v>
          </cell>
          <cell r="CN26">
            <v>89.842962997348039</v>
          </cell>
          <cell r="CO26">
            <v>86.972701358762137</v>
          </cell>
          <cell r="CP26">
            <v>94.114392648731396</v>
          </cell>
          <cell r="CQ26">
            <v>90.194137144160848</v>
          </cell>
          <cell r="CR26">
            <v>92.526648723501069</v>
          </cell>
        </row>
        <row r="29">
          <cell r="CJ29">
            <v>85.190452603295242</v>
          </cell>
          <cell r="CK29">
            <v>86.59760722844257</v>
          </cell>
          <cell r="CL29">
            <v>78.761462487158695</v>
          </cell>
          <cell r="CM29">
            <v>71.821928550667664</v>
          </cell>
          <cell r="CN29">
            <v>81.671646693997687</v>
          </cell>
          <cell r="CO29">
            <v>77.342587650112577</v>
          </cell>
          <cell r="CP29">
            <v>87.895492113370764</v>
          </cell>
          <cell r="CQ29">
            <v>81.841355160409663</v>
          </cell>
          <cell r="CR29">
            <v>85.424721297057985</v>
          </cell>
        </row>
        <row r="198">
          <cell r="CJ198">
            <v>83.760669689655174</v>
          </cell>
          <cell r="CK198">
            <v>77.613686713121808</v>
          </cell>
          <cell r="CL198">
            <v>81.92918589024859</v>
          </cell>
          <cell r="CM198">
            <v>81.92918589024859</v>
          </cell>
          <cell r="CN198">
            <v>81.92918589024859</v>
          </cell>
          <cell r="CO198">
            <v>81.92918589024859</v>
          </cell>
          <cell r="CP198">
            <v>81.92918589024859</v>
          </cell>
          <cell r="CQ198">
            <v>81.92918589024859</v>
          </cell>
          <cell r="CR198">
            <v>81.92918589024859</v>
          </cell>
        </row>
        <row r="241">
          <cell r="CJ241">
            <v>129.35229305632632</v>
          </cell>
          <cell r="CK241">
            <v>132.964752896661</v>
          </cell>
          <cell r="CL241">
            <v>132.57379177346218</v>
          </cell>
          <cell r="CM241">
            <v>119.00848880772918</v>
          </cell>
          <cell r="CN241">
            <v>100.8203172249484</v>
          </cell>
          <cell r="CO241">
            <v>97.956988768941429</v>
          </cell>
          <cell r="CP241">
            <v>101.45302707624354</v>
          </cell>
          <cell r="CQ241">
            <v>106.75508865554905</v>
          </cell>
          <cell r="CR241">
            <v>101.38269140760889</v>
          </cell>
        </row>
        <row r="523">
          <cell r="CJ523">
            <v>108.57604065913021</v>
          </cell>
          <cell r="CK523">
            <v>102.30651377608179</v>
          </cell>
          <cell r="CL523">
            <v>108.66741917385079</v>
          </cell>
          <cell r="CM523">
            <v>109.35416737640166</v>
          </cell>
          <cell r="CN523">
            <v>99.782673801662398</v>
          </cell>
          <cell r="CO523">
            <v>104.24365280134242</v>
          </cell>
          <cell r="CP523">
            <v>103.84904910123116</v>
          </cell>
          <cell r="CQ523">
            <v>106.00829500976238</v>
          </cell>
          <cell r="CR523">
            <v>105.10871357680223</v>
          </cell>
        </row>
        <row r="581">
          <cell r="CJ581">
            <v>111.8370588779286</v>
          </cell>
          <cell r="CK581">
            <v>111.8370588779286</v>
          </cell>
          <cell r="CL581">
            <v>111.8370588779286</v>
          </cell>
          <cell r="CM581">
            <v>111.8370588779286</v>
          </cell>
          <cell r="CN581">
            <v>114.90207747966163</v>
          </cell>
          <cell r="CO581">
            <v>114.90207747966163</v>
          </cell>
          <cell r="CP581">
            <v>116.18073399612994</v>
          </cell>
          <cell r="CQ581">
            <v>116.18073399612994</v>
          </cell>
          <cell r="CR581">
            <v>116.18073399612994</v>
          </cell>
        </row>
        <row r="644">
          <cell r="CJ644">
            <v>106.65669463017321</v>
          </cell>
          <cell r="CK644">
            <v>106.65669463017321</v>
          </cell>
          <cell r="CL644">
            <v>106.65669463017321</v>
          </cell>
          <cell r="CM644">
            <v>106.65669463017321</v>
          </cell>
          <cell r="CN644">
            <v>106.65669463017321</v>
          </cell>
          <cell r="CO644">
            <v>106.65669463017321</v>
          </cell>
          <cell r="CP644">
            <v>106.49672521161263</v>
          </cell>
          <cell r="CQ644">
            <v>106.49672521161263</v>
          </cell>
          <cell r="CR644">
            <v>106.49672521161263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4"/>
  <sheetViews>
    <sheetView tabSelected="1" zoomScaleNormal="100" workbookViewId="0">
      <selection activeCell="A2" sqref="A2:AL2"/>
    </sheetView>
  </sheetViews>
  <sheetFormatPr defaultRowHeight="15" x14ac:dyDescent="0.25"/>
  <cols>
    <col min="1" max="1" width="27" style="2" customWidth="1"/>
    <col min="2" max="2" width="0.42578125" style="2" customWidth="1"/>
    <col min="3" max="3" width="7.42578125" style="2" bestFit="1" customWidth="1"/>
    <col min="4" max="5" width="7.28515625" style="2" customWidth="1"/>
    <col min="6" max="6" width="8.85546875" style="2" customWidth="1"/>
    <col min="7" max="7" width="6.85546875" style="2" customWidth="1"/>
    <col min="8" max="8" width="8.85546875" style="2" customWidth="1"/>
    <col min="9" max="10" width="8.42578125" style="2" customWidth="1"/>
    <col min="11" max="11" width="7" style="2" customWidth="1"/>
    <col min="12" max="14" width="8.42578125" style="2" customWidth="1"/>
    <col min="15" max="17" width="8" style="2" customWidth="1"/>
    <col min="18" max="19" width="8.42578125" style="2" customWidth="1"/>
    <col min="20" max="20" width="7.42578125" style="2" customWidth="1"/>
    <col min="21" max="21" width="7.28515625" style="2" customWidth="1"/>
    <col min="22" max="32" width="7.7109375" style="2" customWidth="1"/>
    <col min="33" max="35" width="8" style="2" customWidth="1"/>
    <col min="36" max="16384" width="9.140625" style="2"/>
  </cols>
  <sheetData>
    <row r="1" spans="1:38" ht="21" x14ac:dyDescent="0.55000000000000004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15.75" x14ac:dyDescent="0.25">
      <c r="A2" s="18" t="s">
        <v>17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spans="1:38" x14ac:dyDescent="0.25">
      <c r="A3" s="19" t="s">
        <v>15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38" ht="18.75" x14ac:dyDescent="0.3">
      <c r="A4" s="1" t="s">
        <v>1</v>
      </c>
    </row>
    <row r="5" spans="1:38" x14ac:dyDescent="0.25">
      <c r="A5" s="15"/>
      <c r="B5" s="15"/>
      <c r="C5" s="16">
        <v>41183</v>
      </c>
      <c r="D5" s="16">
        <v>41214</v>
      </c>
      <c r="E5" s="16">
        <v>41244</v>
      </c>
      <c r="F5" s="16">
        <v>41275</v>
      </c>
      <c r="G5" s="16">
        <v>41306</v>
      </c>
      <c r="H5" s="16">
        <v>41334</v>
      </c>
      <c r="I5" s="16">
        <v>41365</v>
      </c>
      <c r="J5" s="16">
        <v>41395</v>
      </c>
      <c r="K5" s="16">
        <v>41426</v>
      </c>
      <c r="L5" s="16">
        <v>41456</v>
      </c>
      <c r="M5" s="16">
        <v>41487</v>
      </c>
      <c r="N5" s="16">
        <v>41518</v>
      </c>
      <c r="O5" s="16">
        <v>41548</v>
      </c>
      <c r="P5" s="16">
        <v>41579</v>
      </c>
      <c r="Q5" s="16">
        <v>41609</v>
      </c>
      <c r="R5" s="16">
        <v>41640</v>
      </c>
      <c r="S5" s="16">
        <v>41671</v>
      </c>
      <c r="T5" s="16">
        <v>41699</v>
      </c>
      <c r="U5" s="16">
        <v>41730</v>
      </c>
      <c r="V5" s="16">
        <v>41760</v>
      </c>
      <c r="W5" s="16">
        <v>41791</v>
      </c>
      <c r="X5" s="16">
        <v>41821</v>
      </c>
      <c r="Y5" s="16">
        <v>41852</v>
      </c>
      <c r="Z5" s="16">
        <v>41883</v>
      </c>
      <c r="AA5" s="16">
        <v>41913</v>
      </c>
      <c r="AB5" s="16">
        <v>41944</v>
      </c>
      <c r="AC5" s="16">
        <v>41974</v>
      </c>
      <c r="AD5" s="16">
        <v>42005</v>
      </c>
      <c r="AE5" s="16">
        <v>42036</v>
      </c>
      <c r="AF5" s="16">
        <v>42064</v>
      </c>
      <c r="AG5" s="16">
        <v>42095</v>
      </c>
      <c r="AH5" s="16">
        <v>42125</v>
      </c>
      <c r="AI5" s="16">
        <v>42156</v>
      </c>
      <c r="AJ5" s="16">
        <v>42186</v>
      </c>
      <c r="AK5" s="16">
        <v>42217</v>
      </c>
      <c r="AL5" s="16">
        <v>42248</v>
      </c>
    </row>
    <row r="6" spans="1:38" s="3" customFormat="1" x14ac:dyDescent="0.25">
      <c r="A6" s="3" t="s">
        <v>2</v>
      </c>
      <c r="C6" s="3">
        <v>100</v>
      </c>
      <c r="D6" s="4">
        <v>102.649452205901</v>
      </c>
      <c r="E6" s="4">
        <v>106.627724958035</v>
      </c>
      <c r="F6" s="4">
        <v>115.13897434635599</v>
      </c>
      <c r="G6" s="4">
        <v>115.535204709814</v>
      </c>
      <c r="H6" s="4">
        <v>115.381249582024</v>
      </c>
      <c r="I6" s="4">
        <v>108.55082322939801</v>
      </c>
      <c r="J6" s="4">
        <v>98.8843198113657</v>
      </c>
      <c r="K6" s="4">
        <v>96.471350571227703</v>
      </c>
      <c r="L6" s="4">
        <v>91.899973636695606</v>
      </c>
      <c r="M6" s="4">
        <v>94.838543936579796</v>
      </c>
      <c r="N6" s="4">
        <v>92.488760087557296</v>
      </c>
      <c r="O6" s="4">
        <v>102.916567355602</v>
      </c>
      <c r="P6" s="4">
        <v>105.253045267346</v>
      </c>
      <c r="Q6" s="4">
        <v>106.948414154584</v>
      </c>
      <c r="R6" s="4">
        <v>112.851420117518</v>
      </c>
      <c r="S6" s="4">
        <v>111.238683968445</v>
      </c>
      <c r="T6" s="4">
        <v>112.51745233746701</v>
      </c>
      <c r="U6" s="4">
        <v>111.41082077416399</v>
      </c>
      <c r="V6" s="4">
        <v>97.868960281630393</v>
      </c>
      <c r="W6" s="4">
        <v>99.786747036803902</v>
      </c>
      <c r="X6" s="4">
        <v>96.614862061683297</v>
      </c>
      <c r="Y6" s="4">
        <v>101.847917161194</v>
      </c>
      <c r="Z6" s="4">
        <v>97.975521558750501</v>
      </c>
      <c r="AA6" s="4">
        <v>103.301240281319</v>
      </c>
      <c r="AB6" s="4">
        <v>105.011888970884</v>
      </c>
      <c r="AC6" s="4">
        <v>109.202544127648</v>
      </c>
      <c r="AD6" s="4">
        <f>'[4]Index calculation_Final'!CJ4</f>
        <v>116.18965792429491</v>
      </c>
      <c r="AE6" s="4">
        <f>'[4]Index calculation_Final'!CK4</f>
        <v>116.66044097112987</v>
      </c>
      <c r="AF6" s="4">
        <f>'[4]Index calculation_Final'!CL4</f>
        <v>116.94643735595976</v>
      </c>
      <c r="AG6" s="4">
        <f>'[4]Index calculation_Final'!CM4</f>
        <v>109.10436788471713</v>
      </c>
      <c r="AH6" s="4">
        <f>'[4]Index calculation_Final'!CN4</f>
        <v>99.046719012829016</v>
      </c>
      <c r="AI6" s="4">
        <f>'[4]Index calculation_Final'!CO4</f>
        <v>97.44917277169138</v>
      </c>
      <c r="AJ6" s="4">
        <f>'[4]Index calculation_Final'!CP4</f>
        <v>100.69491904412115</v>
      </c>
      <c r="AK6" s="4">
        <f>'[4]Index calculation_Final'!CQ4</f>
        <v>103.43799997802988</v>
      </c>
      <c r="AL6" s="4">
        <f>'[4]Index calculation_Final'!CR4</f>
        <v>100.36299829344136</v>
      </c>
    </row>
    <row r="7" spans="1:38" x14ac:dyDescent="0.25">
      <c r="A7" s="5" t="s">
        <v>3</v>
      </c>
      <c r="B7" s="5"/>
      <c r="C7" s="5">
        <v>100</v>
      </c>
      <c r="D7" s="6">
        <v>100.991828989686</v>
      </c>
      <c r="E7" s="6">
        <v>108.685698184751</v>
      </c>
      <c r="F7" s="6">
        <v>105.022415081107</v>
      </c>
      <c r="G7" s="6">
        <v>108.06356041574701</v>
      </c>
      <c r="H7" s="6">
        <v>109.876878726153</v>
      </c>
      <c r="I7" s="6">
        <v>108.03224159157701</v>
      </c>
      <c r="J7" s="6">
        <v>116.005489185058</v>
      </c>
      <c r="K7" s="6">
        <v>112.66178586638399</v>
      </c>
      <c r="L7" s="6">
        <v>110.375008735039</v>
      </c>
      <c r="M7" s="6">
        <v>103.69144599960001</v>
      </c>
      <c r="N7" s="6">
        <v>113.36751269695399</v>
      </c>
      <c r="O7" s="6">
        <v>97.761121513626605</v>
      </c>
      <c r="P7" s="6">
        <v>102.349881995318</v>
      </c>
      <c r="Q7" s="6">
        <v>90.486835109718797</v>
      </c>
      <c r="R7" s="6">
        <v>90.488923674400198</v>
      </c>
      <c r="S7" s="6">
        <v>89.050330702290395</v>
      </c>
      <c r="T7" s="6">
        <v>90.820623654705003</v>
      </c>
      <c r="U7" s="6">
        <v>93.202880318489207</v>
      </c>
      <c r="V7" s="6">
        <v>99.0450467020829</v>
      </c>
      <c r="W7" s="6">
        <v>97.2829890370665</v>
      </c>
      <c r="X7" s="6">
        <v>93.057203797351903</v>
      </c>
      <c r="Y7" s="6">
        <v>90.661927898165203</v>
      </c>
      <c r="Z7" s="6">
        <v>92.624104050139195</v>
      </c>
      <c r="AA7" s="6">
        <v>97.504360967833193</v>
      </c>
      <c r="AB7" s="6">
        <v>88.749513701477895</v>
      </c>
      <c r="AC7" s="6">
        <v>95.106309805466594</v>
      </c>
      <c r="AD7" s="6">
        <f>'[4]Index calculation_Final'!CJ7</f>
        <v>96.38869825121526</v>
      </c>
      <c r="AE7" s="6">
        <f>'[4]Index calculation_Final'!CK7</f>
        <v>99.693507729456286</v>
      </c>
      <c r="AF7" s="6">
        <f>'[4]Index calculation_Final'!CL7</f>
        <v>93.305734737357895</v>
      </c>
      <c r="AG7" s="6">
        <f>'[4]Index calculation_Final'!CM7</f>
        <v>88.411809292000825</v>
      </c>
      <c r="AH7" s="6">
        <f>'[4]Index calculation_Final'!CN7</f>
        <v>100.562496236187</v>
      </c>
      <c r="AI7" s="6">
        <f>'[4]Index calculation_Final'!CO7</f>
        <v>92.548946150918965</v>
      </c>
      <c r="AJ7" s="6">
        <f>'[4]Index calculation_Final'!CP7</f>
        <v>102.97529021023747</v>
      </c>
      <c r="AK7" s="6">
        <f>'[4]Index calculation_Final'!CQ7</f>
        <v>99.968802087121546</v>
      </c>
      <c r="AL7" s="6">
        <f>'[4]Index calculation_Final'!CR7</f>
        <v>93.759588020452966</v>
      </c>
    </row>
    <row r="8" spans="1:38" x14ac:dyDescent="0.25">
      <c r="A8" s="2" t="s">
        <v>4</v>
      </c>
      <c r="C8" s="2">
        <v>100</v>
      </c>
      <c r="D8" s="7">
        <v>101.58771440520999</v>
      </c>
      <c r="E8" s="7">
        <v>103.09071523613601</v>
      </c>
      <c r="F8" s="7">
        <v>103.220431821462</v>
      </c>
      <c r="G8" s="7">
        <v>103.41087178622</v>
      </c>
      <c r="H8" s="7">
        <v>108.63885903419499</v>
      </c>
      <c r="I8" s="7">
        <v>106.706007573637</v>
      </c>
      <c r="J8" s="7">
        <v>108.740774862338</v>
      </c>
      <c r="K8" s="7">
        <v>107.680436284473</v>
      </c>
      <c r="L8" s="7">
        <v>105.263957650279</v>
      </c>
      <c r="M8" s="7">
        <v>102.822009017174</v>
      </c>
      <c r="N8" s="7">
        <v>103.38533888351</v>
      </c>
      <c r="O8" s="7">
        <v>97.325662775816198</v>
      </c>
      <c r="P8" s="7">
        <v>97.419190257814705</v>
      </c>
      <c r="Q8" s="7">
        <v>98.634874967316094</v>
      </c>
      <c r="R8" s="7">
        <v>91.563159649885193</v>
      </c>
      <c r="S8" s="7">
        <v>85.199787413042799</v>
      </c>
      <c r="T8" s="7">
        <v>88.776988918647902</v>
      </c>
      <c r="U8" s="7">
        <v>83.315300089195404</v>
      </c>
      <c r="V8" s="7">
        <v>91.170207118431094</v>
      </c>
      <c r="W8" s="7">
        <v>99.791093973604603</v>
      </c>
      <c r="X8" s="7">
        <v>87.770295574697599</v>
      </c>
      <c r="Y8" s="7">
        <v>89.498796050951995</v>
      </c>
      <c r="Z8" s="7">
        <v>86.648770114035997</v>
      </c>
      <c r="AA8" s="7">
        <v>95.854671314732997</v>
      </c>
      <c r="AB8" s="7">
        <v>89.404071306203804</v>
      </c>
      <c r="AC8" s="7">
        <v>91.736232566601601</v>
      </c>
      <c r="AD8" s="7">
        <f>'[4]Index calculation_Final'!CJ26</f>
        <v>91.809937074618972</v>
      </c>
      <c r="AE8" s="7">
        <f>'[4]Index calculation_Final'!CK26</f>
        <v>92.711041084297449</v>
      </c>
      <c r="AF8" s="7">
        <f>'[4]Index calculation_Final'!CL26</f>
        <v>87.614044356309435</v>
      </c>
      <c r="AG8" s="7">
        <f>'[4]Index calculation_Final'!CM26</f>
        <v>83.27233294703332</v>
      </c>
      <c r="AH8" s="7">
        <f>'[4]Index calculation_Final'!CN26</f>
        <v>89.842962997348039</v>
      </c>
      <c r="AI8" s="7">
        <f>'[4]Index calculation_Final'!CO26</f>
        <v>86.972701358762137</v>
      </c>
      <c r="AJ8" s="7">
        <f>'[4]Index calculation_Final'!CP26</f>
        <v>94.114392648731396</v>
      </c>
      <c r="AK8" s="7">
        <f>'[4]Index calculation_Final'!CQ26</f>
        <v>90.194137144160848</v>
      </c>
      <c r="AL8" s="7">
        <f>'[4]Index calculation_Final'!CR26</f>
        <v>92.526648723501069</v>
      </c>
    </row>
    <row r="9" spans="1:38" x14ac:dyDescent="0.25">
      <c r="A9" s="17" t="s">
        <v>5</v>
      </c>
      <c r="B9" s="17"/>
      <c r="C9" s="5">
        <v>100</v>
      </c>
      <c r="D9" s="5">
        <v>102.64626349429599</v>
      </c>
      <c r="E9" s="5">
        <v>105.176543390711</v>
      </c>
      <c r="F9" s="6">
        <v>105.344063753315</v>
      </c>
      <c r="G9" s="6">
        <v>105.66651782469999</v>
      </c>
      <c r="H9" s="6">
        <v>114.670448204305</v>
      </c>
      <c r="I9" s="5">
        <v>111.178209205165</v>
      </c>
      <c r="J9" s="6">
        <v>114.715395660166</v>
      </c>
      <c r="K9" s="6">
        <v>112.866644261926</v>
      </c>
      <c r="L9" s="6">
        <v>109.176214420459</v>
      </c>
      <c r="M9" s="6">
        <v>105.00895887861</v>
      </c>
      <c r="N9" s="6">
        <v>105.96131242424801</v>
      </c>
      <c r="O9" s="6">
        <v>94.814281960905902</v>
      </c>
      <c r="P9" s="6">
        <v>94.965402949240101</v>
      </c>
      <c r="Q9" s="6">
        <v>96.938374203525399</v>
      </c>
      <c r="R9" s="6">
        <v>85.427243723663196</v>
      </c>
      <c r="S9" s="6">
        <v>75.809276973699198</v>
      </c>
      <c r="T9" s="6">
        <v>81.159351262543197</v>
      </c>
      <c r="U9" s="6">
        <v>73.719492357811305</v>
      </c>
      <c r="V9" s="6">
        <v>84.6017204568751</v>
      </c>
      <c r="W9" s="6">
        <v>97.949736786340395</v>
      </c>
      <c r="X9" s="6">
        <v>80.140656374346094</v>
      </c>
      <c r="Y9" s="6">
        <v>82.575140176143904</v>
      </c>
      <c r="Z9" s="6">
        <v>78.706374894603499</v>
      </c>
      <c r="AA9" s="6">
        <v>90.657204738297693</v>
      </c>
      <c r="AB9" s="6">
        <v>82.515501971493194</v>
      </c>
      <c r="AC9" s="6">
        <v>85.530941337847807</v>
      </c>
      <c r="AD9" s="6">
        <f>'[4]Index calculation_Final'!CJ29</f>
        <v>85.190452603295242</v>
      </c>
      <c r="AE9" s="6">
        <f>'[4]Index calculation_Final'!CK29</f>
        <v>86.59760722844257</v>
      </c>
      <c r="AF9" s="6">
        <f>'[4]Index calculation_Final'!CL29</f>
        <v>78.761462487158695</v>
      </c>
      <c r="AG9" s="6">
        <f>'[4]Index calculation_Final'!CM29</f>
        <v>71.821928550667664</v>
      </c>
      <c r="AH9" s="6">
        <f>'[4]Index calculation_Final'!CN29</f>
        <v>81.671646693997687</v>
      </c>
      <c r="AI9" s="6">
        <f>'[4]Index calculation_Final'!CO29</f>
        <v>77.342587650112577</v>
      </c>
      <c r="AJ9" s="6">
        <f>'[4]Index calculation_Final'!CP29</f>
        <v>87.895492113370764</v>
      </c>
      <c r="AK9" s="6">
        <f>'[4]Index calculation_Final'!CQ29</f>
        <v>81.841355160409663</v>
      </c>
      <c r="AL9" s="6">
        <f>'[4]Index calculation_Final'!CR29</f>
        <v>85.424721297057985</v>
      </c>
    </row>
    <row r="10" spans="1:38" x14ac:dyDescent="0.25">
      <c r="A10" s="2" t="s">
        <v>6</v>
      </c>
      <c r="C10" s="2">
        <v>100</v>
      </c>
      <c r="D10" s="7">
        <v>99.269317602267506</v>
      </c>
      <c r="E10" s="7">
        <v>99.269317602267506</v>
      </c>
      <c r="F10" s="7">
        <v>99.269317602267506</v>
      </c>
      <c r="G10" s="7">
        <v>102.53557761058001</v>
      </c>
      <c r="H10" s="7">
        <v>100.121506466841</v>
      </c>
      <c r="I10" s="7">
        <v>100.121506466841</v>
      </c>
      <c r="J10" s="7">
        <v>98.658240454929995</v>
      </c>
      <c r="K10" s="7">
        <v>98.658240454929995</v>
      </c>
      <c r="L10" s="7">
        <v>98.975106804096299</v>
      </c>
      <c r="M10" s="7">
        <v>98.975106804096299</v>
      </c>
      <c r="N10" s="7">
        <v>98.975106804096299</v>
      </c>
      <c r="O10" s="7">
        <v>99.028076031677699</v>
      </c>
      <c r="P10" s="7">
        <v>99.028076031677699</v>
      </c>
      <c r="Q10" s="7">
        <v>99.028076031677699</v>
      </c>
      <c r="R10" s="7">
        <v>98.682024418421506</v>
      </c>
      <c r="S10" s="7">
        <v>98.682024418421705</v>
      </c>
      <c r="T10" s="7">
        <v>98.682024418421705</v>
      </c>
      <c r="U10" s="7">
        <v>98.682024418421705</v>
      </c>
      <c r="V10" s="7">
        <v>98.682024418421705</v>
      </c>
      <c r="W10" s="7">
        <v>98.682024418421705</v>
      </c>
      <c r="X10" s="7">
        <v>98.682024418421705</v>
      </c>
      <c r="Y10" s="7">
        <v>98.682024418421705</v>
      </c>
      <c r="Z10" s="7">
        <v>98.682024418421705</v>
      </c>
      <c r="AA10" s="7">
        <v>94.094752108842599</v>
      </c>
      <c r="AB10" s="7">
        <v>94.094752108842599</v>
      </c>
      <c r="AC10" s="7">
        <v>94.094752108842599</v>
      </c>
      <c r="AD10" s="7">
        <f>'[4]Index calculation_Final'!CJ198</f>
        <v>83.760669689655174</v>
      </c>
      <c r="AE10" s="7">
        <f>'[4]Index calculation_Final'!CK198</f>
        <v>77.613686713121808</v>
      </c>
      <c r="AF10" s="7">
        <f>'[4]Index calculation_Final'!CL198</f>
        <v>81.92918589024859</v>
      </c>
      <c r="AG10" s="7">
        <f>'[4]Index calculation_Final'!CM198</f>
        <v>81.92918589024859</v>
      </c>
      <c r="AH10" s="7">
        <f>'[4]Index calculation_Final'!CN198</f>
        <v>81.92918589024859</v>
      </c>
      <c r="AI10" s="7">
        <f>'[4]Index calculation_Final'!CO198</f>
        <v>81.92918589024859</v>
      </c>
      <c r="AJ10" s="7">
        <f>'[4]Index calculation_Final'!CP198</f>
        <v>81.92918589024859</v>
      </c>
      <c r="AK10" s="7">
        <f>'[4]Index calculation_Final'!CQ198</f>
        <v>81.92918589024859</v>
      </c>
      <c r="AL10" s="7">
        <f>'[4]Index calculation_Final'!CR198</f>
        <v>81.92918589024859</v>
      </c>
    </row>
    <row r="11" spans="1:38" x14ac:dyDescent="0.25">
      <c r="A11" s="5" t="s">
        <v>7</v>
      </c>
      <c r="B11" s="5"/>
      <c r="C11" s="5">
        <v>100</v>
      </c>
      <c r="D11" s="5">
        <v>104.076362772967</v>
      </c>
      <c r="E11" s="5">
        <v>109.33469356391601</v>
      </c>
      <c r="F11" s="6">
        <v>123.894108881644</v>
      </c>
      <c r="G11" s="6">
        <v>125.510746714834</v>
      </c>
      <c r="H11" s="6">
        <v>123.06519622304</v>
      </c>
      <c r="I11" s="5">
        <v>112.88278011254501</v>
      </c>
      <c r="J11" s="6">
        <v>96.571194909508606</v>
      </c>
      <c r="K11" s="6">
        <v>93.066301070800407</v>
      </c>
      <c r="L11" s="8">
        <v>84.547711584314996</v>
      </c>
      <c r="M11" s="8">
        <v>89.865967953757803</v>
      </c>
      <c r="N11" s="8">
        <v>86.662185797057106</v>
      </c>
      <c r="O11" s="8">
        <v>104.357238354647</v>
      </c>
      <c r="P11" s="8">
        <v>107.749159266657</v>
      </c>
      <c r="Q11" s="8">
        <v>110.070919001039</v>
      </c>
      <c r="R11" s="8">
        <v>121.002573178052</v>
      </c>
      <c r="S11" s="8">
        <v>121.436207038481</v>
      </c>
      <c r="T11" s="6">
        <v>121.013272029853</v>
      </c>
      <c r="U11" s="6">
        <v>121.255207612269</v>
      </c>
      <c r="V11" s="6">
        <v>96.581296980767306</v>
      </c>
      <c r="W11" s="6">
        <v>98.943155537214295</v>
      </c>
      <c r="X11" s="6">
        <v>95.878002701989999</v>
      </c>
      <c r="Y11" s="6">
        <v>103.768277830901</v>
      </c>
      <c r="Z11" s="6">
        <v>98.434964064071494</v>
      </c>
      <c r="AA11" s="6">
        <v>105.980093326317</v>
      </c>
      <c r="AB11" s="6">
        <v>111.164732793065</v>
      </c>
      <c r="AC11" s="6">
        <v>115.99754861016901</v>
      </c>
      <c r="AD11" s="6">
        <f>'[4]Index calculation_Final'!CJ241</f>
        <v>129.35229305632632</v>
      </c>
      <c r="AE11" s="6">
        <f>'[4]Index calculation_Final'!CK241</f>
        <v>132.964752896661</v>
      </c>
      <c r="AF11" s="6">
        <f>'[4]Index calculation_Final'!CL241</f>
        <v>132.57379177346218</v>
      </c>
      <c r="AG11" s="6">
        <f>'[4]Index calculation_Final'!CM241</f>
        <v>119.00848880772918</v>
      </c>
      <c r="AH11" s="6">
        <f>'[4]Index calculation_Final'!CN241</f>
        <v>100.8203172249484</v>
      </c>
      <c r="AI11" s="6">
        <f>'[4]Index calculation_Final'!CO241</f>
        <v>97.956988768941429</v>
      </c>
      <c r="AJ11" s="6">
        <f>'[4]Index calculation_Final'!CP241</f>
        <v>101.45302707624354</v>
      </c>
      <c r="AK11" s="6">
        <f>'[4]Index calculation_Final'!CQ241</f>
        <v>106.75508865554905</v>
      </c>
      <c r="AL11" s="6">
        <f>'[4]Index calculation_Final'!CR241</f>
        <v>101.38269140760889</v>
      </c>
    </row>
    <row r="12" spans="1:38" x14ac:dyDescent="0.25">
      <c r="A12" s="2" t="s">
        <v>8</v>
      </c>
      <c r="C12" s="2">
        <v>100</v>
      </c>
      <c r="D12" s="7">
        <v>100.332544448343</v>
      </c>
      <c r="E12" s="7">
        <v>103.367938313384</v>
      </c>
      <c r="F12" s="7">
        <v>103.87600385747</v>
      </c>
      <c r="G12" s="7">
        <v>98.764119655265802</v>
      </c>
      <c r="H12" s="7">
        <v>103.36607856710999</v>
      </c>
      <c r="I12" s="7">
        <v>99.178160808369199</v>
      </c>
      <c r="J12" s="7">
        <v>98.345068495283002</v>
      </c>
      <c r="K12" s="7">
        <v>97.997261186056406</v>
      </c>
      <c r="L12" s="7">
        <v>106.412307747676</v>
      </c>
      <c r="M12" s="7">
        <v>105.34837866688</v>
      </c>
      <c r="N12" s="7">
        <v>101.172699386126</v>
      </c>
      <c r="O12" s="7">
        <v>103.857190884068</v>
      </c>
      <c r="P12" s="7">
        <v>104.957827289131</v>
      </c>
      <c r="Q12" s="7">
        <v>108.715425788874</v>
      </c>
      <c r="R12" s="7">
        <v>111.55061246162801</v>
      </c>
      <c r="S12" s="7">
        <v>105.20933025793001</v>
      </c>
      <c r="T12" s="7">
        <v>111.61606059625301</v>
      </c>
      <c r="U12" s="7">
        <v>106.812040896114</v>
      </c>
      <c r="V12" s="7">
        <v>105.538675329908</v>
      </c>
      <c r="W12" s="7">
        <v>102.930497323845</v>
      </c>
      <c r="X12" s="7">
        <v>103.523525867486</v>
      </c>
      <c r="Y12" s="7">
        <v>105.889171055695</v>
      </c>
      <c r="Z12" s="7">
        <v>103.06185207514</v>
      </c>
      <c r="AA12" s="7">
        <v>102.885978528002</v>
      </c>
      <c r="AB12" s="7">
        <v>100.834452577032</v>
      </c>
      <c r="AC12" s="7">
        <v>106.837275478012</v>
      </c>
      <c r="AD12" s="7">
        <f>'[4]Index calculation_Final'!CJ523</f>
        <v>108.57604065913021</v>
      </c>
      <c r="AE12" s="7">
        <f>'[4]Index calculation_Final'!CK523</f>
        <v>102.30651377608179</v>
      </c>
      <c r="AF12" s="7">
        <f>'[4]Index calculation_Final'!CL523</f>
        <v>108.66741917385079</v>
      </c>
      <c r="AG12" s="7">
        <f>'[4]Index calculation_Final'!CM523</f>
        <v>109.35416737640166</v>
      </c>
      <c r="AH12" s="7">
        <f>'[4]Index calculation_Final'!CN523</f>
        <v>99.782673801662398</v>
      </c>
      <c r="AI12" s="7">
        <f>'[4]Index calculation_Final'!CO523</f>
        <v>104.24365280134242</v>
      </c>
      <c r="AJ12" s="7">
        <f>'[4]Index calculation_Final'!CP523</f>
        <v>103.84904910123116</v>
      </c>
      <c r="AK12" s="7">
        <f>'[4]Index calculation_Final'!CQ523</f>
        <v>106.00829500976238</v>
      </c>
      <c r="AL12" s="7">
        <f>'[4]Index calculation_Final'!CR523</f>
        <v>105.10871357680223</v>
      </c>
    </row>
    <row r="13" spans="1:38" x14ac:dyDescent="0.25">
      <c r="A13" s="5" t="s">
        <v>0</v>
      </c>
      <c r="B13" s="5"/>
      <c r="C13" s="5">
        <v>100</v>
      </c>
      <c r="D13" s="6">
        <v>100</v>
      </c>
      <c r="E13" s="6">
        <v>100</v>
      </c>
      <c r="F13" s="6">
        <v>101.625589420285</v>
      </c>
      <c r="G13" s="6">
        <v>101.625589420285</v>
      </c>
      <c r="H13" s="6">
        <v>101.625589420285</v>
      </c>
      <c r="I13" s="6">
        <v>101.625589420285</v>
      </c>
      <c r="J13" s="6">
        <v>101.625589420285</v>
      </c>
      <c r="K13" s="6">
        <v>101.922458559961</v>
      </c>
      <c r="L13" s="6">
        <v>101.922458559961</v>
      </c>
      <c r="M13" s="6">
        <v>101.922458559961</v>
      </c>
      <c r="N13" s="6">
        <v>101.922458559961</v>
      </c>
      <c r="O13" s="6">
        <v>101.922458559961</v>
      </c>
      <c r="P13" s="6">
        <v>101.922458559961</v>
      </c>
      <c r="Q13" s="6">
        <v>101.922458559961</v>
      </c>
      <c r="R13" s="6">
        <v>101.308116518932</v>
      </c>
      <c r="S13" s="6">
        <v>101.013036770876</v>
      </c>
      <c r="T13" s="6">
        <v>101.013036770876</v>
      </c>
      <c r="U13" s="6">
        <v>103.756437059018</v>
      </c>
      <c r="V13" s="6">
        <v>103.55791331496</v>
      </c>
      <c r="W13" s="6">
        <v>103.709856647154</v>
      </c>
      <c r="X13" s="6">
        <v>103.55791331496</v>
      </c>
      <c r="Y13" s="6">
        <v>103.70985664472801</v>
      </c>
      <c r="Z13" s="6">
        <v>103.70985664617901</v>
      </c>
      <c r="AA13" s="6">
        <v>103.70985664617901</v>
      </c>
      <c r="AB13" s="6">
        <v>103.70985664617901</v>
      </c>
      <c r="AC13" s="6">
        <v>103.70985664617901</v>
      </c>
      <c r="AD13" s="6">
        <f>'[4]Index calculation_Final'!CJ581</f>
        <v>111.8370588779286</v>
      </c>
      <c r="AE13" s="6">
        <f>'[4]Index calculation_Final'!CK581</f>
        <v>111.8370588779286</v>
      </c>
      <c r="AF13" s="6">
        <f>'[4]Index calculation_Final'!CL581</f>
        <v>111.8370588779286</v>
      </c>
      <c r="AG13" s="6">
        <f>'[4]Index calculation_Final'!CM581</f>
        <v>111.8370588779286</v>
      </c>
      <c r="AH13" s="6">
        <f>'[4]Index calculation_Final'!CN581</f>
        <v>114.90207747966163</v>
      </c>
      <c r="AI13" s="6">
        <f>'[4]Index calculation_Final'!CO581</f>
        <v>114.90207747966163</v>
      </c>
      <c r="AJ13" s="6">
        <f>'[4]Index calculation_Final'!CP581</f>
        <v>116.18073399612994</v>
      </c>
      <c r="AK13" s="6">
        <f>'[4]Index calculation_Final'!CQ581</f>
        <v>116.18073399612994</v>
      </c>
      <c r="AL13" s="6">
        <f>'[4]Index calculation_Final'!CR581</f>
        <v>116.18073399612994</v>
      </c>
    </row>
    <row r="14" spans="1:38" x14ac:dyDescent="0.25">
      <c r="A14" s="9" t="s">
        <v>9</v>
      </c>
      <c r="B14" s="9"/>
      <c r="C14" s="9">
        <v>100</v>
      </c>
      <c r="D14" s="10">
        <v>100</v>
      </c>
      <c r="E14" s="10">
        <v>100</v>
      </c>
      <c r="F14" s="10">
        <v>103.91802450302499</v>
      </c>
      <c r="G14" s="10">
        <v>103.91802450302499</v>
      </c>
      <c r="H14" s="10">
        <v>103.91802450302499</v>
      </c>
      <c r="I14" s="10">
        <v>103.91802450302499</v>
      </c>
      <c r="J14" s="10">
        <v>103.91802450302499</v>
      </c>
      <c r="K14" s="10">
        <v>103.91802450302499</v>
      </c>
      <c r="L14" s="10">
        <v>104.31301902217299</v>
      </c>
      <c r="M14" s="10">
        <v>104.31301902217299</v>
      </c>
      <c r="N14" s="10">
        <v>104.31301902217299</v>
      </c>
      <c r="O14" s="10">
        <v>105.32909589791301</v>
      </c>
      <c r="P14" s="10">
        <v>105.32909589791301</v>
      </c>
      <c r="Q14" s="10">
        <v>105.32909589791301</v>
      </c>
      <c r="R14" s="10">
        <v>107.049162749692</v>
      </c>
      <c r="S14" s="10">
        <v>106.443812615336</v>
      </c>
      <c r="T14" s="10">
        <v>106.443812615336</v>
      </c>
      <c r="U14" s="10">
        <v>106.443812615336</v>
      </c>
      <c r="V14" s="10">
        <v>106.443812615336</v>
      </c>
      <c r="W14" s="10">
        <v>106.443812615336</v>
      </c>
      <c r="X14" s="10">
        <v>106.443812615336</v>
      </c>
      <c r="Y14" s="10">
        <v>106.443812615336</v>
      </c>
      <c r="Z14" s="10">
        <v>106.443812615336</v>
      </c>
      <c r="AA14" s="10">
        <v>106.443812615336</v>
      </c>
      <c r="AB14" s="10">
        <v>106.443812615336</v>
      </c>
      <c r="AC14" s="10">
        <v>106.443812615336</v>
      </c>
      <c r="AD14" s="10">
        <f>'[4]Index calculation_Final'!CJ644</f>
        <v>106.65669463017321</v>
      </c>
      <c r="AE14" s="10">
        <f>'[4]Index calculation_Final'!CK644</f>
        <v>106.65669463017321</v>
      </c>
      <c r="AF14" s="10">
        <f>'[4]Index calculation_Final'!CL644</f>
        <v>106.65669463017321</v>
      </c>
      <c r="AG14" s="10">
        <f>'[4]Index calculation_Final'!CM644</f>
        <v>106.65669463017321</v>
      </c>
      <c r="AH14" s="10">
        <f>'[4]Index calculation_Final'!CN644</f>
        <v>106.65669463017321</v>
      </c>
      <c r="AI14" s="10">
        <f>'[4]Index calculation_Final'!CO644</f>
        <v>106.65669463017321</v>
      </c>
      <c r="AJ14" s="10">
        <f>'[4]Index calculation_Final'!CP644</f>
        <v>106.49672521161263</v>
      </c>
      <c r="AK14" s="10">
        <f>'[4]Index calculation_Final'!CQ644</f>
        <v>106.49672521161263</v>
      </c>
      <c r="AL14" s="10">
        <f>'[4]Index calculation_Final'!CR644</f>
        <v>106.49672521161263</v>
      </c>
    </row>
    <row r="15" spans="1:38" x14ac:dyDescent="0.25">
      <c r="A15" s="11"/>
    </row>
    <row r="16" spans="1:38" ht="18.75" x14ac:dyDescent="0.3">
      <c r="A16" s="1" t="s">
        <v>10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38" ht="15.75" thickBot="1" x14ac:dyDescent="0.3">
      <c r="A17" s="15"/>
      <c r="B17" s="14"/>
      <c r="C17" s="16"/>
      <c r="D17" s="16">
        <v>41214</v>
      </c>
      <c r="E17" s="16">
        <v>41244</v>
      </c>
      <c r="F17" s="16">
        <v>41275</v>
      </c>
      <c r="G17" s="16">
        <v>41306</v>
      </c>
      <c r="H17" s="16">
        <v>41334</v>
      </c>
      <c r="I17" s="16">
        <v>41365</v>
      </c>
      <c r="J17" s="16">
        <v>41395</v>
      </c>
      <c r="K17" s="16">
        <v>41426</v>
      </c>
      <c r="L17" s="16">
        <v>41456</v>
      </c>
      <c r="M17" s="16">
        <v>41487</v>
      </c>
      <c r="N17" s="16">
        <v>41518</v>
      </c>
      <c r="O17" s="16">
        <v>41548</v>
      </c>
      <c r="P17" s="16">
        <v>41579</v>
      </c>
      <c r="Q17" s="16">
        <v>41609</v>
      </c>
      <c r="R17" s="16">
        <v>41640</v>
      </c>
      <c r="S17" s="16">
        <v>41671</v>
      </c>
      <c r="T17" s="16">
        <v>41699</v>
      </c>
      <c r="U17" s="16">
        <v>41730</v>
      </c>
      <c r="V17" s="16">
        <v>41760</v>
      </c>
      <c r="W17" s="16">
        <v>41791</v>
      </c>
      <c r="X17" s="16">
        <v>41821</v>
      </c>
      <c r="Y17" s="16">
        <v>41852</v>
      </c>
      <c r="Z17" s="16">
        <v>41883</v>
      </c>
      <c r="AA17" s="16">
        <v>41913</v>
      </c>
      <c r="AB17" s="16">
        <v>41944</v>
      </c>
      <c r="AC17" s="16">
        <v>41974</v>
      </c>
      <c r="AD17" s="16">
        <v>42005</v>
      </c>
      <c r="AE17" s="16">
        <v>42036</v>
      </c>
      <c r="AF17" s="16">
        <v>42064</v>
      </c>
      <c r="AG17" s="16">
        <v>42095</v>
      </c>
      <c r="AH17" s="16">
        <v>42125</v>
      </c>
      <c r="AI17" s="16">
        <v>42156</v>
      </c>
      <c r="AJ17" s="16">
        <v>42186</v>
      </c>
      <c r="AK17" s="16">
        <v>42217</v>
      </c>
      <c r="AL17" s="16">
        <v>42248</v>
      </c>
    </row>
    <row r="18" spans="1:38" s="3" customFormat="1" ht="15.75" thickTop="1" x14ac:dyDescent="0.25">
      <c r="A18" s="3" t="s">
        <v>2</v>
      </c>
      <c r="D18" s="4">
        <f>(D6-C6)/C6*100</f>
        <v>2.6494522059009995</v>
      </c>
      <c r="E18" s="4">
        <f t="shared" ref="E18:AL26" si="0">(E6-D6)/D6*100</f>
        <v>3.8755908255156819</v>
      </c>
      <c r="F18" s="4">
        <f t="shared" si="0"/>
        <v>7.9822104351103107</v>
      </c>
      <c r="G18" s="4">
        <f t="shared" si="0"/>
        <v>0.34413226772897915</v>
      </c>
      <c r="H18" s="4">
        <f t="shared" si="0"/>
        <v>-0.13325386679902715</v>
      </c>
      <c r="I18" s="4">
        <f t="shared" si="0"/>
        <v>-5.9198755234231308</v>
      </c>
      <c r="J18" s="4">
        <f t="shared" si="0"/>
        <v>-8.9050484652744668</v>
      </c>
      <c r="K18" s="4">
        <f t="shared" si="0"/>
        <v>-2.4401940011733307</v>
      </c>
      <c r="L18" s="4">
        <f t="shared" si="0"/>
        <v>-4.7385849865934153</v>
      </c>
      <c r="M18" s="4">
        <f t="shared" si="0"/>
        <v>3.1975746930038524</v>
      </c>
      <c r="N18" s="4">
        <f t="shared" si="0"/>
        <v>-2.4776675721569941</v>
      </c>
      <c r="O18" s="4">
        <f t="shared" si="0"/>
        <v>11.274675169364258</v>
      </c>
      <c r="P18" s="4">
        <f t="shared" si="0"/>
        <v>2.2702641292639441</v>
      </c>
      <c r="Q18" s="4">
        <f t="shared" si="0"/>
        <v>1.6107551880629341</v>
      </c>
      <c r="R18" s="4">
        <f t="shared" ref="R18:R26" si="1">(R6-Q6)/Q6*100</f>
        <v>5.5194890074777136</v>
      </c>
      <c r="S18" s="4">
        <f t="shared" si="0"/>
        <v>-1.4290791798575291</v>
      </c>
      <c r="T18" s="4">
        <f t="shared" si="0"/>
        <v>1.1495716448647944</v>
      </c>
      <c r="U18" s="4">
        <f t="shared" si="0"/>
        <v>-0.98351992541028765</v>
      </c>
      <c r="V18" s="4">
        <f t="shared" si="0"/>
        <v>-12.154888006779624</v>
      </c>
      <c r="W18" s="4">
        <f t="shared" si="0"/>
        <v>1.9595454469474627</v>
      </c>
      <c r="X18" s="4">
        <f t="shared" si="0"/>
        <v>-3.1786635693723269</v>
      </c>
      <c r="Y18" s="4">
        <f t="shared" si="0"/>
        <v>5.4164079809684846</v>
      </c>
      <c r="Z18" s="4">
        <f t="shared" si="0"/>
        <v>-3.8021352918928031</v>
      </c>
      <c r="AA18" s="4">
        <f t="shared" si="0"/>
        <v>5.4357646051161428</v>
      </c>
      <c r="AB18" s="4">
        <f t="shared" si="0"/>
        <v>1.6559807848448058</v>
      </c>
      <c r="AC18" s="4">
        <f t="shared" si="0"/>
        <v>3.9906482950001139</v>
      </c>
      <c r="AD18" s="4">
        <f t="shared" si="0"/>
        <v>6.3983067908011364</v>
      </c>
      <c r="AE18" s="4">
        <f t="shared" si="0"/>
        <v>0.40518498396966851</v>
      </c>
      <c r="AF18" s="4">
        <f t="shared" si="0"/>
        <v>0.24515284054228975</v>
      </c>
      <c r="AG18" s="4">
        <f t="shared" si="0"/>
        <v>-6.7056933486336607</v>
      </c>
      <c r="AH18" s="4">
        <f t="shared" si="0"/>
        <v>-9.2183741740892771</v>
      </c>
      <c r="AI18" s="4">
        <f t="shared" si="0"/>
        <v>-1.612921919130621</v>
      </c>
      <c r="AJ18" s="4">
        <f t="shared" si="0"/>
        <v>3.3307068496456718</v>
      </c>
      <c r="AK18" s="4">
        <f t="shared" si="0"/>
        <v>2.7241502947202356</v>
      </c>
      <c r="AL18" s="4">
        <f t="shared" si="0"/>
        <v>-2.9727969268949916</v>
      </c>
    </row>
    <row r="19" spans="1:38" x14ac:dyDescent="0.25">
      <c r="A19" s="5" t="s">
        <v>3</v>
      </c>
      <c r="B19" s="5"/>
      <c r="C19" s="5"/>
      <c r="D19" s="6">
        <f t="shared" ref="D19:Q26" si="2">(D7-C7)/C7*100</f>
        <v>0.99182898968599897</v>
      </c>
      <c r="E19" s="6">
        <f t="shared" si="2"/>
        <v>7.6183086018283301</v>
      </c>
      <c r="F19" s="6">
        <f t="shared" si="2"/>
        <v>-3.3705291172872798</v>
      </c>
      <c r="G19" s="6">
        <f t="shared" si="2"/>
        <v>2.8957107226027725</v>
      </c>
      <c r="H19" s="6">
        <f t="shared" si="2"/>
        <v>1.6780108886193548</v>
      </c>
      <c r="I19" s="6">
        <f t="shared" si="2"/>
        <v>-1.6788219286547021</v>
      </c>
      <c r="J19" s="6">
        <f t="shared" si="2"/>
        <v>7.3804333558349908</v>
      </c>
      <c r="K19" s="6">
        <f t="shared" si="2"/>
        <v>-2.8823664657281456</v>
      </c>
      <c r="L19" s="6">
        <f t="shared" si="2"/>
        <v>-2.0297717755487126</v>
      </c>
      <c r="M19" s="6">
        <f t="shared" si="2"/>
        <v>-6.0553224973990627</v>
      </c>
      <c r="N19" s="6">
        <f t="shared" si="2"/>
        <v>9.3315958747371646</v>
      </c>
      <c r="O19" s="6">
        <f t="shared" si="2"/>
        <v>-13.766193517048652</v>
      </c>
      <c r="P19" s="6">
        <f t="shared" si="2"/>
        <v>4.6938500813452544</v>
      </c>
      <c r="Q19" s="6">
        <f t="shared" si="2"/>
        <v>-11.590679592714997</v>
      </c>
      <c r="R19" s="6">
        <f t="shared" si="1"/>
        <v>2.3081420395225159E-3</v>
      </c>
      <c r="S19" s="6">
        <f t="shared" si="0"/>
        <v>-1.5898000702121158</v>
      </c>
      <c r="T19" s="6">
        <f t="shared" si="0"/>
        <v>1.9879689816458761</v>
      </c>
      <c r="U19" s="6">
        <f t="shared" si="0"/>
        <v>2.6230349098255621</v>
      </c>
      <c r="V19" s="6">
        <f t="shared" si="0"/>
        <v>6.2682251488688685</v>
      </c>
      <c r="W19" s="6">
        <f t="shared" si="0"/>
        <v>-1.7790467304402251</v>
      </c>
      <c r="X19" s="6">
        <f t="shared" si="0"/>
        <v>-4.3438069507758437</v>
      </c>
      <c r="Y19" s="6">
        <f t="shared" si="0"/>
        <v>-2.5739822404322679</v>
      </c>
      <c r="Z19" s="6">
        <f t="shared" si="0"/>
        <v>2.1642779912842576</v>
      </c>
      <c r="AA19" s="6">
        <f t="shared" si="0"/>
        <v>5.26888434467579</v>
      </c>
      <c r="AB19" s="6">
        <f t="shared" si="0"/>
        <v>-8.9789289211828525</v>
      </c>
      <c r="AC19" s="6">
        <f t="shared" si="0"/>
        <v>7.1626264064620377</v>
      </c>
      <c r="AD19" s="6">
        <f t="shared" si="0"/>
        <v>1.3483736761227545</v>
      </c>
      <c r="AE19" s="6">
        <f t="shared" si="0"/>
        <v>3.4286275654722407</v>
      </c>
      <c r="AF19" s="6">
        <f t="shared" si="0"/>
        <v>-6.4074112122057532</v>
      </c>
      <c r="AG19" s="6">
        <f t="shared" si="0"/>
        <v>-5.2450425036925754</v>
      </c>
      <c r="AH19" s="6">
        <f t="shared" si="0"/>
        <v>13.743285022089832</v>
      </c>
      <c r="AI19" s="6">
        <f t="shared" si="0"/>
        <v>-7.9687262997598447</v>
      </c>
      <c r="AJ19" s="6">
        <f t="shared" si="0"/>
        <v>11.265762056670358</v>
      </c>
      <c r="AK19" s="6">
        <f t="shared" si="0"/>
        <v>-2.9196209274844396</v>
      </c>
      <c r="AL19" s="6">
        <f t="shared" si="0"/>
        <v>-6.2111518164010091</v>
      </c>
    </row>
    <row r="20" spans="1:38" x14ac:dyDescent="0.25">
      <c r="A20" s="2" t="s">
        <v>4</v>
      </c>
      <c r="D20" s="7">
        <f t="shared" si="2"/>
        <v>1.5877144052099934</v>
      </c>
      <c r="E20" s="7">
        <f t="shared" si="2"/>
        <v>1.4795104306913416</v>
      </c>
      <c r="F20" s="7">
        <f t="shared" si="2"/>
        <v>0.12582761214612756</v>
      </c>
      <c r="G20" s="7">
        <f t="shared" si="2"/>
        <v>0.18449832208355699</v>
      </c>
      <c r="H20" s="7">
        <f t="shared" si="2"/>
        <v>5.0555489550293577</v>
      </c>
      <c r="I20" s="7">
        <f t="shared" si="2"/>
        <v>-1.7791529455860882</v>
      </c>
      <c r="J20" s="7">
        <f t="shared" si="2"/>
        <v>1.9068910316945626</v>
      </c>
      <c r="K20" s="7">
        <f t="shared" si="2"/>
        <v>-0.97510669682770601</v>
      </c>
      <c r="L20" s="7">
        <f t="shared" si="2"/>
        <v>-2.2441203969587291</v>
      </c>
      <c r="M20" s="7">
        <f t="shared" si="2"/>
        <v>-2.3198335761020354</v>
      </c>
      <c r="N20" s="7">
        <f t="shared" si="2"/>
        <v>0.54786895502296029</v>
      </c>
      <c r="O20" s="7">
        <f t="shared" si="2"/>
        <v>-5.8612528363635557</v>
      </c>
      <c r="P20" s="7">
        <f t="shared" si="2"/>
        <v>9.6097451926879476E-2</v>
      </c>
      <c r="Q20" s="7">
        <f t="shared" si="2"/>
        <v>1.2478903861591786</v>
      </c>
      <c r="R20" s="7">
        <f t="shared" si="1"/>
        <v>-7.1695891739855728</v>
      </c>
      <c r="S20" s="7">
        <f t="shared" si="0"/>
        <v>-6.9497080061176915</v>
      </c>
      <c r="T20" s="7">
        <f t="shared" si="0"/>
        <v>4.1986037925929001</v>
      </c>
      <c r="U20" s="7">
        <f t="shared" si="0"/>
        <v>-6.1521447122490232</v>
      </c>
      <c r="V20" s="7">
        <f t="shared" si="0"/>
        <v>9.4279286287469546</v>
      </c>
      <c r="W20" s="7">
        <f t="shared" si="0"/>
        <v>9.4558158061162274</v>
      </c>
      <c r="X20" s="7">
        <f t="shared" si="0"/>
        <v>-12.045963141847693</v>
      </c>
      <c r="Y20" s="7">
        <f t="shared" si="0"/>
        <v>1.9693456253469517</v>
      </c>
      <c r="Z20" s="7">
        <f t="shared" si="0"/>
        <v>-3.1844293584613896</v>
      </c>
      <c r="AA20" s="7">
        <f t="shared" si="0"/>
        <v>10.624387615174886</v>
      </c>
      <c r="AB20" s="7">
        <f t="shared" si="0"/>
        <v>-6.7295624929420912</v>
      </c>
      <c r="AC20" s="7">
        <f t="shared" si="0"/>
        <v>2.6085627044995285</v>
      </c>
      <c r="AD20" s="7">
        <f t="shared" si="0"/>
        <v>8.0343944759079952E-2</v>
      </c>
      <c r="AE20" s="7">
        <f t="shared" si="0"/>
        <v>0.98148853859479301</v>
      </c>
      <c r="AF20" s="7">
        <f t="shared" si="0"/>
        <v>-5.4977235379695202</v>
      </c>
      <c r="AG20" s="7">
        <f t="shared" si="0"/>
        <v>-4.9554970794627531</v>
      </c>
      <c r="AH20" s="7">
        <f t="shared" si="0"/>
        <v>7.890531966354386</v>
      </c>
      <c r="AI20" s="7">
        <f t="shared" si="0"/>
        <v>-3.1947539827583658</v>
      </c>
      <c r="AJ20" s="7">
        <f t="shared" si="0"/>
        <v>8.2114171209996147</v>
      </c>
      <c r="AK20" s="7">
        <f t="shared" si="0"/>
        <v>-4.1654155057902198</v>
      </c>
      <c r="AL20" s="7">
        <f t="shared" si="0"/>
        <v>2.5861011072283722</v>
      </c>
    </row>
    <row r="21" spans="1:38" x14ac:dyDescent="0.25">
      <c r="A21" s="5" t="s">
        <v>11</v>
      </c>
      <c r="B21" s="5"/>
      <c r="C21" s="5"/>
      <c r="D21" s="6">
        <f t="shared" si="2"/>
        <v>2.6462634942959937</v>
      </c>
      <c r="E21" s="6">
        <f t="shared" si="2"/>
        <v>2.465048225116949</v>
      </c>
      <c r="F21" s="6">
        <f t="shared" si="2"/>
        <v>0.1592754022935399</v>
      </c>
      <c r="G21" s="6">
        <f t="shared" si="2"/>
        <v>0.30609610062137849</v>
      </c>
      <c r="H21" s="6">
        <f t="shared" si="2"/>
        <v>8.5210817626662649</v>
      </c>
      <c r="I21" s="6">
        <f t="shared" si="2"/>
        <v>-3.0454568320148003</v>
      </c>
      <c r="J21" s="6">
        <f t="shared" si="2"/>
        <v>3.1815465281272624</v>
      </c>
      <c r="K21" s="6">
        <f t="shared" si="2"/>
        <v>-1.6115983278449881</v>
      </c>
      <c r="L21" s="6">
        <f t="shared" si="2"/>
        <v>-3.2697258482344274</v>
      </c>
      <c r="M21" s="6">
        <f t="shared" si="2"/>
        <v>-3.8169994847046849</v>
      </c>
      <c r="N21" s="6">
        <f t="shared" si="2"/>
        <v>0.90692599546570296</v>
      </c>
      <c r="O21" s="6">
        <f t="shared" si="2"/>
        <v>-10.519905999947994</v>
      </c>
      <c r="P21" s="6">
        <f t="shared" si="2"/>
        <v>0.15938631312581128</v>
      </c>
      <c r="Q21" s="6">
        <f t="shared" si="2"/>
        <v>2.0775684544189947</v>
      </c>
      <c r="R21" s="6">
        <f t="shared" si="1"/>
        <v>-11.874689022217554</v>
      </c>
      <c r="S21" s="6">
        <f t="shared" si="0"/>
        <v>-11.258664485390435</v>
      </c>
      <c r="T21" s="6">
        <f t="shared" si="0"/>
        <v>7.0572817766091092</v>
      </c>
      <c r="U21" s="6">
        <f t="shared" si="0"/>
        <v>-9.1669768042682076</v>
      </c>
      <c r="V21" s="6">
        <f t="shared" si="0"/>
        <v>14.761669879988961</v>
      </c>
      <c r="W21" s="6">
        <f t="shared" si="0"/>
        <v>15.777476223157089</v>
      </c>
      <c r="X21" s="6">
        <f t="shared" si="0"/>
        <v>-18.181856323760812</v>
      </c>
      <c r="Y21" s="6">
        <f t="shared" si="0"/>
        <v>3.0377637418217049</v>
      </c>
      <c r="Z21" s="6">
        <f t="shared" si="0"/>
        <v>-4.6851452789396504</v>
      </c>
      <c r="AA21" s="6">
        <f t="shared" si="0"/>
        <v>15.184068456586486</v>
      </c>
      <c r="AB21" s="6">
        <f t="shared" si="0"/>
        <v>-8.9807564553830517</v>
      </c>
      <c r="AC21" s="6">
        <f t="shared" si="0"/>
        <v>3.6543913498779461</v>
      </c>
      <c r="AD21" s="6">
        <f t="shared" si="0"/>
        <v>-0.39808837506842382</v>
      </c>
      <c r="AE21" s="6">
        <f t="shared" si="0"/>
        <v>1.6517750312937038</v>
      </c>
      <c r="AF21" s="6">
        <f t="shared" si="0"/>
        <v>-9.0489160059726572</v>
      </c>
      <c r="AG21" s="6">
        <f t="shared" si="0"/>
        <v>-8.8108241230569533</v>
      </c>
      <c r="AH21" s="6">
        <f t="shared" si="0"/>
        <v>13.714081955320118</v>
      </c>
      <c r="AI21" s="6">
        <f t="shared" si="0"/>
        <v>-5.3005653970771061</v>
      </c>
      <c r="AJ21" s="6">
        <f t="shared" si="0"/>
        <v>13.644364358480093</v>
      </c>
      <c r="AK21" s="6">
        <f t="shared" si="0"/>
        <v>-6.887881058965184</v>
      </c>
      <c r="AL21" s="6">
        <f t="shared" si="0"/>
        <v>4.3784296210942477</v>
      </c>
    </row>
    <row r="22" spans="1:38" x14ac:dyDescent="0.25">
      <c r="A22" s="2" t="s">
        <v>6</v>
      </c>
      <c r="D22" s="7">
        <f t="shared" si="2"/>
        <v>-0.73068239773249388</v>
      </c>
      <c r="E22" s="7">
        <f t="shared" si="2"/>
        <v>0</v>
      </c>
      <c r="F22" s="7">
        <f t="shared" si="2"/>
        <v>0</v>
      </c>
      <c r="G22" s="7">
        <f t="shared" si="2"/>
        <v>3.2903016633992581</v>
      </c>
      <c r="H22" s="7">
        <f t="shared" si="2"/>
        <v>-2.3543741596769583</v>
      </c>
      <c r="I22" s="7">
        <f t="shared" si="2"/>
        <v>0</v>
      </c>
      <c r="J22" s="7">
        <f t="shared" si="2"/>
        <v>-1.461490206797496</v>
      </c>
      <c r="K22" s="7">
        <f t="shared" si="2"/>
        <v>0</v>
      </c>
      <c r="L22" s="7">
        <f t="shared" si="2"/>
        <v>0.32117575552247751</v>
      </c>
      <c r="M22" s="7">
        <f t="shared" si="2"/>
        <v>0</v>
      </c>
      <c r="N22" s="7">
        <f t="shared" si="2"/>
        <v>0</v>
      </c>
      <c r="O22" s="7">
        <f t="shared" si="2"/>
        <v>5.3517727125309604E-2</v>
      </c>
      <c r="P22" s="7">
        <f t="shared" si="2"/>
        <v>0</v>
      </c>
      <c r="Q22" s="7">
        <f t="shared" si="2"/>
        <v>0</v>
      </c>
      <c r="R22" s="7">
        <f t="shared" si="1"/>
        <v>-0.34944798194958004</v>
      </c>
      <c r="S22" s="7">
        <f t="shared" si="0"/>
        <v>2.016091250512374E-13</v>
      </c>
      <c r="T22" s="7">
        <f t="shared" si="0"/>
        <v>0</v>
      </c>
      <c r="U22" s="7">
        <f t="shared" si="0"/>
        <v>0</v>
      </c>
      <c r="V22" s="7">
        <f t="shared" si="0"/>
        <v>0</v>
      </c>
      <c r="W22" s="7">
        <f t="shared" si="0"/>
        <v>0</v>
      </c>
      <c r="X22" s="7">
        <f t="shared" si="0"/>
        <v>0</v>
      </c>
      <c r="Y22" s="7">
        <f t="shared" si="0"/>
        <v>0</v>
      </c>
      <c r="Z22" s="7">
        <f t="shared" si="0"/>
        <v>0</v>
      </c>
      <c r="AA22" s="7">
        <f t="shared" si="0"/>
        <v>-4.6485389174107441</v>
      </c>
      <c r="AB22" s="7">
        <f t="shared" si="0"/>
        <v>0</v>
      </c>
      <c r="AC22" s="7">
        <f t="shared" si="0"/>
        <v>0</v>
      </c>
      <c r="AD22" s="7">
        <f t="shared" si="0"/>
        <v>-10.982634193279599</v>
      </c>
      <c r="AE22" s="7">
        <f t="shared" si="0"/>
        <v>-7.3387462150300191</v>
      </c>
      <c r="AF22" s="7">
        <f t="shared" si="0"/>
        <v>5.5602295933678141</v>
      </c>
      <c r="AG22" s="7">
        <f t="shared" si="0"/>
        <v>0</v>
      </c>
      <c r="AH22" s="7">
        <f t="shared" si="0"/>
        <v>0</v>
      </c>
      <c r="AI22" s="7">
        <f t="shared" si="0"/>
        <v>0</v>
      </c>
      <c r="AJ22" s="7">
        <f t="shared" si="0"/>
        <v>0</v>
      </c>
      <c r="AK22" s="7">
        <f t="shared" si="0"/>
        <v>0</v>
      </c>
      <c r="AL22" s="7">
        <f t="shared" si="0"/>
        <v>0</v>
      </c>
    </row>
    <row r="23" spans="1:38" x14ac:dyDescent="0.25">
      <c r="A23" s="5" t="s">
        <v>7</v>
      </c>
      <c r="B23" s="5"/>
      <c r="C23" s="5"/>
      <c r="D23" s="6">
        <f t="shared" si="2"/>
        <v>4.076362772967002</v>
      </c>
      <c r="E23" s="6">
        <f t="shared" si="2"/>
        <v>5.0523775532198094</v>
      </c>
      <c r="F23" s="6">
        <f t="shared" si="2"/>
        <v>13.31637272959173</v>
      </c>
      <c r="G23" s="6">
        <f t="shared" si="2"/>
        <v>1.3048544824147945</v>
      </c>
      <c r="H23" s="6">
        <f t="shared" si="2"/>
        <v>-1.9484789596148244</v>
      </c>
      <c r="I23" s="6">
        <f t="shared" si="2"/>
        <v>-8.2740014423254689</v>
      </c>
      <c r="J23" s="6">
        <f t="shared" si="2"/>
        <v>-14.450020797480025</v>
      </c>
      <c r="K23" s="6">
        <f t="shared" si="2"/>
        <v>-3.6293367209471064</v>
      </c>
      <c r="L23" s="6">
        <f t="shared" si="2"/>
        <v>-9.1532481558549037</v>
      </c>
      <c r="M23" s="6">
        <f t="shared" si="2"/>
        <v>6.2902428342358956</v>
      </c>
      <c r="N23" s="6">
        <f t="shared" si="2"/>
        <v>-3.5650672102583512</v>
      </c>
      <c r="O23" s="6">
        <f t="shared" si="2"/>
        <v>20.418424016015045</v>
      </c>
      <c r="P23" s="6">
        <f t="shared" si="2"/>
        <v>3.2502976942365271</v>
      </c>
      <c r="Q23" s="6">
        <f t="shared" si="2"/>
        <v>2.1547822277073374</v>
      </c>
      <c r="R23" s="6">
        <f t="shared" si="1"/>
        <v>9.9314644378592067</v>
      </c>
      <c r="S23" s="6">
        <f t="shared" si="0"/>
        <v>0.35836747024455201</v>
      </c>
      <c r="T23" s="6">
        <f t="shared" si="0"/>
        <v>-0.34827751865963785</v>
      </c>
      <c r="U23" s="6">
        <f t="shared" si="0"/>
        <v>0.19992483333259631</v>
      </c>
      <c r="V23" s="6">
        <f t="shared" si="0"/>
        <v>-20.348743049783131</v>
      </c>
      <c r="W23" s="6">
        <f t="shared" si="0"/>
        <v>2.4454616269207046</v>
      </c>
      <c r="X23" s="6">
        <f t="shared" si="0"/>
        <v>-3.0978927431432459</v>
      </c>
      <c r="Y23" s="6">
        <f t="shared" si="0"/>
        <v>8.2294946771426982</v>
      </c>
      <c r="Z23" s="6">
        <f t="shared" si="0"/>
        <v>-5.1396379301202062</v>
      </c>
      <c r="AA23" s="6">
        <f t="shared" si="0"/>
        <v>7.6650906860029648</v>
      </c>
      <c r="AB23" s="6">
        <f t="shared" si="0"/>
        <v>4.8920880365563377</v>
      </c>
      <c r="AC23" s="6">
        <f t="shared" si="0"/>
        <v>4.3474361838303279</v>
      </c>
      <c r="AD23" s="6">
        <f t="shared" si="0"/>
        <v>11.512954028915193</v>
      </c>
      <c r="AE23" s="6">
        <f t="shared" si="0"/>
        <v>2.7927296493782583</v>
      </c>
      <c r="AF23" s="6">
        <f t="shared" si="0"/>
        <v>-0.2940336552971089</v>
      </c>
      <c r="AG23" s="6">
        <f t="shared" si="0"/>
        <v>-10.232265958654143</v>
      </c>
      <c r="AH23" s="6">
        <f t="shared" si="0"/>
        <v>-15.283087588958214</v>
      </c>
      <c r="AI23" s="6">
        <f t="shared" si="0"/>
        <v>-2.8400311909536682</v>
      </c>
      <c r="AJ23" s="6">
        <f t="shared" si="0"/>
        <v>3.568952405783405</v>
      </c>
      <c r="AK23" s="6">
        <f t="shared" si="0"/>
        <v>5.226124574204098</v>
      </c>
      <c r="AL23" s="6">
        <f t="shared" si="0"/>
        <v>-5.0324507389755269</v>
      </c>
    </row>
    <row r="24" spans="1:38" x14ac:dyDescent="0.25">
      <c r="A24" s="2" t="s">
        <v>8</v>
      </c>
      <c r="D24" s="7">
        <f t="shared" si="2"/>
        <v>0.33254444834300045</v>
      </c>
      <c r="E24" s="7">
        <f t="shared" si="2"/>
        <v>3.0253332871507088</v>
      </c>
      <c r="F24" s="7">
        <f t="shared" si="2"/>
        <v>0.49151173214432808</v>
      </c>
      <c r="G24" s="7">
        <f t="shared" si="2"/>
        <v>-4.9211406026153028</v>
      </c>
      <c r="H24" s="7">
        <f t="shared" si="2"/>
        <v>4.6595453165656098</v>
      </c>
      <c r="I24" s="7">
        <f t="shared" si="2"/>
        <v>-4.0515397476569719</v>
      </c>
      <c r="J24" s="7">
        <f t="shared" si="2"/>
        <v>-0.83999572718018845</v>
      </c>
      <c r="K24" s="7">
        <f t="shared" si="2"/>
        <v>-0.3536601423418379</v>
      </c>
      <c r="L24" s="7">
        <f t="shared" si="2"/>
        <v>8.587022187939402</v>
      </c>
      <c r="M24" s="7">
        <f t="shared" si="2"/>
        <v>-0.99981769338071402</v>
      </c>
      <c r="N24" s="7">
        <f t="shared" si="2"/>
        <v>-3.9636863268278941</v>
      </c>
      <c r="O24" s="7">
        <f t="shared" si="2"/>
        <v>2.6533753811358074</v>
      </c>
      <c r="P24" s="7">
        <f t="shared" si="2"/>
        <v>1.0597594597870454</v>
      </c>
      <c r="Q24" s="7">
        <f t="shared" si="2"/>
        <v>3.5801031679055328</v>
      </c>
      <c r="R24" s="7">
        <f t="shared" si="1"/>
        <v>2.6078973174054938</v>
      </c>
      <c r="S24" s="7">
        <f t="shared" si="0"/>
        <v>-5.6846682091318153</v>
      </c>
      <c r="T24" s="7">
        <f t="shared" si="0"/>
        <v>6.0895077676251086</v>
      </c>
      <c r="U24" s="7">
        <f t="shared" si="0"/>
        <v>-4.3040577444463946</v>
      </c>
      <c r="V24" s="7">
        <f t="shared" si="0"/>
        <v>-1.1921554494445796</v>
      </c>
      <c r="W24" s="7">
        <f t="shared" si="0"/>
        <v>-2.4713006847110606</v>
      </c>
      <c r="X24" s="7">
        <f t="shared" si="0"/>
        <v>0.57614464037337909</v>
      </c>
      <c r="Y24" s="7">
        <f t="shared" si="0"/>
        <v>2.2851281082109933</v>
      </c>
      <c r="Z24" s="7">
        <f t="shared" si="0"/>
        <v>-2.670073768986168</v>
      </c>
      <c r="AA24" s="7">
        <f t="shared" si="0"/>
        <v>-0.17064854123693712</v>
      </c>
      <c r="AB24" s="7">
        <f t="shared" si="0"/>
        <v>-1.9939801130546169</v>
      </c>
      <c r="AC24" s="7">
        <f t="shared" si="0"/>
        <v>5.9531467148038306</v>
      </c>
      <c r="AD24" s="7">
        <f t="shared" si="0"/>
        <v>1.6274892572265787</v>
      </c>
      <c r="AE24" s="7">
        <f t="shared" si="0"/>
        <v>-5.7743189427318837</v>
      </c>
      <c r="AF24" s="7">
        <f t="shared" si="0"/>
        <v>6.2174979510015485</v>
      </c>
      <c r="AG24" s="7">
        <f t="shared" si="0"/>
        <v>0.63197249715867865</v>
      </c>
      <c r="AH24" s="7">
        <f t="shared" si="0"/>
        <v>-8.7527469728645819</v>
      </c>
      <c r="AI24" s="7">
        <f t="shared" si="0"/>
        <v>4.470694991143545</v>
      </c>
      <c r="AJ24" s="7">
        <f t="shared" si="0"/>
        <v>-0.37853978588342391</v>
      </c>
      <c r="AK24" s="7">
        <f t="shared" si="0"/>
        <v>2.0792158688197562</v>
      </c>
      <c r="AL24" s="7">
        <f t="shared" si="0"/>
        <v>-0.84859532254273518</v>
      </c>
    </row>
    <row r="25" spans="1:38" x14ac:dyDescent="0.25">
      <c r="A25" s="5" t="s">
        <v>0</v>
      </c>
      <c r="B25" s="5"/>
      <c r="C25" s="5"/>
      <c r="D25" s="6">
        <f t="shared" si="2"/>
        <v>0</v>
      </c>
      <c r="E25" s="6">
        <f t="shared" si="2"/>
        <v>0</v>
      </c>
      <c r="F25" s="6">
        <f t="shared" si="2"/>
        <v>1.6255894202849959</v>
      </c>
      <c r="G25" s="6">
        <f t="shared" si="2"/>
        <v>0</v>
      </c>
      <c r="H25" s="6">
        <f t="shared" si="2"/>
        <v>0</v>
      </c>
      <c r="I25" s="6">
        <f t="shared" si="2"/>
        <v>0</v>
      </c>
      <c r="J25" s="6">
        <f t="shared" si="2"/>
        <v>0</v>
      </c>
      <c r="K25" s="6">
        <f t="shared" si="2"/>
        <v>0.29212046037761863</v>
      </c>
      <c r="L25" s="6">
        <f t="shared" si="2"/>
        <v>0</v>
      </c>
      <c r="M25" s="6">
        <f t="shared" si="2"/>
        <v>0</v>
      </c>
      <c r="N25" s="6">
        <f t="shared" si="2"/>
        <v>0</v>
      </c>
      <c r="O25" s="6">
        <f t="shared" si="2"/>
        <v>0</v>
      </c>
      <c r="P25" s="6">
        <f t="shared" si="2"/>
        <v>0</v>
      </c>
      <c r="Q25" s="6">
        <f t="shared" si="2"/>
        <v>0</v>
      </c>
      <c r="R25" s="6">
        <f t="shared" si="1"/>
        <v>-0.60275433865008976</v>
      </c>
      <c r="S25" s="6">
        <f t="shared" si="0"/>
        <v>-0.29126960227402299</v>
      </c>
      <c r="T25" s="6">
        <f t="shared" si="0"/>
        <v>0</v>
      </c>
      <c r="U25" s="6">
        <f t="shared" si="0"/>
        <v>2.7158873506246013</v>
      </c>
      <c r="V25" s="6">
        <f t="shared" si="0"/>
        <v>-0.19133631578450483</v>
      </c>
      <c r="W25" s="6">
        <f t="shared" si="0"/>
        <v>0.14672305314985956</v>
      </c>
      <c r="X25" s="6">
        <f t="shared" si="0"/>
        <v>-0.14650809200415946</v>
      </c>
      <c r="Y25" s="6">
        <f t="shared" si="0"/>
        <v>0.1467230508072169</v>
      </c>
      <c r="Z25" s="6">
        <f>(Z13-Y13)/Y13*100</f>
        <v>1.3990949053823233E-9</v>
      </c>
      <c r="AA25" s="6">
        <f t="shared" si="0"/>
        <v>0</v>
      </c>
      <c r="AB25" s="6">
        <f t="shared" si="0"/>
        <v>0</v>
      </c>
      <c r="AC25" s="6">
        <f t="shared" si="0"/>
        <v>0</v>
      </c>
      <c r="AD25" s="6">
        <f t="shared" si="0"/>
        <v>7.8364800555811245</v>
      </c>
      <c r="AE25" s="6">
        <f t="shared" si="0"/>
        <v>0</v>
      </c>
      <c r="AF25" s="6">
        <f t="shared" si="0"/>
        <v>0</v>
      </c>
      <c r="AG25" s="6">
        <f t="shared" si="0"/>
        <v>0</v>
      </c>
      <c r="AH25" s="6">
        <f t="shared" si="0"/>
        <v>2.7406108784374701</v>
      </c>
      <c r="AI25" s="6">
        <f t="shared" si="0"/>
        <v>0</v>
      </c>
      <c r="AJ25" s="6">
        <f t="shared" si="0"/>
        <v>1.1128228005230338</v>
      </c>
      <c r="AK25" s="6">
        <f t="shared" si="0"/>
        <v>0</v>
      </c>
      <c r="AL25" s="6">
        <f t="shared" si="0"/>
        <v>0</v>
      </c>
    </row>
    <row r="26" spans="1:38" x14ac:dyDescent="0.25">
      <c r="A26" s="9" t="s">
        <v>9</v>
      </c>
      <c r="B26" s="9"/>
      <c r="C26" s="9"/>
      <c r="D26" s="10">
        <f t="shared" si="2"/>
        <v>0</v>
      </c>
      <c r="E26" s="10">
        <f t="shared" si="2"/>
        <v>0</v>
      </c>
      <c r="F26" s="10">
        <f t="shared" si="2"/>
        <v>3.9180245030249949</v>
      </c>
      <c r="G26" s="10">
        <f t="shared" si="2"/>
        <v>0</v>
      </c>
      <c r="H26" s="10">
        <f t="shared" si="2"/>
        <v>0</v>
      </c>
      <c r="I26" s="10">
        <f t="shared" si="2"/>
        <v>0</v>
      </c>
      <c r="J26" s="10">
        <f t="shared" si="2"/>
        <v>0</v>
      </c>
      <c r="K26" s="10">
        <f t="shared" si="2"/>
        <v>0</v>
      </c>
      <c r="L26" s="10">
        <f t="shared" si="2"/>
        <v>0.38010202853355984</v>
      </c>
      <c r="M26" s="10">
        <f t="shared" si="2"/>
        <v>0</v>
      </c>
      <c r="N26" s="10">
        <f t="shared" si="2"/>
        <v>0</v>
      </c>
      <c r="O26" s="10">
        <f t="shared" si="2"/>
        <v>0.97406525596199323</v>
      </c>
      <c r="P26" s="10">
        <f t="shared" si="2"/>
        <v>0</v>
      </c>
      <c r="Q26" s="10">
        <f t="shared" si="2"/>
        <v>0</v>
      </c>
      <c r="R26" s="10">
        <f t="shared" si="1"/>
        <v>1.6330405545739395</v>
      </c>
      <c r="S26" s="10">
        <f t="shared" si="0"/>
        <v>-0.56548796721695349</v>
      </c>
      <c r="T26" s="10">
        <f t="shared" si="0"/>
        <v>0</v>
      </c>
      <c r="U26" s="10">
        <f t="shared" si="0"/>
        <v>0</v>
      </c>
      <c r="V26" s="10">
        <f t="shared" si="0"/>
        <v>0</v>
      </c>
      <c r="W26" s="10">
        <f t="shared" si="0"/>
        <v>0</v>
      </c>
      <c r="X26" s="10">
        <f t="shared" si="0"/>
        <v>0</v>
      </c>
      <c r="Y26" s="10">
        <f t="shared" si="0"/>
        <v>0</v>
      </c>
      <c r="Z26" s="10">
        <f t="shared" si="0"/>
        <v>0</v>
      </c>
      <c r="AA26" s="10">
        <f t="shared" si="0"/>
        <v>0</v>
      </c>
      <c r="AB26" s="10">
        <f t="shared" si="0"/>
        <v>0</v>
      </c>
      <c r="AC26" s="10">
        <f t="shared" si="0"/>
        <v>0</v>
      </c>
      <c r="AD26" s="10">
        <f t="shared" si="0"/>
        <v>0.19999472924416323</v>
      </c>
      <c r="AE26" s="10">
        <f t="shared" si="0"/>
        <v>0</v>
      </c>
      <c r="AF26" s="10">
        <f t="shared" si="0"/>
        <v>0</v>
      </c>
      <c r="AG26" s="10">
        <f t="shared" si="0"/>
        <v>0</v>
      </c>
      <c r="AH26" s="10">
        <f t="shared" si="0"/>
        <v>0</v>
      </c>
      <c r="AI26" s="10">
        <f t="shared" si="0"/>
        <v>0</v>
      </c>
      <c r="AJ26" s="10">
        <f t="shared" si="0"/>
        <v>-0.14998535170742394</v>
      </c>
      <c r="AK26" s="10">
        <f t="shared" si="0"/>
        <v>0</v>
      </c>
      <c r="AL26" s="10">
        <f t="shared" si="0"/>
        <v>0</v>
      </c>
    </row>
    <row r="28" spans="1:38" ht="18.75" x14ac:dyDescent="0.3">
      <c r="A28" s="1" t="s">
        <v>12</v>
      </c>
    </row>
    <row r="29" spans="1:38" x14ac:dyDescent="0.25">
      <c r="A29" s="15"/>
      <c r="B29" s="15"/>
      <c r="C29" s="16"/>
      <c r="D29" s="16">
        <v>41214</v>
      </c>
      <c r="E29" s="16">
        <v>41244</v>
      </c>
      <c r="F29" s="16">
        <v>41275</v>
      </c>
      <c r="G29" s="16">
        <v>41306</v>
      </c>
      <c r="H29" s="16">
        <v>41334</v>
      </c>
      <c r="I29" s="16">
        <v>41365</v>
      </c>
      <c r="J29" s="16">
        <v>41395</v>
      </c>
      <c r="K29" s="16">
        <v>41426</v>
      </c>
      <c r="L29" s="16">
        <v>41456</v>
      </c>
      <c r="M29" s="16">
        <v>41487</v>
      </c>
      <c r="N29" s="16">
        <v>41518</v>
      </c>
      <c r="O29" s="16">
        <v>41548</v>
      </c>
      <c r="P29" s="16">
        <v>41579</v>
      </c>
      <c r="Q29" s="16">
        <v>41609</v>
      </c>
      <c r="R29" s="16">
        <v>41640</v>
      </c>
      <c r="S29" s="16">
        <v>41671</v>
      </c>
      <c r="T29" s="16">
        <v>41699</v>
      </c>
      <c r="U29" s="16">
        <v>41730</v>
      </c>
      <c r="V29" s="16">
        <v>41760</v>
      </c>
      <c r="W29" s="16">
        <v>41791</v>
      </c>
      <c r="X29" s="16">
        <v>41821</v>
      </c>
      <c r="Y29" s="16">
        <v>41852</v>
      </c>
      <c r="Z29" s="16">
        <v>41883</v>
      </c>
      <c r="AA29" s="16">
        <v>41913</v>
      </c>
      <c r="AB29" s="16">
        <v>41944</v>
      </c>
      <c r="AC29" s="16">
        <v>41974</v>
      </c>
      <c r="AD29" s="16">
        <v>42005</v>
      </c>
      <c r="AE29" s="16">
        <v>42036</v>
      </c>
      <c r="AF29" s="16">
        <v>42064</v>
      </c>
      <c r="AG29" s="16">
        <v>42095</v>
      </c>
      <c r="AH29" s="16">
        <v>42125</v>
      </c>
      <c r="AI29" s="16">
        <v>42156</v>
      </c>
      <c r="AJ29" s="16">
        <v>42186</v>
      </c>
      <c r="AK29" s="16">
        <v>42217</v>
      </c>
      <c r="AL29" s="16">
        <v>42248</v>
      </c>
    </row>
    <row r="30" spans="1:38" x14ac:dyDescent="0.25">
      <c r="A30" s="3" t="s">
        <v>2</v>
      </c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>
        <f>(O6-C6)/C6*100</f>
        <v>2.9165673556019982</v>
      </c>
      <c r="P30" s="4">
        <f t="shared" ref="P30:AH38" si="3">(P6-D6)/D6*100</f>
        <v>2.5363925529992493</v>
      </c>
      <c r="Q30" s="4">
        <f t="shared" si="3"/>
        <v>0.30075592129083645</v>
      </c>
      <c r="R30" s="4">
        <f t="shared" ref="R30:R38" si="4">(R6-F6)/F6*100</f>
        <v>-1.9867766252256776</v>
      </c>
      <c r="S30" s="4">
        <f t="shared" ref="S30:S38" si="5">(S6-G6)/G6*100</f>
        <v>-3.7187978782401645</v>
      </c>
      <c r="T30" s="4">
        <f t="shared" ref="T30:T38" si="6">(T6-H6)/H6*100</f>
        <v>-2.4820300134825035</v>
      </c>
      <c r="U30" s="4">
        <f t="shared" ref="U30:U38" si="7">(U6-I6)/I6*100</f>
        <v>2.6347082957832759</v>
      </c>
      <c r="V30" s="4">
        <f t="shared" ref="V30:V38" si="8">(V6-J6)/J6*100</f>
        <v>-1.0268155069198359</v>
      </c>
      <c r="W30" s="4">
        <f t="shared" ref="W30:W38" si="9">(W6-K6)/K6*100</f>
        <v>3.4366643007950248</v>
      </c>
      <c r="X30" s="4">
        <f t="shared" ref="X30:X38" si="10">(X6-L6)/L6*100</f>
        <v>5.1304567764370281</v>
      </c>
      <c r="Y30" s="4">
        <f t="shared" ref="Y30:Y38" si="11">(Y6-M6)/M6*100</f>
        <v>7.3908486293310229</v>
      </c>
      <c r="Z30" s="4">
        <f t="shared" ref="Z30:Z38" si="12">(Z6-N6)/N6*100</f>
        <v>5.9323548785809166</v>
      </c>
      <c r="AA30" s="4">
        <f t="shared" ref="AA30:AA38" si="13">(AA6-O6)/O6*100</f>
        <v>0.37377162453141188</v>
      </c>
      <c r="AB30" s="4">
        <f t="shared" ref="AB30:AB38" si="14">(AB6-P6)/P6*100</f>
        <v>-0.22912049323556405</v>
      </c>
      <c r="AC30" s="4">
        <f t="shared" ref="AC30:AC38" si="15">(AC6-Q6)/Q6*100</f>
        <v>2.107679661155013</v>
      </c>
      <c r="AD30" s="4">
        <f t="shared" si="3"/>
        <v>2.9580822317527096</v>
      </c>
      <c r="AE30" s="4">
        <f t="shared" si="3"/>
        <v>4.8739852084395894</v>
      </c>
      <c r="AF30" s="4">
        <f t="shared" si="3"/>
        <v>3.9362649317806788</v>
      </c>
      <c r="AG30" s="4">
        <f t="shared" si="3"/>
        <v>-2.0702234068647329</v>
      </c>
      <c r="AH30" s="4">
        <f t="shared" si="3"/>
        <v>1.2034037429328683</v>
      </c>
      <c r="AI30" s="4">
        <f>(AI6-W6)/W6*100</f>
        <v>-2.3425698647640703</v>
      </c>
      <c r="AJ30" s="4">
        <f t="shared" ref="AJ30:AL38" si="16">(AJ6-X6)/X6*100</f>
        <v>4.2230117555133084</v>
      </c>
      <c r="AK30" s="4">
        <f t="shared" si="16"/>
        <v>1.5612325329336496</v>
      </c>
      <c r="AL30" s="4">
        <f t="shared" si="16"/>
        <v>2.4368094159715459</v>
      </c>
    </row>
    <row r="31" spans="1:38" x14ac:dyDescent="0.25">
      <c r="A31" s="5" t="s">
        <v>3</v>
      </c>
      <c r="B31" s="5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f t="shared" ref="O31:O38" si="17">(O7-C7)/C7*100</f>
        <v>-2.2388784863733946</v>
      </c>
      <c r="P31" s="6">
        <f t="shared" si="3"/>
        <v>1.3447157252402027</v>
      </c>
      <c r="Q31" s="6">
        <f t="shared" si="3"/>
        <v>-16.744487433936893</v>
      </c>
      <c r="R31" s="6">
        <f t="shared" si="4"/>
        <v>-13.838466193605276</v>
      </c>
      <c r="S31" s="6">
        <f t="shared" si="5"/>
        <v>-17.594487577781127</v>
      </c>
      <c r="T31" s="6">
        <f t="shared" si="6"/>
        <v>-17.343280308263985</v>
      </c>
      <c r="U31" s="6">
        <f t="shared" si="7"/>
        <v>-13.726792163723839</v>
      </c>
      <c r="V31" s="6">
        <f t="shared" si="8"/>
        <v>-14.620379261466599</v>
      </c>
      <c r="W31" s="6">
        <f t="shared" si="9"/>
        <v>-13.650411016523941</v>
      </c>
      <c r="X31" s="6">
        <f t="shared" si="10"/>
        <v>-15.689969256772066</v>
      </c>
      <c r="Y31" s="6">
        <f t="shared" si="11"/>
        <v>-12.565663421730145</v>
      </c>
      <c r="Z31" s="6">
        <f t="shared" si="12"/>
        <v>-18.297489424738998</v>
      </c>
      <c r="AA31" s="6">
        <f t="shared" si="13"/>
        <v>-0.26264075311126939</v>
      </c>
      <c r="AB31" s="6">
        <f t="shared" si="14"/>
        <v>-13.288113311613056</v>
      </c>
      <c r="AC31" s="6">
        <f t="shared" si="15"/>
        <v>5.1051345647645929</v>
      </c>
      <c r="AD31" s="6">
        <f t="shared" si="3"/>
        <v>6.5198859012223398</v>
      </c>
      <c r="AE31" s="6">
        <f t="shared" si="3"/>
        <v>11.951866931014267</v>
      </c>
      <c r="AF31" s="6">
        <f t="shared" si="3"/>
        <v>2.7362849787303243</v>
      </c>
      <c r="AG31" s="6">
        <f t="shared" si="3"/>
        <v>-5.1404752837214076</v>
      </c>
      <c r="AH31" s="6">
        <f t="shared" si="3"/>
        <v>1.5320801843512994</v>
      </c>
      <c r="AI31" s="6">
        <f t="shared" ref="AI31:AI38" si="18">(AI7-W7)/W7*100</f>
        <v>-4.8662596955607338</v>
      </c>
      <c r="AJ31" s="6">
        <f t="shared" si="16"/>
        <v>10.658053335111932</v>
      </c>
      <c r="AK31" s="6">
        <f t="shared" si="16"/>
        <v>10.265471300599481</v>
      </c>
      <c r="AL31" s="6">
        <f t="shared" si="16"/>
        <v>1.2259054831981018</v>
      </c>
    </row>
    <row r="32" spans="1:38" x14ac:dyDescent="0.25">
      <c r="A32" s="2" t="s">
        <v>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f t="shared" si="17"/>
        <v>-2.6743372241838017</v>
      </c>
      <c r="P32" s="7">
        <f t="shared" si="3"/>
        <v>-4.1033742828074722</v>
      </c>
      <c r="Q32" s="7">
        <f t="shared" si="3"/>
        <v>-4.3222517746758466</v>
      </c>
      <c r="R32" s="7">
        <f t="shared" si="4"/>
        <v>-11.293570435492967</v>
      </c>
      <c r="S32" s="7">
        <f t="shared" si="5"/>
        <v>-17.610415673532611</v>
      </c>
      <c r="T32" s="7">
        <f t="shared" si="6"/>
        <v>-18.282473041525041</v>
      </c>
      <c r="U32" s="7">
        <f t="shared" si="7"/>
        <v>-21.920703450834147</v>
      </c>
      <c r="V32" s="7">
        <f t="shared" si="8"/>
        <v>-16.158214585237808</v>
      </c>
      <c r="W32" s="7">
        <f t="shared" si="9"/>
        <v>-7.3266255070012249</v>
      </c>
      <c r="X32" s="7">
        <f t="shared" si="10"/>
        <v>-16.618852707116538</v>
      </c>
      <c r="Y32" s="7">
        <f t="shared" si="11"/>
        <v>-12.957549744040374</v>
      </c>
      <c r="Z32" s="7">
        <f t="shared" si="12"/>
        <v>-16.188532097701032</v>
      </c>
      <c r="AA32" s="7">
        <f t="shared" si="13"/>
        <v>-1.5114117069734647</v>
      </c>
      <c r="AB32" s="7">
        <f t="shared" si="14"/>
        <v>-8.2274538829560324</v>
      </c>
      <c r="AC32" s="7">
        <f t="shared" si="15"/>
        <v>-6.9941208958803323</v>
      </c>
      <c r="AD32" s="7">
        <f t="shared" si="3"/>
        <v>0.26951606484244783</v>
      </c>
      <c r="AE32" s="7">
        <f t="shared" si="3"/>
        <v>8.8160474331239822</v>
      </c>
      <c r="AF32" s="7">
        <f t="shared" si="3"/>
        <v>-1.3099617102401933</v>
      </c>
      <c r="AG32" s="7">
        <f t="shared" si="3"/>
        <v>-5.1571730661816313E-2</v>
      </c>
      <c r="AH32" s="7">
        <f t="shared" si="3"/>
        <v>-1.4557871074691653</v>
      </c>
      <c r="AI32" s="7">
        <f t="shared" si="18"/>
        <v>-12.845227068292301</v>
      </c>
      <c r="AJ32" s="7">
        <f t="shared" si="16"/>
        <v>7.2280684854645418</v>
      </c>
      <c r="AK32" s="7">
        <f t="shared" si="16"/>
        <v>0.77692787377049499</v>
      </c>
      <c r="AL32" s="7">
        <f t="shared" si="16"/>
        <v>6.7835684242596423</v>
      </c>
    </row>
    <row r="33" spans="1:38" x14ac:dyDescent="0.25">
      <c r="A33" s="5" t="s">
        <v>13</v>
      </c>
      <c r="B33" s="5"/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f t="shared" si="17"/>
        <v>-5.1857180390940982</v>
      </c>
      <c r="P33" s="6">
        <f t="shared" si="3"/>
        <v>-7.4828447559444911</v>
      </c>
      <c r="Q33" s="6">
        <f t="shared" si="3"/>
        <v>-7.8327057741214805</v>
      </c>
      <c r="R33" s="6">
        <f t="shared" si="4"/>
        <v>-18.906447425733617</v>
      </c>
      <c r="S33" s="6">
        <f t="shared" si="5"/>
        <v>-28.256103698367106</v>
      </c>
      <c r="T33" s="6">
        <f t="shared" si="6"/>
        <v>-29.223830085721875</v>
      </c>
      <c r="U33" s="6">
        <f t="shared" si="7"/>
        <v>-33.692498840513323</v>
      </c>
      <c r="V33" s="6">
        <f t="shared" si="8"/>
        <v>-26.250770465456913</v>
      </c>
      <c r="W33" s="6">
        <f t="shared" si="9"/>
        <v>-13.21640026877065</v>
      </c>
      <c r="X33" s="6">
        <f t="shared" si="10"/>
        <v>-26.595131732898601</v>
      </c>
      <c r="Y33" s="6">
        <f t="shared" si="11"/>
        <v>-21.363718812220121</v>
      </c>
      <c r="Z33" s="6">
        <f t="shared" si="12"/>
        <v>-25.721593009834727</v>
      </c>
      <c r="AA33" s="6">
        <f t="shared" si="13"/>
        <v>-4.3844420235363559</v>
      </c>
      <c r="AB33" s="6">
        <f t="shared" si="14"/>
        <v>-13.109933292655532</v>
      </c>
      <c r="AC33" s="6">
        <f t="shared" si="15"/>
        <v>-11.767716303687227</v>
      </c>
      <c r="AD33" s="6">
        <f t="shared" si="3"/>
        <v>-0.27718454915145913</v>
      </c>
      <c r="AE33" s="6">
        <f t="shared" si="3"/>
        <v>14.230883983349701</v>
      </c>
      <c r="AF33" s="6">
        <f t="shared" si="3"/>
        <v>-2.9545440396973448</v>
      </c>
      <c r="AG33" s="6">
        <f t="shared" si="3"/>
        <v>-2.5740326560219118</v>
      </c>
      <c r="AH33" s="6">
        <f t="shared" si="3"/>
        <v>-3.4633737317091433</v>
      </c>
      <c r="AI33" s="6">
        <f t="shared" si="18"/>
        <v>-21.038493631870171</v>
      </c>
      <c r="AJ33" s="6">
        <f t="shared" si="16"/>
        <v>9.6765313510797224</v>
      </c>
      <c r="AK33" s="6">
        <f t="shared" si="16"/>
        <v>-0.88862703008312094</v>
      </c>
      <c r="AL33" s="6">
        <f t="shared" si="16"/>
        <v>8.5359621904211593</v>
      </c>
    </row>
    <row r="34" spans="1:38" x14ac:dyDescent="0.25">
      <c r="A34" s="2" t="s">
        <v>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 t="shared" si="17"/>
        <v>-0.97192396832230088</v>
      </c>
      <c r="P34" s="7">
        <f t="shared" si="3"/>
        <v>-0.24301725489477582</v>
      </c>
      <c r="Q34" s="7">
        <f t="shared" si="3"/>
        <v>-0.24301725489477582</v>
      </c>
      <c r="R34" s="7">
        <f t="shared" si="4"/>
        <v>-0.59161601795133678</v>
      </c>
      <c r="S34" s="7">
        <f t="shared" si="5"/>
        <v>-3.7582596031142632</v>
      </c>
      <c r="T34" s="7">
        <f t="shared" si="6"/>
        <v>-1.4377351072878952</v>
      </c>
      <c r="U34" s="7">
        <f t="shared" si="7"/>
        <v>-1.4377351072878952</v>
      </c>
      <c r="V34" s="7">
        <f t="shared" si="8"/>
        <v>2.410742719719863E-2</v>
      </c>
      <c r="W34" s="7">
        <f t="shared" si="9"/>
        <v>2.410742719719863E-2</v>
      </c>
      <c r="X34" s="7">
        <f t="shared" si="10"/>
        <v>-0.29611727144149408</v>
      </c>
      <c r="Y34" s="7">
        <f t="shared" si="11"/>
        <v>-0.29611727144149408</v>
      </c>
      <c r="Z34" s="7">
        <f t="shared" si="12"/>
        <v>-0.29611727144149408</v>
      </c>
      <c r="AA34" s="7">
        <f t="shared" si="13"/>
        <v>-4.9817426739230992</v>
      </c>
      <c r="AB34" s="7">
        <f t="shared" si="14"/>
        <v>-4.9817426739230992</v>
      </c>
      <c r="AC34" s="7">
        <f t="shared" si="15"/>
        <v>-4.9817426739230992</v>
      </c>
      <c r="AD34" s="7">
        <f t="shared" si="3"/>
        <v>-15.120641086058711</v>
      </c>
      <c r="AE34" s="7">
        <f t="shared" si="3"/>
        <v>-21.349721825697483</v>
      </c>
      <c r="AF34" s="7">
        <f t="shared" si="3"/>
        <v>-16.976585783383804</v>
      </c>
      <c r="AG34" s="7">
        <f t="shared" si="3"/>
        <v>-16.976585783383804</v>
      </c>
      <c r="AH34" s="7">
        <f t="shared" si="3"/>
        <v>-16.976585783383804</v>
      </c>
      <c r="AI34" s="7">
        <f t="shared" si="18"/>
        <v>-16.976585783383804</v>
      </c>
      <c r="AJ34" s="7">
        <f t="shared" si="16"/>
        <v>-16.976585783383804</v>
      </c>
      <c r="AK34" s="7">
        <f t="shared" si="16"/>
        <v>-16.976585783383804</v>
      </c>
      <c r="AL34" s="7">
        <f t="shared" si="16"/>
        <v>-16.976585783383804</v>
      </c>
    </row>
    <row r="35" spans="1:38" x14ac:dyDescent="0.25">
      <c r="A35" s="5" t="s">
        <v>7</v>
      </c>
      <c r="B35" s="5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f t="shared" si="17"/>
        <v>4.357238354646995</v>
      </c>
      <c r="P35" s="6">
        <f t="shared" si="3"/>
        <v>3.5289439367725293</v>
      </c>
      <c r="Q35" s="6">
        <f t="shared" si="3"/>
        <v>0.67336854672996027</v>
      </c>
      <c r="R35" s="6">
        <f t="shared" si="4"/>
        <v>-2.3338766707255476</v>
      </c>
      <c r="S35" s="6">
        <f t="shared" si="5"/>
        <v>-3.2463671701440306</v>
      </c>
      <c r="T35" s="6">
        <f t="shared" si="6"/>
        <v>-1.667347272959411</v>
      </c>
      <c r="U35" s="6">
        <f t="shared" si="7"/>
        <v>7.4169217761793442</v>
      </c>
      <c r="V35" s="6">
        <f t="shared" si="8"/>
        <v>1.0460749986749346E-2</v>
      </c>
      <c r="W35" s="6">
        <f t="shared" si="9"/>
        <v>6.3146965107628574</v>
      </c>
      <c r="X35" s="6">
        <f t="shared" si="10"/>
        <v>13.401061844679141</v>
      </c>
      <c r="Y35" s="6">
        <f t="shared" si="11"/>
        <v>15.470049668075559</v>
      </c>
      <c r="Z35" s="6">
        <f t="shared" si="12"/>
        <v>13.584677283104218</v>
      </c>
      <c r="AA35" s="6">
        <f t="shared" si="13"/>
        <v>1.5550957434834642</v>
      </c>
      <c r="AB35" s="6">
        <f t="shared" si="14"/>
        <v>3.1699305587667324</v>
      </c>
      <c r="AC35" s="6">
        <f t="shared" si="15"/>
        <v>5.3843736955390185</v>
      </c>
      <c r="AD35" s="6">
        <f t="shared" si="3"/>
        <v>6.9004481962444952</v>
      </c>
      <c r="AE35" s="6">
        <f t="shared" si="3"/>
        <v>9.4934996236557385</v>
      </c>
      <c r="AF35" s="6">
        <f t="shared" si="3"/>
        <v>9.5531007051501682</v>
      </c>
      <c r="AG35" s="6">
        <f t="shared" si="3"/>
        <v>-1.8528843822724972</v>
      </c>
      <c r="AH35" s="6">
        <f t="shared" si="3"/>
        <v>4.3890694955413858</v>
      </c>
      <c r="AI35" s="6">
        <f t="shared" si="18"/>
        <v>-0.99670034063341695</v>
      </c>
      <c r="AJ35" s="6">
        <f t="shared" si="16"/>
        <v>5.8147064155914379</v>
      </c>
      <c r="AK35" s="6">
        <f t="shared" si="16"/>
        <v>2.8783467231819166</v>
      </c>
      <c r="AL35" s="6">
        <f t="shared" si="16"/>
        <v>2.9945938128434868</v>
      </c>
    </row>
    <row r="36" spans="1:38" x14ac:dyDescent="0.25">
      <c r="A36" s="2" t="s">
        <v>8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>
        <f t="shared" si="17"/>
        <v>3.8571908840680043</v>
      </c>
      <c r="P36" s="7">
        <f t="shared" si="3"/>
        <v>4.6099526990161861</v>
      </c>
      <c r="Q36" s="7">
        <f t="shared" si="3"/>
        <v>5.1732554240153688</v>
      </c>
      <c r="R36" s="7">
        <f t="shared" si="4"/>
        <v>7.3882401316558823</v>
      </c>
      <c r="S36" s="7">
        <f t="shared" si="5"/>
        <v>6.5258624540582995</v>
      </c>
      <c r="T36" s="7">
        <f t="shared" si="6"/>
        <v>7.9813243798222899</v>
      </c>
      <c r="U36" s="7">
        <f t="shared" si="7"/>
        <v>7.697138185991256</v>
      </c>
      <c r="V36" s="7">
        <f t="shared" si="8"/>
        <v>7.3146594381293593</v>
      </c>
      <c r="W36" s="7">
        <f t="shared" si="9"/>
        <v>5.0340551134611973</v>
      </c>
      <c r="X36" s="7">
        <f t="shared" si="10"/>
        <v>-2.7147065422543522</v>
      </c>
      <c r="Y36" s="7">
        <f t="shared" si="11"/>
        <v>0.51333717296688108</v>
      </c>
      <c r="Z36" s="7">
        <f t="shared" si="12"/>
        <v>1.8672553964425112</v>
      </c>
      <c r="AA36" s="7">
        <f t="shared" si="13"/>
        <v>-0.93514213873754171</v>
      </c>
      <c r="AB36" s="7">
        <f t="shared" si="14"/>
        <v>-3.9286014379282093</v>
      </c>
      <c r="AC36" s="7">
        <f t="shared" si="15"/>
        <v>-1.7275840086478402</v>
      </c>
      <c r="AD36" s="7">
        <f t="shared" si="3"/>
        <v>-2.6665669841310882</v>
      </c>
      <c r="AE36" s="7">
        <f t="shared" si="3"/>
        <v>-2.7590865512894225</v>
      </c>
      <c r="AF36" s="7">
        <f t="shared" si="3"/>
        <v>-2.6417716291459987</v>
      </c>
      <c r="AG36" s="7">
        <f t="shared" si="3"/>
        <v>2.3799999128938563</v>
      </c>
      <c r="AH36" s="7">
        <f t="shared" si="3"/>
        <v>-5.4539262599731009</v>
      </c>
      <c r="AI36" s="7">
        <f t="shared" si="18"/>
        <v>1.2757690982157632</v>
      </c>
      <c r="AJ36" s="7">
        <f t="shared" si="16"/>
        <v>0.31444372766229073</v>
      </c>
      <c r="AK36" s="7">
        <f t="shared" si="16"/>
        <v>0.11249871245542205</v>
      </c>
      <c r="AL36" s="7">
        <f t="shared" si="16"/>
        <v>1.9860515413306528</v>
      </c>
    </row>
    <row r="37" spans="1:38" x14ac:dyDescent="0.25">
      <c r="A37" s="5" t="s">
        <v>0</v>
      </c>
      <c r="B37" s="5"/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f t="shared" si="17"/>
        <v>1.9224585599610009</v>
      </c>
      <c r="P37" s="6">
        <f t="shared" si="3"/>
        <v>1.9224585599610009</v>
      </c>
      <c r="Q37" s="6">
        <f t="shared" si="3"/>
        <v>1.9224585599610009</v>
      </c>
      <c r="R37" s="6">
        <f t="shared" si="4"/>
        <v>-0.3123946470214819</v>
      </c>
      <c r="S37" s="6">
        <f t="shared" si="5"/>
        <v>-0.60275433864960004</v>
      </c>
      <c r="T37" s="6">
        <f t="shared" si="6"/>
        <v>-0.60275433864960004</v>
      </c>
      <c r="U37" s="6">
        <f t="shared" si="7"/>
        <v>2.0967628831362757</v>
      </c>
      <c r="V37" s="6">
        <f t="shared" si="8"/>
        <v>1.901414698500441</v>
      </c>
      <c r="W37" s="6">
        <f t="shared" si="9"/>
        <v>1.7536842345119361</v>
      </c>
      <c r="X37" s="6">
        <f t="shared" si="10"/>
        <v>1.6046068531960154</v>
      </c>
      <c r="Y37" s="6">
        <f t="shared" si="11"/>
        <v>1.7536842321317032</v>
      </c>
      <c r="Z37" s="6">
        <f t="shared" si="12"/>
        <v>1.753684233555334</v>
      </c>
      <c r="AA37" s="6">
        <f t="shared" si="13"/>
        <v>1.753684233555334</v>
      </c>
      <c r="AB37" s="6">
        <f t="shared" si="14"/>
        <v>1.753684233555334</v>
      </c>
      <c r="AC37" s="6">
        <f t="shared" si="15"/>
        <v>1.753684233555334</v>
      </c>
      <c r="AD37" s="6">
        <f t="shared" si="3"/>
        <v>10.392989940770443</v>
      </c>
      <c r="AE37" s="6">
        <f t="shared" si="3"/>
        <v>10.715470451209494</v>
      </c>
      <c r="AF37" s="6">
        <f t="shared" si="3"/>
        <v>10.715470451209494</v>
      </c>
      <c r="AG37" s="6">
        <f t="shared" si="3"/>
        <v>7.7880679483184627</v>
      </c>
      <c r="AH37" s="6">
        <f t="shared" si="3"/>
        <v>10.954415555090993</v>
      </c>
      <c r="AI37" s="6">
        <f t="shared" si="18"/>
        <v>10.791858357866861</v>
      </c>
      <c r="AJ37" s="6">
        <f t="shared" si="16"/>
        <v>12.189141589575121</v>
      </c>
      <c r="AK37" s="6">
        <f t="shared" si="16"/>
        <v>12.024775421416884</v>
      </c>
      <c r="AL37" s="6">
        <f t="shared" si="16"/>
        <v>12.024775419849551</v>
      </c>
    </row>
    <row r="38" spans="1:38" x14ac:dyDescent="0.25">
      <c r="A38" s="9" t="s">
        <v>9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>
        <f t="shared" si="17"/>
        <v>5.3290958979130068</v>
      </c>
      <c r="P38" s="10">
        <f t="shared" si="3"/>
        <v>5.3290958979130068</v>
      </c>
      <c r="Q38" s="10">
        <f t="shared" si="3"/>
        <v>5.3290958979130068</v>
      </c>
      <c r="R38" s="10">
        <f t="shared" si="4"/>
        <v>3.0130848441752867</v>
      </c>
      <c r="S38" s="10">
        <f t="shared" si="5"/>
        <v>2.4305582447224845</v>
      </c>
      <c r="T38" s="10">
        <f t="shared" si="6"/>
        <v>2.4305582447224845</v>
      </c>
      <c r="U38" s="10">
        <f t="shared" si="7"/>
        <v>2.4305582447224845</v>
      </c>
      <c r="V38" s="10">
        <f t="shared" si="8"/>
        <v>2.4305582447224845</v>
      </c>
      <c r="W38" s="10">
        <f t="shared" si="9"/>
        <v>2.4305582447224845</v>
      </c>
      <c r="X38" s="10">
        <f t="shared" si="10"/>
        <v>2.0426919028295782</v>
      </c>
      <c r="Y38" s="10">
        <f t="shared" si="11"/>
        <v>2.0426919028295782</v>
      </c>
      <c r="Z38" s="10">
        <f t="shared" si="12"/>
        <v>2.0426919028295782</v>
      </c>
      <c r="AA38" s="10">
        <f t="shared" si="13"/>
        <v>1.0583179395210973</v>
      </c>
      <c r="AB38" s="10">
        <f t="shared" si="14"/>
        <v>1.0583179395210973</v>
      </c>
      <c r="AC38" s="10">
        <f t="shared" si="15"/>
        <v>1.0583179395210973</v>
      </c>
      <c r="AD38" s="10">
        <f t="shared" si="3"/>
        <v>-0.36662418410173409</v>
      </c>
      <c r="AE38" s="10">
        <f t="shared" si="3"/>
        <v>0.19999472924416323</v>
      </c>
      <c r="AF38" s="10">
        <f t="shared" si="3"/>
        <v>0.19999472924416323</v>
      </c>
      <c r="AG38" s="10">
        <f t="shared" si="3"/>
        <v>0.19999472924416323</v>
      </c>
      <c r="AH38" s="10">
        <f t="shared" si="3"/>
        <v>0.19999472924416323</v>
      </c>
      <c r="AI38" s="10">
        <f t="shared" si="18"/>
        <v>0.19999472924416323</v>
      </c>
      <c r="AJ38" s="10">
        <f t="shared" si="16"/>
        <v>4.9709414738686106E-2</v>
      </c>
      <c r="AK38" s="10">
        <f t="shared" si="16"/>
        <v>4.9709414738686106E-2</v>
      </c>
      <c r="AL38" s="10">
        <f t="shared" si="16"/>
        <v>4.9709414738686106E-2</v>
      </c>
    </row>
    <row r="39" spans="1:38" x14ac:dyDescent="0.25">
      <c r="A39" s="21" t="s">
        <v>14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1:38" x14ac:dyDescent="0.25"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38" x14ac:dyDescent="0.25"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1:38" x14ac:dyDescent="0.25"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1:38" x14ac:dyDescent="0.25"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1:38" x14ac:dyDescent="0.25"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</sheetData>
  <mergeCells count="4">
    <mergeCell ref="A9:B9"/>
    <mergeCell ref="A2:AL2"/>
    <mergeCell ref="A3:AL3"/>
    <mergeCell ref="A1:AL1"/>
  </mergeCells>
  <pageMargins left="0.7" right="0.7" top="0.75" bottom="0.75" header="0.3" footer="0.3"/>
  <pageSetup paperSize="9" scale="42" orientation="landscape" r:id="rId1"/>
  <colBreaks count="1" manualBreakCount="1">
    <brk id="38" max="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17.9</vt:lpstr>
      <vt:lpstr>'17.9'!Print_Area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2016-04-14T07:43:58Z</cp:lastPrinted>
  <dcterms:created xsi:type="dcterms:W3CDTF">2007-02-08T08:33:33Z</dcterms:created>
  <dcterms:modified xsi:type="dcterms:W3CDTF">2016-04-14T07:44:00Z</dcterms:modified>
</cp:coreProperties>
</file>