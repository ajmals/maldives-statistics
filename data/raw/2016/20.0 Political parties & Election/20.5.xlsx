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5" sheetId="20" r:id="rId1"/>
  </sheets>
  <definedNames>
    <definedName name="_xlnm.Print_Area" localSheetId="0">'20.5'!$A$1:$K$97</definedName>
    <definedName name="_xlnm.Print_Titles" localSheetId="0">'20.5'!$4:$5</definedName>
  </definedNames>
  <calcPr calcId="144525"/>
</workbook>
</file>

<file path=xl/calcChain.xml><?xml version="1.0" encoding="utf-8"?>
<calcChain xmlns="http://schemas.openxmlformats.org/spreadsheetml/2006/main">
  <c r="H94" i="20" l="1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8" i="20"/>
  <c r="G8" i="20"/>
  <c r="F8" i="20"/>
  <c r="E8" i="20"/>
  <c r="H7" i="20"/>
  <c r="G7" i="20"/>
  <c r="F7" i="20"/>
  <c r="E7" i="20"/>
  <c r="H6" i="20"/>
  <c r="G6" i="20"/>
  <c r="F6" i="20"/>
  <c r="E6" i="20"/>
</calcChain>
</file>

<file path=xl/sharedStrings.xml><?xml version="1.0" encoding="utf-8"?>
<sst xmlns="http://schemas.openxmlformats.org/spreadsheetml/2006/main" count="364" uniqueCount="235">
  <si>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</si>
  <si>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</si>
  <si>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</si>
  <si>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</si>
  <si>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</si>
  <si>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</si>
  <si>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</si>
  <si>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</si>
  <si>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</si>
  <si>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</si>
  <si>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</si>
  <si>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</si>
  <si>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</si>
  <si>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</si>
  <si>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</si>
  <si>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</si>
  <si>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</si>
  <si>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</si>
  <si>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</si>
  <si>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</si>
  <si>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</si>
  <si>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</si>
  <si>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</si>
  <si>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</si>
  <si>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</si>
  <si>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</si>
  <si>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</si>
  <si>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</si>
  <si>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</si>
  <si>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</si>
  <si>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</si>
  <si>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</si>
  <si>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</si>
  <si>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</si>
  <si>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</si>
  <si>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</si>
  <si>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</si>
  <si>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</si>
  <si>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</si>
  <si>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</si>
  <si>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</si>
  <si>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S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</si>
  <si>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</si>
  <si>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</si>
  <si>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</si>
  <si>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</si>
  <si>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</si>
  <si>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</si>
  <si>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</si>
  <si>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</si>
  <si>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ތާވަލު 20.5: ރައްޔިތުންގެ މަޖިލީހުގެ އިންތިޚާބު 2014 ގައި އަތޮޅުތަކުން ވޯޓުލީ މިންވަރު  </t>
  </si>
  <si>
    <t>TABLE 205.5: NUMBER OF PERSONS VOTED IN PARLIMENTARY ELECTIONS, 2014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</si>
  <si>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</si>
  <si>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</si>
  <si>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</si>
  <si>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</si>
  <si>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</si>
  <si>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</si>
  <si>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</si>
  <si>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</si>
  <si>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</si>
  <si>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</si>
  <si>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</si>
  <si>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</si>
  <si>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</si>
  <si>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</si>
  <si>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</si>
  <si>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ބާރަށު ދާއިރާ،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</si>
  <si>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</si>
  <si>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</si>
  <si>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</si>
  <si>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</si>
  <si>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</si>
  <si>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</si>
  <si>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</si>
  <si>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</si>
  <si>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</si>
  <si>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</si>
  <si>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ކުޅުދުއްފުށިދެކުނު  ދާއިރާ (B04)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</si>
  <si>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</si>
  <si>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</si>
  <si>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</si>
  <si>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</si>
  <si>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</si>
  <si>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</si>
  <si>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</si>
  <si>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</si>
  <si>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</si>
  <si>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</si>
  <si>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</si>
  <si>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</si>
  <si>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</si>
  <si>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</si>
  <si>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</si>
  <si>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</si>
  <si>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</si>
  <si>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</si>
  <si>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</si>
  <si>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</si>
  <si>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</si>
  <si>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</si>
  <si>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</si>
  <si>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</si>
  <si>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</si>
  <si>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</si>
  <si>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</si>
  <si>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</si>
  <si>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</si>
  <si>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</si>
  <si>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</si>
  <si>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</si>
  <si>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</si>
  <si>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</si>
  <si>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</si>
  <si>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</si>
  <si>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</si>
  <si>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</si>
  <si>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</si>
  <si>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</si>
  <si>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</si>
  <si>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</si>
  <si>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</si>
  <si>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</si>
  <si>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</si>
  <si>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</si>
  <si>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</si>
  <si>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</si>
  <si>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</si>
  <si>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</si>
  <si>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</si>
  <si>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</si>
  <si>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</si>
  <si>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</si>
  <si>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</si>
  <si>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</si>
  <si>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</si>
  <si>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</si>
  <si>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</si>
  <si>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</si>
  <si>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</si>
  <si>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</si>
  <si>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</si>
  <si>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</si>
  <si>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</si>
  <si>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</si>
  <si>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</si>
  <si>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</si>
  <si>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</si>
  <si>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</si>
  <si>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</si>
  <si>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</si>
  <si>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</si>
  <si>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</si>
  <si>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</si>
  <si>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</si>
  <si>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</si>
  <si>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</si>
  <si>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</si>
  <si>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</si>
  <si>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</si>
  <si>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</si>
  <si>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</si>
  <si>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</si>
  <si>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</si>
  <si>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</si>
  <si>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</si>
  <si>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</si>
  <si>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</si>
  <si>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</si>
  <si>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</si>
  <si>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</si>
  <si>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</si>
  <si>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</si>
  <si>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</si>
  <si>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</si>
  <si>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</si>
  <si>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</si>
  <si>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</si>
  <si>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</si>
  <si>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</si>
  <si>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</si>
  <si>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</si>
  <si>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</si>
  <si>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</si>
  <si>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</si>
  <si>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</si>
  <si>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</si>
  <si>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</si>
  <si>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</si>
  <si>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</si>
  <si>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</si>
  <si>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</si>
  <si>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</si>
  <si>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</si>
  <si>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</si>
  <si>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</si>
  <si>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</si>
  <si>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</si>
  <si>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</si>
  <si>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</si>
  <si>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</si>
  <si>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</si>
  <si>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</si>
  <si>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</si>
  <si>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</si>
  <si>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</si>
  <si>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ހުޅު ހެންވޭރު ދާއިރާ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</si>
  <si>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</si>
  <si>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</si>
  <si>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</si>
  <si>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</si>
  <si>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</si>
  <si>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</si>
  <si>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</si>
  <si>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</si>
  <si>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</si>
  <si>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</si>
  <si>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</si>
  <si>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</si>
  <si>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</si>
  <si>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</si>
  <si>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</si>
  <si>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</si>
  <si>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</si>
  <si>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</si>
  <si>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Maafannu Dhekunu  Dhaairaa (T11)</t>
  </si>
  <si>
    <t>މާފަންނު ދެކުނު ދާއިރާ (T11)</t>
  </si>
  <si>
    <t>Maafannu Medhu Dhaairaa (T12)</t>
  </si>
  <si>
    <t>މާފަންނު މެދު ދާއިރާ (T12)</t>
  </si>
  <si>
    <t>Villi Maafannu Dhaairaa (T13)</t>
  </si>
  <si>
    <t>ވިލި މާފަންނު ދާއިރާ (T13)</t>
  </si>
  <si>
    <t>Note:  There were no elections in 2015.</t>
  </si>
  <si>
    <r>
      <t xml:space="preserve">Kulhudhufuhi </t>
    </r>
    <r>
      <rPr>
        <sz val="11"/>
        <color theme="1"/>
        <rFont val="Calibri"/>
        <family val="2"/>
        <scheme val="minor"/>
      </rPr>
      <t>Uthuru Dhaairaa (B04)</t>
    </r>
  </si>
  <si>
    <r>
      <t xml:space="preserve">Kulhudhufuhi </t>
    </r>
    <r>
      <rPr>
        <sz val="11"/>
        <color theme="1"/>
        <rFont val="Calibri"/>
        <family val="2"/>
        <scheme val="minor"/>
      </rPr>
      <t>Dhekunu Dhaairaa (B05)</t>
    </r>
  </si>
  <si>
    <t xml:space="preserve">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</si>
</sst>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0">
    <xf numFmtId="0" fontId="0" fillId="0" borderId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/>
  </cellStyleXfs>
  <cellXfs count="69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  <xf numFmtId="165" fontId="0" fillId="2" borderId="0" xfId="2" applyNumberFormat="1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1" xfId="0" applyFont="1" applyFill="1" applyBorder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5" fontId="2" fillId="2" borderId="2" xfId="2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 applyProtection="1">
      <alignment horizontal="right"/>
    </xf>
    <xf numFmtId="0" fontId="3" fillId="2" borderId="2" xfId="0" applyFont="1" applyFill="1" applyBorder="1"/>
    <xf numFmtId="0" fontId="11" fillId="2" borderId="2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5" fontId="2" fillId="2" borderId="0" xfId="2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11" fillId="2" borderId="0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3" fontId="9" fillId="2" borderId="0" xfId="1" applyNumberFormat="1" applyFont="1" applyFill="1" applyBorder="1" applyAlignment="1">
      <alignment vertical="center"/>
    </xf>
    <xf numFmtId="165" fontId="0" fillId="2" borderId="0" xfId="2" applyNumberFormat="1" applyFont="1" applyFill="1" applyBorder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vertical="center"/>
    </xf>
    <xf numFmtId="0" fontId="4" fillId="2" borderId="0" xfId="0" applyFont="1" applyFill="1" applyBorder="1"/>
    <xf numFmtId="0" fontId="12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1" fontId="0" fillId="2" borderId="0" xfId="0" applyNumberFormat="1" applyFont="1" applyFill="1" applyBorder="1" applyAlignment="1">
      <alignment horizontal="left" vertical="center" indent="7"/>
    </xf>
    <xf numFmtId="0" fontId="14" fillId="2" borderId="0" xfId="0" applyFont="1" applyFill="1" applyBorder="1" applyAlignment="1">
      <alignment horizontal="right" readingOrder="2"/>
    </xf>
    <xf numFmtId="0" fontId="0" fillId="2" borderId="0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/>
    </xf>
    <xf numFmtId="165" fontId="0" fillId="2" borderId="1" xfId="2" applyNumberFormat="1" applyFont="1" applyFill="1" applyBorder="1" applyAlignment="1">
      <alignment vertical="center"/>
    </xf>
    <xf numFmtId="165" fontId="0" fillId="2" borderId="1" xfId="2" applyNumberFormat="1" applyFont="1" applyFill="1" applyBorder="1" applyAlignment="1">
      <alignment horizontal="right" vertical="center"/>
    </xf>
    <xf numFmtId="0" fontId="9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vertical="center"/>
    </xf>
    <xf numFmtId="165" fontId="2" fillId="2" borderId="0" xfId="2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readingOrder="2"/>
    </xf>
    <xf numFmtId="0" fontId="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0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1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03"/>
  <sheetViews>
    <sheetView tabSelected="1" zoomScaleNormal="100" workbookViewId="0">
      <selection activeCell="G10" sqref="G10"/>
    </sheetView>
  </sheetViews>
  <sheetFormatPr defaultColWidth="9.140625" defaultRowHeight="15" x14ac:dyDescent="0.25"/>
  <cols>
    <col min="1" max="1" width="4.28515625" style="31" customWidth="1"/>
    <col min="2" max="2" width="5.7109375" style="12" customWidth="1"/>
    <col min="3" max="3" width="30.28515625" style="12" customWidth="1"/>
    <col min="4" max="4" width="3.85546875" style="12" customWidth="1"/>
    <col min="5" max="5" width="14.42578125" style="13" customWidth="1"/>
    <col min="6" max="6" width="16" style="13" customWidth="1"/>
    <col min="7" max="7" width="14.140625" style="12" customWidth="1"/>
    <col min="8" max="8" width="14.5703125" style="49" customWidth="1"/>
    <col min="9" max="9" width="23.85546875" style="12" customWidth="1"/>
    <col min="10" max="10" width="5.28515625" style="12" customWidth="1"/>
    <col min="11" max="11" width="4.140625" style="34" customWidth="1"/>
    <col min="12" max="12" width="11.5703125" style="12" bestFit="1" customWidth="1"/>
    <col min="13" max="16384" width="9.140625" style="12"/>
  </cols>
  <sheetData>
    <row r="1" spans="1:13" ht="21" x14ac:dyDescent="0.55000000000000004">
      <c r="A1" s="65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3" x14ac:dyDescent="0.25">
      <c r="A2" s="61" t="s">
        <v>51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4" spans="1:13" ht="30" x14ac:dyDescent="0.25">
      <c r="A4" s="54"/>
      <c r="B4" s="66" t="s">
        <v>52</v>
      </c>
      <c r="C4" s="62" t="s">
        <v>53</v>
      </c>
      <c r="D4" s="53"/>
      <c r="E4" s="4" t="s">
        <v>54</v>
      </c>
      <c r="F4" s="4" t="s">
        <v>0</v>
      </c>
      <c r="G4" s="4" t="s">
        <v>1</v>
      </c>
      <c r="H4" s="17" t="s">
        <v>2</v>
      </c>
      <c r="I4" s="63" t="s">
        <v>55</v>
      </c>
      <c r="J4" s="63" t="s">
        <v>56</v>
      </c>
      <c r="K4" s="67"/>
    </row>
    <row r="5" spans="1:13" s="14" customFormat="1" ht="63" x14ac:dyDescent="0.25">
      <c r="A5" s="55"/>
      <c r="B5" s="60"/>
      <c r="C5" s="59"/>
      <c r="D5" s="51"/>
      <c r="E5" s="52" t="s">
        <v>57</v>
      </c>
      <c r="F5" s="52" t="s">
        <v>8</v>
      </c>
      <c r="G5" s="52" t="s">
        <v>7</v>
      </c>
      <c r="H5" s="18" t="s">
        <v>9</v>
      </c>
      <c r="I5" s="64"/>
      <c r="J5" s="64"/>
      <c r="K5" s="68"/>
    </row>
    <row r="6" spans="1:13" s="1" customFormat="1" ht="21" x14ac:dyDescent="0.55000000000000004">
      <c r="A6" s="56"/>
      <c r="B6" s="19"/>
      <c r="C6" s="20" t="s">
        <v>3</v>
      </c>
      <c r="D6" s="20"/>
      <c r="E6" s="21">
        <f>SUM(E10:E94)</f>
        <v>352904</v>
      </c>
      <c r="F6" s="21">
        <f>SUM(F10:F94)</f>
        <v>240653</v>
      </c>
      <c r="G6" s="21">
        <f>SUM(G10:G94)</f>
        <v>189642</v>
      </c>
      <c r="H6" s="57">
        <f>(G6/F6)*100</f>
        <v>78.803089926159245</v>
      </c>
      <c r="I6" s="22" t="s">
        <v>10</v>
      </c>
      <c r="J6" s="23"/>
      <c r="K6" s="24"/>
    </row>
    <row r="7" spans="1:13" s="1" customFormat="1" ht="21" x14ac:dyDescent="0.55000000000000004">
      <c r="A7" s="25"/>
      <c r="B7" s="9"/>
      <c r="C7" s="26" t="s">
        <v>58</v>
      </c>
      <c r="D7" s="26"/>
      <c r="E7" s="27">
        <f>SUM(E82:E94)</f>
        <v>63642</v>
      </c>
      <c r="F7" s="27">
        <f>SUM(F82:F94)</f>
        <v>43388</v>
      </c>
      <c r="G7" s="27">
        <f>SUM(G82:G94)</f>
        <v>26054</v>
      </c>
      <c r="H7" s="58">
        <f>(G7/F7)*100</f>
        <v>60.048861436341852</v>
      </c>
      <c r="I7" s="28" t="s">
        <v>59</v>
      </c>
      <c r="J7" s="29"/>
      <c r="K7" s="30"/>
    </row>
    <row r="8" spans="1:13" s="1" customFormat="1" ht="21" x14ac:dyDescent="0.55000000000000004">
      <c r="A8" s="25"/>
      <c r="B8" s="9"/>
      <c r="C8" s="26" t="s">
        <v>60</v>
      </c>
      <c r="D8" s="26"/>
      <c r="E8" s="27">
        <f>SUM(E10:E81)</f>
        <v>289262</v>
      </c>
      <c r="F8" s="27">
        <f>SUM(F10:F81)</f>
        <v>197265</v>
      </c>
      <c r="G8" s="27">
        <f>SUM(G10:G81)</f>
        <v>163588</v>
      </c>
      <c r="H8" s="58">
        <f>(G8/F8)*100</f>
        <v>82.928040960129778</v>
      </c>
      <c r="I8" s="28" t="s">
        <v>61</v>
      </c>
      <c r="J8" s="29"/>
      <c r="K8" s="30"/>
    </row>
    <row r="9" spans="1:13" ht="3.75" customHeight="1" x14ac:dyDescent="0.55000000000000004">
      <c r="C9" s="32"/>
      <c r="D9" s="32"/>
      <c r="E9" s="11"/>
      <c r="F9" s="11"/>
      <c r="G9" s="11"/>
      <c r="H9" s="33"/>
      <c r="J9" s="2"/>
    </row>
    <row r="10" spans="1:13" ht="21" x14ac:dyDescent="0.55000000000000004">
      <c r="A10" s="35">
        <v>1</v>
      </c>
      <c r="B10" s="10" t="s">
        <v>4</v>
      </c>
      <c r="C10" s="36" t="s">
        <v>62</v>
      </c>
      <c r="D10" s="36"/>
      <c r="E10" s="11">
        <v>4477</v>
      </c>
      <c r="F10" s="11">
        <v>3244</v>
      </c>
      <c r="G10" s="11">
        <v>2796</v>
      </c>
      <c r="H10" s="37">
        <f>(G10/F10)*100</f>
        <v>86.189889025893962</v>
      </c>
      <c r="I10" s="38" t="s">
        <v>63</v>
      </c>
      <c r="J10" s="2" t="s">
        <v>21</v>
      </c>
      <c r="K10" s="39">
        <v>1</v>
      </c>
    </row>
    <row r="11" spans="1:13" ht="21" x14ac:dyDescent="0.55000000000000004">
      <c r="A11" s="35">
        <v>2</v>
      </c>
      <c r="B11" s="10" t="s">
        <v>4</v>
      </c>
      <c r="C11" s="36" t="s">
        <v>64</v>
      </c>
      <c r="D11" s="36"/>
      <c r="E11" s="11">
        <v>4354</v>
      </c>
      <c r="F11" s="11">
        <v>2838</v>
      </c>
      <c r="G11" s="11">
        <v>2548</v>
      </c>
      <c r="H11" s="37">
        <f>(G11/F11)*100</f>
        <v>89.781536293164194</v>
      </c>
      <c r="I11" s="38" t="s">
        <v>65</v>
      </c>
      <c r="J11" s="2" t="s">
        <v>21</v>
      </c>
      <c r="K11" s="39">
        <v>2</v>
      </c>
    </row>
    <row r="12" spans="1:13" ht="21" x14ac:dyDescent="0.55000000000000004">
      <c r="A12" s="35">
        <v>3</v>
      </c>
      <c r="B12" s="10" t="s">
        <v>4</v>
      </c>
      <c r="C12" s="36" t="s">
        <v>66</v>
      </c>
      <c r="D12" s="36"/>
      <c r="E12" s="11">
        <v>4549</v>
      </c>
      <c r="F12" s="11">
        <v>3066</v>
      </c>
      <c r="G12" s="11">
        <v>2647</v>
      </c>
      <c r="H12" s="37">
        <f t="shared" ref="H12:H75" si="0">(G12/F12)*100</f>
        <v>86.333985649054142</v>
      </c>
      <c r="I12" s="40" t="s">
        <v>67</v>
      </c>
      <c r="J12" s="2" t="s">
        <v>21</v>
      </c>
      <c r="K12" s="39">
        <v>3</v>
      </c>
      <c r="M12" s="41"/>
    </row>
    <row r="13" spans="1:13" ht="21" x14ac:dyDescent="0.55000000000000004">
      <c r="A13" s="35">
        <v>4</v>
      </c>
      <c r="B13" s="10" t="s">
        <v>4</v>
      </c>
      <c r="C13" s="36" t="s">
        <v>68</v>
      </c>
      <c r="D13" s="36"/>
      <c r="E13" s="11">
        <v>3983</v>
      </c>
      <c r="F13" s="11">
        <v>2672</v>
      </c>
      <c r="G13" s="11">
        <v>2352</v>
      </c>
      <c r="H13" s="37">
        <f t="shared" si="0"/>
        <v>88.023952095808383</v>
      </c>
      <c r="I13" s="38" t="s">
        <v>69</v>
      </c>
      <c r="J13" s="2" t="s">
        <v>21</v>
      </c>
      <c r="K13" s="39">
        <v>4</v>
      </c>
    </row>
    <row r="14" spans="1:13" ht="21" x14ac:dyDescent="0.55000000000000004">
      <c r="A14" s="35">
        <v>5</v>
      </c>
      <c r="B14" s="10" t="s">
        <v>4</v>
      </c>
      <c r="C14" s="36" t="s">
        <v>70</v>
      </c>
      <c r="D14" s="36"/>
      <c r="E14" s="11">
        <v>4145</v>
      </c>
      <c r="F14" s="11">
        <v>2804</v>
      </c>
      <c r="G14" s="11">
        <v>2095</v>
      </c>
      <c r="H14" s="37">
        <f t="shared" si="0"/>
        <v>74.714693295292449</v>
      </c>
      <c r="I14" s="38" t="s">
        <v>71</v>
      </c>
      <c r="J14" s="2" t="s">
        <v>21</v>
      </c>
      <c r="K14" s="39">
        <v>5</v>
      </c>
    </row>
    <row r="15" spans="1:13" ht="21" x14ac:dyDescent="0.55000000000000004">
      <c r="A15" s="35">
        <v>6</v>
      </c>
      <c r="B15" s="10" t="s">
        <v>49</v>
      </c>
      <c r="C15" s="36" t="s">
        <v>72</v>
      </c>
      <c r="D15" s="36"/>
      <c r="E15" s="11">
        <v>3816</v>
      </c>
      <c r="F15" s="11">
        <v>2669</v>
      </c>
      <c r="G15" s="11">
        <v>2018</v>
      </c>
      <c r="H15" s="37">
        <f t="shared" si="0"/>
        <v>75.608842263019866</v>
      </c>
      <c r="I15" s="38" t="s">
        <v>73</v>
      </c>
      <c r="J15" s="2" t="s">
        <v>22</v>
      </c>
      <c r="K15" s="39">
        <v>6</v>
      </c>
    </row>
    <row r="16" spans="1:13" ht="21" x14ac:dyDescent="0.55000000000000004">
      <c r="A16" s="35">
        <v>7</v>
      </c>
      <c r="B16" s="10" t="s">
        <v>49</v>
      </c>
      <c r="C16" s="36" t="s">
        <v>74</v>
      </c>
      <c r="D16" s="36"/>
      <c r="E16" s="11">
        <v>4186</v>
      </c>
      <c r="F16" s="11">
        <v>2836</v>
      </c>
      <c r="G16" s="11">
        <v>2316</v>
      </c>
      <c r="H16" s="37">
        <f t="shared" si="0"/>
        <v>81.664315937940756</v>
      </c>
      <c r="I16" s="38" t="s">
        <v>75</v>
      </c>
      <c r="J16" s="2" t="s">
        <v>22</v>
      </c>
      <c r="K16" s="39">
        <v>7</v>
      </c>
    </row>
    <row r="17" spans="1:11" ht="21" x14ac:dyDescent="0.55000000000000004">
      <c r="A17" s="35">
        <v>8</v>
      </c>
      <c r="B17" s="10" t="s">
        <v>49</v>
      </c>
      <c r="C17" s="36" t="s">
        <v>76</v>
      </c>
      <c r="D17" s="36"/>
      <c r="E17" s="11">
        <v>3712</v>
      </c>
      <c r="F17" s="11">
        <v>2534</v>
      </c>
      <c r="G17" s="11">
        <v>2069</v>
      </c>
      <c r="H17" s="37">
        <f t="shared" si="0"/>
        <v>81.649565903709558</v>
      </c>
      <c r="I17" s="38" t="s">
        <v>77</v>
      </c>
      <c r="J17" s="2" t="s">
        <v>22</v>
      </c>
      <c r="K17" s="39">
        <v>8</v>
      </c>
    </row>
    <row r="18" spans="1:11" ht="21" x14ac:dyDescent="0.55000000000000004">
      <c r="A18" s="35">
        <v>9</v>
      </c>
      <c r="B18" s="10" t="s">
        <v>49</v>
      </c>
      <c r="C18" s="36" t="s">
        <v>232</v>
      </c>
      <c r="D18" s="36"/>
      <c r="E18" s="11">
        <v>4652</v>
      </c>
      <c r="F18" s="11">
        <v>3126</v>
      </c>
      <c r="G18" s="11">
        <v>2416</v>
      </c>
      <c r="H18" s="37">
        <f t="shared" si="0"/>
        <v>77.287268074216257</v>
      </c>
      <c r="I18" s="38" t="s">
        <v>78</v>
      </c>
      <c r="J18" s="2" t="s">
        <v>22</v>
      </c>
      <c r="K18" s="39">
        <v>9</v>
      </c>
    </row>
    <row r="19" spans="1:11" ht="21" x14ac:dyDescent="0.55000000000000004">
      <c r="A19" s="35">
        <v>10</v>
      </c>
      <c r="B19" s="10" t="s">
        <v>49</v>
      </c>
      <c r="C19" s="36" t="s">
        <v>233</v>
      </c>
      <c r="D19" s="36"/>
      <c r="E19" s="11">
        <v>4363</v>
      </c>
      <c r="F19" s="11">
        <v>2941</v>
      </c>
      <c r="G19" s="11">
        <v>2116</v>
      </c>
      <c r="H19" s="37">
        <f t="shared" si="0"/>
        <v>71.948316899013946</v>
      </c>
      <c r="I19" s="38" t="s">
        <v>79</v>
      </c>
      <c r="J19" s="2" t="s">
        <v>22</v>
      </c>
      <c r="K19" s="39">
        <v>10</v>
      </c>
    </row>
    <row r="20" spans="1:11" ht="21" x14ac:dyDescent="0.55000000000000004">
      <c r="A20" s="35">
        <v>11</v>
      </c>
      <c r="B20" s="10" t="s">
        <v>49</v>
      </c>
      <c r="C20" s="36" t="s">
        <v>80</v>
      </c>
      <c r="D20" s="36"/>
      <c r="E20" s="11">
        <v>4366</v>
      </c>
      <c r="F20" s="11">
        <v>2990</v>
      </c>
      <c r="G20" s="11">
        <v>2312</v>
      </c>
      <c r="H20" s="37">
        <f t="shared" si="0"/>
        <v>77.324414715719058</v>
      </c>
      <c r="I20" s="38" t="s">
        <v>81</v>
      </c>
      <c r="J20" s="2" t="s">
        <v>22</v>
      </c>
      <c r="K20" s="39">
        <v>11</v>
      </c>
    </row>
    <row r="21" spans="1:11" ht="21" x14ac:dyDescent="0.55000000000000004">
      <c r="A21" s="35">
        <v>12</v>
      </c>
      <c r="B21" s="10" t="s">
        <v>48</v>
      </c>
      <c r="C21" s="36" t="s">
        <v>82</v>
      </c>
      <c r="D21" s="36"/>
      <c r="E21" s="11">
        <v>4413</v>
      </c>
      <c r="F21" s="11">
        <v>2982</v>
      </c>
      <c r="G21" s="11">
        <v>2358</v>
      </c>
      <c r="H21" s="37">
        <f t="shared" si="0"/>
        <v>79.074446680080484</v>
      </c>
      <c r="I21" s="38" t="s">
        <v>83</v>
      </c>
      <c r="J21" s="2" t="s">
        <v>23</v>
      </c>
      <c r="K21" s="39">
        <v>12</v>
      </c>
    </row>
    <row r="22" spans="1:11" s="10" customFormat="1" ht="21" x14ac:dyDescent="0.55000000000000004">
      <c r="A22" s="35">
        <v>13</v>
      </c>
      <c r="B22" s="10" t="s">
        <v>48</v>
      </c>
      <c r="C22" s="36" t="s">
        <v>84</v>
      </c>
      <c r="D22" s="36"/>
      <c r="E22" s="11">
        <v>3877</v>
      </c>
      <c r="F22" s="11">
        <v>2543</v>
      </c>
      <c r="G22" s="11">
        <v>2320</v>
      </c>
      <c r="H22" s="37">
        <f t="shared" si="0"/>
        <v>91.230829728666933</v>
      </c>
      <c r="I22" s="38" t="s">
        <v>85</v>
      </c>
      <c r="J22" s="2" t="s">
        <v>23</v>
      </c>
      <c r="K22" s="39">
        <v>13</v>
      </c>
    </row>
    <row r="23" spans="1:11" s="10" customFormat="1" ht="21" x14ac:dyDescent="0.55000000000000004">
      <c r="A23" s="35">
        <v>14</v>
      </c>
      <c r="B23" s="10" t="s">
        <v>48</v>
      </c>
      <c r="C23" s="36" t="s">
        <v>86</v>
      </c>
      <c r="D23" s="36"/>
      <c r="E23" s="11">
        <v>4330</v>
      </c>
      <c r="F23" s="11">
        <v>2960</v>
      </c>
      <c r="G23" s="11">
        <v>2579</v>
      </c>
      <c r="H23" s="37">
        <f t="shared" si="0"/>
        <v>87.128378378378386</v>
      </c>
      <c r="I23" s="38" t="s">
        <v>87</v>
      </c>
      <c r="J23" s="2" t="s">
        <v>23</v>
      </c>
      <c r="K23" s="39">
        <v>14</v>
      </c>
    </row>
    <row r="24" spans="1:11" s="10" customFormat="1" ht="21" x14ac:dyDescent="0.55000000000000004">
      <c r="A24" s="35">
        <v>15</v>
      </c>
      <c r="B24" s="10" t="s">
        <v>48</v>
      </c>
      <c r="C24" s="36" t="s">
        <v>88</v>
      </c>
      <c r="D24" s="36"/>
      <c r="E24" s="11">
        <v>4203</v>
      </c>
      <c r="F24" s="11">
        <v>2791</v>
      </c>
      <c r="G24" s="11">
        <v>2369</v>
      </c>
      <c r="H24" s="37">
        <f t="shared" si="0"/>
        <v>84.879971336438558</v>
      </c>
      <c r="I24" s="38" t="s">
        <v>89</v>
      </c>
      <c r="J24" s="2" t="s">
        <v>23</v>
      </c>
      <c r="K24" s="39">
        <v>15</v>
      </c>
    </row>
    <row r="25" spans="1:11" s="10" customFormat="1" ht="21" x14ac:dyDescent="0.55000000000000004">
      <c r="A25" s="35">
        <v>16</v>
      </c>
      <c r="B25" s="10" t="s">
        <v>18</v>
      </c>
      <c r="C25" s="36" t="s">
        <v>90</v>
      </c>
      <c r="D25" s="36"/>
      <c r="E25" s="11">
        <v>4039</v>
      </c>
      <c r="F25" s="11">
        <v>2786</v>
      </c>
      <c r="G25" s="11">
        <v>2470</v>
      </c>
      <c r="H25" s="37">
        <f t="shared" si="0"/>
        <v>88.657573582196704</v>
      </c>
      <c r="I25" s="38" t="s">
        <v>91</v>
      </c>
      <c r="J25" s="38" t="s">
        <v>24</v>
      </c>
      <c r="K25" s="39">
        <v>16</v>
      </c>
    </row>
    <row r="26" spans="1:11" s="10" customFormat="1" ht="21" x14ac:dyDescent="0.55000000000000004">
      <c r="A26" s="35">
        <v>17</v>
      </c>
      <c r="B26" s="10" t="s">
        <v>18</v>
      </c>
      <c r="C26" s="36" t="s">
        <v>92</v>
      </c>
      <c r="D26" s="36"/>
      <c r="E26" s="11">
        <v>3924</v>
      </c>
      <c r="F26" s="11">
        <v>2650</v>
      </c>
      <c r="G26" s="11">
        <v>2175</v>
      </c>
      <c r="H26" s="37">
        <f t="shared" si="0"/>
        <v>82.075471698113205</v>
      </c>
      <c r="I26" s="38" t="s">
        <v>93</v>
      </c>
      <c r="J26" s="38" t="s">
        <v>24</v>
      </c>
      <c r="K26" s="39">
        <v>17</v>
      </c>
    </row>
    <row r="27" spans="1:11" s="10" customFormat="1" ht="21" x14ac:dyDescent="0.55000000000000004">
      <c r="A27" s="35">
        <v>18</v>
      </c>
      <c r="B27" s="10" t="s">
        <v>18</v>
      </c>
      <c r="C27" s="36" t="s">
        <v>94</v>
      </c>
      <c r="D27" s="36"/>
      <c r="E27" s="11">
        <v>3760</v>
      </c>
      <c r="F27" s="11">
        <v>2674</v>
      </c>
      <c r="G27" s="11">
        <v>2246</v>
      </c>
      <c r="H27" s="37">
        <f t="shared" si="0"/>
        <v>83.994016454749442</v>
      </c>
      <c r="I27" s="38" t="s">
        <v>95</v>
      </c>
      <c r="J27" s="38" t="s">
        <v>24</v>
      </c>
      <c r="K27" s="39">
        <v>18</v>
      </c>
    </row>
    <row r="28" spans="1:11" s="10" customFormat="1" ht="21" x14ac:dyDescent="0.55000000000000004">
      <c r="A28" s="35">
        <v>19</v>
      </c>
      <c r="B28" s="10" t="s">
        <v>18</v>
      </c>
      <c r="C28" s="36" t="s">
        <v>96</v>
      </c>
      <c r="D28" s="36"/>
      <c r="E28" s="11">
        <v>3927</v>
      </c>
      <c r="F28" s="11">
        <v>2800</v>
      </c>
      <c r="G28" s="11">
        <v>2332</v>
      </c>
      <c r="H28" s="37">
        <f t="shared" si="0"/>
        <v>83.285714285714292</v>
      </c>
      <c r="I28" s="38" t="s">
        <v>97</v>
      </c>
      <c r="J28" s="38" t="s">
        <v>24</v>
      </c>
      <c r="K28" s="39">
        <v>19</v>
      </c>
    </row>
    <row r="29" spans="1:11" s="10" customFormat="1" ht="21" x14ac:dyDescent="0.55000000000000004">
      <c r="A29" s="35">
        <v>20</v>
      </c>
      <c r="B29" s="10" t="s">
        <v>19</v>
      </c>
      <c r="C29" s="36" t="s">
        <v>98</v>
      </c>
      <c r="D29" s="36"/>
      <c r="E29" s="11">
        <v>4585</v>
      </c>
      <c r="F29" s="11">
        <v>3129</v>
      </c>
      <c r="G29" s="11">
        <v>2658</v>
      </c>
      <c r="H29" s="37">
        <f t="shared" si="0"/>
        <v>84.947267497603065</v>
      </c>
      <c r="I29" s="38" t="s">
        <v>99</v>
      </c>
      <c r="J29" s="38" t="s">
        <v>25</v>
      </c>
      <c r="K29" s="39">
        <v>20</v>
      </c>
    </row>
    <row r="30" spans="1:11" s="10" customFormat="1" ht="21" x14ac:dyDescent="0.55000000000000004">
      <c r="A30" s="35">
        <v>21</v>
      </c>
      <c r="B30" s="10" t="s">
        <v>19</v>
      </c>
      <c r="C30" s="36" t="s">
        <v>100</v>
      </c>
      <c r="D30" s="36"/>
      <c r="E30" s="11">
        <v>4143</v>
      </c>
      <c r="F30" s="11">
        <v>2768</v>
      </c>
      <c r="G30" s="11">
        <v>2327</v>
      </c>
      <c r="H30" s="37">
        <f t="shared" si="0"/>
        <v>84.067919075144502</v>
      </c>
      <c r="I30" s="38" t="s">
        <v>101</v>
      </c>
      <c r="J30" s="38" t="s">
        <v>25</v>
      </c>
      <c r="K30" s="39">
        <v>21</v>
      </c>
    </row>
    <row r="31" spans="1:11" s="10" customFormat="1" ht="21" x14ac:dyDescent="0.55000000000000004">
      <c r="A31" s="35">
        <v>22</v>
      </c>
      <c r="B31" s="10" t="s">
        <v>19</v>
      </c>
      <c r="C31" s="36" t="s">
        <v>102</v>
      </c>
      <c r="D31" s="36"/>
      <c r="E31" s="11">
        <v>4378</v>
      </c>
      <c r="F31" s="11">
        <v>2770</v>
      </c>
      <c r="G31" s="11">
        <v>2389</v>
      </c>
      <c r="H31" s="37">
        <f t="shared" si="0"/>
        <v>86.245487364620942</v>
      </c>
      <c r="I31" s="38" t="s">
        <v>103</v>
      </c>
      <c r="J31" s="38" t="s">
        <v>25</v>
      </c>
      <c r="K31" s="39">
        <v>22</v>
      </c>
    </row>
    <row r="32" spans="1:11" s="10" customFormat="1" ht="21.75" x14ac:dyDescent="0.55000000000000004">
      <c r="A32" s="35">
        <v>23</v>
      </c>
      <c r="B32" s="10" t="s">
        <v>19</v>
      </c>
      <c r="C32" s="36" t="s">
        <v>104</v>
      </c>
      <c r="D32" s="36"/>
      <c r="E32" s="11">
        <v>4404</v>
      </c>
      <c r="F32" s="11">
        <v>3026</v>
      </c>
      <c r="G32" s="11">
        <v>2706</v>
      </c>
      <c r="H32" s="37">
        <f t="shared" si="0"/>
        <v>89.424983476536681</v>
      </c>
      <c r="I32" s="42" t="s">
        <v>105</v>
      </c>
      <c r="J32" s="38" t="s">
        <v>25</v>
      </c>
      <c r="K32" s="39">
        <v>23</v>
      </c>
    </row>
    <row r="33" spans="1:11" s="10" customFormat="1" ht="21" x14ac:dyDescent="0.55000000000000004">
      <c r="A33" s="35">
        <v>24</v>
      </c>
      <c r="B33" s="10" t="s">
        <v>19</v>
      </c>
      <c r="C33" s="36" t="s">
        <v>106</v>
      </c>
      <c r="D33" s="36"/>
      <c r="E33" s="11">
        <v>4225</v>
      </c>
      <c r="F33" s="11">
        <v>2864</v>
      </c>
      <c r="G33" s="11">
        <v>2437</v>
      </c>
      <c r="H33" s="37">
        <f t="shared" si="0"/>
        <v>85.090782122905026</v>
      </c>
      <c r="I33" s="38" t="s">
        <v>107</v>
      </c>
      <c r="J33" s="38" t="s">
        <v>25</v>
      </c>
      <c r="K33" s="39">
        <v>24</v>
      </c>
    </row>
    <row r="34" spans="1:11" s="10" customFormat="1" ht="21" x14ac:dyDescent="0.55000000000000004">
      <c r="A34" s="35">
        <v>25</v>
      </c>
      <c r="B34" s="10" t="s">
        <v>12</v>
      </c>
      <c r="C34" s="36" t="s">
        <v>108</v>
      </c>
      <c r="D34" s="36"/>
      <c r="E34" s="11">
        <v>4144</v>
      </c>
      <c r="F34" s="11">
        <v>2924</v>
      </c>
      <c r="G34" s="11">
        <v>2509</v>
      </c>
      <c r="H34" s="37">
        <f t="shared" si="0"/>
        <v>85.807113543091646</v>
      </c>
      <c r="I34" s="38" t="s">
        <v>109</v>
      </c>
      <c r="J34" s="38" t="s">
        <v>26</v>
      </c>
      <c r="K34" s="39">
        <v>25</v>
      </c>
    </row>
    <row r="35" spans="1:11" s="10" customFormat="1" ht="21" x14ac:dyDescent="0.55000000000000004">
      <c r="A35" s="35">
        <v>26</v>
      </c>
      <c r="B35" s="10" t="s">
        <v>12</v>
      </c>
      <c r="C35" s="36" t="s">
        <v>110</v>
      </c>
      <c r="D35" s="36"/>
      <c r="E35" s="11">
        <v>5063</v>
      </c>
      <c r="F35" s="11">
        <v>3643</v>
      </c>
      <c r="G35" s="11">
        <v>3157</v>
      </c>
      <c r="H35" s="37">
        <f t="shared" si="0"/>
        <v>86.659346692286576</v>
      </c>
      <c r="I35" s="38" t="s">
        <v>111</v>
      </c>
      <c r="J35" s="38" t="s">
        <v>26</v>
      </c>
      <c r="K35" s="39">
        <v>26</v>
      </c>
    </row>
    <row r="36" spans="1:11" s="10" customFormat="1" ht="21" x14ac:dyDescent="0.55000000000000004">
      <c r="A36" s="35">
        <v>27</v>
      </c>
      <c r="B36" s="10" t="s">
        <v>12</v>
      </c>
      <c r="C36" s="36" t="s">
        <v>112</v>
      </c>
      <c r="D36" s="36"/>
      <c r="E36" s="11">
        <v>4299</v>
      </c>
      <c r="F36" s="11">
        <v>2935</v>
      </c>
      <c r="G36" s="11">
        <v>2562</v>
      </c>
      <c r="H36" s="37">
        <f t="shared" si="0"/>
        <v>87.291311754684841</v>
      </c>
      <c r="I36" s="38" t="s">
        <v>113</v>
      </c>
      <c r="J36" s="38" t="s">
        <v>26</v>
      </c>
      <c r="K36" s="39">
        <v>27</v>
      </c>
    </row>
    <row r="37" spans="1:11" s="10" customFormat="1" ht="21" x14ac:dyDescent="0.55000000000000004">
      <c r="A37" s="35">
        <v>28</v>
      </c>
      <c r="B37" s="10" t="s">
        <v>47</v>
      </c>
      <c r="C37" s="36" t="s">
        <v>114</v>
      </c>
      <c r="D37" s="36"/>
      <c r="E37" s="11">
        <v>4648</v>
      </c>
      <c r="F37" s="11">
        <v>3471</v>
      </c>
      <c r="G37" s="11">
        <v>3057</v>
      </c>
      <c r="H37" s="37">
        <f t="shared" si="0"/>
        <v>88.072601555747625</v>
      </c>
      <c r="I37" s="38" t="s">
        <v>115</v>
      </c>
      <c r="J37" s="38" t="s">
        <v>27</v>
      </c>
      <c r="K37" s="39">
        <v>28</v>
      </c>
    </row>
    <row r="38" spans="1:11" s="10" customFormat="1" ht="21" x14ac:dyDescent="0.55000000000000004">
      <c r="A38" s="35">
        <v>29</v>
      </c>
      <c r="B38" s="10" t="s">
        <v>47</v>
      </c>
      <c r="C38" s="36" t="s">
        <v>116</v>
      </c>
      <c r="D38" s="36"/>
      <c r="E38" s="11">
        <v>5082</v>
      </c>
      <c r="F38" s="11">
        <v>3593</v>
      </c>
      <c r="G38" s="11">
        <v>2970</v>
      </c>
      <c r="H38" s="37">
        <f t="shared" si="0"/>
        <v>82.66072919565822</v>
      </c>
      <c r="I38" s="38" t="s">
        <v>117</v>
      </c>
      <c r="J38" s="38" t="s">
        <v>27</v>
      </c>
      <c r="K38" s="39">
        <v>29</v>
      </c>
    </row>
    <row r="39" spans="1:11" s="10" customFormat="1" ht="21" x14ac:dyDescent="0.55000000000000004">
      <c r="A39" s="35">
        <v>30</v>
      </c>
      <c r="B39" s="10" t="s">
        <v>47</v>
      </c>
      <c r="C39" s="36" t="s">
        <v>118</v>
      </c>
      <c r="D39" s="36"/>
      <c r="E39" s="11">
        <v>2618</v>
      </c>
      <c r="F39" s="11">
        <v>1805</v>
      </c>
      <c r="G39" s="11">
        <v>1655</v>
      </c>
      <c r="H39" s="37">
        <f t="shared" si="0"/>
        <v>91.689750692520775</v>
      </c>
      <c r="I39" s="38" t="s">
        <v>119</v>
      </c>
      <c r="J39" s="38" t="s">
        <v>27</v>
      </c>
      <c r="K39" s="39">
        <v>30</v>
      </c>
    </row>
    <row r="40" spans="1:11" s="10" customFormat="1" ht="21" x14ac:dyDescent="0.55000000000000004">
      <c r="A40" s="35">
        <v>31</v>
      </c>
      <c r="B40" s="10" t="s">
        <v>15</v>
      </c>
      <c r="C40" s="36" t="s">
        <v>120</v>
      </c>
      <c r="D40" s="36"/>
      <c r="E40" s="11">
        <v>3551</v>
      </c>
      <c r="F40" s="11">
        <v>2356</v>
      </c>
      <c r="G40" s="11">
        <v>2151</v>
      </c>
      <c r="H40" s="37">
        <f t="shared" si="0"/>
        <v>91.298811544991509</v>
      </c>
      <c r="I40" s="38" t="s">
        <v>121</v>
      </c>
      <c r="J40" s="38" t="s">
        <v>28</v>
      </c>
      <c r="K40" s="39">
        <v>31</v>
      </c>
    </row>
    <row r="41" spans="1:11" s="10" customFormat="1" ht="21" x14ac:dyDescent="0.55000000000000004">
      <c r="A41" s="35">
        <v>32</v>
      </c>
      <c r="B41" s="10" t="s">
        <v>15</v>
      </c>
      <c r="C41" s="36" t="s">
        <v>122</v>
      </c>
      <c r="D41" s="36"/>
      <c r="E41" s="11">
        <v>4545</v>
      </c>
      <c r="F41" s="11">
        <v>3051</v>
      </c>
      <c r="G41" s="11">
        <v>2360</v>
      </c>
      <c r="H41" s="37">
        <f t="shared" si="0"/>
        <v>77.351687971157006</v>
      </c>
      <c r="I41" s="38" t="s">
        <v>123</v>
      </c>
      <c r="J41" s="38" t="s">
        <v>28</v>
      </c>
      <c r="K41" s="39">
        <v>32</v>
      </c>
    </row>
    <row r="42" spans="1:11" s="10" customFormat="1" ht="21" x14ac:dyDescent="0.55000000000000004">
      <c r="A42" s="35">
        <v>33</v>
      </c>
      <c r="B42" s="10" t="s">
        <v>15</v>
      </c>
      <c r="C42" s="36" t="s">
        <v>124</v>
      </c>
      <c r="D42" s="36"/>
      <c r="E42" s="11">
        <v>4202</v>
      </c>
      <c r="F42" s="11">
        <v>2696</v>
      </c>
      <c r="G42" s="11">
        <v>2200</v>
      </c>
      <c r="H42" s="37">
        <f t="shared" si="0"/>
        <v>81.602373887240347</v>
      </c>
      <c r="I42" s="38" t="s">
        <v>125</v>
      </c>
      <c r="J42" s="38" t="s">
        <v>28</v>
      </c>
      <c r="K42" s="39">
        <v>33</v>
      </c>
    </row>
    <row r="43" spans="1:11" s="10" customFormat="1" ht="21" x14ac:dyDescent="0.55000000000000004">
      <c r="A43" s="35">
        <v>34</v>
      </c>
      <c r="B43" s="10" t="s">
        <v>11</v>
      </c>
      <c r="C43" s="36" t="s">
        <v>126</v>
      </c>
      <c r="D43" s="36"/>
      <c r="E43" s="11">
        <v>3728</v>
      </c>
      <c r="F43" s="11">
        <v>2451</v>
      </c>
      <c r="G43" s="11">
        <v>2129</v>
      </c>
      <c r="H43" s="37">
        <f t="shared" si="0"/>
        <v>86.862505099959193</v>
      </c>
      <c r="I43" s="38" t="s">
        <v>127</v>
      </c>
      <c r="J43" s="38" t="s">
        <v>29</v>
      </c>
      <c r="K43" s="39">
        <v>34</v>
      </c>
    </row>
    <row r="44" spans="1:11" s="10" customFormat="1" ht="21" x14ac:dyDescent="0.55000000000000004">
      <c r="A44" s="35">
        <v>35</v>
      </c>
      <c r="B44" s="10" t="s">
        <v>11</v>
      </c>
      <c r="C44" s="36" t="s">
        <v>128</v>
      </c>
      <c r="D44" s="36"/>
      <c r="E44" s="11">
        <v>3811</v>
      </c>
      <c r="F44" s="11">
        <v>2394</v>
      </c>
      <c r="G44" s="11">
        <v>2210</v>
      </c>
      <c r="H44" s="37">
        <f t="shared" si="0"/>
        <v>92.314118629908108</v>
      </c>
      <c r="I44" s="38" t="s">
        <v>129</v>
      </c>
      <c r="J44" s="38" t="s">
        <v>29</v>
      </c>
      <c r="K44" s="39">
        <v>35</v>
      </c>
    </row>
    <row r="45" spans="1:11" s="10" customFormat="1" ht="21" x14ac:dyDescent="0.55000000000000004">
      <c r="A45" s="35">
        <v>36</v>
      </c>
      <c r="B45" s="10" t="s">
        <v>46</v>
      </c>
      <c r="C45" s="36" t="s">
        <v>130</v>
      </c>
      <c r="D45" s="36"/>
      <c r="E45" s="11">
        <v>3647</v>
      </c>
      <c r="F45" s="11">
        <v>2435</v>
      </c>
      <c r="G45" s="11">
        <v>1681</v>
      </c>
      <c r="H45" s="37">
        <f t="shared" si="0"/>
        <v>69.034907597535934</v>
      </c>
      <c r="I45" s="38" t="s">
        <v>131</v>
      </c>
      <c r="J45" s="38" t="s">
        <v>30</v>
      </c>
      <c r="K45" s="39">
        <v>36</v>
      </c>
    </row>
    <row r="46" spans="1:11" s="10" customFormat="1" ht="21" x14ac:dyDescent="0.55000000000000004">
      <c r="A46" s="35">
        <v>37</v>
      </c>
      <c r="B46" s="10" t="s">
        <v>46</v>
      </c>
      <c r="C46" s="36" t="s">
        <v>132</v>
      </c>
      <c r="D46" s="36"/>
      <c r="E46" s="11">
        <v>3480</v>
      </c>
      <c r="F46" s="11">
        <v>2330</v>
      </c>
      <c r="G46" s="11">
        <v>2163</v>
      </c>
      <c r="H46" s="37">
        <f t="shared" si="0"/>
        <v>92.832618025751074</v>
      </c>
      <c r="I46" s="38" t="s">
        <v>133</v>
      </c>
      <c r="J46" s="38" t="s">
        <v>30</v>
      </c>
      <c r="K46" s="39">
        <v>37</v>
      </c>
    </row>
    <row r="47" spans="1:11" s="10" customFormat="1" ht="21" x14ac:dyDescent="0.55000000000000004">
      <c r="A47" s="35">
        <v>38</v>
      </c>
      <c r="B47" s="10" t="s">
        <v>46</v>
      </c>
      <c r="C47" s="36" t="s">
        <v>134</v>
      </c>
      <c r="D47" s="36"/>
      <c r="E47" s="11">
        <v>3201</v>
      </c>
      <c r="F47" s="11">
        <v>2115</v>
      </c>
      <c r="G47" s="11">
        <v>1782</v>
      </c>
      <c r="H47" s="37">
        <f t="shared" si="0"/>
        <v>84.255319148936167</v>
      </c>
      <c r="I47" s="38" t="s">
        <v>135</v>
      </c>
      <c r="J47" s="38" t="s">
        <v>30</v>
      </c>
      <c r="K47" s="39">
        <v>38</v>
      </c>
    </row>
    <row r="48" spans="1:11" s="10" customFormat="1" ht="21" x14ac:dyDescent="0.55000000000000004">
      <c r="A48" s="35">
        <v>39</v>
      </c>
      <c r="B48" s="10" t="s">
        <v>20</v>
      </c>
      <c r="C48" s="36" t="s">
        <v>136</v>
      </c>
      <c r="D48" s="36"/>
      <c r="E48" s="11">
        <v>1285</v>
      </c>
      <c r="F48" s="11">
        <v>936</v>
      </c>
      <c r="G48" s="11">
        <v>820</v>
      </c>
      <c r="H48" s="37">
        <f t="shared" si="0"/>
        <v>87.606837606837601</v>
      </c>
      <c r="I48" s="38" t="s">
        <v>137</v>
      </c>
      <c r="J48" s="38" t="s">
        <v>31</v>
      </c>
      <c r="K48" s="39">
        <v>39</v>
      </c>
    </row>
    <row r="49" spans="1:11" s="10" customFormat="1" ht="21" x14ac:dyDescent="0.55000000000000004">
      <c r="A49" s="35">
        <v>40</v>
      </c>
      <c r="B49" s="10" t="s">
        <v>20</v>
      </c>
      <c r="C49" s="36" t="s">
        <v>138</v>
      </c>
      <c r="D49" s="36"/>
      <c r="E49" s="11">
        <v>1161</v>
      </c>
      <c r="F49" s="11">
        <v>824</v>
      </c>
      <c r="G49" s="11">
        <v>709</v>
      </c>
      <c r="H49" s="37">
        <f t="shared" si="0"/>
        <v>86.043689320388353</v>
      </c>
      <c r="I49" s="38" t="s">
        <v>139</v>
      </c>
      <c r="J49" s="38" t="s">
        <v>31</v>
      </c>
      <c r="K49" s="39">
        <v>40</v>
      </c>
    </row>
    <row r="50" spans="1:11" s="10" customFormat="1" ht="21" x14ac:dyDescent="0.55000000000000004">
      <c r="A50" s="35">
        <v>41</v>
      </c>
      <c r="B50" s="10" t="s">
        <v>17</v>
      </c>
      <c r="C50" s="36" t="s">
        <v>140</v>
      </c>
      <c r="D50" s="36"/>
      <c r="E50" s="11">
        <v>3463</v>
      </c>
      <c r="F50" s="11">
        <v>2508</v>
      </c>
      <c r="G50" s="11">
        <v>2079</v>
      </c>
      <c r="H50" s="37">
        <f t="shared" si="0"/>
        <v>82.89473684210526</v>
      </c>
      <c r="I50" s="38" t="s">
        <v>141</v>
      </c>
      <c r="J50" s="38" t="s">
        <v>32</v>
      </c>
      <c r="K50" s="39">
        <v>41</v>
      </c>
    </row>
    <row r="51" spans="1:11" s="10" customFormat="1" ht="21" x14ac:dyDescent="0.55000000000000004">
      <c r="A51" s="35">
        <v>42</v>
      </c>
      <c r="B51" s="10" t="s">
        <v>17</v>
      </c>
      <c r="C51" s="36" t="s">
        <v>142</v>
      </c>
      <c r="D51" s="36"/>
      <c r="E51" s="11">
        <v>3516</v>
      </c>
      <c r="F51" s="11">
        <v>2484</v>
      </c>
      <c r="G51" s="11">
        <v>2148</v>
      </c>
      <c r="H51" s="37">
        <f t="shared" si="0"/>
        <v>86.473429951690818</v>
      </c>
      <c r="I51" s="38" t="s">
        <v>143</v>
      </c>
      <c r="J51" s="38" t="s">
        <v>32</v>
      </c>
      <c r="K51" s="39">
        <v>42</v>
      </c>
    </row>
    <row r="52" spans="1:11" s="10" customFormat="1" ht="21" x14ac:dyDescent="0.55000000000000004">
      <c r="A52" s="35">
        <v>43</v>
      </c>
      <c r="B52" s="10" t="s">
        <v>13</v>
      </c>
      <c r="C52" s="43" t="s">
        <v>144</v>
      </c>
      <c r="D52" s="43"/>
      <c r="E52" s="11">
        <v>3105</v>
      </c>
      <c r="F52" s="11">
        <v>2029</v>
      </c>
      <c r="G52" s="11">
        <v>1868</v>
      </c>
      <c r="H52" s="37">
        <f t="shared" si="0"/>
        <v>92.065056678166584</v>
      </c>
      <c r="I52" s="38" t="s">
        <v>145</v>
      </c>
      <c r="J52" s="38" t="s">
        <v>33</v>
      </c>
      <c r="K52" s="39">
        <v>43</v>
      </c>
    </row>
    <row r="53" spans="1:11" s="10" customFormat="1" ht="21" x14ac:dyDescent="0.55000000000000004">
      <c r="A53" s="35">
        <v>44</v>
      </c>
      <c r="B53" s="10" t="s">
        <v>13</v>
      </c>
      <c r="C53" s="43" t="s">
        <v>146</v>
      </c>
      <c r="D53" s="43"/>
      <c r="E53" s="11">
        <v>2444</v>
      </c>
      <c r="F53" s="11">
        <v>1568</v>
      </c>
      <c r="G53" s="11">
        <v>1481</v>
      </c>
      <c r="H53" s="37">
        <f t="shared" si="0"/>
        <v>94.451530612244895</v>
      </c>
      <c r="I53" s="38" t="s">
        <v>147</v>
      </c>
      <c r="J53" s="38" t="s">
        <v>33</v>
      </c>
      <c r="K53" s="39">
        <v>44</v>
      </c>
    </row>
    <row r="54" spans="1:11" s="10" customFormat="1" ht="21" x14ac:dyDescent="0.55000000000000004">
      <c r="A54" s="35">
        <v>45</v>
      </c>
      <c r="B54" s="10" t="s">
        <v>44</v>
      </c>
      <c r="C54" s="36" t="s">
        <v>148</v>
      </c>
      <c r="D54" s="36"/>
      <c r="E54" s="11">
        <v>3608</v>
      </c>
      <c r="F54" s="11">
        <v>2323</v>
      </c>
      <c r="G54" s="11">
        <v>2077</v>
      </c>
      <c r="H54" s="37">
        <f t="shared" si="0"/>
        <v>89.410245372363335</v>
      </c>
      <c r="I54" s="38" t="s">
        <v>149</v>
      </c>
      <c r="J54" s="38" t="s">
        <v>34</v>
      </c>
      <c r="K54" s="39">
        <v>45</v>
      </c>
    </row>
    <row r="55" spans="1:11" s="10" customFormat="1" ht="21" x14ac:dyDescent="0.55000000000000004">
      <c r="A55" s="35">
        <v>46</v>
      </c>
      <c r="B55" s="10" t="s">
        <v>44</v>
      </c>
      <c r="C55" s="36" t="s">
        <v>150</v>
      </c>
      <c r="D55" s="36"/>
      <c r="E55" s="11">
        <v>3854</v>
      </c>
      <c r="F55" s="11">
        <v>2636</v>
      </c>
      <c r="G55" s="11">
        <v>2370</v>
      </c>
      <c r="H55" s="37">
        <f t="shared" si="0"/>
        <v>89.908952959028838</v>
      </c>
      <c r="I55" s="38" t="s">
        <v>151</v>
      </c>
      <c r="J55" s="38" t="s">
        <v>34</v>
      </c>
      <c r="K55" s="39">
        <v>46</v>
      </c>
    </row>
    <row r="56" spans="1:11" s="10" customFormat="1" ht="21" x14ac:dyDescent="0.55000000000000004">
      <c r="A56" s="35">
        <v>47</v>
      </c>
      <c r="B56" s="10" t="s">
        <v>45</v>
      </c>
      <c r="C56" s="36" t="s">
        <v>152</v>
      </c>
      <c r="D56" s="36"/>
      <c r="E56" s="11">
        <v>4002</v>
      </c>
      <c r="F56" s="11">
        <v>2644</v>
      </c>
      <c r="G56" s="11">
        <v>2320</v>
      </c>
      <c r="H56" s="37">
        <f t="shared" si="0"/>
        <v>87.745839636913772</v>
      </c>
      <c r="I56" s="38" t="s">
        <v>153</v>
      </c>
      <c r="J56" s="38" t="s">
        <v>35</v>
      </c>
      <c r="K56" s="39">
        <v>47</v>
      </c>
    </row>
    <row r="57" spans="1:11" s="10" customFormat="1" ht="21" x14ac:dyDescent="0.55000000000000004">
      <c r="A57" s="35">
        <v>48</v>
      </c>
      <c r="B57" s="10" t="s">
        <v>45</v>
      </c>
      <c r="C57" s="36" t="s">
        <v>154</v>
      </c>
      <c r="D57" s="36"/>
      <c r="E57" s="11">
        <v>3930</v>
      </c>
      <c r="F57" s="11">
        <v>2554</v>
      </c>
      <c r="G57" s="11">
        <v>2055</v>
      </c>
      <c r="H57" s="37">
        <f t="shared" si="0"/>
        <v>80.46202036021927</v>
      </c>
      <c r="I57" s="38" t="s">
        <v>155</v>
      </c>
      <c r="J57" s="38" t="s">
        <v>35</v>
      </c>
      <c r="K57" s="39">
        <v>48</v>
      </c>
    </row>
    <row r="58" spans="1:11" s="10" customFormat="1" ht="21" x14ac:dyDescent="0.55000000000000004">
      <c r="A58" s="35">
        <v>49</v>
      </c>
      <c r="B58" s="10" t="s">
        <v>45</v>
      </c>
      <c r="C58" s="36" t="s">
        <v>156</v>
      </c>
      <c r="D58" s="36"/>
      <c r="E58" s="11">
        <v>4290</v>
      </c>
      <c r="F58" s="11">
        <v>2872</v>
      </c>
      <c r="G58" s="11">
        <v>2542</v>
      </c>
      <c r="H58" s="37">
        <f t="shared" si="0"/>
        <v>88.509749303621163</v>
      </c>
      <c r="I58" s="38" t="s">
        <v>157</v>
      </c>
      <c r="J58" s="38" t="s">
        <v>35</v>
      </c>
      <c r="K58" s="39">
        <v>49</v>
      </c>
    </row>
    <row r="59" spans="1:11" s="10" customFormat="1" ht="21" x14ac:dyDescent="0.55000000000000004">
      <c r="A59" s="35">
        <v>50</v>
      </c>
      <c r="B59" s="10" t="s">
        <v>45</v>
      </c>
      <c r="C59" s="36" t="s">
        <v>158</v>
      </c>
      <c r="D59" s="36"/>
      <c r="E59" s="11">
        <v>3489</v>
      </c>
      <c r="F59" s="11">
        <v>2433</v>
      </c>
      <c r="G59" s="11">
        <v>1769</v>
      </c>
      <c r="H59" s="37">
        <f t="shared" si="0"/>
        <v>72.708590217838065</v>
      </c>
      <c r="I59" s="38" t="s">
        <v>159</v>
      </c>
      <c r="J59" s="38" t="s">
        <v>35</v>
      </c>
      <c r="K59" s="39">
        <v>50</v>
      </c>
    </row>
    <row r="60" spans="1:11" s="10" customFormat="1" ht="21" x14ac:dyDescent="0.55000000000000004">
      <c r="A60" s="35">
        <v>51</v>
      </c>
      <c r="B60" s="10" t="s">
        <v>16</v>
      </c>
      <c r="C60" s="36" t="s">
        <v>160</v>
      </c>
      <c r="D60" s="36"/>
      <c r="E60" s="11">
        <v>4294</v>
      </c>
      <c r="F60" s="11">
        <v>2806</v>
      </c>
      <c r="G60" s="11">
        <v>2319</v>
      </c>
      <c r="H60" s="37">
        <f t="shared" si="0"/>
        <v>82.644333570919457</v>
      </c>
      <c r="I60" s="38" t="s">
        <v>161</v>
      </c>
      <c r="J60" s="38" t="s">
        <v>36</v>
      </c>
      <c r="K60" s="39">
        <v>51</v>
      </c>
    </row>
    <row r="61" spans="1:11" s="10" customFormat="1" ht="21" x14ac:dyDescent="0.55000000000000004">
      <c r="A61" s="35">
        <v>52</v>
      </c>
      <c r="B61" s="10" t="s">
        <v>16</v>
      </c>
      <c r="C61" s="36" t="s">
        <v>162</v>
      </c>
      <c r="D61" s="36"/>
      <c r="E61" s="11">
        <v>4677</v>
      </c>
      <c r="F61" s="11">
        <v>3139</v>
      </c>
      <c r="G61" s="11">
        <v>2639</v>
      </c>
      <c r="H61" s="37">
        <f t="shared" si="0"/>
        <v>84.071360305829884</v>
      </c>
      <c r="I61" s="38" t="s">
        <v>163</v>
      </c>
      <c r="J61" s="38" t="s">
        <v>36</v>
      </c>
      <c r="K61" s="39">
        <v>52</v>
      </c>
    </row>
    <row r="62" spans="1:11" s="10" customFormat="1" ht="21" x14ac:dyDescent="0.55000000000000004">
      <c r="A62" s="35">
        <v>53</v>
      </c>
      <c r="B62" s="10" t="s">
        <v>16</v>
      </c>
      <c r="C62" s="36" t="s">
        <v>164</v>
      </c>
      <c r="D62" s="36"/>
      <c r="E62" s="11">
        <v>3786</v>
      </c>
      <c r="F62" s="11">
        <v>2620</v>
      </c>
      <c r="G62" s="11">
        <v>2161</v>
      </c>
      <c r="H62" s="37">
        <f t="shared" si="0"/>
        <v>82.480916030534345</v>
      </c>
      <c r="I62" s="38" t="s">
        <v>165</v>
      </c>
      <c r="J62" s="38" t="s">
        <v>36</v>
      </c>
      <c r="K62" s="39">
        <v>53</v>
      </c>
    </row>
    <row r="63" spans="1:11" s="10" customFormat="1" ht="21" x14ac:dyDescent="0.55000000000000004">
      <c r="A63" s="35">
        <v>54</v>
      </c>
      <c r="B63" s="10" t="s">
        <v>16</v>
      </c>
      <c r="C63" s="36" t="s">
        <v>166</v>
      </c>
      <c r="D63" s="36"/>
      <c r="E63" s="11">
        <v>3770</v>
      </c>
      <c r="F63" s="11">
        <v>2541</v>
      </c>
      <c r="G63" s="11">
        <v>2035</v>
      </c>
      <c r="H63" s="37">
        <f t="shared" si="0"/>
        <v>80.086580086580085</v>
      </c>
      <c r="I63" s="38" t="s">
        <v>167</v>
      </c>
      <c r="J63" s="38" t="s">
        <v>36</v>
      </c>
      <c r="K63" s="39">
        <v>54</v>
      </c>
    </row>
    <row r="64" spans="1:11" s="10" customFormat="1" ht="21" x14ac:dyDescent="0.55000000000000004">
      <c r="A64" s="35">
        <v>55</v>
      </c>
      <c r="B64" s="10" t="s">
        <v>14</v>
      </c>
      <c r="C64" s="36" t="s">
        <v>168</v>
      </c>
      <c r="D64" s="36"/>
      <c r="E64" s="11">
        <v>5023</v>
      </c>
      <c r="F64" s="11">
        <v>3494</v>
      </c>
      <c r="G64" s="11">
        <v>3067</v>
      </c>
      <c r="H64" s="37">
        <f t="shared" si="0"/>
        <v>87.779049799656548</v>
      </c>
      <c r="I64" s="38" t="s">
        <v>169</v>
      </c>
      <c r="J64" s="38" t="s">
        <v>37</v>
      </c>
      <c r="K64" s="39">
        <v>55</v>
      </c>
    </row>
    <row r="65" spans="1:11" s="10" customFormat="1" ht="21" x14ac:dyDescent="0.55000000000000004">
      <c r="A65" s="35">
        <v>56</v>
      </c>
      <c r="B65" s="10" t="s">
        <v>14</v>
      </c>
      <c r="C65" s="36" t="s">
        <v>170</v>
      </c>
      <c r="D65" s="36"/>
      <c r="E65" s="11">
        <v>4405</v>
      </c>
      <c r="F65" s="11">
        <v>2804</v>
      </c>
      <c r="G65" s="11">
        <v>2320</v>
      </c>
      <c r="H65" s="37">
        <f t="shared" si="0"/>
        <v>82.73894436519258</v>
      </c>
      <c r="I65" s="38" t="s">
        <v>171</v>
      </c>
      <c r="J65" s="38" t="s">
        <v>37</v>
      </c>
      <c r="K65" s="39">
        <v>56</v>
      </c>
    </row>
    <row r="66" spans="1:11" s="10" customFormat="1" ht="21" x14ac:dyDescent="0.55000000000000004">
      <c r="A66" s="35">
        <v>57</v>
      </c>
      <c r="B66" s="10" t="s">
        <v>14</v>
      </c>
      <c r="C66" s="36" t="s">
        <v>172</v>
      </c>
      <c r="D66" s="36"/>
      <c r="E66" s="11">
        <v>4187</v>
      </c>
      <c r="F66" s="11">
        <v>2756</v>
      </c>
      <c r="G66" s="11">
        <v>2384</v>
      </c>
      <c r="H66" s="37">
        <f t="shared" si="0"/>
        <v>86.502177068214806</v>
      </c>
      <c r="I66" s="38" t="s">
        <v>173</v>
      </c>
      <c r="J66" s="38" t="s">
        <v>37</v>
      </c>
      <c r="K66" s="39">
        <v>57</v>
      </c>
    </row>
    <row r="67" spans="1:11" s="10" customFormat="1" ht="21" x14ac:dyDescent="0.55000000000000004">
      <c r="A67" s="35">
        <v>58</v>
      </c>
      <c r="B67" s="10" t="s">
        <v>43</v>
      </c>
      <c r="C67" s="36" t="s">
        <v>174</v>
      </c>
      <c r="D67" s="36"/>
      <c r="E67" s="11">
        <v>3603</v>
      </c>
      <c r="F67" s="11">
        <v>2516</v>
      </c>
      <c r="G67" s="11">
        <v>1937</v>
      </c>
      <c r="H67" s="37">
        <f t="shared" si="0"/>
        <v>76.987281399046097</v>
      </c>
      <c r="I67" s="38" t="s">
        <v>175</v>
      </c>
      <c r="J67" s="38" t="s">
        <v>38</v>
      </c>
      <c r="K67" s="39">
        <v>58</v>
      </c>
    </row>
    <row r="68" spans="1:11" s="10" customFormat="1" ht="21" x14ac:dyDescent="0.55000000000000004">
      <c r="A68" s="35">
        <v>59</v>
      </c>
      <c r="B68" s="10" t="s">
        <v>43</v>
      </c>
      <c r="C68" s="10" t="s">
        <v>176</v>
      </c>
      <c r="E68" s="11">
        <v>3493</v>
      </c>
      <c r="F68" s="11">
        <v>2305</v>
      </c>
      <c r="G68" s="11">
        <v>1835</v>
      </c>
      <c r="H68" s="37">
        <f t="shared" si="0"/>
        <v>79.60954446854663</v>
      </c>
      <c r="I68" s="38" t="s">
        <v>177</v>
      </c>
      <c r="J68" s="38" t="s">
        <v>38</v>
      </c>
      <c r="K68" s="39">
        <v>59</v>
      </c>
    </row>
    <row r="69" spans="1:11" s="10" customFormat="1" ht="21" x14ac:dyDescent="0.55000000000000004">
      <c r="A69" s="35">
        <v>60</v>
      </c>
      <c r="B69" s="10" t="s">
        <v>43</v>
      </c>
      <c r="C69" s="36" t="s">
        <v>178</v>
      </c>
      <c r="D69" s="36"/>
      <c r="E69" s="11">
        <v>4208</v>
      </c>
      <c r="F69" s="11">
        <v>2701</v>
      </c>
      <c r="G69" s="11">
        <v>2151</v>
      </c>
      <c r="H69" s="37">
        <f t="shared" si="0"/>
        <v>79.637171417993329</v>
      </c>
      <c r="I69" s="38" t="s">
        <v>179</v>
      </c>
      <c r="J69" s="38" t="s">
        <v>38</v>
      </c>
      <c r="K69" s="39">
        <v>60</v>
      </c>
    </row>
    <row r="70" spans="1:11" s="10" customFormat="1" ht="21" x14ac:dyDescent="0.55000000000000004">
      <c r="A70" s="35">
        <v>61</v>
      </c>
      <c r="B70" s="10" t="s">
        <v>43</v>
      </c>
      <c r="C70" s="36" t="s">
        <v>180</v>
      </c>
      <c r="D70" s="36"/>
      <c r="E70" s="11">
        <v>4458</v>
      </c>
      <c r="F70" s="11">
        <v>3115</v>
      </c>
      <c r="G70" s="11">
        <v>2369</v>
      </c>
      <c r="H70" s="37">
        <f t="shared" si="0"/>
        <v>76.051364365971111</v>
      </c>
      <c r="I70" s="38" t="s">
        <v>181</v>
      </c>
      <c r="J70" s="38" t="s">
        <v>38</v>
      </c>
      <c r="K70" s="39">
        <v>61</v>
      </c>
    </row>
    <row r="71" spans="1:11" s="10" customFormat="1" ht="21" x14ac:dyDescent="0.55000000000000004">
      <c r="A71" s="35">
        <v>62</v>
      </c>
      <c r="B71" s="10" t="s">
        <v>43</v>
      </c>
      <c r="C71" s="36" t="s">
        <v>182</v>
      </c>
      <c r="D71" s="36"/>
      <c r="E71" s="11">
        <v>4342</v>
      </c>
      <c r="F71" s="11">
        <v>3039</v>
      </c>
      <c r="G71" s="11">
        <v>2323</v>
      </c>
      <c r="H71" s="37">
        <f t="shared" si="0"/>
        <v>76.43961829549194</v>
      </c>
      <c r="I71" s="38" t="s">
        <v>183</v>
      </c>
      <c r="J71" s="38" t="s">
        <v>38</v>
      </c>
      <c r="K71" s="39">
        <v>62</v>
      </c>
    </row>
    <row r="72" spans="1:11" s="10" customFormat="1" ht="21" x14ac:dyDescent="0.55000000000000004">
      <c r="A72" s="35">
        <v>63</v>
      </c>
      <c r="B72" s="10" t="s">
        <v>42</v>
      </c>
      <c r="C72" s="36" t="s">
        <v>184</v>
      </c>
      <c r="D72" s="36"/>
      <c r="E72" s="11">
        <v>4632</v>
      </c>
      <c r="F72" s="11">
        <v>3052</v>
      </c>
      <c r="G72" s="11">
        <v>2605</v>
      </c>
      <c r="H72" s="37">
        <f t="shared" si="0"/>
        <v>85.353866317169064</v>
      </c>
      <c r="I72" s="38" t="s">
        <v>185</v>
      </c>
      <c r="J72" s="38" t="s">
        <v>39</v>
      </c>
      <c r="K72" s="39">
        <v>63</v>
      </c>
    </row>
    <row r="73" spans="1:11" s="10" customFormat="1" ht="21" x14ac:dyDescent="0.55000000000000004">
      <c r="A73" s="35">
        <v>64</v>
      </c>
      <c r="B73" s="10" t="s">
        <v>42</v>
      </c>
      <c r="C73" s="36" t="s">
        <v>186</v>
      </c>
      <c r="D73" s="36"/>
      <c r="E73" s="11">
        <v>3840</v>
      </c>
      <c r="F73" s="11">
        <v>2571</v>
      </c>
      <c r="G73" s="11">
        <v>2243</v>
      </c>
      <c r="H73" s="37">
        <f t="shared" si="0"/>
        <v>87.242318164138467</v>
      </c>
      <c r="I73" s="38" t="s">
        <v>187</v>
      </c>
      <c r="J73" s="38" t="s">
        <v>39</v>
      </c>
      <c r="K73" s="39">
        <v>64</v>
      </c>
    </row>
    <row r="74" spans="1:11" s="10" customFormat="1" ht="21" x14ac:dyDescent="0.55000000000000004">
      <c r="A74" s="35">
        <v>65</v>
      </c>
      <c r="B74" s="10" t="s">
        <v>42</v>
      </c>
      <c r="C74" s="36" t="s">
        <v>188</v>
      </c>
      <c r="D74" s="36"/>
      <c r="E74" s="11">
        <v>3505</v>
      </c>
      <c r="F74" s="11">
        <v>2369</v>
      </c>
      <c r="G74" s="11">
        <v>1979</v>
      </c>
      <c r="H74" s="37">
        <f t="shared" si="0"/>
        <v>83.537357534824821</v>
      </c>
      <c r="I74" s="38" t="s">
        <v>189</v>
      </c>
      <c r="J74" s="38" t="s">
        <v>39</v>
      </c>
      <c r="K74" s="39">
        <v>65</v>
      </c>
    </row>
    <row r="75" spans="1:11" s="10" customFormat="1" ht="21" x14ac:dyDescent="0.55000000000000004">
      <c r="A75" s="35">
        <v>66</v>
      </c>
      <c r="B75" s="10" t="s">
        <v>41</v>
      </c>
      <c r="C75" s="36" t="s">
        <v>190</v>
      </c>
      <c r="D75" s="36"/>
      <c r="E75" s="11">
        <v>3686</v>
      </c>
      <c r="F75" s="11">
        <v>2681</v>
      </c>
      <c r="G75" s="11">
        <v>2114</v>
      </c>
      <c r="H75" s="37">
        <f t="shared" si="0"/>
        <v>78.851174934725847</v>
      </c>
      <c r="I75" s="38" t="s">
        <v>191</v>
      </c>
      <c r="J75" s="38" t="s">
        <v>40</v>
      </c>
      <c r="K75" s="39">
        <v>66</v>
      </c>
    </row>
    <row r="76" spans="1:11" s="10" customFormat="1" ht="21" x14ac:dyDescent="0.55000000000000004">
      <c r="A76" s="35">
        <v>67</v>
      </c>
      <c r="B76" s="10" t="s">
        <v>41</v>
      </c>
      <c r="C76" s="36" t="s">
        <v>192</v>
      </c>
      <c r="D76" s="36"/>
      <c r="E76" s="11">
        <v>4546</v>
      </c>
      <c r="F76" s="11">
        <v>3798</v>
      </c>
      <c r="G76" s="11">
        <v>2909</v>
      </c>
      <c r="H76" s="37">
        <f t="shared" ref="H76:H93" si="1">(G76/F76)*100</f>
        <v>76.592943654555029</v>
      </c>
      <c r="I76" s="38" t="s">
        <v>193</v>
      </c>
      <c r="J76" s="38" t="s">
        <v>40</v>
      </c>
      <c r="K76" s="39">
        <v>67</v>
      </c>
    </row>
    <row r="77" spans="1:11" s="10" customFormat="1" ht="21" x14ac:dyDescent="0.55000000000000004">
      <c r="A77" s="35">
        <v>68</v>
      </c>
      <c r="B77" s="10" t="s">
        <v>41</v>
      </c>
      <c r="C77" s="36" t="s">
        <v>194</v>
      </c>
      <c r="D77" s="36"/>
      <c r="E77" s="11">
        <v>5222</v>
      </c>
      <c r="F77" s="11">
        <v>2461</v>
      </c>
      <c r="G77" s="11">
        <v>1989</v>
      </c>
      <c r="H77" s="37">
        <f t="shared" si="1"/>
        <v>80.820804550995533</v>
      </c>
      <c r="I77" s="38" t="s">
        <v>195</v>
      </c>
      <c r="J77" s="38" t="s">
        <v>40</v>
      </c>
      <c r="K77" s="39">
        <v>68</v>
      </c>
    </row>
    <row r="78" spans="1:11" s="10" customFormat="1" ht="21" x14ac:dyDescent="0.55000000000000004">
      <c r="A78" s="35">
        <v>69</v>
      </c>
      <c r="B78" s="10" t="s">
        <v>41</v>
      </c>
      <c r="C78" s="36" t="s">
        <v>196</v>
      </c>
      <c r="D78" s="36"/>
      <c r="E78" s="11">
        <v>3463</v>
      </c>
      <c r="F78" s="11">
        <v>3625</v>
      </c>
      <c r="G78" s="11">
        <v>2433</v>
      </c>
      <c r="H78" s="37">
        <f t="shared" si="1"/>
        <v>67.117241379310343</v>
      </c>
      <c r="I78" s="38" t="s">
        <v>197</v>
      </c>
      <c r="J78" s="38" t="s">
        <v>40</v>
      </c>
      <c r="K78" s="39">
        <v>69</v>
      </c>
    </row>
    <row r="79" spans="1:11" s="10" customFormat="1" ht="21" x14ac:dyDescent="0.55000000000000004">
      <c r="A79" s="35">
        <v>70</v>
      </c>
      <c r="B79" s="10" t="s">
        <v>41</v>
      </c>
      <c r="C79" s="36" t="s">
        <v>198</v>
      </c>
      <c r="D79" s="36"/>
      <c r="E79" s="11">
        <v>5015</v>
      </c>
      <c r="F79" s="11">
        <v>3467</v>
      </c>
      <c r="G79" s="11">
        <v>2565</v>
      </c>
      <c r="H79" s="37">
        <f t="shared" si="1"/>
        <v>73.983270839342367</v>
      </c>
      <c r="I79" s="38" t="s">
        <v>199</v>
      </c>
      <c r="J79" s="38" t="s">
        <v>40</v>
      </c>
      <c r="K79" s="39">
        <v>70</v>
      </c>
    </row>
    <row r="80" spans="1:11" s="10" customFormat="1" ht="21" x14ac:dyDescent="0.55000000000000004">
      <c r="A80" s="35">
        <v>71</v>
      </c>
      <c r="B80" s="10" t="s">
        <v>41</v>
      </c>
      <c r="C80" s="36" t="s">
        <v>200</v>
      </c>
      <c r="D80" s="36"/>
      <c r="E80" s="11">
        <v>5029</v>
      </c>
      <c r="F80" s="11">
        <v>3670</v>
      </c>
      <c r="G80" s="11">
        <v>2619</v>
      </c>
      <c r="H80" s="37">
        <f t="shared" si="1"/>
        <v>71.362397820163494</v>
      </c>
      <c r="I80" s="38" t="s">
        <v>201</v>
      </c>
      <c r="J80" s="38" t="s">
        <v>40</v>
      </c>
      <c r="K80" s="39">
        <v>71</v>
      </c>
    </row>
    <row r="81" spans="1:11" s="10" customFormat="1" ht="21" x14ac:dyDescent="0.55000000000000004">
      <c r="A81" s="35">
        <v>72</v>
      </c>
      <c r="B81" s="10" t="s">
        <v>41</v>
      </c>
      <c r="C81" s="36" t="s">
        <v>202</v>
      </c>
      <c r="D81" s="36"/>
      <c r="E81" s="11">
        <v>5101</v>
      </c>
      <c r="F81" s="11">
        <v>3262</v>
      </c>
      <c r="G81" s="11">
        <v>2717</v>
      </c>
      <c r="H81" s="37">
        <f t="shared" si="1"/>
        <v>83.292458614347026</v>
      </c>
      <c r="I81" s="38" t="s">
        <v>203</v>
      </c>
      <c r="J81" s="38" t="s">
        <v>40</v>
      </c>
      <c r="K81" s="39">
        <v>72</v>
      </c>
    </row>
    <row r="82" spans="1:11" s="10" customFormat="1" ht="21" x14ac:dyDescent="0.55000000000000004">
      <c r="A82" s="35">
        <v>73</v>
      </c>
      <c r="B82" s="10" t="s">
        <v>204</v>
      </c>
      <c r="C82" s="36" t="s">
        <v>205</v>
      </c>
      <c r="D82" s="36"/>
      <c r="E82" s="11">
        <v>4910</v>
      </c>
      <c r="F82" s="11">
        <v>3366</v>
      </c>
      <c r="G82" s="11">
        <v>2093</v>
      </c>
      <c r="H82" s="37">
        <f t="shared" si="1"/>
        <v>62.180629827688648</v>
      </c>
      <c r="I82" s="38" t="s">
        <v>206</v>
      </c>
      <c r="J82" s="38" t="s">
        <v>59</v>
      </c>
      <c r="K82" s="39">
        <v>73</v>
      </c>
    </row>
    <row r="83" spans="1:11" s="10" customFormat="1" ht="21" x14ac:dyDescent="0.55000000000000004">
      <c r="A83" s="35">
        <v>74</v>
      </c>
      <c r="B83" s="10" t="s">
        <v>204</v>
      </c>
      <c r="C83" s="36" t="s">
        <v>207</v>
      </c>
      <c r="D83" s="36"/>
      <c r="E83" s="11">
        <v>4702</v>
      </c>
      <c r="F83" s="11">
        <v>3027</v>
      </c>
      <c r="G83" s="11">
        <v>1790</v>
      </c>
      <c r="H83" s="37">
        <f t="shared" si="1"/>
        <v>59.134456557647837</v>
      </c>
      <c r="I83" s="38" t="s">
        <v>208</v>
      </c>
      <c r="J83" s="38" t="s">
        <v>59</v>
      </c>
      <c r="K83" s="39">
        <v>74</v>
      </c>
    </row>
    <row r="84" spans="1:11" s="10" customFormat="1" ht="21" x14ac:dyDescent="0.55000000000000004">
      <c r="A84" s="35">
        <v>75</v>
      </c>
      <c r="B84" s="10" t="s">
        <v>204</v>
      </c>
      <c r="C84" s="36" t="s">
        <v>209</v>
      </c>
      <c r="D84" s="36"/>
      <c r="E84" s="11">
        <v>4895</v>
      </c>
      <c r="F84" s="11">
        <v>3047</v>
      </c>
      <c r="G84" s="11">
        <v>1832</v>
      </c>
      <c r="H84" s="37">
        <f t="shared" si="1"/>
        <v>60.124712832294058</v>
      </c>
      <c r="I84" s="38" t="s">
        <v>210</v>
      </c>
      <c r="J84" s="38" t="s">
        <v>59</v>
      </c>
      <c r="K84" s="39">
        <v>75</v>
      </c>
    </row>
    <row r="85" spans="1:11" s="10" customFormat="1" ht="21" x14ac:dyDescent="0.55000000000000004">
      <c r="A85" s="35">
        <v>76</v>
      </c>
      <c r="B85" s="10" t="s">
        <v>204</v>
      </c>
      <c r="C85" s="36" t="s">
        <v>211</v>
      </c>
      <c r="D85" s="36"/>
      <c r="E85" s="11">
        <v>4831</v>
      </c>
      <c r="F85" s="11">
        <v>3192</v>
      </c>
      <c r="G85" s="11">
        <v>2001</v>
      </c>
      <c r="H85" s="37">
        <f t="shared" si="1"/>
        <v>62.687969924812023</v>
      </c>
      <c r="I85" s="38" t="s">
        <v>212</v>
      </c>
      <c r="J85" s="38" t="s">
        <v>59</v>
      </c>
      <c r="K85" s="39">
        <v>76</v>
      </c>
    </row>
    <row r="86" spans="1:11" s="10" customFormat="1" ht="21" x14ac:dyDescent="0.55000000000000004">
      <c r="A86" s="35">
        <v>77</v>
      </c>
      <c r="B86" s="10" t="s">
        <v>204</v>
      </c>
      <c r="C86" s="36" t="s">
        <v>213</v>
      </c>
      <c r="D86" s="36"/>
      <c r="E86" s="11">
        <v>4831</v>
      </c>
      <c r="F86" s="11">
        <v>3392</v>
      </c>
      <c r="G86" s="11">
        <v>1932</v>
      </c>
      <c r="H86" s="37">
        <f t="shared" si="1"/>
        <v>56.95754716981132</v>
      </c>
      <c r="I86" s="38" t="s">
        <v>214</v>
      </c>
      <c r="J86" s="38" t="s">
        <v>59</v>
      </c>
      <c r="K86" s="39">
        <v>77</v>
      </c>
    </row>
    <row r="87" spans="1:11" s="10" customFormat="1" ht="21" x14ac:dyDescent="0.55000000000000004">
      <c r="A87" s="35">
        <v>78</v>
      </c>
      <c r="B87" s="10" t="s">
        <v>204</v>
      </c>
      <c r="C87" s="36" t="s">
        <v>215</v>
      </c>
      <c r="D87" s="36"/>
      <c r="E87" s="11">
        <v>4966</v>
      </c>
      <c r="F87" s="11">
        <v>3270</v>
      </c>
      <c r="G87" s="11">
        <v>2316</v>
      </c>
      <c r="H87" s="37">
        <f t="shared" si="1"/>
        <v>70.825688073394502</v>
      </c>
      <c r="I87" s="38" t="s">
        <v>216</v>
      </c>
      <c r="J87" s="38" t="s">
        <v>59</v>
      </c>
      <c r="K87" s="39">
        <v>78</v>
      </c>
    </row>
    <row r="88" spans="1:11" s="10" customFormat="1" ht="21" x14ac:dyDescent="0.55000000000000004">
      <c r="A88" s="35">
        <v>79</v>
      </c>
      <c r="B88" s="10" t="s">
        <v>204</v>
      </c>
      <c r="C88" s="36" t="s">
        <v>217</v>
      </c>
      <c r="D88" s="36"/>
      <c r="E88" s="11">
        <v>5155</v>
      </c>
      <c r="F88" s="11">
        <v>3478</v>
      </c>
      <c r="G88" s="11">
        <v>1921</v>
      </c>
      <c r="H88" s="37">
        <f t="shared" si="1"/>
        <v>55.232892466935027</v>
      </c>
      <c r="I88" s="38" t="s">
        <v>218</v>
      </c>
      <c r="J88" s="38" t="s">
        <v>59</v>
      </c>
      <c r="K88" s="39">
        <v>79</v>
      </c>
    </row>
    <row r="89" spans="1:11" s="10" customFormat="1" ht="21" x14ac:dyDescent="0.55000000000000004">
      <c r="A89" s="35">
        <v>80</v>
      </c>
      <c r="B89" s="10" t="s">
        <v>204</v>
      </c>
      <c r="C89" s="36" t="s">
        <v>219</v>
      </c>
      <c r="D89" s="36"/>
      <c r="E89" s="11">
        <v>5217</v>
      </c>
      <c r="F89" s="11">
        <v>3426</v>
      </c>
      <c r="G89" s="11">
        <v>2076</v>
      </c>
      <c r="H89" s="37">
        <f t="shared" si="1"/>
        <v>60.595446584938706</v>
      </c>
      <c r="I89" s="38" t="s">
        <v>220</v>
      </c>
      <c r="J89" s="38" t="s">
        <v>59</v>
      </c>
      <c r="K89" s="39">
        <v>80</v>
      </c>
    </row>
    <row r="90" spans="1:11" s="10" customFormat="1" ht="21" x14ac:dyDescent="0.55000000000000004">
      <c r="A90" s="35">
        <v>81</v>
      </c>
      <c r="B90" s="10" t="s">
        <v>204</v>
      </c>
      <c r="C90" s="36" t="s">
        <v>221</v>
      </c>
      <c r="D90" s="36"/>
      <c r="E90" s="11">
        <v>5116</v>
      </c>
      <c r="F90" s="11">
        <v>3503</v>
      </c>
      <c r="G90" s="11">
        <v>1778</v>
      </c>
      <c r="H90" s="37">
        <f t="shared" si="1"/>
        <v>50.756494433342844</v>
      </c>
      <c r="I90" s="38" t="s">
        <v>222</v>
      </c>
      <c r="J90" s="38" t="s">
        <v>59</v>
      </c>
      <c r="K90" s="39">
        <v>81</v>
      </c>
    </row>
    <row r="91" spans="1:11" s="10" customFormat="1" ht="21" x14ac:dyDescent="0.55000000000000004">
      <c r="A91" s="35">
        <v>82</v>
      </c>
      <c r="B91" s="10" t="s">
        <v>204</v>
      </c>
      <c r="C91" s="36" t="s">
        <v>223</v>
      </c>
      <c r="D91" s="36"/>
      <c r="E91" s="11">
        <v>5027</v>
      </c>
      <c r="F91" s="11">
        <v>3417</v>
      </c>
      <c r="G91" s="11">
        <v>2039</v>
      </c>
      <c r="H91" s="37">
        <f t="shared" si="1"/>
        <v>59.672227099795137</v>
      </c>
      <c r="I91" s="38" t="s">
        <v>224</v>
      </c>
      <c r="J91" s="38" t="s">
        <v>59</v>
      </c>
      <c r="K91" s="39">
        <v>82</v>
      </c>
    </row>
    <row r="92" spans="1:11" s="10" customFormat="1" ht="21" x14ac:dyDescent="0.55000000000000004">
      <c r="A92" s="35">
        <v>83</v>
      </c>
      <c r="B92" s="10" t="s">
        <v>204</v>
      </c>
      <c r="C92" s="36" t="s">
        <v>225</v>
      </c>
      <c r="D92" s="36"/>
      <c r="E92" s="11">
        <v>4189</v>
      </c>
      <c r="F92" s="11">
        <v>3427</v>
      </c>
      <c r="G92" s="11">
        <v>1977</v>
      </c>
      <c r="H92" s="37">
        <f t="shared" si="1"/>
        <v>57.688940764517071</v>
      </c>
      <c r="I92" s="38" t="s">
        <v>226</v>
      </c>
      <c r="J92" s="38" t="s">
        <v>59</v>
      </c>
      <c r="K92" s="39">
        <v>83</v>
      </c>
    </row>
    <row r="93" spans="1:11" s="10" customFormat="1" ht="21" x14ac:dyDescent="0.55000000000000004">
      <c r="A93" s="35">
        <v>84</v>
      </c>
      <c r="B93" s="10" t="s">
        <v>204</v>
      </c>
      <c r="C93" s="36" t="s">
        <v>227</v>
      </c>
      <c r="D93" s="36"/>
      <c r="E93" s="11">
        <v>4993</v>
      </c>
      <c r="F93" s="11">
        <v>3107</v>
      </c>
      <c r="G93" s="11">
        <v>1899</v>
      </c>
      <c r="H93" s="37">
        <f t="shared" si="1"/>
        <v>61.120051496620533</v>
      </c>
      <c r="I93" s="38" t="s">
        <v>228</v>
      </c>
      <c r="J93" s="38" t="s">
        <v>59</v>
      </c>
      <c r="K93" s="39">
        <v>84</v>
      </c>
    </row>
    <row r="94" spans="1:11" s="10" customFormat="1" ht="21" x14ac:dyDescent="0.55000000000000004">
      <c r="A94" s="44">
        <v>85</v>
      </c>
      <c r="B94" s="16" t="s">
        <v>204</v>
      </c>
      <c r="C94" s="45" t="s">
        <v>229</v>
      </c>
      <c r="D94" s="45"/>
      <c r="E94" s="46">
        <v>4810</v>
      </c>
      <c r="F94" s="46">
        <v>3736</v>
      </c>
      <c r="G94" s="46">
        <v>2400</v>
      </c>
      <c r="H94" s="47">
        <f>(G94/F94)*100</f>
        <v>64.239828693790145</v>
      </c>
      <c r="I94" s="3" t="s">
        <v>230</v>
      </c>
      <c r="J94" s="3" t="s">
        <v>59</v>
      </c>
      <c r="K94" s="3">
        <v>85</v>
      </c>
    </row>
    <row r="95" spans="1:11" s="7" customFormat="1" ht="18" x14ac:dyDescent="0.45">
      <c r="A95" s="50" t="s">
        <v>231</v>
      </c>
      <c r="B95" s="12"/>
      <c r="D95" s="5"/>
      <c r="E95" s="8"/>
      <c r="F95" s="8"/>
      <c r="H95" s="48"/>
      <c r="K95" s="6" t="s">
        <v>6</v>
      </c>
    </row>
    <row r="96" spans="1:11" s="7" customFormat="1" ht="18" x14ac:dyDescent="0.45">
      <c r="A96" s="50" t="s">
        <v>234</v>
      </c>
      <c r="B96" s="12"/>
      <c r="D96" s="5"/>
      <c r="E96" s="8"/>
      <c r="F96" s="8"/>
      <c r="H96" s="48"/>
      <c r="K96" s="6"/>
    </row>
    <row r="97" spans="1:11" x14ac:dyDescent="0.25">
      <c r="A97" s="5" t="s">
        <v>5</v>
      </c>
      <c r="B97" s="15"/>
    </row>
    <row r="98" spans="1:11" x14ac:dyDescent="0.25">
      <c r="A98" s="12"/>
      <c r="E98" s="12"/>
      <c r="F98" s="12"/>
      <c r="H98" s="12"/>
      <c r="K98" s="12"/>
    </row>
    <row r="99" spans="1:11" x14ac:dyDescent="0.25">
      <c r="A99" s="12"/>
      <c r="E99" s="12"/>
      <c r="F99" s="12"/>
      <c r="H99" s="12"/>
      <c r="K99" s="12"/>
    </row>
    <row r="100" spans="1:11" x14ac:dyDescent="0.25">
      <c r="A100" s="12"/>
      <c r="E100" s="12"/>
      <c r="F100" s="12"/>
      <c r="H100" s="12"/>
      <c r="K100" s="12"/>
    </row>
    <row r="101" spans="1:11" x14ac:dyDescent="0.25">
      <c r="A101" s="12"/>
      <c r="E101" s="12"/>
      <c r="F101" s="12"/>
      <c r="H101" s="12"/>
      <c r="K101" s="12"/>
    </row>
    <row r="102" spans="1:11" x14ac:dyDescent="0.25">
      <c r="A102" s="12"/>
      <c r="E102" s="12"/>
      <c r="F102" s="12"/>
      <c r="H102" s="12"/>
      <c r="K102" s="12"/>
    </row>
    <row r="103" spans="1:11" x14ac:dyDescent="0.25">
      <c r="A103" s="12"/>
      <c r="E103" s="12"/>
      <c r="F103" s="12"/>
      <c r="H103" s="12"/>
      <c r="K103" s="12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scale="64" orientation="portrait" horizontalDpi="4294967295" verticalDpi="4294967295" r:id="rId1"/>
  <rowBreaks count="1" manualBreakCount="1">
    <brk id="4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2016-09-26T07:16:23Z</cp:lastPrinted>
  <dcterms:created xsi:type="dcterms:W3CDTF">2013-02-14T16:19:10Z</dcterms:created>
  <dcterms:modified xsi:type="dcterms:W3CDTF">2016-09-26T07:16:25Z</dcterms:modified>
</cp:coreProperties>
</file>