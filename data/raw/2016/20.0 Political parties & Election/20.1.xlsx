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20.1" sheetId="1" r:id="rId1"/>
  </sheets>
  <externalReferences>
    <externalReference r:id="rId2"/>
  </externalReferences>
  <definedNames>
    <definedName name="_xlnm.Print_Area" localSheetId="0">'20.1'!$A$1:$N$42</definedName>
  </definedNames>
  <calcPr calcId="144525"/>
</workbook>
</file>

<file path=xl/calcChain.xml><?xml version="1.0" encoding="utf-8"?>
<calcChain xmlns="http://schemas.openxmlformats.org/spreadsheetml/2006/main">
  <c r="K23" i="1" l="1"/>
  <c r="J23" i="1"/>
  <c r="I23" i="1"/>
  <c r="H23" i="1"/>
  <c r="G23" i="1"/>
  <c r="AD28" i="1" s="1"/>
  <c r="AD27" i="1" s="1"/>
  <c r="F23" i="1"/>
  <c r="AC28" i="1" s="1"/>
  <c r="AC27" i="1" s="1"/>
  <c r="E23" i="1"/>
  <c r="AB28" i="1" s="1"/>
  <c r="AB27" i="1" s="1"/>
  <c r="D23" i="1"/>
  <c r="AA28" i="1" s="1"/>
  <c r="AA27" i="1" s="1"/>
</calcChain>
</file>

<file path=xl/sharedStrings.xml><?xml version="1.0" encoding="utf-8"?>
<sst xmlns="http://schemas.openxmlformats.org/spreadsheetml/2006/main" count="70" uniqueCount="65">
  <si>
    <t xml:space="preserve">Political parties </t>
  </si>
  <si>
    <t>Year of registration</t>
  </si>
  <si>
    <r>
      <t xml:space="preserve">No. of members </t>
    </r>
    <r>
      <rPr>
        <b/>
        <sz val="10"/>
        <color theme="1"/>
        <rFont val="Calibri"/>
        <family val="2"/>
        <scheme val="minor"/>
      </rPr>
      <t>(year end)</t>
    </r>
  </si>
  <si>
    <r>
      <t xml:space="preserve">Money given by government </t>
    </r>
    <r>
      <rPr>
        <b/>
        <sz val="10"/>
        <color theme="1"/>
        <rFont val="Calibri"/>
        <family val="2"/>
        <scheme val="minor"/>
      </rPr>
      <t>(MVR)</t>
    </r>
  </si>
  <si>
    <t xml:space="preserve"> ސިޔާސީ ޕާޓީތައް </t>
  </si>
  <si>
    <t>ރަޖިސްޓްރީކުރެވުނު އަހަރު</t>
  </si>
  <si>
    <t xml:space="preserve">މެމްބަރުންގެ ޢަދަދު </t>
  </si>
  <si>
    <r>
      <t xml:space="preserve"> ސަރުކާރުން ދޫކުރެވުނު ފައިސާގެ ޢަދަދު </t>
    </r>
    <r>
      <rPr>
        <b/>
        <sz val="9"/>
        <color theme="1"/>
        <rFont val="Faruma"/>
      </rPr>
      <t>(ރުފިޔާ)</t>
    </r>
  </si>
  <si>
    <t>Maldivian Democratic Party</t>
  </si>
  <si>
    <t>26th June 2005</t>
  </si>
  <si>
    <t>ދިވެހިރައްޔިތުންގެ ޑިމޮކްރެޓިކް ޕާޓީ</t>
  </si>
  <si>
    <t>Dhivehi Rayyithunge Party</t>
  </si>
  <si>
    <t>21st July 2005</t>
  </si>
  <si>
    <t xml:space="preserve">ދިވެހިރައްޔިތުންގެ ޕާޓީ </t>
  </si>
  <si>
    <t>Adhaalathu Party</t>
  </si>
  <si>
    <t>18th August 2005</t>
  </si>
  <si>
    <t xml:space="preserve">ޢަދާލަތު ޕާޓީ </t>
  </si>
  <si>
    <t>Islamic Democratic Party</t>
  </si>
  <si>
    <t>12th December 2005</t>
  </si>
  <si>
    <t>-</t>
  </si>
  <si>
    <t xml:space="preserve">އިސްލާމިކް ޑިމޮކްރެޓިކް ޕާޓީ </t>
  </si>
  <si>
    <t>Maldivian Social Democratic Party</t>
  </si>
  <si>
    <t>25th December 2006</t>
  </si>
  <si>
    <t xml:space="preserve">ދިވެހިރައްޔިތުންގެ ސޯޝަލް ޑިމޮކްރެޓިކް ޕާޓީ </t>
  </si>
  <si>
    <t>Peoples Party</t>
  </si>
  <si>
    <t>26th December 2007</t>
  </si>
  <si>
    <t xml:space="preserve">ޕީޕަލްސް ޕާޓީ </t>
  </si>
  <si>
    <t>Maldivian National Congress</t>
  </si>
  <si>
    <t xml:space="preserve">މޯލްޑިވިއަން ނެޝަނަލް ކޮންގްރެސް </t>
  </si>
  <si>
    <t>Social Liberal Party</t>
  </si>
  <si>
    <t>2nd December 2007</t>
  </si>
  <si>
    <t>ސޯޝަލް ލިބަރަލް ޕާޓީ</t>
  </si>
  <si>
    <t>Jumhooree Party</t>
  </si>
  <si>
    <t>3rd August 2008</t>
  </si>
  <si>
    <t xml:space="preserve">ޖުމްހޫރީ ޕާޓީ </t>
  </si>
  <si>
    <t>Peoples Alliance</t>
  </si>
  <si>
    <t xml:space="preserve">ޕީޕަލްސް އެލަޔަންސް </t>
  </si>
  <si>
    <t>Maldivian Labour Party</t>
  </si>
  <si>
    <t>4th September 2008</t>
  </si>
  <si>
    <t>މޯލްޑިވިއަން ލޭބަރ ޕާޓީ</t>
  </si>
  <si>
    <t>Gaumee Ihthihaadh</t>
  </si>
  <si>
    <t>ޤައުމީ އިއްތިޚާދު</t>
  </si>
  <si>
    <t>Dhivehi Qaumee Party</t>
  </si>
  <si>
    <t>27th January 2009</t>
  </si>
  <si>
    <t>ދިވެހި ޤައުމީ ޕާޓީ</t>
  </si>
  <si>
    <t>Maldives Reform Movement</t>
  </si>
  <si>
    <t>22nd March 2011</t>
  </si>
  <si>
    <t>މޯލްޑިވްސް ރިފޯމް މޫވްމަންޓް</t>
  </si>
  <si>
    <t>Progressive Party Of Maldives</t>
  </si>
  <si>
    <t>27th October 2011</t>
  </si>
  <si>
    <t>ޕްރޮގްރެސިވް ޕާޓީ އޮފް މޯލްޑިވްސް</t>
  </si>
  <si>
    <t>Maldives Development Alliance</t>
  </si>
  <si>
    <t>20th December 2012</t>
  </si>
  <si>
    <t>މޯލްޑިވްސް ޑިވެލޮޕްމަންޓް އެލަޔަންސް</t>
  </si>
  <si>
    <t xml:space="preserve">          Total</t>
  </si>
  <si>
    <t xml:space="preserve">      ޖުމްލަ</t>
  </si>
  <si>
    <t xml:space="preserve">Note: Due to some reasons money was not given to some of the parties. </t>
  </si>
  <si>
    <t xml:space="preserve">ނޯޓް: އެކި ސަބަބުތަކާހުރެ ބައެއް ސިޔާސީ ޕާޓީތަކަށް ފައިސާދޫކުރެވިފައެއް ނުވެއެވެ. </t>
  </si>
  <si>
    <t>Source: Elections Commission</t>
  </si>
  <si>
    <t xml:space="preserve">މަޢުލޫމާތު ދެއްވި ފަރާތް: އިލެކްޝަންސް ކޮމިޝަން </t>
  </si>
  <si>
    <t>% share</t>
  </si>
  <si>
    <t>Persons registered in political parties</t>
  </si>
  <si>
    <t>Population 18+ (DNP projected)</t>
  </si>
  <si>
    <t>ތާވަލު 20.1: 2014 ގެ ނިޔަލަށް ރަޖިސްޓްރީކުރެވިފައިވާ ސިޔާސީ ޕާޓީތަކުގެ ޢަދަދާއި، މެމްބަރުން އަދި ބަޖެޓުން ކުރެވުނެ ހޭދަ</t>
  </si>
  <si>
    <t>TABLE: 20.1:  POLITICAL PARTIES REGISTERED At THE END OF 2014, BY MEMBERSHIP AND BUDGET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</si>
</sst>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b/>
      <sz val="9"/>
      <color theme="1"/>
      <name val="Faruma"/>
    </font>
    <font>
      <u/>
      <sz val="11"/>
      <color theme="10"/>
      <name val="Calibri"/>
      <family val="2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0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164" fontId="0" fillId="2" borderId="0" xfId="1" applyNumberFormat="1" applyFont="1" applyFill="1" applyBorder="1" applyAlignment="1">
      <alignment horizontal="right" vertical="center"/>
    </xf>
    <xf numFmtId="164" fontId="0" fillId="2" borderId="2" xfId="1" applyNumberFormat="1" applyFont="1" applyFill="1" applyBorder="1" applyAlignment="1">
      <alignment horizontal="right" vertical="center"/>
    </xf>
    <xf numFmtId="164" fontId="0" fillId="2" borderId="9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0" fontId="7" fillId="2" borderId="0" xfId="2" applyFont="1" applyFill="1" applyAlignment="1" applyProtection="1">
      <alignment vertical="center" wrapText="1"/>
    </xf>
    <xf numFmtId="0" fontId="0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horizontal="right" vertical="center"/>
    </xf>
    <xf numFmtId="164" fontId="2" fillId="2" borderId="8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 applyProtection="1">
      <alignment horizontal="right" vertical="center" wrapText="1"/>
    </xf>
    <xf numFmtId="0" fontId="2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0" fontId="9" fillId="2" borderId="0" xfId="0" applyFont="1" applyFill="1" applyAlignment="1">
      <alignment vertical="top"/>
    </xf>
    <xf numFmtId="0" fontId="8" fillId="2" borderId="0" xfId="0" applyFont="1" applyFill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0" fillId="2" borderId="0" xfId="0" applyFont="1" applyFill="1" applyAlignment="1">
      <alignment vertical="top"/>
    </xf>
    <xf numFmtId="0" fontId="2" fillId="2" borderId="0" xfId="0" applyFont="1" applyFill="1"/>
    <xf numFmtId="165" fontId="0" fillId="2" borderId="0" xfId="0" applyNumberFormat="1" applyFont="1" applyFill="1"/>
    <xf numFmtId="164" fontId="0" fillId="2" borderId="0" xfId="0" applyNumberFormat="1" applyFont="1" applyFill="1"/>
    <xf numFmtId="1" fontId="0" fillId="2" borderId="0" xfId="0" applyNumberFormat="1" applyFont="1" applyFill="1"/>
    <xf numFmtId="164" fontId="0" fillId="2" borderId="0" xfId="1" applyNumberFormat="1" applyFont="1" applyFill="1"/>
    <xf numFmtId="3" fontId="0" fillId="2" borderId="0" xfId="0" applyNumberFormat="1" applyFont="1" applyFill="1"/>
    <xf numFmtId="0" fontId="0" fillId="3" borderId="0" xfId="0" applyFont="1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38353042026217E-2"/>
          <c:y val="0.24031079590279328"/>
          <c:w val="0.88377148321850019"/>
          <c:h val="0.61906751559096596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33CCCC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33CCCC"/>
              </a:solidFill>
            </c:spPr>
          </c:dPt>
          <c:cat>
            <c:numRef>
              <c:f>'20.1'!$AA$26:$AD$26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'20.1'!$AA$27:$AD$27</c:f>
              <c:numCache>
                <c:formatCode>0.0</c:formatCode>
                <c:ptCount val="4"/>
                <c:pt idx="0">
                  <c:v>55.489914913443315</c:v>
                </c:pt>
                <c:pt idx="1">
                  <c:v>59.042267748350639</c:v>
                </c:pt>
                <c:pt idx="2">
                  <c:v>59.533782953088497</c:v>
                </c:pt>
                <c:pt idx="3">
                  <c:v>59.016505777450377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6"/>
        <c:axId val="102717312"/>
        <c:axId val="102718848"/>
      </c:barChart>
      <c:catAx>
        <c:axId val="10271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2718848"/>
        <c:crosses val="autoZero"/>
        <c:auto val="1"/>
        <c:lblAlgn val="ctr"/>
        <c:lblOffset val="100"/>
        <c:noMultiLvlLbl val="0"/>
      </c:catAx>
      <c:valAx>
        <c:axId val="102718848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of persons</a:t>
                </a:r>
              </a:p>
            </c:rich>
          </c:tx>
          <c:layout>
            <c:manualLayout>
              <c:xMode val="edge"/>
              <c:yMode val="edge"/>
              <c:x val="1.2318602167237494E-2"/>
              <c:y val="0.3330507525325498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02717312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183573</xdr:colOff>
      <xdr:row>25</xdr:row>
      <xdr:rowOff>120361</xdr:rowOff>
    </xdr:from>
    <xdr:to>
      <xdr:col>10</xdr:col>
      <xdr:colOff>295275</xdr:colOff>
      <xdr:row>40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1033029</xdr:colOff>
      <xdr:row>26</xdr:row>
      <xdr:rowOff>11256</xdr:rowOff>
    </xdr:from>
    <xdr:to>
      <xdr:col>9</xdr:col>
      <xdr:colOff>695325</xdr:colOff>
      <xdr:row>28</xdr:row>
      <xdr:rowOff>49357</xdr:rowOff>
    </xdr:to>
    <xdr:sp macro="" textlink="">
      <xdr:nvSpPr>
        <xdr:cNvPr id="4" name="TextBox 3"/>
        <xdr:cNvSpPr txBox="1"/>
      </xdr:nvSpPr>
      <xdr:spPr>
        <a:xfrm>
          <a:off x="3338079" y="6602556"/>
          <a:ext cx="5577321" cy="4191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 fontAlgn="base"/>
          <a:r>
            <a:rPr lang="en-US" sz="10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20.1: Percentage share of persons aged 18 years and above, who are members of a political party, 2011 - 2015</a:t>
          </a:r>
        </a:p>
      </xdr:txBody>
    </xdr:sp>
    <xdr:clientData/>
  </xdr:twoCellAnchor>
  <xdr:twoCellAnchor>
    <xdr:from>
      <xdr:col>2</xdr:col>
      <xdr:colOff>1123950</xdr:colOff>
      <xdr:row>28</xdr:row>
      <xdr:rowOff>38099</xdr:rowOff>
    </xdr:from>
    <xdr:to>
      <xdr:col>9</xdr:col>
      <xdr:colOff>571500</xdr:colOff>
      <xdr:row>28</xdr:row>
      <xdr:rowOff>38099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3429000" y="7010399"/>
          <a:ext cx="536257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%20%20POLITICAL%20PARTIES%20AND%20ELE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>
        <row r="26">
          <cell r="W26">
            <v>2011</v>
          </cell>
          <cell r="X26">
            <v>2012</v>
          </cell>
          <cell r="Y26">
            <v>2013</v>
          </cell>
          <cell r="Z26">
            <v>2014</v>
          </cell>
          <cell r="AA26">
            <v>2015</v>
          </cell>
        </row>
        <row r="27">
          <cell r="V27" t="str">
            <v>% share</v>
          </cell>
          <cell r="W27">
            <v>55.489914913443315</v>
          </cell>
          <cell r="X27">
            <v>59.042267748350639</v>
          </cell>
          <cell r="Y27">
            <v>59.533782953088497</v>
          </cell>
          <cell r="Z27">
            <v>59.016505777450377</v>
          </cell>
          <cell r="AA27">
            <v>50.466839926845694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9"/>
  <sheetViews>
    <sheetView tabSelected="1" zoomScaleNormal="100" workbookViewId="0">
      <selection activeCell="Q13" sqref="Q13"/>
    </sheetView>
  </sheetViews>
  <sheetFormatPr defaultColWidth="9.140625" defaultRowHeight="15" x14ac:dyDescent="0.25"/>
  <cols>
    <col min="1" max="1" width="4" style="27" customWidth="1"/>
    <col min="2" max="2" width="30.5703125" style="2" customWidth="1"/>
    <col min="3" max="3" width="19.5703125" style="2" customWidth="1"/>
    <col min="4" max="6" width="10.85546875" style="2" customWidth="1"/>
    <col min="7" max="7" width="9.140625" style="2" customWidth="1"/>
    <col min="8" max="11" width="13.7109375" style="2" customWidth="1"/>
    <col min="12" max="12" width="31.28515625" style="2" customWidth="1"/>
    <col min="13" max="13" width="6" style="2" customWidth="1"/>
    <col min="14" max="14" width="3.7109375" style="2" customWidth="1"/>
    <col min="15" max="25" width="9.140625" style="2"/>
    <col min="26" max="26" width="29.28515625" style="2" customWidth="1"/>
    <col min="27" max="28" width="15.42578125" style="2" customWidth="1"/>
    <col min="29" max="29" width="12" style="2" customWidth="1"/>
    <col min="30" max="16384" width="9.140625" style="2"/>
  </cols>
  <sheetData>
    <row r="2" spans="1:13" ht="21" x14ac:dyDescent="0.55000000000000004">
      <c r="A2" s="1" t="s">
        <v>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3" t="s">
        <v>64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s="11" customFormat="1" x14ac:dyDescent="0.25">
      <c r="A4" s="4"/>
      <c r="B4" s="5" t="s">
        <v>0</v>
      </c>
      <c r="C4" s="6" t="s">
        <v>1</v>
      </c>
      <c r="D4" s="7" t="s">
        <v>2</v>
      </c>
      <c r="E4" s="7"/>
      <c r="F4" s="7"/>
      <c r="G4" s="7"/>
      <c r="H4" s="8" t="s">
        <v>3</v>
      </c>
      <c r="I4" s="4"/>
      <c r="J4" s="4"/>
      <c r="K4" s="4"/>
      <c r="L4" s="9" t="s">
        <v>4</v>
      </c>
      <c r="M4" s="10"/>
    </row>
    <row r="5" spans="1:13" s="11" customFormat="1" ht="42" x14ac:dyDescent="0.25">
      <c r="A5" s="12"/>
      <c r="B5" s="13"/>
      <c r="C5" s="14" t="s">
        <v>5</v>
      </c>
      <c r="D5" s="15" t="s">
        <v>6</v>
      </c>
      <c r="E5" s="15"/>
      <c r="F5" s="15"/>
      <c r="G5" s="15"/>
      <c r="H5" s="16" t="s">
        <v>7</v>
      </c>
      <c r="I5" s="15"/>
      <c r="J5" s="15"/>
      <c r="K5" s="15"/>
      <c r="L5" s="17"/>
      <c r="M5" s="18"/>
    </row>
    <row r="6" spans="1:13" s="11" customFormat="1" x14ac:dyDescent="0.25">
      <c r="A6" s="19"/>
      <c r="B6" s="20"/>
      <c r="C6" s="21"/>
      <c r="D6" s="22">
        <v>2011</v>
      </c>
      <c r="E6" s="22">
        <v>2012</v>
      </c>
      <c r="F6" s="23">
        <v>2013</v>
      </c>
      <c r="G6" s="23">
        <v>2014</v>
      </c>
      <c r="H6" s="24">
        <v>2011</v>
      </c>
      <c r="I6" s="22">
        <v>2012</v>
      </c>
      <c r="J6" s="22">
        <v>2013</v>
      </c>
      <c r="K6" s="22">
        <v>2014</v>
      </c>
      <c r="L6" s="25"/>
      <c r="M6" s="26"/>
    </row>
    <row r="7" spans="1:13" s="28" customFormat="1" ht="21" x14ac:dyDescent="0.25">
      <c r="A7" s="27">
        <v>1</v>
      </c>
      <c r="B7" s="28" t="s">
        <v>8</v>
      </c>
      <c r="C7" s="28" t="s">
        <v>9</v>
      </c>
      <c r="D7" s="29">
        <v>47365</v>
      </c>
      <c r="E7" s="29">
        <v>46349</v>
      </c>
      <c r="F7" s="30">
        <v>42304</v>
      </c>
      <c r="G7" s="30">
        <v>46608</v>
      </c>
      <c r="H7" s="31">
        <v>3575294.74</v>
      </c>
      <c r="I7" s="32">
        <v>3753399.17</v>
      </c>
      <c r="J7" s="32">
        <v>3632254.22</v>
      </c>
      <c r="K7" s="30">
        <v>5076735.7462999998</v>
      </c>
      <c r="L7" s="33" t="s">
        <v>10</v>
      </c>
      <c r="M7" s="34">
        <v>1</v>
      </c>
    </row>
    <row r="8" spans="1:13" s="28" customFormat="1" ht="21" x14ac:dyDescent="0.25">
      <c r="A8" s="27">
        <v>2</v>
      </c>
      <c r="B8" s="28" t="s">
        <v>11</v>
      </c>
      <c r="C8" s="28" t="s">
        <v>12</v>
      </c>
      <c r="D8" s="29">
        <v>29459</v>
      </c>
      <c r="E8" s="29">
        <v>22575</v>
      </c>
      <c r="F8" s="29">
        <v>17864</v>
      </c>
      <c r="G8" s="29">
        <v>14750</v>
      </c>
      <c r="H8" s="31">
        <v>3153514.66</v>
      </c>
      <c r="I8" s="32">
        <v>2480924.23</v>
      </c>
      <c r="J8" s="32">
        <v>1965343.24</v>
      </c>
      <c r="K8" s="29">
        <v>2140899.38</v>
      </c>
      <c r="L8" s="33" t="s">
        <v>13</v>
      </c>
      <c r="M8" s="34">
        <v>2</v>
      </c>
    </row>
    <row r="9" spans="1:13" s="28" customFormat="1" ht="21" x14ac:dyDescent="0.25">
      <c r="A9" s="27">
        <v>3</v>
      </c>
      <c r="B9" s="28" t="s">
        <v>14</v>
      </c>
      <c r="C9" s="28" t="s">
        <v>15</v>
      </c>
      <c r="D9" s="29">
        <v>6117</v>
      </c>
      <c r="E9" s="29">
        <v>5881</v>
      </c>
      <c r="F9" s="29">
        <v>10194</v>
      </c>
      <c r="G9" s="29">
        <v>9009</v>
      </c>
      <c r="H9" s="31">
        <v>842441.62</v>
      </c>
      <c r="I9" s="32">
        <v>822144.49</v>
      </c>
      <c r="J9" s="32">
        <v>794845.56</v>
      </c>
      <c r="K9" s="29">
        <v>1219546.4778</v>
      </c>
      <c r="L9" s="33" t="s">
        <v>16</v>
      </c>
      <c r="M9" s="34">
        <v>3</v>
      </c>
    </row>
    <row r="10" spans="1:13" s="28" customFormat="1" ht="21" x14ac:dyDescent="0.25">
      <c r="A10" s="27">
        <v>4</v>
      </c>
      <c r="B10" s="28" t="s">
        <v>17</v>
      </c>
      <c r="C10" s="28" t="s">
        <v>18</v>
      </c>
      <c r="D10" s="29">
        <v>3609</v>
      </c>
      <c r="E10" s="29">
        <v>3113</v>
      </c>
      <c r="F10" s="29">
        <v>2378</v>
      </c>
      <c r="G10" s="29">
        <v>2148</v>
      </c>
      <c r="H10" s="31">
        <v>669757.49</v>
      </c>
      <c r="I10" s="32">
        <v>463915.56</v>
      </c>
      <c r="J10" s="32">
        <v>600767.6</v>
      </c>
      <c r="K10" s="32">
        <v>0</v>
      </c>
      <c r="L10" s="33" t="s">
        <v>20</v>
      </c>
      <c r="M10" s="34">
        <v>4</v>
      </c>
    </row>
    <row r="11" spans="1:13" s="28" customFormat="1" ht="21" x14ac:dyDescent="0.25">
      <c r="A11" s="27">
        <v>5</v>
      </c>
      <c r="B11" s="28" t="s">
        <v>21</v>
      </c>
      <c r="C11" s="28" t="s">
        <v>22</v>
      </c>
      <c r="D11" s="29">
        <v>1982</v>
      </c>
      <c r="E11" s="29">
        <v>1797</v>
      </c>
      <c r="F11" s="29">
        <v>1418</v>
      </c>
      <c r="G11" s="29">
        <v>1236</v>
      </c>
      <c r="H11" s="31">
        <v>535473.88</v>
      </c>
      <c r="I11" s="32">
        <v>0</v>
      </c>
      <c r="J11" s="32">
        <v>0</v>
      </c>
      <c r="K11" s="32">
        <v>0</v>
      </c>
      <c r="L11" s="33" t="s">
        <v>23</v>
      </c>
      <c r="M11" s="34">
        <v>5</v>
      </c>
    </row>
    <row r="12" spans="1:13" s="28" customFormat="1" ht="21" x14ac:dyDescent="0.25">
      <c r="A12" s="27">
        <v>6</v>
      </c>
      <c r="B12" s="28" t="s">
        <v>24</v>
      </c>
      <c r="C12" s="28" t="s">
        <v>25</v>
      </c>
      <c r="D12" s="29">
        <v>1814</v>
      </c>
      <c r="E12" s="29">
        <v>1613</v>
      </c>
      <c r="F12" s="29">
        <v>1357</v>
      </c>
      <c r="G12" s="29">
        <v>1211</v>
      </c>
      <c r="H12" s="31">
        <v>574230.19999999995</v>
      </c>
      <c r="I12" s="32">
        <v>516355.39</v>
      </c>
      <c r="J12" s="32">
        <v>445595.29</v>
      </c>
      <c r="K12" s="32">
        <v>0</v>
      </c>
      <c r="L12" s="33" t="s">
        <v>26</v>
      </c>
      <c r="M12" s="34">
        <v>6</v>
      </c>
    </row>
    <row r="13" spans="1:13" s="28" customFormat="1" ht="21" x14ac:dyDescent="0.25">
      <c r="A13" s="27">
        <v>7</v>
      </c>
      <c r="B13" s="28" t="s">
        <v>27</v>
      </c>
      <c r="C13" s="28" t="s">
        <v>25</v>
      </c>
      <c r="D13" s="29">
        <v>1542</v>
      </c>
      <c r="E13" s="29">
        <v>1373</v>
      </c>
      <c r="F13" s="29">
        <v>1146</v>
      </c>
      <c r="G13" s="29">
        <v>1045</v>
      </c>
      <c r="H13" s="31">
        <v>497259.61</v>
      </c>
      <c r="I13" s="32">
        <v>467025.93</v>
      </c>
      <c r="J13" s="32">
        <v>478767.72</v>
      </c>
      <c r="K13" s="32">
        <v>0</v>
      </c>
      <c r="L13" s="33" t="s">
        <v>28</v>
      </c>
      <c r="M13" s="34">
        <v>7</v>
      </c>
    </row>
    <row r="14" spans="1:13" s="28" customFormat="1" ht="21" x14ac:dyDescent="0.25">
      <c r="A14" s="27">
        <v>8</v>
      </c>
      <c r="B14" s="28" t="s">
        <v>29</v>
      </c>
      <c r="C14" s="28" t="s">
        <v>30</v>
      </c>
      <c r="D14" s="29">
        <v>685</v>
      </c>
      <c r="E14" s="29">
        <v>598</v>
      </c>
      <c r="F14" s="29">
        <v>523</v>
      </c>
      <c r="G14" s="29">
        <v>462</v>
      </c>
      <c r="H14" s="31">
        <v>0</v>
      </c>
      <c r="I14" s="32">
        <v>336123.94</v>
      </c>
      <c r="J14" s="32">
        <v>0</v>
      </c>
      <c r="K14" s="32">
        <v>0</v>
      </c>
      <c r="L14" s="33" t="s">
        <v>31</v>
      </c>
      <c r="M14" s="34">
        <v>8</v>
      </c>
    </row>
    <row r="15" spans="1:13" s="28" customFormat="1" ht="21" x14ac:dyDescent="0.25">
      <c r="A15" s="27">
        <v>9</v>
      </c>
      <c r="B15" s="28" t="s">
        <v>32</v>
      </c>
      <c r="C15" s="28" t="s">
        <v>33</v>
      </c>
      <c r="D15" s="29">
        <v>5090</v>
      </c>
      <c r="E15" s="29">
        <v>11154</v>
      </c>
      <c r="F15" s="29">
        <v>14723</v>
      </c>
      <c r="G15" s="29">
        <v>13990</v>
      </c>
      <c r="H15" s="31">
        <v>816538.47</v>
      </c>
      <c r="I15" s="32">
        <v>749161.59</v>
      </c>
      <c r="J15" s="32">
        <v>1164561.29</v>
      </c>
      <c r="K15" s="29">
        <v>1756589.15</v>
      </c>
      <c r="L15" s="33" t="s">
        <v>34</v>
      </c>
      <c r="M15" s="34">
        <v>9</v>
      </c>
    </row>
    <row r="16" spans="1:13" s="28" customFormat="1" ht="21" x14ac:dyDescent="0.25">
      <c r="A16" s="27">
        <v>10</v>
      </c>
      <c r="B16" s="28" t="s">
        <v>35</v>
      </c>
      <c r="C16" s="28" t="s">
        <v>33</v>
      </c>
      <c r="D16" s="29">
        <v>2625</v>
      </c>
      <c r="E16" s="29">
        <v>2101</v>
      </c>
      <c r="F16" s="29">
        <v>1633</v>
      </c>
      <c r="G16" s="29">
        <v>1361</v>
      </c>
      <c r="H16" s="31">
        <v>622691.85</v>
      </c>
      <c r="I16" s="32">
        <v>573988.42000000004</v>
      </c>
      <c r="J16" s="32">
        <v>0</v>
      </c>
      <c r="K16" s="32">
        <v>0</v>
      </c>
      <c r="L16" s="33" t="s">
        <v>36</v>
      </c>
      <c r="M16" s="34">
        <v>10</v>
      </c>
    </row>
    <row r="17" spans="1:30" s="28" customFormat="1" ht="19.5" customHeight="1" x14ac:dyDescent="0.25">
      <c r="A17" s="27">
        <v>11</v>
      </c>
      <c r="B17" s="28" t="s">
        <v>37</v>
      </c>
      <c r="C17" s="28" t="s">
        <v>38</v>
      </c>
      <c r="D17" s="29">
        <v>944</v>
      </c>
      <c r="E17" s="29">
        <v>838</v>
      </c>
      <c r="F17" s="29">
        <v>720</v>
      </c>
      <c r="G17" s="29">
        <v>666</v>
      </c>
      <c r="H17" s="31">
        <v>500363.53</v>
      </c>
      <c r="I17" s="32">
        <v>0</v>
      </c>
      <c r="J17" s="32">
        <v>0</v>
      </c>
      <c r="K17" s="32">
        <v>0</v>
      </c>
      <c r="L17" s="33" t="s">
        <v>39</v>
      </c>
      <c r="M17" s="34">
        <v>11</v>
      </c>
    </row>
    <row r="18" spans="1:30" s="28" customFormat="1" ht="19.5" customHeight="1" x14ac:dyDescent="0.25">
      <c r="A18" s="27">
        <v>12</v>
      </c>
      <c r="B18" s="28" t="s">
        <v>40</v>
      </c>
      <c r="C18" s="28" t="s">
        <v>38</v>
      </c>
      <c r="D18" s="29">
        <v>2640</v>
      </c>
      <c r="E18" s="29">
        <v>3219</v>
      </c>
      <c r="F18" s="29">
        <v>5657</v>
      </c>
      <c r="G18" s="29" t="s">
        <v>19</v>
      </c>
      <c r="H18" s="31">
        <v>643471.30000000005</v>
      </c>
      <c r="I18" s="32">
        <v>575054.39</v>
      </c>
      <c r="J18" s="32">
        <v>608199.77</v>
      </c>
      <c r="K18" s="32">
        <v>0</v>
      </c>
      <c r="L18" s="33" t="s">
        <v>41</v>
      </c>
      <c r="M18" s="34">
        <v>12</v>
      </c>
    </row>
    <row r="19" spans="1:30" s="28" customFormat="1" ht="19.5" customHeight="1" x14ac:dyDescent="0.25">
      <c r="A19" s="27">
        <v>13</v>
      </c>
      <c r="B19" s="28" t="s">
        <v>42</v>
      </c>
      <c r="C19" s="28" t="s">
        <v>43</v>
      </c>
      <c r="D19" s="29">
        <v>2312</v>
      </c>
      <c r="E19" s="29">
        <v>2099</v>
      </c>
      <c r="F19" s="29">
        <v>1753</v>
      </c>
      <c r="G19" s="29">
        <v>1416</v>
      </c>
      <c r="H19" s="31">
        <v>618279.78</v>
      </c>
      <c r="I19" s="32">
        <v>551745.34</v>
      </c>
      <c r="J19" s="32">
        <v>529671.12</v>
      </c>
      <c r="K19" s="32">
        <v>0</v>
      </c>
      <c r="L19" s="33" t="s">
        <v>44</v>
      </c>
      <c r="M19" s="34">
        <v>13</v>
      </c>
    </row>
    <row r="20" spans="1:30" s="28" customFormat="1" ht="19.5" customHeight="1" x14ac:dyDescent="0.25">
      <c r="A20" s="27">
        <v>14</v>
      </c>
      <c r="B20" s="28" t="s">
        <v>45</v>
      </c>
      <c r="C20" s="28" t="s">
        <v>46</v>
      </c>
      <c r="D20" s="29">
        <v>2628</v>
      </c>
      <c r="E20" s="29">
        <v>1969</v>
      </c>
      <c r="F20" s="29">
        <v>1532</v>
      </c>
      <c r="G20" s="29" t="s">
        <v>19</v>
      </c>
      <c r="H20" s="31">
        <v>0</v>
      </c>
      <c r="I20" s="32">
        <v>574201.62</v>
      </c>
      <c r="J20" s="32">
        <v>0</v>
      </c>
      <c r="K20" s="32">
        <v>0</v>
      </c>
      <c r="L20" s="33" t="s">
        <v>47</v>
      </c>
      <c r="M20" s="34">
        <v>14</v>
      </c>
    </row>
    <row r="21" spans="1:30" s="28" customFormat="1" ht="19.5" customHeight="1" x14ac:dyDescent="0.25">
      <c r="A21" s="27">
        <v>15</v>
      </c>
      <c r="B21" s="28" t="s">
        <v>48</v>
      </c>
      <c r="C21" s="28" t="s">
        <v>49</v>
      </c>
      <c r="D21" s="29">
        <v>13859</v>
      </c>
      <c r="E21" s="29">
        <v>22803</v>
      </c>
      <c r="F21" s="29">
        <v>24970</v>
      </c>
      <c r="G21" s="29">
        <v>36232</v>
      </c>
      <c r="H21" s="31">
        <v>0</v>
      </c>
      <c r="I21" s="32">
        <v>1372323.25</v>
      </c>
      <c r="J21" s="32">
        <v>1981329.43</v>
      </c>
      <c r="K21" s="29">
        <v>2994502.2122</v>
      </c>
      <c r="L21" s="33" t="s">
        <v>50</v>
      </c>
      <c r="M21" s="34">
        <v>15</v>
      </c>
    </row>
    <row r="22" spans="1:30" s="28" customFormat="1" ht="19.5" customHeight="1" x14ac:dyDescent="0.25">
      <c r="A22" s="27">
        <v>16</v>
      </c>
      <c r="B22" s="28" t="s">
        <v>51</v>
      </c>
      <c r="C22" s="28" t="s">
        <v>52</v>
      </c>
      <c r="D22" s="29" t="s">
        <v>19</v>
      </c>
      <c r="E22" s="29">
        <v>3446</v>
      </c>
      <c r="F22" s="29">
        <v>7415</v>
      </c>
      <c r="G22" s="29">
        <v>7666</v>
      </c>
      <c r="H22" s="31">
        <v>0</v>
      </c>
      <c r="I22" s="32">
        <v>0</v>
      </c>
      <c r="J22" s="32">
        <v>624115.85</v>
      </c>
      <c r="K22" s="29">
        <v>890721.22160000005</v>
      </c>
      <c r="L22" s="33" t="s">
        <v>53</v>
      </c>
      <c r="M22" s="34">
        <v>16</v>
      </c>
    </row>
    <row r="23" spans="1:30" s="40" customFormat="1" ht="19.5" customHeight="1" x14ac:dyDescent="0.25">
      <c r="A23" s="35" t="s">
        <v>54</v>
      </c>
      <c r="B23" s="35"/>
      <c r="C23" s="35"/>
      <c r="D23" s="36">
        <f t="shared" ref="D23" si="0">SUM(D7:D21)</f>
        <v>122671</v>
      </c>
      <c r="E23" s="36">
        <f>SUM(E7:E22)</f>
        <v>130928</v>
      </c>
      <c r="F23" s="36">
        <f>SUM(F7:F22)</f>
        <v>135587</v>
      </c>
      <c r="G23" s="36">
        <f>SUM(G7:G22)</f>
        <v>137800</v>
      </c>
      <c r="H23" s="37">
        <f>SUM(H7:H21)</f>
        <v>13049317.129999999</v>
      </c>
      <c r="I23" s="38">
        <f>SUM(I7:I21)</f>
        <v>13236363.319999998</v>
      </c>
      <c r="J23" s="38">
        <f>SUM(J7:J22)</f>
        <v>12825451.089999996</v>
      </c>
      <c r="K23" s="36">
        <f>SUM(K7:K22)</f>
        <v>14078994.187899999</v>
      </c>
      <c r="L23" s="39" t="s">
        <v>55</v>
      </c>
      <c r="M23" s="39"/>
    </row>
    <row r="24" spans="1:30" ht="17.25" x14ac:dyDescent="0.25">
      <c r="A24" s="41" t="s">
        <v>56</v>
      </c>
      <c r="B24" s="41"/>
      <c r="C24" s="41"/>
      <c r="D24" s="41"/>
      <c r="M24" s="42" t="s">
        <v>57</v>
      </c>
    </row>
    <row r="25" spans="1:30" s="45" customFormat="1" ht="17.25" x14ac:dyDescent="0.25">
      <c r="A25" s="43" t="s">
        <v>58</v>
      </c>
      <c r="B25" s="44"/>
      <c r="M25" s="42" t="s">
        <v>59</v>
      </c>
    </row>
    <row r="26" spans="1:30" x14ac:dyDescent="0.25">
      <c r="Z26" s="46"/>
      <c r="AA26" s="46">
        <v>2011</v>
      </c>
      <c r="AB26" s="46">
        <v>2012</v>
      </c>
      <c r="AC26" s="46">
        <v>2013</v>
      </c>
      <c r="AD26" s="46">
        <v>2014</v>
      </c>
    </row>
    <row r="27" spans="1:30" x14ac:dyDescent="0.25">
      <c r="Z27" s="2" t="s">
        <v>60</v>
      </c>
      <c r="AA27" s="47">
        <f>AA28/AA29*100</f>
        <v>55.489914913443315</v>
      </c>
      <c r="AB27" s="47">
        <f>AB28/AB29*100</f>
        <v>59.042267748350639</v>
      </c>
      <c r="AC27" s="47">
        <f>AC28/AC29*100</f>
        <v>59.533782953088497</v>
      </c>
      <c r="AD27" s="47">
        <f>AD28/AD29*100</f>
        <v>59.016505777450377</v>
      </c>
    </row>
    <row r="28" spans="1:30" x14ac:dyDescent="0.25">
      <c r="Z28" s="2" t="s">
        <v>61</v>
      </c>
      <c r="AA28" s="48">
        <f>D23</f>
        <v>122671</v>
      </c>
      <c r="AB28" s="48">
        <f>E23</f>
        <v>130928</v>
      </c>
      <c r="AC28" s="49">
        <f>F23</f>
        <v>135587</v>
      </c>
      <c r="AD28" s="49">
        <f>G23</f>
        <v>137800</v>
      </c>
    </row>
    <row r="29" spans="1:30" x14ac:dyDescent="0.25">
      <c r="Z29" s="2" t="s">
        <v>62</v>
      </c>
      <c r="AA29" s="50">
        <v>221069</v>
      </c>
      <c r="AB29" s="50">
        <v>221753</v>
      </c>
      <c r="AC29" s="51">
        <v>227748</v>
      </c>
      <c r="AD29" s="52">
        <v>233494</v>
      </c>
    </row>
  </sheetData>
  <mergeCells count="13">
    <mergeCell ref="A23:C23"/>
    <mergeCell ref="L23:M23"/>
    <mergeCell ref="A24:D24"/>
    <mergeCell ref="A2:M2"/>
    <mergeCell ref="A3:M3"/>
    <mergeCell ref="A4:A6"/>
    <mergeCell ref="B4:B6"/>
    <mergeCell ref="D4:G4"/>
    <mergeCell ref="H4:K4"/>
    <mergeCell ref="L4:L6"/>
    <mergeCell ref="M4:M6"/>
    <mergeCell ref="D5:G5"/>
    <mergeCell ref="H5:K5"/>
  </mergeCells>
  <pageMargins left="0.7" right="0.7" top="0.75" bottom="0.75" header="0.3" footer="0.3"/>
  <pageSetup paperSize="9" scale="66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20.1</vt:lpstr>
      <vt:lpstr>'20.1'!Print_Area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Fathmath Shifaza</dc:creator>
  <cp:lastModifiedBy>Fathmath Shifaza</cp:lastModifiedBy>
  <cp:lastPrinted>2016-09-26T07:41:32Z</cp:lastPrinted>
  <dcterms:created xsi:type="dcterms:W3CDTF">2016-09-26T07:36:30Z</dcterms:created>
  <dcterms:modified xsi:type="dcterms:W3CDTF">2016-09-26T07:41:44Z</dcterms:modified>
</cp:coreProperties>
</file>