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/>
  </bookViews>
  <sheets>
    <sheet name="20.9" sheetId="17" r:id="rId1"/>
  </sheets>
  <definedNames>
    <definedName name="_xlnm.Print_Area" localSheetId="0">'20.9'!$A$1:$AC$69</definedName>
  </definedNames>
  <calcPr calcId="144525"/>
</workbook>
</file>

<file path=xl/calcChain.xml><?xml version="1.0" encoding="utf-8"?>
<calcChain xmlns="http://schemas.openxmlformats.org/spreadsheetml/2006/main">
  <c r="C9" i="17" l="1"/>
  <c r="AB9" i="17" l="1"/>
  <c r="AA9" i="17"/>
  <c r="Z9" i="17"/>
  <c r="Y9" i="17"/>
  <c r="X9" i="17"/>
  <c r="X11" i="17"/>
  <c r="Y11" i="17"/>
  <c r="Z11" i="17"/>
  <c r="AA11" i="17"/>
  <c r="AB11" i="17"/>
  <c r="X12" i="17"/>
  <c r="Y12" i="17"/>
  <c r="Z12" i="17"/>
  <c r="AA12" i="17"/>
  <c r="AB12" i="17"/>
  <c r="X13" i="17"/>
  <c r="Y13" i="17"/>
  <c r="Z13" i="17"/>
  <c r="AA13" i="17"/>
  <c r="AB13" i="17"/>
  <c r="X14" i="17"/>
  <c r="Y14" i="17"/>
  <c r="Z14" i="17"/>
  <c r="AA14" i="17"/>
  <c r="AB14" i="17"/>
  <c r="X15" i="17"/>
  <c r="Y15" i="17"/>
  <c r="Z15" i="17"/>
  <c r="AA15" i="17"/>
  <c r="AB15" i="17"/>
  <c r="X16" i="17"/>
  <c r="Y16" i="17"/>
  <c r="Z16" i="17"/>
  <c r="AA16" i="17"/>
  <c r="AB16" i="17"/>
  <c r="X17" i="17"/>
  <c r="Y17" i="17"/>
  <c r="Z17" i="17"/>
  <c r="AA17" i="17"/>
  <c r="AB17" i="17"/>
  <c r="X18" i="17"/>
  <c r="Y18" i="17"/>
  <c r="Z18" i="17"/>
  <c r="AA18" i="17"/>
  <c r="AB18" i="17"/>
  <c r="X19" i="17"/>
  <c r="Y19" i="17"/>
  <c r="Z19" i="17"/>
  <c r="AA19" i="17"/>
  <c r="AB19" i="17"/>
  <c r="X20" i="17"/>
  <c r="Y20" i="17"/>
  <c r="Z20" i="17"/>
  <c r="AA20" i="17"/>
  <c r="AB20" i="17"/>
  <c r="X21" i="17"/>
  <c r="Y21" i="17"/>
  <c r="Z21" i="17"/>
  <c r="AA21" i="17"/>
  <c r="AB21" i="17"/>
  <c r="X22" i="17"/>
  <c r="Y22" i="17"/>
  <c r="Z22" i="17"/>
  <c r="AA22" i="17"/>
  <c r="AB22" i="17"/>
  <c r="X23" i="17"/>
  <c r="Y23" i="17"/>
  <c r="Z23" i="17"/>
  <c r="AA23" i="17"/>
  <c r="AB23" i="17"/>
  <c r="X24" i="17"/>
  <c r="Y24" i="17"/>
  <c r="Z24" i="17"/>
  <c r="AA24" i="17"/>
  <c r="AB24" i="17"/>
  <c r="X25" i="17"/>
  <c r="Y25" i="17"/>
  <c r="Z25" i="17"/>
  <c r="AA25" i="17"/>
  <c r="AB25" i="17"/>
  <c r="X26" i="17"/>
  <c r="Y26" i="17"/>
  <c r="Z26" i="17"/>
  <c r="AA26" i="17"/>
  <c r="AB26" i="17"/>
  <c r="X27" i="17"/>
  <c r="Y27" i="17"/>
  <c r="Z27" i="17"/>
  <c r="AA27" i="17"/>
  <c r="AB27" i="17"/>
  <c r="X28" i="17"/>
  <c r="Y28" i="17"/>
  <c r="Z28" i="17"/>
  <c r="AA28" i="17"/>
  <c r="AB28" i="17"/>
  <c r="X29" i="17"/>
  <c r="Y29" i="17"/>
  <c r="Z29" i="17"/>
  <c r="AA29" i="17"/>
  <c r="AB29" i="17"/>
  <c r="X30" i="17"/>
  <c r="Y30" i="17"/>
  <c r="Z30" i="17"/>
  <c r="AA30" i="17"/>
  <c r="AB30" i="17"/>
  <c r="Y10" i="17"/>
  <c r="Z10" i="17"/>
  <c r="AA10" i="17"/>
  <c r="AB10" i="17"/>
  <c r="T9" i="17" l="1"/>
  <c r="J9" i="17"/>
  <c r="K9" i="17"/>
  <c r="I9" i="17"/>
  <c r="L9" i="17" l="1"/>
  <c r="U10" i="17" l="1"/>
  <c r="P9" i="17"/>
  <c r="O9" i="17"/>
  <c r="N9" i="17"/>
  <c r="M9" i="17"/>
  <c r="H9" i="17"/>
  <c r="G9" i="17"/>
  <c r="F9" i="17"/>
  <c r="E9" i="17"/>
  <c r="U9" i="17" l="1"/>
  <c r="V9" i="17"/>
  <c r="W9" i="17"/>
  <c r="B9" i="17"/>
  <c r="W10" i="17" l="1"/>
  <c r="X10" i="17"/>
  <c r="U11" i="17"/>
  <c r="W30" i="17"/>
  <c r="V30" i="17"/>
  <c r="U30" i="17"/>
  <c r="W29" i="17"/>
  <c r="V29" i="17"/>
  <c r="U29" i="17"/>
  <c r="W28" i="17"/>
  <c r="V28" i="17"/>
  <c r="U28" i="17"/>
  <c r="W27" i="17"/>
  <c r="V27" i="17"/>
  <c r="U27" i="17"/>
  <c r="W26" i="17"/>
  <c r="V26" i="17"/>
  <c r="U26" i="17"/>
  <c r="W25" i="17"/>
  <c r="V25" i="17"/>
  <c r="U25" i="17"/>
  <c r="W24" i="17"/>
  <c r="V24" i="17"/>
  <c r="U24" i="17"/>
  <c r="W23" i="17"/>
  <c r="V23" i="17"/>
  <c r="U23" i="17"/>
  <c r="W22" i="17"/>
  <c r="V22" i="17"/>
  <c r="U22" i="17"/>
  <c r="W21" i="17"/>
  <c r="V21" i="17"/>
  <c r="U21" i="17"/>
  <c r="W20" i="17"/>
  <c r="V20" i="17"/>
  <c r="U20" i="17"/>
  <c r="W19" i="17"/>
  <c r="V19" i="17"/>
  <c r="U19" i="17"/>
  <c r="W18" i="17"/>
  <c r="V18" i="17"/>
  <c r="U18" i="17"/>
  <c r="W17" i="17"/>
  <c r="V17" i="17"/>
  <c r="U17" i="17"/>
  <c r="W16" i="17"/>
  <c r="V16" i="17"/>
  <c r="U16" i="17"/>
  <c r="W15" i="17"/>
  <c r="V15" i="17"/>
  <c r="U15" i="17"/>
  <c r="W14" i="17"/>
  <c r="V14" i="17"/>
  <c r="U14" i="17"/>
  <c r="W13" i="17"/>
  <c r="V13" i="17"/>
  <c r="U13" i="17"/>
  <c r="W12" i="17"/>
  <c r="V12" i="17"/>
  <c r="U12" i="17"/>
  <c r="W11" i="17"/>
  <c r="V11" i="17"/>
  <c r="V10" i="17"/>
  <c r="S9" i="17"/>
  <c r="R9" i="17"/>
  <c r="Q9" i="17"/>
</calcChain>
</file>

<file path=xl/sharedStrings.xml><?xml version="1.0" encoding="utf-8"?>
<sst xmlns="http://schemas.openxmlformats.org/spreadsheetml/2006/main" count="75" uniqueCount="66">
  <si>
    <t>HA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</si>
  <si>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</si>
  <si>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</si>
  <si>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</si>
  <si>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</si>
  <si>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</si>
  <si>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</si>
  <si>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</si>
  <si>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</si>
  <si>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</si>
  <si>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</si>
  <si>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</si>
  <si>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</si>
  <si>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</si>
  <si>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</si>
  <si>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</si>
  <si>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</si>
  <si>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</si>
  <si>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</si>
  <si>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</si>
  <si>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</si>
  <si>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</si>
  <si>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</si>
  <si>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</si>
  <si>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</si>
  <si>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</si>
  <si>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</si>
  <si>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</si>
  <si>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</si>
  <si>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</si>
  <si>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Gn</t>
  </si>
  <si>
    <t>GDh</t>
  </si>
  <si>
    <t>Dh</t>
  </si>
  <si>
    <t>Th</t>
  </si>
  <si>
    <t>ADh</t>
  </si>
  <si>
    <t>Lh</t>
  </si>
  <si>
    <t>Sh</t>
  </si>
  <si>
    <t>HDh</t>
  </si>
  <si>
    <t xml:space="preserve">Source:  Ministry of Finance and Treasury and Elections Commission </t>
  </si>
  <si>
    <t>City / Atoll</t>
  </si>
  <si>
    <r>
      <t xml:space="preserve">Budget Expenditure  (MVR)      </t>
    </r>
    <r>
      <rPr>
        <b/>
        <sz val="10.5"/>
        <color theme="1"/>
        <rFont val="Faruma"/>
      </rPr>
      <t xml:space="preserve">  (ބަޖެޓް ޚަރަދު (ރުފިޔާ</t>
    </r>
    <r>
      <rPr>
        <b/>
        <sz val="10.5"/>
        <color theme="1"/>
        <rFont val="Calibri"/>
        <family val="2"/>
        <scheme val="minor"/>
      </rPr>
      <t xml:space="preserve"> </t>
    </r>
  </si>
  <si>
    <t>ސިޓީ / އަތޮޅު</t>
  </si>
  <si>
    <t xml:space="preserve">ކައުންސިލްތަކުގެ </t>
  </si>
  <si>
    <t>މެމްބަރުންގެ</t>
  </si>
  <si>
    <t>Total council budget</t>
  </si>
  <si>
    <t>Salary &amp; allowances of council members &amp; staff</t>
  </si>
  <si>
    <t xml:space="preserve"> ޢަދަދު</t>
  </si>
  <si>
    <t>ކައުންސިލް މެމްބަރުންނާއި މުވައްޒަފުންގެ މުސާރައާއި އެލަވަންސް</t>
  </si>
  <si>
    <t>Number of councils</t>
  </si>
  <si>
    <t>Number  of members (end)</t>
  </si>
  <si>
    <t>ކައުންސިލްތަކުގެ ޖުމްލަ ބަޖެޓް</t>
  </si>
  <si>
    <r>
      <t xml:space="preserve">Numbers      </t>
    </r>
    <r>
      <rPr>
        <b/>
        <sz val="10.5"/>
        <color theme="1"/>
        <rFont val="Faruma"/>
      </rPr>
      <t xml:space="preserve"> ޢަދަދު</t>
    </r>
  </si>
  <si>
    <r>
      <t xml:space="preserve">Percentage share  </t>
    </r>
    <r>
      <rPr>
        <b/>
        <sz val="10.5"/>
        <color theme="1"/>
        <rFont val="Faruma"/>
      </rPr>
      <t>އިންސައްތައިން</t>
    </r>
  </si>
  <si>
    <t>Total</t>
  </si>
  <si>
    <t>ޖުމްލަ</t>
  </si>
  <si>
    <t>Male' City</t>
  </si>
  <si>
    <t>މާލޭ ސިޓީ</t>
  </si>
  <si>
    <t>Addu City</t>
  </si>
  <si>
    <t>އައްޑޫ ސިޓީ</t>
  </si>
  <si>
    <t xml:space="preserve">މަޢުލޫމާތު ދެއްވި ފަރާތް:  މިނިސްޓްރީ އޮފް ފިނޭންސް އެންޑް ޓްރެޜަރީ އަދި އިލެކްޝަންސް ކޮމިޝަން </t>
  </si>
  <si>
    <t>TABLE 20.9: ELECTED LOCAL COUNCIL MEMBERS BY ATOLL AND FINANCIAL RESOURCES, 2011-2015</t>
  </si>
  <si>
    <t>ތާވަލު 20.9: ލޯކަލް ކައުންސިލްތަކާއި މެމްބަރުންގެ ޢަދަދު އަދި ކައުންސިލްތަކަށް ހިނގި ޚަރަދު، 2011-2015</t>
  </si>
  <si>
    <t>2015
Revised</t>
  </si>
  <si>
    <t>2016
Forecast</t>
  </si>
  <si>
    <t>2017
Forecast</t>
  </si>
  <si>
    <t>2018
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</si>
</sst>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b/>
      <sz val="10"/>
      <color theme="1" tint="0.14999847407452621"/>
      <name val="Faruma"/>
    </font>
    <font>
      <sz val="10"/>
      <color theme="1" tint="0.14999847407452621"/>
      <name val="Faruma"/>
    </font>
    <font>
      <sz val="10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0.5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Faruma"/>
    </font>
    <font>
      <sz val="10.5"/>
      <color theme="1"/>
      <name val="Calibri"/>
      <family val="2"/>
      <scheme val="minor"/>
    </font>
    <font>
      <b/>
      <sz val="10.5"/>
      <color theme="1"/>
      <name val="Faruma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dotted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theme="1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</borders>
  <cellStyleXfs count="11">
    <xf numFmtId="0" fontId="0" fillId="0" borderId="0"/>
    <xf numFmtId="0" fontId="4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6" fillId="0" borderId="0"/>
    <xf numFmtId="0" fontId="1" fillId="0" borderId="0"/>
  </cellStyleXfs>
  <cellXfs count="86">
    <xf numFmtId="0" fontId="0" fillId="0" borderId="0" xfId="0"/>
    <xf numFmtId="0" fontId="0" fillId="2" borderId="0" xfId="0" applyFill="1" applyBorder="1"/>
    <xf numFmtId="3" fontId="5" fillId="2" borderId="0" xfId="1" applyNumberFormat="1" applyFont="1" applyFill="1" applyBorder="1" applyAlignment="1" applyProtection="1">
      <alignment horizontal="right" vertical="center"/>
    </xf>
    <xf numFmtId="3" fontId="6" fillId="2" borderId="0" xfId="1" applyNumberFormat="1" applyFont="1" applyFill="1" applyBorder="1" applyAlignment="1" applyProtection="1">
      <alignment horizontal="right" vertical="center"/>
    </xf>
    <xf numFmtId="3" fontId="7" fillId="2" borderId="0" xfId="1" applyNumberFormat="1" applyFont="1" applyFill="1" applyBorder="1" applyAlignment="1" applyProtection="1">
      <alignment horizontal="right" vertical="center"/>
    </xf>
    <xf numFmtId="0" fontId="8" fillId="2" borderId="0" xfId="0" applyFont="1" applyFill="1" applyAlignment="1">
      <alignment horizontal="left" vertical="center"/>
    </xf>
    <xf numFmtId="165" fontId="2" fillId="2" borderId="0" xfId="2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0" fillId="2" borderId="0" xfId="0" applyFont="1" applyFill="1" applyBorder="1"/>
    <xf numFmtId="165" fontId="12" fillId="2" borderId="0" xfId="2" applyNumberFormat="1" applyFont="1" applyFill="1" applyBorder="1" applyAlignment="1">
      <alignment horizontal="center" vertical="center"/>
    </xf>
    <xf numFmtId="0" fontId="13" fillId="2" borderId="0" xfId="0" applyFont="1" applyFill="1" applyAlignment="1"/>
    <xf numFmtId="165" fontId="0" fillId="2" borderId="0" xfId="2" applyNumberFormat="1" applyFont="1" applyFill="1" applyBorder="1"/>
    <xf numFmtId="0" fontId="14" fillId="2" borderId="2" xfId="0" applyFont="1" applyFill="1" applyBorder="1" applyAlignment="1">
      <alignment horizontal="center"/>
    </xf>
    <xf numFmtId="0" fontId="14" fillId="2" borderId="2" xfId="0" applyFont="1" applyFill="1" applyBorder="1"/>
    <xf numFmtId="0" fontId="15" fillId="2" borderId="0" xfId="0" applyFont="1" applyFill="1" applyBorder="1" applyAlignment="1">
      <alignment horizontal="right" vertical="center" wrapText="1"/>
    </xf>
    <xf numFmtId="0" fontId="11" fillId="2" borderId="0" xfId="0" applyFont="1" applyFill="1" applyBorder="1" applyAlignment="1">
      <alignment horizontal="right" vertical="center" wrapText="1"/>
    </xf>
    <xf numFmtId="0" fontId="11" fillId="2" borderId="5" xfId="0" applyFont="1" applyFill="1" applyBorder="1" applyAlignment="1">
      <alignment horizontal="right" vertical="center" wrapText="1"/>
    </xf>
    <xf numFmtId="0" fontId="11" fillId="2" borderId="5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horizontal="right" vertical="center" wrapText="1"/>
    </xf>
    <xf numFmtId="0" fontId="12" fillId="2" borderId="0" xfId="5" applyFont="1" applyFill="1" applyBorder="1" applyAlignment="1">
      <alignment horizontal="left" vertical="top" wrapText="1" indent="2"/>
    </xf>
    <xf numFmtId="43" fontId="0" fillId="2" borderId="0" xfId="2" applyFont="1" applyFill="1" applyBorder="1"/>
    <xf numFmtId="0" fontId="12" fillId="2" borderId="1" xfId="5" applyFont="1" applyFill="1" applyBorder="1" applyAlignment="1">
      <alignment horizontal="left" vertical="top" wrapText="1" indent="2"/>
    </xf>
    <xf numFmtId="3" fontId="6" fillId="2" borderId="1" xfId="1" applyNumberFormat="1" applyFont="1" applyFill="1" applyBorder="1" applyAlignment="1" applyProtection="1">
      <alignment horizontal="right" vertical="center"/>
    </xf>
    <xf numFmtId="0" fontId="0" fillId="2" borderId="0" xfId="0" applyFill="1" applyBorder="1" applyAlignment="1">
      <alignment horizontal="center"/>
    </xf>
    <xf numFmtId="165" fontId="0" fillId="2" borderId="0" xfId="2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wrapText="1"/>
    </xf>
    <xf numFmtId="37" fontId="2" fillId="2" borderId="0" xfId="2" applyNumberFormat="1" applyFont="1" applyFill="1" applyBorder="1" applyAlignment="1">
      <alignment vertical="center"/>
    </xf>
    <xf numFmtId="165" fontId="2" fillId="2" borderId="0" xfId="2" applyNumberFormat="1" applyFont="1" applyFill="1" applyBorder="1" applyAlignment="1">
      <alignment vertical="center" wrapText="1"/>
    </xf>
    <xf numFmtId="166" fontId="2" fillId="2" borderId="7" xfId="0" applyNumberFormat="1" applyFont="1" applyFill="1" applyBorder="1" applyAlignment="1">
      <alignment vertical="center" wrapText="1"/>
    </xf>
    <xf numFmtId="166" fontId="2" fillId="2" borderId="2" xfId="0" applyNumberFormat="1" applyFont="1" applyFill="1" applyBorder="1" applyAlignment="1">
      <alignment vertical="center" wrapText="1"/>
    </xf>
    <xf numFmtId="166" fontId="2" fillId="2" borderId="0" xfId="0" applyNumberFormat="1" applyFont="1" applyFill="1" applyBorder="1" applyAlignment="1">
      <alignment vertical="center" wrapText="1"/>
    </xf>
    <xf numFmtId="37" fontId="1" fillId="2" borderId="0" xfId="2" applyNumberFormat="1" applyFont="1" applyFill="1" applyBorder="1" applyAlignment="1">
      <alignment vertical="center"/>
    </xf>
    <xf numFmtId="165" fontId="1" fillId="2" borderId="0" xfId="2" applyNumberFormat="1" applyFont="1" applyFill="1" applyBorder="1" applyAlignment="1">
      <alignment vertical="center"/>
    </xf>
    <xf numFmtId="166" fontId="1" fillId="2" borderId="7" xfId="0" applyNumberFormat="1" applyFont="1" applyFill="1" applyBorder="1" applyAlignment="1">
      <alignment vertical="center" wrapText="1"/>
    </xf>
    <xf numFmtId="166" fontId="1" fillId="2" borderId="0" xfId="0" applyNumberFormat="1" applyFont="1" applyFill="1" applyBorder="1" applyAlignment="1">
      <alignment vertical="center" wrapText="1"/>
    </xf>
    <xf numFmtId="37" fontId="1" fillId="2" borderId="1" xfId="2" applyNumberFormat="1" applyFont="1" applyFill="1" applyBorder="1" applyAlignment="1">
      <alignment vertical="center"/>
    </xf>
    <xf numFmtId="165" fontId="1" fillId="2" borderId="1" xfId="2" applyNumberFormat="1" applyFont="1" applyFill="1" applyBorder="1" applyAlignment="1">
      <alignment vertical="center"/>
    </xf>
    <xf numFmtId="166" fontId="1" fillId="2" borderId="8" xfId="0" applyNumberFormat="1" applyFont="1" applyFill="1" applyBorder="1" applyAlignment="1">
      <alignment vertical="center" wrapText="1"/>
    </xf>
    <xf numFmtId="166" fontId="1" fillId="2" borderId="1" xfId="0" applyNumberFormat="1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9" fillId="2" borderId="0" xfId="0" applyFont="1" applyFill="1" applyBorder="1" applyAlignment="1">
      <alignment wrapText="1"/>
    </xf>
    <xf numFmtId="165" fontId="9" fillId="2" borderId="0" xfId="2" applyNumberFormat="1" applyFont="1" applyFill="1" applyBorder="1"/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166" fontId="2" fillId="2" borderId="11" xfId="0" applyNumberFormat="1" applyFont="1" applyFill="1" applyBorder="1" applyAlignment="1">
      <alignment vertical="center" wrapText="1"/>
    </xf>
    <xf numFmtId="166" fontId="1" fillId="2" borderId="7" xfId="2" applyNumberFormat="1" applyFont="1" applyFill="1" applyBorder="1" applyAlignment="1">
      <alignment vertical="center"/>
    </xf>
    <xf numFmtId="166" fontId="1" fillId="2" borderId="0" xfId="2" applyNumberFormat="1" applyFont="1" applyFill="1" applyBorder="1" applyAlignment="1">
      <alignment vertical="center" wrapText="1"/>
    </xf>
    <xf numFmtId="166" fontId="1" fillId="2" borderId="11" xfId="2" applyNumberFormat="1" applyFont="1" applyFill="1" applyBorder="1" applyAlignment="1">
      <alignment vertical="center"/>
    </xf>
    <xf numFmtId="166" fontId="1" fillId="2" borderId="0" xfId="2" applyNumberFormat="1" applyFont="1" applyFill="1" applyBorder="1" applyAlignment="1">
      <alignment vertical="center"/>
    </xf>
    <xf numFmtId="166" fontId="1" fillId="2" borderId="8" xfId="2" applyNumberFormat="1" applyFont="1" applyFill="1" applyBorder="1" applyAlignment="1">
      <alignment vertical="center"/>
    </xf>
    <xf numFmtId="166" fontId="1" fillId="2" borderId="1" xfId="2" applyNumberFormat="1" applyFont="1" applyFill="1" applyBorder="1" applyAlignment="1">
      <alignment vertical="center" wrapText="1"/>
    </xf>
    <xf numFmtId="166" fontId="1" fillId="2" borderId="9" xfId="2" applyNumberFormat="1" applyFont="1" applyFill="1" applyBorder="1" applyAlignment="1">
      <alignment vertical="center"/>
    </xf>
    <xf numFmtId="166" fontId="1" fillId="2" borderId="1" xfId="2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</cellXfs>
  <cellStyles count="11">
    <cellStyle name="Comma" xfId="2" builtinId="3"/>
    <cellStyle name="Comma 2" xfId="3"/>
    <cellStyle name="Comma 3" xfId="4"/>
    <cellStyle name="Normal" xfId="0" builtinId="0"/>
    <cellStyle name="Normal 2" xfId="7"/>
    <cellStyle name="Normal 2 2" xfId="9"/>
    <cellStyle name="Normal 2 3" xfId="10"/>
    <cellStyle name="Normal 3" xfId="6"/>
    <cellStyle name="Normal 3 2" xfId="8"/>
    <cellStyle name="Normal_19.8" xfId="5"/>
    <cellStyle name="Normal_II-15(Population) 2" xfId="1"/>
  </cellStyles>
  <dxfs count="0"/>
  <tableStyles count="0" defaultTableStyle="TableStyleMedium9" defaultPivotStyle="PivotStyleLight16"/>
  <colors>
    <mruColors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293476811789627E-2"/>
          <c:y val="0.14425392254864164"/>
          <c:w val="0.89284232107309081"/>
          <c:h val="0.671016979799599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'20.9'!$A$10:$A$30</c:f>
              <c:strCache>
                <c:ptCount val="21"/>
                <c:pt idx="0">
                  <c:v>Male' City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Addu City</c:v>
                </c:pt>
              </c:strCache>
            </c:strRef>
          </c:cat>
          <c:val>
            <c:numRef>
              <c:f>'20.9'!$Y$10:$Y$30</c:f>
              <c:numCache>
                <c:formatCode>_(* #,##0.0_);_(* \(#,##0.0\);_(* "-"??_);_(@_)</c:formatCode>
                <c:ptCount val="21"/>
                <c:pt idx="0">
                  <c:v>32.614153947572326</c:v>
                </c:pt>
                <c:pt idx="1">
                  <c:v>67.072046654009412</c:v>
                </c:pt>
                <c:pt idx="2">
                  <c:v>71.159010480924763</c:v>
                </c:pt>
                <c:pt idx="3">
                  <c:v>67.774596022480978</c:v>
                </c:pt>
                <c:pt idx="4">
                  <c:v>66.068301218847495</c:v>
                </c:pt>
                <c:pt idx="5">
                  <c:v>64.076065299676216</c:v>
                </c:pt>
                <c:pt idx="6">
                  <c:v>68.583574683812913</c:v>
                </c:pt>
                <c:pt idx="7">
                  <c:v>75.202829401184928</c:v>
                </c:pt>
                <c:pt idx="8">
                  <c:v>64.969914141832632</c:v>
                </c:pt>
                <c:pt idx="9">
                  <c:v>68.629016204114492</c:v>
                </c:pt>
                <c:pt idx="10">
                  <c:v>74.374283731858995</c:v>
                </c:pt>
                <c:pt idx="11">
                  <c:v>74.882072031951353</c:v>
                </c:pt>
                <c:pt idx="12">
                  <c:v>72.602147792597563</c:v>
                </c:pt>
                <c:pt idx="13">
                  <c:v>61.821631474235929</c:v>
                </c:pt>
                <c:pt idx="14">
                  <c:v>52.18768934070409</c:v>
                </c:pt>
                <c:pt idx="15">
                  <c:v>71.40989584567761</c:v>
                </c:pt>
                <c:pt idx="16">
                  <c:v>75.903560067703722</c:v>
                </c:pt>
                <c:pt idx="17">
                  <c:v>59.762600535730726</c:v>
                </c:pt>
                <c:pt idx="18">
                  <c:v>61.79713228869138</c:v>
                </c:pt>
                <c:pt idx="19">
                  <c:v>87.537075198772882</c:v>
                </c:pt>
                <c:pt idx="20">
                  <c:v>58.502540284227464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902720"/>
        <c:axId val="133904256"/>
      </c:barChart>
      <c:catAx>
        <c:axId val="133902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33904256"/>
        <c:crosses val="autoZero"/>
        <c:auto val="1"/>
        <c:lblAlgn val="ctr"/>
        <c:lblOffset val="100"/>
        <c:noMultiLvlLbl val="0"/>
      </c:catAx>
      <c:valAx>
        <c:axId val="133904256"/>
        <c:scaling>
          <c:orientation val="minMax"/>
          <c:max val="9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3078192943249675E-2"/>
              <c:y val="0.3577050338789825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crossAx val="133902720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773212890571392E-2"/>
          <c:y val="0.18793382932943273"/>
          <c:w val="0.89559878922943592"/>
          <c:h val="0.65359512319455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'20.9'!$B$7</c:f>
              <c:strCache>
                <c:ptCount val="1"/>
                <c:pt idx="0">
                  <c:v>Number of councils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'20.9'!$A$10:$A$30</c:f>
              <c:strCache>
                <c:ptCount val="21"/>
                <c:pt idx="0">
                  <c:v>Male' City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Addu City</c:v>
                </c:pt>
              </c:strCache>
            </c:strRef>
          </c:cat>
          <c:val>
            <c:numRef>
              <c:f>'20.9'!$B$10:$B$30</c:f>
              <c:numCache>
                <c:formatCode>#,##0_);\(#,##0\)</c:formatCode>
                <c:ptCount val="21"/>
                <c:pt idx="0">
                  <c:v>1</c:v>
                </c:pt>
                <c:pt idx="1">
                  <c:v>15</c:v>
                </c:pt>
                <c:pt idx="2">
                  <c:v>14</c:v>
                </c:pt>
                <c:pt idx="3">
                  <c:v>15</c:v>
                </c:pt>
                <c:pt idx="4">
                  <c:v>14</c:v>
                </c:pt>
                <c:pt idx="5">
                  <c:v>16</c:v>
                </c:pt>
                <c:pt idx="6">
                  <c:v>14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11</c:v>
                </c:pt>
                <c:pt idx="11">
                  <c:v>6</c:v>
                </c:pt>
                <c:pt idx="12">
                  <c:v>9</c:v>
                </c:pt>
                <c:pt idx="13">
                  <c:v>6</c:v>
                </c:pt>
                <c:pt idx="14">
                  <c:v>7</c:v>
                </c:pt>
                <c:pt idx="15">
                  <c:v>14</c:v>
                </c:pt>
                <c:pt idx="16">
                  <c:v>13</c:v>
                </c:pt>
                <c:pt idx="17">
                  <c:v>10</c:v>
                </c:pt>
                <c:pt idx="18">
                  <c:v>10</c:v>
                </c:pt>
                <c:pt idx="19">
                  <c:v>9</c:v>
                </c:pt>
                <c:pt idx="20">
                  <c:v>1</c:v>
                </c:pt>
              </c:numCache>
            </c:numRef>
          </c:val>
        </c:ser>
        <c:ser>
          <c:idx val="1"/>
          <c:order val="1"/>
          <c:tx>
            <c:strRef>
              <c:f>'20.9'!$C$7</c:f>
              <c:strCache>
                <c:ptCount val="1"/>
                <c:pt idx="0">
                  <c:v>Number  of members (end)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'20.9'!$A$10:$A$30</c:f>
              <c:strCache>
                <c:ptCount val="21"/>
                <c:pt idx="0">
                  <c:v>Male' City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Addu City</c:v>
                </c:pt>
              </c:strCache>
            </c:strRef>
          </c:cat>
          <c:val>
            <c:numRef>
              <c:f>'20.9'!$C$10:$C$30</c:f>
              <c:numCache>
                <c:formatCode>#,##0_);\(#,##0\)</c:formatCode>
                <c:ptCount val="21"/>
                <c:pt idx="0">
                  <c:v>11</c:v>
                </c:pt>
                <c:pt idx="1">
                  <c:v>86</c:v>
                </c:pt>
                <c:pt idx="2">
                  <c:v>77</c:v>
                </c:pt>
                <c:pt idx="3">
                  <c:v>78</c:v>
                </c:pt>
                <c:pt idx="4">
                  <c:v>71</c:v>
                </c:pt>
                <c:pt idx="5">
                  <c:v>87</c:v>
                </c:pt>
                <c:pt idx="6">
                  <c:v>73</c:v>
                </c:pt>
                <c:pt idx="7">
                  <c:v>30</c:v>
                </c:pt>
                <c:pt idx="8">
                  <c:v>51</c:v>
                </c:pt>
                <c:pt idx="9">
                  <c:v>46</c:v>
                </c:pt>
                <c:pt idx="10">
                  <c:v>56</c:v>
                </c:pt>
                <c:pt idx="11">
                  <c:v>31</c:v>
                </c:pt>
                <c:pt idx="12">
                  <c:v>46</c:v>
                </c:pt>
                <c:pt idx="13">
                  <c:v>31</c:v>
                </c:pt>
                <c:pt idx="14">
                  <c:v>36</c:v>
                </c:pt>
                <c:pt idx="15">
                  <c:v>71</c:v>
                </c:pt>
                <c:pt idx="16">
                  <c:v>70</c:v>
                </c:pt>
                <c:pt idx="17">
                  <c:v>47</c:v>
                </c:pt>
                <c:pt idx="18">
                  <c:v>56</c:v>
                </c:pt>
                <c:pt idx="19">
                  <c:v>29</c:v>
                </c:pt>
                <c:pt idx="20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917312"/>
        <c:axId val="133923200"/>
      </c:barChart>
      <c:catAx>
        <c:axId val="13391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33923200"/>
        <c:crosses val="autoZero"/>
        <c:auto val="1"/>
        <c:lblAlgn val="ctr"/>
        <c:lblOffset val="100"/>
        <c:noMultiLvlLbl val="0"/>
      </c:catAx>
      <c:valAx>
        <c:axId val="133923200"/>
        <c:scaling>
          <c:orientation val="minMax"/>
          <c:max val="90"/>
          <c:min val="0"/>
        </c:scaling>
        <c:delete val="0"/>
        <c:axPos val="l"/>
        <c:majorGridlines>
          <c:spPr>
            <a:ln>
              <a:solidFill>
                <a:srgbClr val="33CCCC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>
                    <a:latin typeface="+mn-lt"/>
                  </a:rPr>
                  <a:t>In Numbers</a:t>
                </a:r>
              </a:p>
            </c:rich>
          </c:tx>
          <c:layout>
            <c:manualLayout>
              <c:xMode val="edge"/>
              <c:yMode val="edge"/>
              <c:x val="9.228832099203655E-3"/>
              <c:y val="0.39834348137828041"/>
            </c:manualLayout>
          </c:layout>
          <c:overlay val="0"/>
        </c:title>
        <c:numFmt formatCode="#,##0_);\(#,##0\)" sourceLinked="1"/>
        <c:majorTickMark val="out"/>
        <c:minorTickMark val="none"/>
        <c:tickLblPos val="nextTo"/>
        <c:crossAx val="133917312"/>
        <c:crosses val="autoZero"/>
        <c:crossBetween val="between"/>
      </c:valAx>
      <c:spPr>
        <a:noFill/>
        <a:ln>
          <a:solidFill>
            <a:sysClr val="window" lastClr="FFFFFF">
              <a:lumMod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36754925083113921"/>
          <c:y val="0.203082303434866"/>
          <c:w val="0.55901592544780954"/>
          <c:h val="5.1010447639906448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686741</xdr:colOff>
      <xdr:row>51</xdr:row>
      <xdr:rowOff>63530</xdr:rowOff>
    </xdr:from>
    <xdr:to>
      <xdr:col>15</xdr:col>
      <xdr:colOff>259080</xdr:colOff>
      <xdr:row>66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703392</xdr:colOff>
      <xdr:row>32</xdr:row>
      <xdr:rowOff>141923</xdr:rowOff>
    </xdr:from>
    <xdr:to>
      <xdr:col>15</xdr:col>
      <xdr:colOff>198120</xdr:colOff>
      <xdr:row>49</xdr:row>
      <xdr:rowOff>97100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476249</xdr:colOff>
      <xdr:row>52</xdr:row>
      <xdr:rowOff>104775</xdr:rowOff>
    </xdr:from>
    <xdr:to>
      <xdr:col>15</xdr:col>
      <xdr:colOff>104775</xdr:colOff>
      <xdr:row>52</xdr:row>
      <xdr:rowOff>123825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343024" y="11877675"/>
          <a:ext cx="6238876" cy="1905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495301</xdr:colOff>
      <xdr:row>34</xdr:row>
      <xdr:rowOff>104775</xdr:rowOff>
    </xdr:from>
    <xdr:to>
      <xdr:col>14</xdr:col>
      <xdr:colOff>219076</xdr:colOff>
      <xdr:row>34</xdr:row>
      <xdr:rowOff>133350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1362076" y="8448675"/>
          <a:ext cx="5753100" cy="2857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0.08549</cdr:x>
      <cdr:y>0.03315</cdr:y>
    </cdr:from>
    <cdr:to>
      <cdr:x>0.99064</cdr:x>
      <cdr:y>0.1236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2675" y="97175"/>
          <a:ext cx="6380822" cy="2651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latin typeface="Consolas" pitchFamily="49" charset="0"/>
              <a:ea typeface="+mn-ea"/>
              <a:cs typeface="Consolas" pitchFamily="49" charset="0"/>
            </a:rPr>
            <a:t>Figure 20.7: Share of salary &amp; allowances  as  a percentage  of council budget, 2015</a:t>
          </a:r>
          <a:endParaRPr lang="en-US" sz="1050" b="1" i="0" baseline="0"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0.08097</cdr:x>
      <cdr:y>0.02829</cdr:y>
    </cdr:from>
    <cdr:to>
      <cdr:x>0.95701</cdr:x>
      <cdr:y>0.11781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31048" y="86677"/>
          <a:ext cx="574548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latin typeface="Consolas" pitchFamily="49" charset="0"/>
              <a:ea typeface="+mn-ea"/>
              <a:cs typeface="Consolas" pitchFamily="49" charset="0"/>
            </a:rPr>
            <a:t>Figure 20.6: Number of local councils and council members by Atoll, 2015</a:t>
          </a: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123"/>
  <sheetViews>
    <sheetView tabSelected="1" topLeftCell="A25" zoomScaleNormal="100" workbookViewId="0">
      <selection activeCell="AD63" sqref="AD63"/>
    </sheetView>
  </sheetViews>
  <sheetFormatPr defaultColWidth="9.140625" defaultRowHeight="15" x14ac:dyDescent="0.25"/>
  <cols>
    <col min="1" max="1" width="13" style="8" customWidth="1"/>
    <col min="2" max="2" width="13.7109375" style="57" customWidth="1"/>
    <col min="3" max="3" width="15.140625" style="8" customWidth="1"/>
    <col min="4" max="4" width="0.5703125" style="8" customWidth="1"/>
    <col min="5" max="6" width="8.7109375" style="8" customWidth="1"/>
    <col min="7" max="9" width="8.7109375" style="26" customWidth="1"/>
    <col min="10" max="12" width="8.7109375" style="26" hidden="1" customWidth="1"/>
    <col min="13" max="15" width="8.7109375" style="8" customWidth="1"/>
    <col min="16" max="16" width="8.5703125" style="8" customWidth="1"/>
    <col min="17" max="17" width="8.85546875" style="8" customWidth="1"/>
    <col min="18" max="18" width="9.140625" style="8" hidden="1" customWidth="1"/>
    <col min="19" max="19" width="8.140625" style="11" hidden="1" customWidth="1"/>
    <col min="20" max="20" width="8.7109375" style="8" hidden="1" customWidth="1"/>
    <col min="21" max="21" width="9.140625" style="8"/>
    <col min="22" max="22" width="9.140625" style="8" customWidth="1"/>
    <col min="23" max="24" width="9.140625" style="8"/>
    <col min="25" max="25" width="9.140625" style="8" customWidth="1"/>
    <col min="26" max="27" width="9.140625" style="8" hidden="1" customWidth="1"/>
    <col min="28" max="28" width="0" style="8" hidden="1" customWidth="1"/>
    <col min="29" max="29" width="14.42578125" style="8" customWidth="1"/>
    <col min="30" max="16384" width="9.140625" style="8"/>
  </cols>
  <sheetData>
    <row r="1" spans="1:35" ht="21.75" x14ac:dyDescent="0.55000000000000004">
      <c r="A1" s="65" t="s">
        <v>61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10"/>
      <c r="AE1" s="10"/>
      <c r="AF1" s="11"/>
      <c r="AG1" s="11"/>
    </row>
    <row r="2" spans="1:35" x14ac:dyDescent="0.25">
      <c r="A2" s="66" t="s">
        <v>60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F2" s="11"/>
      <c r="AG2" s="11"/>
    </row>
    <row r="3" spans="1:35" x14ac:dyDescent="0.25">
      <c r="B3" s="67"/>
      <c r="C3" s="67"/>
      <c r="D3" s="67"/>
      <c r="E3" s="67"/>
      <c r="F3" s="57"/>
      <c r="G3" s="25"/>
      <c r="H3" s="25"/>
      <c r="I3" s="25"/>
      <c r="J3" s="25"/>
      <c r="K3" s="25"/>
      <c r="L3" s="25"/>
      <c r="M3" s="67"/>
      <c r="N3" s="6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F3" s="11"/>
      <c r="AG3" s="11"/>
    </row>
    <row r="4" spans="1:35" ht="19.5" customHeight="1" x14ac:dyDescent="0.25">
      <c r="A4" s="63" t="s">
        <v>39</v>
      </c>
      <c r="B4" s="12"/>
      <c r="C4" s="13"/>
      <c r="D4" s="13"/>
      <c r="E4" s="68" t="s">
        <v>40</v>
      </c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0" t="s">
        <v>41</v>
      </c>
      <c r="AF4" s="11"/>
      <c r="AG4" s="11"/>
    </row>
    <row r="5" spans="1:35" ht="16.5" customHeight="1" x14ac:dyDescent="0.25">
      <c r="A5" s="64"/>
      <c r="B5" s="14" t="s">
        <v>42</v>
      </c>
      <c r="C5" s="14" t="s">
        <v>43</v>
      </c>
      <c r="D5" s="14"/>
      <c r="E5" s="68" t="s">
        <v>44</v>
      </c>
      <c r="F5" s="69"/>
      <c r="G5" s="69"/>
      <c r="H5" s="69"/>
      <c r="I5" s="69"/>
      <c r="J5" s="69"/>
      <c r="K5" s="69"/>
      <c r="L5" s="70"/>
      <c r="M5" s="82" t="s">
        <v>45</v>
      </c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61"/>
      <c r="AF5" s="11"/>
      <c r="AG5" s="11"/>
    </row>
    <row r="6" spans="1:35" ht="18" customHeight="1" x14ac:dyDescent="0.25">
      <c r="A6" s="64"/>
      <c r="B6" s="14" t="s">
        <v>46</v>
      </c>
      <c r="C6" s="14" t="s">
        <v>46</v>
      </c>
      <c r="D6" s="14"/>
      <c r="E6" s="71"/>
      <c r="F6" s="72"/>
      <c r="G6" s="72"/>
      <c r="H6" s="72"/>
      <c r="I6" s="72"/>
      <c r="J6" s="72"/>
      <c r="K6" s="72"/>
      <c r="L6" s="73"/>
      <c r="M6" s="84" t="s">
        <v>47</v>
      </c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61"/>
      <c r="AF6" s="11"/>
      <c r="AG6" s="11"/>
    </row>
    <row r="7" spans="1:35" ht="28.5" customHeight="1" x14ac:dyDescent="0.25">
      <c r="A7" s="64"/>
      <c r="B7" s="15" t="s">
        <v>48</v>
      </c>
      <c r="C7" s="15" t="s">
        <v>49</v>
      </c>
      <c r="D7" s="15"/>
      <c r="E7" s="74" t="s">
        <v>50</v>
      </c>
      <c r="F7" s="75"/>
      <c r="G7" s="75"/>
      <c r="H7" s="75"/>
      <c r="I7" s="75"/>
      <c r="J7" s="75"/>
      <c r="K7" s="75"/>
      <c r="L7" s="76"/>
      <c r="M7" s="79" t="s">
        <v>51</v>
      </c>
      <c r="N7" s="80"/>
      <c r="O7" s="80"/>
      <c r="P7" s="80"/>
      <c r="Q7" s="80"/>
      <c r="R7" s="80"/>
      <c r="S7" s="80"/>
      <c r="T7" s="81"/>
      <c r="U7" s="77" t="s">
        <v>52</v>
      </c>
      <c r="V7" s="78"/>
      <c r="W7" s="78"/>
      <c r="X7" s="78"/>
      <c r="Y7" s="78"/>
      <c r="Z7" s="78"/>
      <c r="AA7" s="78"/>
      <c r="AB7" s="78"/>
      <c r="AC7" s="61"/>
      <c r="AF7" s="11"/>
      <c r="AG7" s="11"/>
    </row>
    <row r="8" spans="1:35" ht="27.6" customHeight="1" x14ac:dyDescent="0.25">
      <c r="A8" s="59"/>
      <c r="B8" s="16">
        <v>2015</v>
      </c>
      <c r="C8" s="16">
        <v>2015</v>
      </c>
      <c r="D8" s="17"/>
      <c r="E8" s="44">
        <v>2011</v>
      </c>
      <c r="F8" s="45">
        <v>2012</v>
      </c>
      <c r="G8" s="45">
        <v>2013</v>
      </c>
      <c r="H8" s="45">
        <v>2014</v>
      </c>
      <c r="I8" s="45" t="s">
        <v>62</v>
      </c>
      <c r="J8" s="45" t="s">
        <v>63</v>
      </c>
      <c r="K8" s="45" t="s">
        <v>64</v>
      </c>
      <c r="L8" s="45" t="s">
        <v>65</v>
      </c>
      <c r="M8" s="46">
        <v>2011</v>
      </c>
      <c r="N8" s="45">
        <v>2012</v>
      </c>
      <c r="O8" s="45">
        <v>2013</v>
      </c>
      <c r="P8" s="45">
        <v>2014</v>
      </c>
      <c r="Q8" s="45" t="s">
        <v>62</v>
      </c>
      <c r="R8" s="45" t="s">
        <v>63</v>
      </c>
      <c r="S8" s="45" t="s">
        <v>64</v>
      </c>
      <c r="T8" s="45" t="s">
        <v>65</v>
      </c>
      <c r="U8" s="18">
        <v>2011</v>
      </c>
      <c r="V8" s="16">
        <v>2012</v>
      </c>
      <c r="W8" s="16">
        <v>2013</v>
      </c>
      <c r="X8" s="16">
        <v>2014</v>
      </c>
      <c r="Y8" s="45" t="s">
        <v>62</v>
      </c>
      <c r="Z8" s="45" t="s">
        <v>63</v>
      </c>
      <c r="AA8" s="45" t="s">
        <v>64</v>
      </c>
      <c r="AB8" s="45" t="s">
        <v>65</v>
      </c>
      <c r="AC8" s="62"/>
      <c r="AF8" s="11"/>
      <c r="AG8" s="11"/>
    </row>
    <row r="9" spans="1:35" ht="19.5" customHeight="1" x14ac:dyDescent="0.25">
      <c r="A9" s="56" t="s">
        <v>53</v>
      </c>
      <c r="B9" s="27">
        <f>SUM(B10:B30)</f>
        <v>209</v>
      </c>
      <c r="C9" s="27">
        <f>SUM(C10:C30)</f>
        <v>1089</v>
      </c>
      <c r="D9" s="28"/>
      <c r="E9" s="29">
        <f t="shared" ref="E9:H9" si="0">SUM(E10:E30)</f>
        <v>662.69137099999989</v>
      </c>
      <c r="F9" s="31">
        <f t="shared" si="0"/>
        <v>965.92251699999997</v>
      </c>
      <c r="G9" s="31">
        <f t="shared" si="0"/>
        <v>846.04417799999999</v>
      </c>
      <c r="H9" s="31">
        <f t="shared" si="0"/>
        <v>978.71340600000008</v>
      </c>
      <c r="I9" s="31">
        <f>SUM(I10:I30)</f>
        <v>1087.2140262488888</v>
      </c>
      <c r="J9" s="31">
        <f t="shared" ref="J9:K9" si="1">SUM(J10:J30)</f>
        <v>925.95889499999998</v>
      </c>
      <c r="K9" s="31">
        <f t="shared" si="1"/>
        <v>934.59519899999987</v>
      </c>
      <c r="L9" s="31">
        <f>SUM(L10:L30)</f>
        <v>943.73878500000001</v>
      </c>
      <c r="M9" s="47">
        <f>SUM(M10:M30)</f>
        <v>446.27385500000003</v>
      </c>
      <c r="N9" s="31">
        <f t="shared" ref="N9:P9" si="2">SUM(N10:N30)</f>
        <v>620.73176699999999</v>
      </c>
      <c r="O9" s="31">
        <f t="shared" si="2"/>
        <v>597.28236500000003</v>
      </c>
      <c r="P9" s="31">
        <f t="shared" si="2"/>
        <v>589.38817600000004</v>
      </c>
      <c r="Q9" s="31">
        <f t="shared" ref="Q9:T9" si="3">SUM(Q10:Q30)</f>
        <v>684.01959172999989</v>
      </c>
      <c r="R9" s="31">
        <f t="shared" si="3"/>
        <v>593.56098100000008</v>
      </c>
      <c r="S9" s="31">
        <f t="shared" si="3"/>
        <v>594.43960200000004</v>
      </c>
      <c r="T9" s="31">
        <f t="shared" si="3"/>
        <v>595.36216200000001</v>
      </c>
      <c r="U9" s="29">
        <f t="shared" ref="U9:X10" si="4">M9/E9*100</f>
        <v>67.342638599107403</v>
      </c>
      <c r="V9" s="30">
        <f t="shared" si="4"/>
        <v>64.263101447090492</v>
      </c>
      <c r="W9" s="31">
        <f t="shared" si="4"/>
        <v>70.597065795304133</v>
      </c>
      <c r="X9" s="31">
        <f t="shared" si="4"/>
        <v>60.220711434701649</v>
      </c>
      <c r="Y9" s="31">
        <f t="shared" ref="Y9" si="5">Q9/I9*100</f>
        <v>62.91489763887683</v>
      </c>
      <c r="Z9" s="31">
        <f t="shared" ref="Z9" si="6">R9/J9*100</f>
        <v>64.102303482920817</v>
      </c>
      <c r="AA9" s="31">
        <f t="shared" ref="AA9" si="7">S9/K9*100</f>
        <v>63.603964864792772</v>
      </c>
      <c r="AB9" s="31">
        <f t="shared" ref="AB9" si="8">T9/L9*100</f>
        <v>63.085482070126005</v>
      </c>
      <c r="AC9" s="58" t="s">
        <v>54</v>
      </c>
      <c r="AF9" s="11"/>
      <c r="AG9" s="11"/>
    </row>
    <row r="10" spans="1:35" ht="19.5" customHeight="1" x14ac:dyDescent="0.25">
      <c r="A10" s="19" t="s">
        <v>55</v>
      </c>
      <c r="B10" s="32">
        <v>1</v>
      </c>
      <c r="C10" s="32">
        <v>11</v>
      </c>
      <c r="D10" s="33"/>
      <c r="E10" s="48">
        <v>61.912550000000003</v>
      </c>
      <c r="F10" s="49">
        <v>156.82399699999999</v>
      </c>
      <c r="G10" s="49">
        <v>156.84509800000001</v>
      </c>
      <c r="H10" s="49">
        <v>214.02913000000001</v>
      </c>
      <c r="I10" s="49">
        <v>137.56715588</v>
      </c>
      <c r="J10" s="49">
        <v>62.006798000000003</v>
      </c>
      <c r="K10" s="49">
        <v>62.311397999999997</v>
      </c>
      <c r="L10" s="49">
        <v>62.321505999999999</v>
      </c>
      <c r="M10" s="50">
        <v>33.687016</v>
      </c>
      <c r="N10" s="51">
        <v>85.331259000000003</v>
      </c>
      <c r="O10" s="51">
        <v>84.670901000000001</v>
      </c>
      <c r="P10" s="51">
        <v>79.983987999999997</v>
      </c>
      <c r="Q10" s="49">
        <v>44.866363999999997</v>
      </c>
      <c r="R10" s="51">
        <v>44.163082000000003</v>
      </c>
      <c r="S10" s="51">
        <v>44.163082000000003</v>
      </c>
      <c r="T10" s="51">
        <v>44.163082000000003</v>
      </c>
      <c r="U10" s="34">
        <f t="shared" si="4"/>
        <v>54.410642107294883</v>
      </c>
      <c r="V10" s="35">
        <f t="shared" si="4"/>
        <v>54.412118446388021</v>
      </c>
      <c r="W10" s="35">
        <f t="shared" si="4"/>
        <v>53.983772575410669</v>
      </c>
      <c r="X10" s="51">
        <f t="shared" si="4"/>
        <v>37.370608384008285</v>
      </c>
      <c r="Y10" s="51">
        <f t="shared" ref="Y10:AB10" si="9">Q10/I10*100</f>
        <v>32.614153947572326</v>
      </c>
      <c r="Z10" s="51">
        <f t="shared" si="9"/>
        <v>71.222968165522758</v>
      </c>
      <c r="AA10" s="51">
        <f t="shared" si="9"/>
        <v>70.874805280407941</v>
      </c>
      <c r="AB10" s="51">
        <f t="shared" si="9"/>
        <v>70.863310010512265</v>
      </c>
      <c r="AC10" s="3" t="s">
        <v>56</v>
      </c>
      <c r="AE10" s="20"/>
      <c r="AF10" s="11"/>
      <c r="AG10" s="11"/>
      <c r="AH10" s="20"/>
      <c r="AI10" s="20"/>
    </row>
    <row r="11" spans="1:35" ht="19.5" customHeight="1" x14ac:dyDescent="0.25">
      <c r="A11" s="19" t="s">
        <v>0</v>
      </c>
      <c r="B11" s="32">
        <v>15</v>
      </c>
      <c r="C11" s="32">
        <v>86</v>
      </c>
      <c r="D11" s="33"/>
      <c r="E11" s="48">
        <v>42.078754000000004</v>
      </c>
      <c r="F11" s="49">
        <v>58.363619</v>
      </c>
      <c r="G11" s="49">
        <v>49.025638999999998</v>
      </c>
      <c r="H11" s="49">
        <v>54.525649999999999</v>
      </c>
      <c r="I11" s="49">
        <v>74.055256093333313</v>
      </c>
      <c r="J11" s="49">
        <v>66.953001999999998</v>
      </c>
      <c r="K11" s="49">
        <v>67.601902999999993</v>
      </c>
      <c r="L11" s="49">
        <v>68.414698000000001</v>
      </c>
      <c r="M11" s="50">
        <v>30.011016000000001</v>
      </c>
      <c r="N11" s="51">
        <v>38.961582999999997</v>
      </c>
      <c r="O11" s="51">
        <v>37.259529000000001</v>
      </c>
      <c r="P11" s="51">
        <v>38.333622999999996</v>
      </c>
      <c r="Q11" s="49">
        <v>49.670375916666664</v>
      </c>
      <c r="R11" s="51">
        <v>43.186668000000004</v>
      </c>
      <c r="S11" s="51">
        <v>43.303923000000005</v>
      </c>
      <c r="T11" s="51">
        <v>43.427044000000009</v>
      </c>
      <c r="U11" s="34">
        <f t="shared" ref="U11:U30" si="10">M11/E11*100</f>
        <v>71.321066208376791</v>
      </c>
      <c r="V11" s="35">
        <f t="shared" ref="V11:V30" si="11">N11/F11*100</f>
        <v>66.75662624690905</v>
      </c>
      <c r="W11" s="35">
        <f t="shared" ref="W11:W30" si="12">O11/G11*100</f>
        <v>76.000088443518294</v>
      </c>
      <c r="X11" s="51">
        <f t="shared" ref="X11:X30" si="13">P11/H11*100</f>
        <v>70.303834984085469</v>
      </c>
      <c r="Y11" s="51">
        <f t="shared" ref="Y11:Y30" si="14">Q11/I11*100</f>
        <v>67.072046654009412</v>
      </c>
      <c r="Z11" s="51">
        <f t="shared" ref="Z11:Z30" si="15">R11/J11*100</f>
        <v>64.502959852345384</v>
      </c>
      <c r="AA11" s="51">
        <f t="shared" ref="AA11:AA30" si="16">S11/K11*100</f>
        <v>64.057254423740133</v>
      </c>
      <c r="AB11" s="51">
        <f t="shared" ref="AB11:AB30" si="17">T11/L11*100</f>
        <v>63.47619045252528</v>
      </c>
      <c r="AC11" s="3" t="s">
        <v>11</v>
      </c>
      <c r="AE11" s="20"/>
      <c r="AF11" s="11"/>
      <c r="AG11" s="11"/>
      <c r="AH11" s="20"/>
      <c r="AI11" s="20"/>
    </row>
    <row r="12" spans="1:35" ht="19.5" customHeight="1" x14ac:dyDescent="0.25">
      <c r="A12" s="19" t="s">
        <v>37</v>
      </c>
      <c r="B12" s="32">
        <v>14</v>
      </c>
      <c r="C12" s="32">
        <v>77</v>
      </c>
      <c r="D12" s="33"/>
      <c r="E12" s="48">
        <v>44.467179999999999</v>
      </c>
      <c r="F12" s="49">
        <v>61.807938999999998</v>
      </c>
      <c r="G12" s="49">
        <v>51.512613000000002</v>
      </c>
      <c r="H12" s="49">
        <v>51.579220999999997</v>
      </c>
      <c r="I12" s="49">
        <v>61.681584716666663</v>
      </c>
      <c r="J12" s="49">
        <v>64.277475999999993</v>
      </c>
      <c r="K12" s="49">
        <v>64.284103999999999</v>
      </c>
      <c r="L12" s="49">
        <v>64.767596999999995</v>
      </c>
      <c r="M12" s="50">
        <v>30.574224999999998</v>
      </c>
      <c r="N12" s="51">
        <v>40.657739999999997</v>
      </c>
      <c r="O12" s="51">
        <v>37.837862000000001</v>
      </c>
      <c r="P12" s="51">
        <v>37.05736499999999</v>
      </c>
      <c r="Q12" s="49">
        <v>43.892005333333323</v>
      </c>
      <c r="R12" s="51">
        <v>40.619534000000002</v>
      </c>
      <c r="S12" s="51">
        <v>40.619534000000002</v>
      </c>
      <c r="T12" s="51">
        <v>40.619534000000002</v>
      </c>
      <c r="U12" s="34">
        <f t="shared" si="10"/>
        <v>68.756833691724992</v>
      </c>
      <c r="V12" s="35">
        <f t="shared" si="11"/>
        <v>65.780772919802416</v>
      </c>
      <c r="W12" s="35">
        <f t="shared" si="12"/>
        <v>73.453586988491537</v>
      </c>
      <c r="X12" s="51">
        <f t="shared" si="13"/>
        <v>71.845530586822932</v>
      </c>
      <c r="Y12" s="51">
        <f t="shared" si="14"/>
        <v>71.159010480924763</v>
      </c>
      <c r="Z12" s="51">
        <f t="shared" si="15"/>
        <v>63.194040164240441</v>
      </c>
      <c r="AA12" s="51">
        <f t="shared" si="16"/>
        <v>63.187524555059525</v>
      </c>
      <c r="AB12" s="51">
        <f t="shared" si="17"/>
        <v>62.715826866326388</v>
      </c>
      <c r="AC12" s="3" t="s">
        <v>12</v>
      </c>
      <c r="AE12" s="20"/>
      <c r="AF12" s="11"/>
      <c r="AG12" s="11"/>
      <c r="AH12" s="20"/>
      <c r="AI12" s="20"/>
    </row>
    <row r="13" spans="1:35" ht="19.5" customHeight="1" x14ac:dyDescent="0.25">
      <c r="A13" s="19" t="s">
        <v>36</v>
      </c>
      <c r="B13" s="32">
        <v>15</v>
      </c>
      <c r="C13" s="32">
        <v>78</v>
      </c>
      <c r="D13" s="33"/>
      <c r="E13" s="48">
        <v>39.581037999999999</v>
      </c>
      <c r="F13" s="49">
        <v>53.821097000000002</v>
      </c>
      <c r="G13" s="49">
        <v>46.48086</v>
      </c>
      <c r="H13" s="49">
        <v>47.947021999999997</v>
      </c>
      <c r="I13" s="49">
        <v>64.626628806666673</v>
      </c>
      <c r="J13" s="49">
        <v>60.724916</v>
      </c>
      <c r="K13" s="49">
        <v>61.324604000000001</v>
      </c>
      <c r="L13" s="49">
        <v>62.013624</v>
      </c>
      <c r="M13" s="50">
        <v>27.44192</v>
      </c>
      <c r="N13" s="51">
        <v>34.639156999999997</v>
      </c>
      <c r="O13" s="51">
        <v>33.258971000000003</v>
      </c>
      <c r="P13" s="51">
        <v>33.549444999999999</v>
      </c>
      <c r="Q13" s="49">
        <v>43.800436596666657</v>
      </c>
      <c r="R13" s="51">
        <v>36.891325999999999</v>
      </c>
      <c r="S13" s="51">
        <v>36.891325999999999</v>
      </c>
      <c r="T13" s="51">
        <v>36.891325999999999</v>
      </c>
      <c r="U13" s="34">
        <f t="shared" si="10"/>
        <v>69.330976110328379</v>
      </c>
      <c r="V13" s="35">
        <f t="shared" si="11"/>
        <v>64.359812286992209</v>
      </c>
      <c r="W13" s="35">
        <f t="shared" si="12"/>
        <v>71.554121416858479</v>
      </c>
      <c r="X13" s="51">
        <f t="shared" si="13"/>
        <v>69.971905658708067</v>
      </c>
      <c r="Y13" s="51">
        <f t="shared" si="14"/>
        <v>67.774596022480978</v>
      </c>
      <c r="Z13" s="51">
        <f t="shared" si="15"/>
        <v>60.751547190283475</v>
      </c>
      <c r="AA13" s="51">
        <f t="shared" si="16"/>
        <v>60.15746306327555</v>
      </c>
      <c r="AB13" s="51">
        <f t="shared" si="17"/>
        <v>59.489066467071815</v>
      </c>
      <c r="AC13" s="3" t="s">
        <v>13</v>
      </c>
      <c r="AE13" s="20"/>
      <c r="AF13" s="11"/>
      <c r="AG13" s="11"/>
      <c r="AH13" s="20"/>
      <c r="AI13" s="20"/>
    </row>
    <row r="14" spans="1:35" ht="19.5" customHeight="1" x14ac:dyDescent="0.25">
      <c r="A14" s="19" t="s">
        <v>8</v>
      </c>
      <c r="B14" s="32">
        <v>14</v>
      </c>
      <c r="C14" s="32">
        <v>71</v>
      </c>
      <c r="D14" s="33"/>
      <c r="E14" s="48">
        <v>33.173864000000002</v>
      </c>
      <c r="F14" s="49">
        <v>48.364001999999999</v>
      </c>
      <c r="G14" s="49">
        <v>39.160907000000002</v>
      </c>
      <c r="H14" s="49">
        <v>44.962316999999999</v>
      </c>
      <c r="I14" s="49">
        <v>54.047979850000011</v>
      </c>
      <c r="J14" s="49">
        <v>50.503577999999997</v>
      </c>
      <c r="K14" s="49">
        <v>51.092275000000001</v>
      </c>
      <c r="L14" s="49">
        <v>51.514749999999999</v>
      </c>
      <c r="M14" s="50">
        <v>24.324807</v>
      </c>
      <c r="N14" s="51">
        <v>32.041421999999997</v>
      </c>
      <c r="O14" s="51">
        <v>30.084500999999999</v>
      </c>
      <c r="P14" s="51">
        <v>29.729382000000001</v>
      </c>
      <c r="Q14" s="49">
        <v>35.708582130000003</v>
      </c>
      <c r="R14" s="51">
        <v>32.003287</v>
      </c>
      <c r="S14" s="51">
        <v>32.118569000000001</v>
      </c>
      <c r="T14" s="51">
        <v>32.239616999999996</v>
      </c>
      <c r="U14" s="34">
        <f t="shared" si="10"/>
        <v>73.325214693109004</v>
      </c>
      <c r="V14" s="35">
        <f t="shared" si="11"/>
        <v>66.250559662122242</v>
      </c>
      <c r="W14" s="35">
        <f t="shared" si="12"/>
        <v>76.822789114664786</v>
      </c>
      <c r="X14" s="51">
        <f t="shared" si="13"/>
        <v>66.120662776342243</v>
      </c>
      <c r="Y14" s="51">
        <f t="shared" si="14"/>
        <v>66.068301218847495</v>
      </c>
      <c r="Z14" s="51">
        <f t="shared" si="15"/>
        <v>63.368355802434436</v>
      </c>
      <c r="AA14" s="51">
        <f t="shared" si="16"/>
        <v>62.863845855366584</v>
      </c>
      <c r="AB14" s="51">
        <f t="shared" si="17"/>
        <v>62.583273722574596</v>
      </c>
      <c r="AC14" s="4" t="s">
        <v>14</v>
      </c>
      <c r="AE14" s="20"/>
      <c r="AF14" s="11"/>
      <c r="AG14" s="11"/>
      <c r="AH14" s="20"/>
      <c r="AI14" s="20"/>
    </row>
    <row r="15" spans="1:35" ht="19.5" customHeight="1" x14ac:dyDescent="0.25">
      <c r="A15" s="19" t="s">
        <v>9</v>
      </c>
      <c r="B15" s="32">
        <v>16</v>
      </c>
      <c r="C15" s="32">
        <v>87</v>
      </c>
      <c r="D15" s="33"/>
      <c r="E15" s="48">
        <v>40.468159</v>
      </c>
      <c r="F15" s="49">
        <v>59.347352999999998</v>
      </c>
      <c r="G15" s="49">
        <v>50.771551000000002</v>
      </c>
      <c r="H15" s="49">
        <v>59.843497999999997</v>
      </c>
      <c r="I15" s="49">
        <v>72.467363306666655</v>
      </c>
      <c r="J15" s="49">
        <v>66.782443999999998</v>
      </c>
      <c r="K15" s="49">
        <v>67.521895000000001</v>
      </c>
      <c r="L15" s="49">
        <v>68.138437999999994</v>
      </c>
      <c r="M15" s="50">
        <v>29.724703999999999</v>
      </c>
      <c r="N15" s="51">
        <v>38.211796</v>
      </c>
      <c r="O15" s="51">
        <v>36.823645999999997</v>
      </c>
      <c r="P15" s="51">
        <v>36.508099000000001</v>
      </c>
      <c r="Q15" s="49">
        <v>46.43423503333333</v>
      </c>
      <c r="R15" s="51">
        <v>41.320786999999989</v>
      </c>
      <c r="S15" s="51">
        <v>41.320786999999989</v>
      </c>
      <c r="T15" s="51">
        <v>41.320786999999989</v>
      </c>
      <c r="U15" s="34">
        <f t="shared" si="10"/>
        <v>73.452078707113898</v>
      </c>
      <c r="V15" s="35">
        <f t="shared" si="11"/>
        <v>64.386689664154019</v>
      </c>
      <c r="W15" s="35">
        <f t="shared" si="12"/>
        <v>72.528109294908077</v>
      </c>
      <c r="X15" s="51">
        <f t="shared" si="13"/>
        <v>61.005957572867821</v>
      </c>
      <c r="Y15" s="51">
        <f t="shared" si="14"/>
        <v>64.076065299676216</v>
      </c>
      <c r="Z15" s="51">
        <f t="shared" si="15"/>
        <v>61.873726873487875</v>
      </c>
      <c r="AA15" s="51">
        <f t="shared" si="16"/>
        <v>61.196130529215729</v>
      </c>
      <c r="AB15" s="51">
        <f t="shared" si="17"/>
        <v>60.642404218306254</v>
      </c>
      <c r="AC15" s="3" t="s">
        <v>15</v>
      </c>
      <c r="AE15" s="20"/>
      <c r="AF15" s="11"/>
      <c r="AG15" s="11"/>
      <c r="AH15" s="20"/>
      <c r="AI15" s="20"/>
    </row>
    <row r="16" spans="1:35" ht="19.5" customHeight="1" x14ac:dyDescent="0.25">
      <c r="A16" s="19" t="s">
        <v>2</v>
      </c>
      <c r="B16" s="32">
        <v>14</v>
      </c>
      <c r="C16" s="32">
        <v>73</v>
      </c>
      <c r="D16" s="33"/>
      <c r="E16" s="48">
        <v>33.264260999999998</v>
      </c>
      <c r="F16" s="49">
        <v>47.697812999999996</v>
      </c>
      <c r="G16" s="49">
        <v>38.625048999999997</v>
      </c>
      <c r="H16" s="49">
        <v>42.158138999999998</v>
      </c>
      <c r="I16" s="49">
        <v>50.597855400000007</v>
      </c>
      <c r="J16" s="49">
        <v>48.678134999999997</v>
      </c>
      <c r="K16" s="49">
        <v>49.246003000000002</v>
      </c>
      <c r="L16" s="49">
        <v>49.848067999999998</v>
      </c>
      <c r="M16" s="50">
        <v>25.201101000000001</v>
      </c>
      <c r="N16" s="51">
        <v>30.289159000000001</v>
      </c>
      <c r="O16" s="51">
        <v>28.642721999999999</v>
      </c>
      <c r="P16" s="51">
        <v>28.38166</v>
      </c>
      <c r="Q16" s="49">
        <v>34.701817946666665</v>
      </c>
      <c r="R16" s="51">
        <v>30.734212999999997</v>
      </c>
      <c r="S16" s="51">
        <v>30.817582999999999</v>
      </c>
      <c r="T16" s="51">
        <v>30.905121999999999</v>
      </c>
      <c r="U16" s="34">
        <f t="shared" si="10"/>
        <v>75.760291202621346</v>
      </c>
      <c r="V16" s="35">
        <f t="shared" si="11"/>
        <v>63.502196631111794</v>
      </c>
      <c r="W16" s="35">
        <f t="shared" si="12"/>
        <v>74.155820488408963</v>
      </c>
      <c r="X16" s="51">
        <f t="shared" si="13"/>
        <v>67.321899574362149</v>
      </c>
      <c r="Y16" s="51">
        <f t="shared" si="14"/>
        <v>68.583574683812913</v>
      </c>
      <c r="Z16" s="51">
        <f t="shared" si="15"/>
        <v>63.137614043759072</v>
      </c>
      <c r="AA16" s="51">
        <f t="shared" si="16"/>
        <v>62.57885132322312</v>
      </c>
      <c r="AB16" s="51">
        <f t="shared" si="17"/>
        <v>61.998635533878662</v>
      </c>
      <c r="AC16" s="3" t="s">
        <v>16</v>
      </c>
      <c r="AE16" s="20"/>
      <c r="AF16" s="11"/>
      <c r="AG16" s="11"/>
      <c r="AH16" s="20"/>
      <c r="AI16" s="20"/>
    </row>
    <row r="17" spans="1:35" ht="19.5" customHeight="1" x14ac:dyDescent="0.25">
      <c r="A17" s="19" t="s">
        <v>35</v>
      </c>
      <c r="B17" s="32">
        <v>5</v>
      </c>
      <c r="C17" s="32">
        <v>30</v>
      </c>
      <c r="D17" s="33"/>
      <c r="E17" s="48">
        <v>17.716802000000001</v>
      </c>
      <c r="F17" s="49">
        <v>25.177161999999999</v>
      </c>
      <c r="G17" s="49">
        <v>20.229092000000001</v>
      </c>
      <c r="H17" s="49">
        <v>21.565169999999998</v>
      </c>
      <c r="I17" s="49">
        <v>23.563891076666664</v>
      </c>
      <c r="J17" s="49">
        <v>25.101475000000001</v>
      </c>
      <c r="K17" s="49">
        <v>25.439098000000001</v>
      </c>
      <c r="L17" s="49">
        <v>25.792670000000001</v>
      </c>
      <c r="M17" s="50">
        <v>13.163275000000001</v>
      </c>
      <c r="N17" s="51">
        <v>16.339414000000001</v>
      </c>
      <c r="O17" s="51">
        <v>15.325837999999999</v>
      </c>
      <c r="P17" s="51">
        <v>14.776317000000001</v>
      </c>
      <c r="Q17" s="49">
        <v>17.720712806666668</v>
      </c>
      <c r="R17" s="51">
        <v>16.049323999999999</v>
      </c>
      <c r="S17" s="51">
        <v>16.049323999999999</v>
      </c>
      <c r="T17" s="51">
        <v>16.049323999999999</v>
      </c>
      <c r="U17" s="34">
        <f t="shared" si="10"/>
        <v>74.298256536365869</v>
      </c>
      <c r="V17" s="35">
        <f t="shared" si="11"/>
        <v>64.897759326488043</v>
      </c>
      <c r="W17" s="35">
        <f t="shared" si="12"/>
        <v>75.761373768036634</v>
      </c>
      <c r="X17" s="51">
        <f t="shared" si="13"/>
        <v>68.519362471986085</v>
      </c>
      <c r="Y17" s="51">
        <f t="shared" si="14"/>
        <v>75.202829401184928</v>
      </c>
      <c r="Z17" s="51">
        <f t="shared" si="15"/>
        <v>63.937772581093334</v>
      </c>
      <c r="AA17" s="51">
        <f t="shared" si="16"/>
        <v>63.089202297974545</v>
      </c>
      <c r="AB17" s="51">
        <f t="shared" si="17"/>
        <v>62.224360641996348</v>
      </c>
      <c r="AC17" s="3" t="s">
        <v>17</v>
      </c>
      <c r="AE17" s="20"/>
      <c r="AF17" s="11"/>
      <c r="AG17" s="11"/>
      <c r="AH17" s="20"/>
      <c r="AI17" s="20"/>
    </row>
    <row r="18" spans="1:35" ht="19.5" customHeight="1" x14ac:dyDescent="0.25">
      <c r="A18" s="19" t="s">
        <v>5</v>
      </c>
      <c r="B18" s="32">
        <v>10</v>
      </c>
      <c r="C18" s="32">
        <v>51</v>
      </c>
      <c r="D18" s="33"/>
      <c r="E18" s="48">
        <v>25.699311000000002</v>
      </c>
      <c r="F18" s="49">
        <v>38.064436000000001</v>
      </c>
      <c r="G18" s="49">
        <v>33.295461000000003</v>
      </c>
      <c r="H18" s="49">
        <v>38.038155000000003</v>
      </c>
      <c r="I18" s="49">
        <v>42.911956379999999</v>
      </c>
      <c r="J18" s="49">
        <v>42.336109999999998</v>
      </c>
      <c r="K18" s="49">
        <v>42.998831000000003</v>
      </c>
      <c r="L18" s="49">
        <v>43.583421000000001</v>
      </c>
      <c r="M18" s="50">
        <v>19.601483000000002</v>
      </c>
      <c r="N18" s="51">
        <v>23.685687999999999</v>
      </c>
      <c r="O18" s="51">
        <v>23.181280000000001</v>
      </c>
      <c r="P18" s="51">
        <v>22.711827</v>
      </c>
      <c r="Q18" s="49">
        <v>27.879861216666669</v>
      </c>
      <c r="R18" s="51">
        <v>26.349741999999999</v>
      </c>
      <c r="S18" s="51">
        <v>26.473486999999999</v>
      </c>
      <c r="T18" s="51">
        <v>26.603420999999997</v>
      </c>
      <c r="U18" s="34">
        <f t="shared" si="10"/>
        <v>76.27240668047483</v>
      </c>
      <c r="V18" s="35">
        <f t="shared" si="11"/>
        <v>62.225243531783839</v>
      </c>
      <c r="W18" s="35">
        <f t="shared" si="12"/>
        <v>69.622943499716072</v>
      </c>
      <c r="X18" s="51">
        <f t="shared" si="13"/>
        <v>59.708014229396767</v>
      </c>
      <c r="Y18" s="51">
        <f t="shared" si="14"/>
        <v>64.969914141832632</v>
      </c>
      <c r="Z18" s="51">
        <f t="shared" si="15"/>
        <v>62.239402722640321</v>
      </c>
      <c r="AA18" s="51">
        <f t="shared" si="16"/>
        <v>61.56792262561742</v>
      </c>
      <c r="AB18" s="51">
        <f t="shared" si="17"/>
        <v>61.040231330165653</v>
      </c>
      <c r="AC18" s="3" t="s">
        <v>18</v>
      </c>
      <c r="AE18" s="20"/>
      <c r="AF18" s="11"/>
      <c r="AG18" s="11"/>
      <c r="AH18" s="20"/>
      <c r="AI18" s="20"/>
    </row>
    <row r="19" spans="1:35" ht="19.5" customHeight="1" x14ac:dyDescent="0.25">
      <c r="A19" s="19" t="s">
        <v>1</v>
      </c>
      <c r="B19" s="32">
        <v>9</v>
      </c>
      <c r="C19" s="32">
        <v>46</v>
      </c>
      <c r="D19" s="33"/>
      <c r="E19" s="48">
        <v>20.612411000000002</v>
      </c>
      <c r="F19" s="49">
        <v>27.351718999999999</v>
      </c>
      <c r="G19" s="49">
        <v>25.354697999999999</v>
      </c>
      <c r="H19" s="49">
        <v>29.251445</v>
      </c>
      <c r="I19" s="49">
        <v>33.338745143333334</v>
      </c>
      <c r="J19" s="49">
        <v>33.923533999999997</v>
      </c>
      <c r="K19" s="49">
        <v>34.274109000000003</v>
      </c>
      <c r="L19" s="49">
        <v>34.668720999999998</v>
      </c>
      <c r="M19" s="50">
        <v>15.423232</v>
      </c>
      <c r="N19" s="51">
        <v>18.752078000000001</v>
      </c>
      <c r="O19" s="51">
        <v>17.971557000000001</v>
      </c>
      <c r="P19" s="51">
        <v>18.282449999999997</v>
      </c>
      <c r="Q19" s="49">
        <v>22.880052806666665</v>
      </c>
      <c r="R19" s="51">
        <v>22.063245000000002</v>
      </c>
      <c r="S19" s="51">
        <v>22.063245000000002</v>
      </c>
      <c r="T19" s="51">
        <v>22.063245000000002</v>
      </c>
      <c r="U19" s="34">
        <f t="shared" si="10"/>
        <v>74.824978019310791</v>
      </c>
      <c r="V19" s="35">
        <f t="shared" si="11"/>
        <v>68.559047422211378</v>
      </c>
      <c r="W19" s="35">
        <f t="shared" si="12"/>
        <v>70.880580001386733</v>
      </c>
      <c r="X19" s="51">
        <f t="shared" si="13"/>
        <v>62.501014907126795</v>
      </c>
      <c r="Y19" s="51">
        <f t="shared" si="14"/>
        <v>68.629016204114492</v>
      </c>
      <c r="Z19" s="51">
        <f t="shared" si="15"/>
        <v>65.038167898427105</v>
      </c>
      <c r="AA19" s="51">
        <f t="shared" si="16"/>
        <v>64.372920678988336</v>
      </c>
      <c r="AB19" s="51">
        <f t="shared" si="17"/>
        <v>63.640204667486877</v>
      </c>
      <c r="AC19" s="3" t="s">
        <v>19</v>
      </c>
      <c r="AE19" s="20"/>
      <c r="AF19" s="11"/>
      <c r="AG19" s="11"/>
      <c r="AH19" s="20"/>
      <c r="AI19" s="20"/>
    </row>
    <row r="20" spans="1:35" ht="19.5" customHeight="1" x14ac:dyDescent="0.25">
      <c r="A20" s="19" t="s">
        <v>34</v>
      </c>
      <c r="B20" s="32">
        <v>11</v>
      </c>
      <c r="C20" s="32">
        <v>56</v>
      </c>
      <c r="D20" s="33"/>
      <c r="E20" s="48">
        <v>26.116046999999998</v>
      </c>
      <c r="F20" s="49">
        <v>38.328339999999997</v>
      </c>
      <c r="G20" s="49">
        <v>31.623099</v>
      </c>
      <c r="H20" s="49">
        <v>34.048212999999997</v>
      </c>
      <c r="I20" s="49">
        <v>39.333922316666666</v>
      </c>
      <c r="J20" s="49">
        <v>40.100726000000002</v>
      </c>
      <c r="K20" s="49">
        <v>40.609037000000001</v>
      </c>
      <c r="L20" s="49">
        <v>41.061506000000001</v>
      </c>
      <c r="M20" s="50">
        <v>20.897197999999999</v>
      </c>
      <c r="N20" s="51">
        <v>26.914738</v>
      </c>
      <c r="O20" s="51">
        <v>25.181070999999999</v>
      </c>
      <c r="P20" s="51">
        <v>24.413026999999996</v>
      </c>
      <c r="Q20" s="49">
        <v>29.254322986666669</v>
      </c>
      <c r="R20" s="51">
        <v>26.291524999999996</v>
      </c>
      <c r="S20" s="51">
        <v>26.389587999999996</v>
      </c>
      <c r="T20" s="51">
        <v>26.492555999999997</v>
      </c>
      <c r="U20" s="34">
        <f t="shared" si="10"/>
        <v>80.016696248096054</v>
      </c>
      <c r="V20" s="35">
        <f t="shared" si="11"/>
        <v>70.221507114578927</v>
      </c>
      <c r="W20" s="35">
        <f t="shared" si="12"/>
        <v>79.628726457201424</v>
      </c>
      <c r="X20" s="51">
        <f t="shared" si="13"/>
        <v>71.701345970785596</v>
      </c>
      <c r="Y20" s="51">
        <f t="shared" si="14"/>
        <v>74.374283731858995</v>
      </c>
      <c r="Z20" s="51">
        <f t="shared" si="15"/>
        <v>65.563713235515976</v>
      </c>
      <c r="AA20" s="51">
        <f t="shared" si="16"/>
        <v>64.984520563735586</v>
      </c>
      <c r="AB20" s="51">
        <f t="shared" si="17"/>
        <v>64.519201999069381</v>
      </c>
      <c r="AC20" s="3" t="s">
        <v>20</v>
      </c>
      <c r="AE20" s="20"/>
      <c r="AF20" s="11"/>
      <c r="AG20" s="11"/>
      <c r="AH20" s="20"/>
      <c r="AI20" s="20"/>
    </row>
    <row r="21" spans="1:35" ht="18.75" x14ac:dyDescent="0.25">
      <c r="A21" s="19" t="s">
        <v>10</v>
      </c>
      <c r="B21" s="32">
        <v>6</v>
      </c>
      <c r="C21" s="32">
        <v>31</v>
      </c>
      <c r="D21" s="33"/>
      <c r="E21" s="48">
        <v>12.252014000000001</v>
      </c>
      <c r="F21" s="49">
        <v>15.961235</v>
      </c>
      <c r="G21" s="49">
        <v>14.705057999999999</v>
      </c>
      <c r="H21" s="35">
        <v>14.940059</v>
      </c>
      <c r="I21" s="35">
        <v>15.913555376666665</v>
      </c>
      <c r="J21" s="35">
        <v>17.929993</v>
      </c>
      <c r="K21" s="35">
        <v>18.102867</v>
      </c>
      <c r="L21" s="35">
        <v>18.226649999999999</v>
      </c>
      <c r="M21" s="50">
        <v>9.5316729999999996</v>
      </c>
      <c r="N21" s="51">
        <v>11.360829000000001</v>
      </c>
      <c r="O21" s="51">
        <v>11.181990000000001</v>
      </c>
      <c r="P21" s="51">
        <v>10.927686000000001</v>
      </c>
      <c r="Q21" s="35">
        <v>11.916399999999999</v>
      </c>
      <c r="R21" s="51">
        <v>11.480943</v>
      </c>
      <c r="S21" s="51">
        <v>11.480943</v>
      </c>
      <c r="T21" s="51">
        <v>11.480943</v>
      </c>
      <c r="U21" s="34">
        <f t="shared" si="10"/>
        <v>77.796785083660524</v>
      </c>
      <c r="V21" s="35">
        <f t="shared" si="11"/>
        <v>71.177631304845775</v>
      </c>
      <c r="W21" s="35">
        <f t="shared" si="12"/>
        <v>76.041794598838038</v>
      </c>
      <c r="X21" s="51">
        <f t="shared" si="13"/>
        <v>73.143526407760518</v>
      </c>
      <c r="Y21" s="51">
        <f t="shared" si="14"/>
        <v>74.882072031951353</v>
      </c>
      <c r="Z21" s="51">
        <f t="shared" si="15"/>
        <v>64.032055115693581</v>
      </c>
      <c r="AA21" s="51">
        <f t="shared" si="16"/>
        <v>63.420578629893264</v>
      </c>
      <c r="AB21" s="51">
        <f t="shared" si="17"/>
        <v>62.989869229946258</v>
      </c>
      <c r="AC21" s="3" t="s">
        <v>21</v>
      </c>
      <c r="AE21" s="20"/>
      <c r="AF21" s="11"/>
      <c r="AG21" s="11"/>
      <c r="AH21" s="20"/>
      <c r="AI21" s="20"/>
    </row>
    <row r="22" spans="1:35" ht="24.75" customHeight="1" x14ac:dyDescent="0.25">
      <c r="A22" s="19" t="s">
        <v>7</v>
      </c>
      <c r="B22" s="32">
        <v>9</v>
      </c>
      <c r="C22" s="32">
        <v>46</v>
      </c>
      <c r="D22" s="33"/>
      <c r="E22" s="48">
        <v>26.333266999999999</v>
      </c>
      <c r="F22" s="49">
        <v>29.217924</v>
      </c>
      <c r="G22" s="49">
        <v>25.306804</v>
      </c>
      <c r="H22" s="49">
        <v>25.754996999999999</v>
      </c>
      <c r="I22" s="49">
        <v>31.539698359999999</v>
      </c>
      <c r="J22" s="49">
        <v>30.090866999999999</v>
      </c>
      <c r="K22" s="49">
        <v>30.417217000000001</v>
      </c>
      <c r="L22" s="49">
        <v>30.747896999999998</v>
      </c>
      <c r="M22" s="50">
        <v>16.919053999999999</v>
      </c>
      <c r="N22" s="51">
        <v>20.211186999999999</v>
      </c>
      <c r="O22" s="51">
        <v>18.904149</v>
      </c>
      <c r="P22" s="51">
        <v>18.950017999999996</v>
      </c>
      <c r="Q22" s="49">
        <v>22.898498416666669</v>
      </c>
      <c r="R22" s="51">
        <v>20.41179</v>
      </c>
      <c r="S22" s="51">
        <v>20.504695000000002</v>
      </c>
      <c r="T22" s="51">
        <v>20.602245</v>
      </c>
      <c r="U22" s="34">
        <f t="shared" si="10"/>
        <v>64.249733996165375</v>
      </c>
      <c r="V22" s="35">
        <f t="shared" si="11"/>
        <v>69.173932412172746</v>
      </c>
      <c r="W22" s="35">
        <f t="shared" si="12"/>
        <v>74.699867276800347</v>
      </c>
      <c r="X22" s="51">
        <f t="shared" si="13"/>
        <v>73.578024489771821</v>
      </c>
      <c r="Y22" s="51">
        <f t="shared" si="14"/>
        <v>72.602147792597563</v>
      </c>
      <c r="Z22" s="51">
        <f t="shared" si="15"/>
        <v>67.833838087815806</v>
      </c>
      <c r="AA22" s="51">
        <f t="shared" si="16"/>
        <v>67.4114762044141</v>
      </c>
      <c r="AB22" s="51">
        <f t="shared" si="17"/>
        <v>67.00375313472658</v>
      </c>
      <c r="AC22" s="3" t="s">
        <v>22</v>
      </c>
      <c r="AE22" s="20"/>
      <c r="AF22" s="11"/>
      <c r="AG22" s="11"/>
      <c r="AH22" s="20"/>
      <c r="AI22" s="20"/>
    </row>
    <row r="23" spans="1:35" ht="19.5" customHeight="1" x14ac:dyDescent="0.25">
      <c r="A23" s="19" t="s">
        <v>3</v>
      </c>
      <c r="B23" s="32">
        <v>6</v>
      </c>
      <c r="C23" s="32">
        <v>31</v>
      </c>
      <c r="D23" s="33"/>
      <c r="E23" s="48">
        <v>17.607847</v>
      </c>
      <c r="F23" s="49">
        <v>26.192948999999999</v>
      </c>
      <c r="G23" s="49">
        <v>21.824172999999998</v>
      </c>
      <c r="H23" s="49">
        <v>25.233995</v>
      </c>
      <c r="I23" s="49">
        <v>33.306791736666668</v>
      </c>
      <c r="J23" s="49">
        <v>27.86354</v>
      </c>
      <c r="K23" s="49">
        <v>28.014565999999999</v>
      </c>
      <c r="L23" s="49">
        <v>28.229502</v>
      </c>
      <c r="M23" s="50">
        <v>12.888885999999999</v>
      </c>
      <c r="N23" s="51">
        <v>16.597159000000001</v>
      </c>
      <c r="O23" s="51">
        <v>16.125867</v>
      </c>
      <c r="P23" s="51">
        <v>16.259402999999999</v>
      </c>
      <c r="Q23" s="49">
        <v>20.590802043333333</v>
      </c>
      <c r="R23" s="51">
        <v>18.848669999999998</v>
      </c>
      <c r="S23" s="51">
        <v>18.848669999999998</v>
      </c>
      <c r="T23" s="51">
        <v>18.848669999999998</v>
      </c>
      <c r="U23" s="34">
        <f t="shared" si="10"/>
        <v>73.199670578691425</v>
      </c>
      <c r="V23" s="35">
        <f t="shared" si="11"/>
        <v>63.364988035520561</v>
      </c>
      <c r="W23" s="35">
        <f t="shared" si="12"/>
        <v>73.889933882030718</v>
      </c>
      <c r="X23" s="51">
        <f t="shared" si="13"/>
        <v>64.434517800292809</v>
      </c>
      <c r="Y23" s="51">
        <f t="shared" si="14"/>
        <v>61.821631474235929</v>
      </c>
      <c r="Z23" s="51">
        <f t="shared" si="15"/>
        <v>67.646357928676679</v>
      </c>
      <c r="AA23" s="51">
        <f t="shared" si="16"/>
        <v>67.281677681531818</v>
      </c>
      <c r="AB23" s="51">
        <f t="shared" si="17"/>
        <v>66.769403158440412</v>
      </c>
      <c r="AC23" s="3" t="s">
        <v>23</v>
      </c>
      <c r="AE23" s="20"/>
      <c r="AF23" s="11"/>
      <c r="AG23" s="11"/>
      <c r="AH23" s="20"/>
      <c r="AI23" s="20"/>
    </row>
    <row r="24" spans="1:35" ht="19.5" customHeight="1" x14ac:dyDescent="0.25">
      <c r="A24" s="19" t="s">
        <v>32</v>
      </c>
      <c r="B24" s="32">
        <v>7</v>
      </c>
      <c r="C24" s="32">
        <v>36</v>
      </c>
      <c r="D24" s="33"/>
      <c r="E24" s="48">
        <v>22.704632</v>
      </c>
      <c r="F24" s="49">
        <v>28.529138</v>
      </c>
      <c r="G24" s="49">
        <v>23.869446</v>
      </c>
      <c r="H24" s="49">
        <v>30.764785</v>
      </c>
      <c r="I24" s="49">
        <v>45.501381136666673</v>
      </c>
      <c r="J24" s="49">
        <v>38.362755999999997</v>
      </c>
      <c r="K24" s="49">
        <v>38.775751999999997</v>
      </c>
      <c r="L24" s="49">
        <v>39.104917</v>
      </c>
      <c r="M24" s="50">
        <v>15.778739</v>
      </c>
      <c r="N24" s="51">
        <v>19.847490000000001</v>
      </c>
      <c r="O24" s="51">
        <v>18.079702999999999</v>
      </c>
      <c r="P24" s="51">
        <v>17.058373</v>
      </c>
      <c r="Q24" s="49">
        <v>23.746119433333334</v>
      </c>
      <c r="R24" s="51">
        <v>18.528643000000002</v>
      </c>
      <c r="S24" s="51">
        <v>18.528643000000002</v>
      </c>
      <c r="T24" s="51">
        <v>18.528643000000002</v>
      </c>
      <c r="U24" s="34">
        <f t="shared" si="10"/>
        <v>69.495682643083583</v>
      </c>
      <c r="V24" s="35">
        <f t="shared" si="11"/>
        <v>69.569189226817869</v>
      </c>
      <c r="W24" s="35">
        <f t="shared" si="12"/>
        <v>75.744124936959153</v>
      </c>
      <c r="X24" s="51">
        <f t="shared" si="13"/>
        <v>55.447723752985759</v>
      </c>
      <c r="Y24" s="51">
        <f t="shared" si="14"/>
        <v>52.18768934070409</v>
      </c>
      <c r="Z24" s="51">
        <f t="shared" si="15"/>
        <v>48.298519011512113</v>
      </c>
      <c r="AA24" s="51">
        <f t="shared" si="16"/>
        <v>47.784097133693251</v>
      </c>
      <c r="AB24" s="51">
        <f t="shared" si="17"/>
        <v>47.381875276707532</v>
      </c>
      <c r="AC24" s="3" t="s">
        <v>24</v>
      </c>
      <c r="AE24" s="20"/>
      <c r="AF24" s="11"/>
      <c r="AG24" s="11"/>
      <c r="AH24" s="20"/>
      <c r="AI24" s="20"/>
    </row>
    <row r="25" spans="1:35" ht="19.5" customHeight="1" x14ac:dyDescent="0.25">
      <c r="A25" s="19" t="s">
        <v>33</v>
      </c>
      <c r="B25" s="32">
        <v>14</v>
      </c>
      <c r="C25" s="32">
        <v>71</v>
      </c>
      <c r="D25" s="33"/>
      <c r="E25" s="48">
        <v>36.466698000000001</v>
      </c>
      <c r="F25" s="49">
        <v>46.752116999999998</v>
      </c>
      <c r="G25" s="49">
        <v>41.290306000000001</v>
      </c>
      <c r="H25" s="49">
        <v>42.602657999999998</v>
      </c>
      <c r="I25" s="49">
        <v>55.191168273333332</v>
      </c>
      <c r="J25" s="49">
        <v>52.432512000000003</v>
      </c>
      <c r="K25" s="49">
        <v>53.212947999999997</v>
      </c>
      <c r="L25" s="49">
        <v>53.961528999999999</v>
      </c>
      <c r="M25" s="50">
        <v>26.073442</v>
      </c>
      <c r="N25" s="51">
        <v>32.264834</v>
      </c>
      <c r="O25" s="51">
        <v>30.670287999999999</v>
      </c>
      <c r="P25" s="51">
        <v>30.996426999999997</v>
      </c>
      <c r="Q25" s="49">
        <v>39.41195578</v>
      </c>
      <c r="R25" s="51">
        <v>35.173059000000002</v>
      </c>
      <c r="S25" s="51">
        <v>35.304678000000003</v>
      </c>
      <c r="T25" s="51">
        <v>35.442875999999998</v>
      </c>
      <c r="U25" s="34">
        <f t="shared" si="10"/>
        <v>71.499322477730232</v>
      </c>
      <c r="V25" s="35">
        <f t="shared" si="11"/>
        <v>69.012562575508625</v>
      </c>
      <c r="W25" s="35">
        <f t="shared" si="12"/>
        <v>74.279633577915362</v>
      </c>
      <c r="X25" s="51">
        <f t="shared" si="13"/>
        <v>72.757026099169678</v>
      </c>
      <c r="Y25" s="51">
        <f t="shared" si="14"/>
        <v>71.40989584567761</v>
      </c>
      <c r="Z25" s="51">
        <f t="shared" si="15"/>
        <v>67.082536499491013</v>
      </c>
      <c r="AA25" s="51">
        <f t="shared" si="16"/>
        <v>66.346029165683518</v>
      </c>
      <c r="AB25" s="51">
        <f t="shared" si="17"/>
        <v>65.681748936357977</v>
      </c>
      <c r="AC25" s="3" t="s">
        <v>25</v>
      </c>
      <c r="AE25" s="20"/>
      <c r="AF25" s="11"/>
      <c r="AG25" s="11"/>
      <c r="AH25" s="20"/>
      <c r="AI25" s="20"/>
    </row>
    <row r="26" spans="1:35" ht="19.5" customHeight="1" x14ac:dyDescent="0.25">
      <c r="A26" s="19" t="s">
        <v>6</v>
      </c>
      <c r="B26" s="32">
        <v>13</v>
      </c>
      <c r="C26" s="32">
        <v>70</v>
      </c>
      <c r="D26" s="33"/>
      <c r="E26" s="48">
        <v>35.553330000000003</v>
      </c>
      <c r="F26" s="49">
        <v>49.389619000000003</v>
      </c>
      <c r="G26" s="49">
        <v>41.174689000000001</v>
      </c>
      <c r="H26" s="49">
        <v>44.071486999999998</v>
      </c>
      <c r="I26" s="49">
        <v>48.552323453333337</v>
      </c>
      <c r="J26" s="49">
        <v>52.368622999999999</v>
      </c>
      <c r="K26" s="49">
        <v>52.570784000000003</v>
      </c>
      <c r="L26" s="49">
        <v>52.929572</v>
      </c>
      <c r="M26" s="50">
        <v>26.346751000000001</v>
      </c>
      <c r="N26" s="51">
        <v>34.536470999999999</v>
      </c>
      <c r="O26" s="51">
        <v>33.067154000000002</v>
      </c>
      <c r="P26" s="51">
        <v>31.360390999999996</v>
      </c>
      <c r="Q26" s="49">
        <v>36.852941996666672</v>
      </c>
      <c r="R26" s="51">
        <v>34.871361999999998</v>
      </c>
      <c r="S26" s="51">
        <v>34.871361999999998</v>
      </c>
      <c r="T26" s="51">
        <v>34.871361999999998</v>
      </c>
      <c r="U26" s="34">
        <f t="shared" si="10"/>
        <v>74.104875689562689</v>
      </c>
      <c r="V26" s="35">
        <f t="shared" si="11"/>
        <v>69.926579105621357</v>
      </c>
      <c r="W26" s="35">
        <f t="shared" si="12"/>
        <v>80.309420187727468</v>
      </c>
      <c r="X26" s="51">
        <f t="shared" si="13"/>
        <v>71.158005174638191</v>
      </c>
      <c r="Y26" s="51">
        <f t="shared" si="14"/>
        <v>75.903560067703722</v>
      </c>
      <c r="Z26" s="51">
        <f t="shared" si="15"/>
        <v>66.588273669139625</v>
      </c>
      <c r="AA26" s="51">
        <f t="shared" si="16"/>
        <v>66.332208399250803</v>
      </c>
      <c r="AB26" s="51">
        <f t="shared" si="17"/>
        <v>65.88256938862078</v>
      </c>
      <c r="AC26" s="3" t="s">
        <v>26</v>
      </c>
      <c r="AE26" s="20"/>
      <c r="AF26" s="11"/>
      <c r="AG26" s="11"/>
      <c r="AH26" s="20"/>
      <c r="AI26" s="20"/>
    </row>
    <row r="27" spans="1:35" ht="19.5" customHeight="1" x14ac:dyDescent="0.25">
      <c r="A27" s="19" t="s">
        <v>4</v>
      </c>
      <c r="B27" s="32">
        <v>10</v>
      </c>
      <c r="C27" s="32">
        <v>47</v>
      </c>
      <c r="D27" s="33"/>
      <c r="E27" s="48">
        <v>28.20215</v>
      </c>
      <c r="F27" s="49">
        <v>36.009540999999999</v>
      </c>
      <c r="G27" s="49">
        <v>31.218827999999998</v>
      </c>
      <c r="H27" s="49">
        <v>43.548999999999999</v>
      </c>
      <c r="I27" s="49">
        <v>51.426363173333328</v>
      </c>
      <c r="J27" s="49">
        <v>43.214136000000003</v>
      </c>
      <c r="K27" s="49">
        <v>43.602176999999998</v>
      </c>
      <c r="L27" s="49">
        <v>44.005045000000003</v>
      </c>
      <c r="M27" s="50">
        <v>19.840727000000001</v>
      </c>
      <c r="N27" s="51">
        <v>25.027142999999999</v>
      </c>
      <c r="O27" s="51">
        <v>24.753309000000002</v>
      </c>
      <c r="P27" s="51">
        <v>24.314753</v>
      </c>
      <c r="Q27" s="49">
        <v>30.733731993333333</v>
      </c>
      <c r="R27" s="51">
        <v>25.828355000000002</v>
      </c>
      <c r="S27" s="51">
        <v>25.944737000000003</v>
      </c>
      <c r="T27" s="51">
        <v>26.066938999999998</v>
      </c>
      <c r="U27" s="34">
        <f t="shared" si="10"/>
        <v>70.351824240350481</v>
      </c>
      <c r="V27" s="35">
        <f t="shared" si="11"/>
        <v>69.501421859278906</v>
      </c>
      <c r="W27" s="35">
        <f t="shared" si="12"/>
        <v>79.289680573530831</v>
      </c>
      <c r="X27" s="51">
        <f t="shared" si="13"/>
        <v>55.833091460194261</v>
      </c>
      <c r="Y27" s="51">
        <f t="shared" si="14"/>
        <v>59.762600535730726</v>
      </c>
      <c r="Z27" s="51">
        <f t="shared" si="15"/>
        <v>59.768301279933034</v>
      </c>
      <c r="AA27" s="51">
        <f t="shared" si="16"/>
        <v>59.5033064518774</v>
      </c>
      <c r="AB27" s="51">
        <f t="shared" si="17"/>
        <v>59.236251207105909</v>
      </c>
      <c r="AC27" s="2" t="s">
        <v>27</v>
      </c>
      <c r="AE27" s="20"/>
      <c r="AF27" s="11"/>
      <c r="AG27" s="11"/>
      <c r="AH27" s="20"/>
      <c r="AI27" s="20"/>
    </row>
    <row r="28" spans="1:35" ht="19.5" customHeight="1" x14ac:dyDescent="0.25">
      <c r="A28" s="19" t="s">
        <v>31</v>
      </c>
      <c r="B28" s="32">
        <v>10</v>
      </c>
      <c r="C28" s="32">
        <v>56</v>
      </c>
      <c r="D28" s="33"/>
      <c r="E28" s="48">
        <v>29.237359000000001</v>
      </c>
      <c r="F28" s="49">
        <v>41.731053000000003</v>
      </c>
      <c r="G28" s="49">
        <v>36.326948000000002</v>
      </c>
      <c r="H28" s="49">
        <v>38.125162000000003</v>
      </c>
      <c r="I28" s="49">
        <v>56.389038713333342</v>
      </c>
      <c r="J28" s="49">
        <v>44.784077000000003</v>
      </c>
      <c r="K28" s="49">
        <v>44.953023000000002</v>
      </c>
      <c r="L28" s="49">
        <v>45.384649000000003</v>
      </c>
      <c r="M28" s="50">
        <v>21.271201999999999</v>
      </c>
      <c r="N28" s="51">
        <v>27.704087000000001</v>
      </c>
      <c r="O28" s="51">
        <v>27.277650000000001</v>
      </c>
      <c r="P28" s="51">
        <v>27.408446000000005</v>
      </c>
      <c r="Q28" s="49">
        <v>34.846808850000002</v>
      </c>
      <c r="R28" s="51">
        <v>29.149076000000004</v>
      </c>
      <c r="S28" s="51">
        <v>29.149076000000004</v>
      </c>
      <c r="T28" s="51">
        <v>29.149076000000004</v>
      </c>
      <c r="U28" s="34">
        <f t="shared" si="10"/>
        <v>72.753500068183314</v>
      </c>
      <c r="V28" s="35">
        <f t="shared" si="11"/>
        <v>66.387222483937805</v>
      </c>
      <c r="W28" s="35">
        <f t="shared" si="12"/>
        <v>75.08929734477006</v>
      </c>
      <c r="X28" s="51">
        <f t="shared" si="13"/>
        <v>71.890700425089349</v>
      </c>
      <c r="Y28" s="51">
        <f t="shared" si="14"/>
        <v>61.79713228869138</v>
      </c>
      <c r="Z28" s="51">
        <f t="shared" si="15"/>
        <v>65.088035642668274</v>
      </c>
      <c r="AA28" s="51">
        <f t="shared" si="16"/>
        <v>64.843416648531075</v>
      </c>
      <c r="AB28" s="51">
        <f t="shared" si="17"/>
        <v>64.22673005579486</v>
      </c>
      <c r="AC28" s="3" t="s">
        <v>28</v>
      </c>
      <c r="AE28" s="20"/>
      <c r="AF28" s="11"/>
      <c r="AG28" s="11"/>
      <c r="AH28" s="20"/>
      <c r="AI28" s="20"/>
    </row>
    <row r="29" spans="1:35" ht="19.5" customHeight="1" x14ac:dyDescent="0.25">
      <c r="A29" s="19" t="s">
        <v>30</v>
      </c>
      <c r="B29" s="32">
        <v>9</v>
      </c>
      <c r="C29" s="32">
        <v>29</v>
      </c>
      <c r="D29" s="33"/>
      <c r="E29" s="48">
        <v>18.340208000000001</v>
      </c>
      <c r="F29" s="49">
        <v>28.811620999999999</v>
      </c>
      <c r="G29" s="49">
        <v>28.107016000000002</v>
      </c>
      <c r="H29" s="49">
        <v>25.784237000000001</v>
      </c>
      <c r="I29" s="49">
        <v>36.227025373333333</v>
      </c>
      <c r="J29" s="49">
        <v>30.192512000000001</v>
      </c>
      <c r="K29" s="49">
        <v>30.399387999999998</v>
      </c>
      <c r="L29" s="49">
        <v>30.702660000000002</v>
      </c>
      <c r="M29" s="50">
        <v>4.6662730000000003</v>
      </c>
      <c r="N29" s="51">
        <v>18.061489999999999</v>
      </c>
      <c r="O29" s="51">
        <v>19.211731</v>
      </c>
      <c r="P29" s="51">
        <v>22.467120000000001</v>
      </c>
      <c r="Q29" s="49">
        <v>31.712078443333333</v>
      </c>
      <c r="R29" s="51">
        <v>24.131432</v>
      </c>
      <c r="S29" s="51">
        <v>24.131432</v>
      </c>
      <c r="T29" s="51">
        <v>24.131432</v>
      </c>
      <c r="U29" s="34">
        <f t="shared" si="10"/>
        <v>25.442857572825783</v>
      </c>
      <c r="V29" s="35">
        <f t="shared" si="11"/>
        <v>62.688211815642028</v>
      </c>
      <c r="W29" s="35">
        <f t="shared" si="12"/>
        <v>68.352083337484132</v>
      </c>
      <c r="X29" s="51">
        <f t="shared" si="13"/>
        <v>87.135097307707809</v>
      </c>
      <c r="Y29" s="51">
        <f t="shared" si="14"/>
        <v>87.537075198772882</v>
      </c>
      <c r="Z29" s="51">
        <f t="shared" si="15"/>
        <v>79.925221193917224</v>
      </c>
      <c r="AA29" s="51">
        <f t="shared" si="16"/>
        <v>79.381308597396767</v>
      </c>
      <c r="AB29" s="51">
        <f t="shared" si="17"/>
        <v>78.597202978504143</v>
      </c>
      <c r="AC29" s="3" t="s">
        <v>29</v>
      </c>
      <c r="AE29" s="20"/>
      <c r="AF29" s="11"/>
      <c r="AG29" s="11"/>
      <c r="AH29" s="20"/>
      <c r="AI29" s="20"/>
    </row>
    <row r="30" spans="1:35" ht="19.5" customHeight="1" x14ac:dyDescent="0.25">
      <c r="A30" s="21" t="s">
        <v>57</v>
      </c>
      <c r="B30" s="36">
        <v>1</v>
      </c>
      <c r="C30" s="36">
        <v>6</v>
      </c>
      <c r="D30" s="37"/>
      <c r="E30" s="52">
        <v>50.903489</v>
      </c>
      <c r="F30" s="53">
        <v>48.179842999999998</v>
      </c>
      <c r="G30" s="53">
        <v>39.296843000000003</v>
      </c>
      <c r="H30" s="53">
        <v>49.939065999999997</v>
      </c>
      <c r="I30" s="53">
        <v>58.974341682222217</v>
      </c>
      <c r="J30" s="53">
        <v>27.331685</v>
      </c>
      <c r="K30" s="53">
        <v>27.843219999999999</v>
      </c>
      <c r="L30" s="53">
        <v>28.321365</v>
      </c>
      <c r="M30" s="54">
        <v>22.907131</v>
      </c>
      <c r="N30" s="55">
        <v>29.297042999999999</v>
      </c>
      <c r="O30" s="55">
        <v>27.772646000000002</v>
      </c>
      <c r="P30" s="55">
        <v>25.918375999999999</v>
      </c>
      <c r="Q30" s="53">
        <v>34.501488000000002</v>
      </c>
      <c r="R30" s="55">
        <v>15.464918000000001</v>
      </c>
      <c r="S30" s="55">
        <v>15.464918000000001</v>
      </c>
      <c r="T30" s="55">
        <v>15.464918000000001</v>
      </c>
      <c r="U30" s="38">
        <f t="shared" si="10"/>
        <v>45.00110198733136</v>
      </c>
      <c r="V30" s="39">
        <f t="shared" si="11"/>
        <v>60.807676355441842</v>
      </c>
      <c r="W30" s="39">
        <f t="shared" si="12"/>
        <v>70.673987729752227</v>
      </c>
      <c r="X30" s="55">
        <f t="shared" si="13"/>
        <v>51.90000149382049</v>
      </c>
      <c r="Y30" s="55">
        <f t="shared" si="14"/>
        <v>58.502540284227464</v>
      </c>
      <c r="Z30" s="55">
        <f t="shared" si="15"/>
        <v>56.582380486237859</v>
      </c>
      <c r="AA30" s="55">
        <f t="shared" si="16"/>
        <v>55.542850288149147</v>
      </c>
      <c r="AB30" s="55">
        <f t="shared" si="17"/>
        <v>54.60512937847453</v>
      </c>
      <c r="AC30" s="22" t="s">
        <v>58</v>
      </c>
      <c r="AE30" s="20"/>
      <c r="AF30" s="11"/>
      <c r="AG30" s="11"/>
      <c r="AH30" s="20"/>
      <c r="AI30" s="20"/>
    </row>
    <row r="31" spans="1:35" s="41" customFormat="1" ht="17.25" x14ac:dyDescent="0.2">
      <c r="A31" s="5" t="s">
        <v>38</v>
      </c>
      <c r="B31" s="40"/>
      <c r="G31" s="42"/>
      <c r="H31" s="42"/>
      <c r="I31" s="42"/>
      <c r="J31" s="42"/>
      <c r="K31" s="42"/>
      <c r="L31" s="42"/>
      <c r="AC31" s="7" t="s">
        <v>59</v>
      </c>
      <c r="AF31" s="43"/>
      <c r="AG31" s="43"/>
    </row>
    <row r="34" spans="2:2" x14ac:dyDescent="0.25">
      <c r="B34" s="8"/>
    </row>
    <row r="59" spans="17:19" x14ac:dyDescent="0.25">
      <c r="Q59" s="11"/>
      <c r="R59" s="11"/>
      <c r="S59" s="8"/>
    </row>
    <row r="60" spans="17:19" x14ac:dyDescent="0.25">
      <c r="Q60" s="11"/>
      <c r="R60" s="11"/>
      <c r="S60" s="8"/>
    </row>
    <row r="61" spans="17:19" x14ac:dyDescent="0.25">
      <c r="Q61" s="11"/>
      <c r="R61" s="11"/>
      <c r="S61" s="8"/>
    </row>
    <row r="65" spans="1:19" x14ac:dyDescent="0.25">
      <c r="Q65" s="11"/>
      <c r="R65" s="11"/>
      <c r="S65" s="8"/>
    </row>
    <row r="66" spans="1:19" x14ac:dyDescent="0.25">
      <c r="B66" s="23"/>
      <c r="C66" s="1"/>
      <c r="Q66" s="11"/>
      <c r="R66" s="11"/>
      <c r="S66" s="8"/>
    </row>
    <row r="68" spans="1:19" x14ac:dyDescent="0.25">
      <c r="A68" s="19"/>
      <c r="B68" s="24"/>
      <c r="C68" s="9"/>
      <c r="Q68" s="11"/>
      <c r="R68" s="11"/>
      <c r="S68" s="8"/>
    </row>
    <row r="69" spans="1:19" x14ac:dyDescent="0.25">
      <c r="A69" s="19"/>
      <c r="B69" s="24"/>
      <c r="C69" s="9"/>
      <c r="Q69" s="11"/>
      <c r="R69" s="11"/>
      <c r="S69" s="8"/>
    </row>
    <row r="70" spans="1:19" x14ac:dyDescent="0.25">
      <c r="A70" s="19"/>
      <c r="B70" s="24"/>
      <c r="C70" s="9"/>
      <c r="Q70" s="11"/>
      <c r="R70" s="11"/>
      <c r="S70" s="8"/>
    </row>
    <row r="71" spans="1:19" x14ac:dyDescent="0.25">
      <c r="A71" s="19"/>
      <c r="B71" s="24"/>
      <c r="C71" s="9"/>
      <c r="Q71" s="11"/>
      <c r="R71" s="11"/>
      <c r="S71" s="8"/>
    </row>
    <row r="72" spans="1:19" x14ac:dyDescent="0.25">
      <c r="A72" s="19"/>
      <c r="B72" s="24"/>
      <c r="C72" s="9"/>
      <c r="Q72" s="11"/>
      <c r="R72" s="11"/>
      <c r="S72" s="8"/>
    </row>
    <row r="73" spans="1:19" x14ac:dyDescent="0.25">
      <c r="A73" s="19"/>
      <c r="B73" s="24"/>
      <c r="C73" s="9"/>
      <c r="Q73" s="11"/>
      <c r="R73" s="11"/>
      <c r="S73" s="8"/>
    </row>
    <row r="74" spans="1:19" x14ac:dyDescent="0.25">
      <c r="A74" s="19"/>
      <c r="B74" s="24"/>
      <c r="C74" s="9"/>
      <c r="Q74" s="11"/>
      <c r="R74" s="11"/>
      <c r="S74" s="8"/>
    </row>
    <row r="75" spans="1:19" x14ac:dyDescent="0.25">
      <c r="A75" s="19"/>
      <c r="B75" s="24"/>
      <c r="C75" s="9"/>
      <c r="Q75" s="11"/>
      <c r="R75" s="11"/>
      <c r="S75" s="8"/>
    </row>
    <row r="76" spans="1:19" x14ac:dyDescent="0.25">
      <c r="A76" s="19"/>
      <c r="B76" s="24"/>
      <c r="C76" s="9"/>
      <c r="Q76" s="11"/>
      <c r="R76" s="11"/>
      <c r="S76" s="8"/>
    </row>
    <row r="77" spans="1:19" x14ac:dyDescent="0.25">
      <c r="A77" s="19"/>
      <c r="B77" s="24"/>
      <c r="C77" s="9"/>
      <c r="Q77" s="11"/>
      <c r="R77" s="11"/>
      <c r="S77" s="8"/>
    </row>
    <row r="78" spans="1:19" x14ac:dyDescent="0.25">
      <c r="A78" s="19"/>
      <c r="B78" s="24"/>
      <c r="C78" s="9"/>
      <c r="Q78" s="11"/>
      <c r="R78" s="11"/>
      <c r="S78" s="8"/>
    </row>
    <row r="79" spans="1:19" x14ac:dyDescent="0.25">
      <c r="A79" s="19"/>
      <c r="B79" s="24"/>
      <c r="C79" s="9"/>
      <c r="Q79" s="11"/>
      <c r="R79" s="11"/>
      <c r="S79" s="8"/>
    </row>
    <row r="80" spans="1:19" x14ac:dyDescent="0.25">
      <c r="A80" s="19"/>
      <c r="B80" s="24"/>
      <c r="C80" s="9"/>
      <c r="Q80" s="11"/>
      <c r="R80" s="11"/>
      <c r="S80" s="8"/>
    </row>
    <row r="81" spans="1:19" x14ac:dyDescent="0.25">
      <c r="A81" s="19"/>
      <c r="B81" s="24"/>
      <c r="C81" s="9"/>
      <c r="Q81" s="11"/>
      <c r="R81" s="11"/>
      <c r="S81" s="8"/>
    </row>
    <row r="82" spans="1:19" x14ac:dyDescent="0.25">
      <c r="A82" s="19"/>
      <c r="B82" s="24"/>
      <c r="C82" s="9"/>
      <c r="Q82" s="11"/>
      <c r="R82" s="11"/>
      <c r="S82" s="8"/>
    </row>
    <row r="83" spans="1:19" x14ac:dyDescent="0.25">
      <c r="A83" s="19"/>
      <c r="B83" s="24"/>
      <c r="C83" s="9"/>
      <c r="Q83" s="11"/>
      <c r="R83" s="11"/>
      <c r="S83" s="8"/>
    </row>
    <row r="84" spans="1:19" x14ac:dyDescent="0.25">
      <c r="A84" s="19"/>
      <c r="B84" s="24"/>
      <c r="C84" s="9"/>
      <c r="Q84" s="11"/>
      <c r="R84" s="11"/>
      <c r="S84" s="8"/>
    </row>
    <row r="85" spans="1:19" x14ac:dyDescent="0.25">
      <c r="A85" s="19"/>
      <c r="B85" s="24"/>
      <c r="C85" s="9"/>
      <c r="Q85" s="11"/>
      <c r="R85" s="11"/>
      <c r="S85" s="8"/>
    </row>
    <row r="86" spans="1:19" x14ac:dyDescent="0.25">
      <c r="A86" s="19"/>
      <c r="B86" s="24"/>
      <c r="C86" s="9"/>
      <c r="Q86" s="11"/>
      <c r="R86" s="11"/>
      <c r="S86" s="8"/>
    </row>
    <row r="87" spans="1:19" x14ac:dyDescent="0.25">
      <c r="A87" s="19"/>
      <c r="B87" s="24"/>
      <c r="C87" s="9"/>
      <c r="Q87" s="11"/>
      <c r="R87" s="11"/>
      <c r="S87" s="8"/>
    </row>
    <row r="88" spans="1:19" x14ac:dyDescent="0.25">
      <c r="A88" s="19"/>
      <c r="B88" s="24"/>
      <c r="C88" s="9"/>
      <c r="Q88" s="11"/>
      <c r="R88" s="11"/>
      <c r="S88" s="8"/>
    </row>
    <row r="89" spans="1:19" x14ac:dyDescent="0.25">
      <c r="A89" s="56"/>
      <c r="B89" s="6"/>
      <c r="C89" s="9"/>
      <c r="Q89" s="11"/>
      <c r="R89" s="11"/>
      <c r="S89" s="8"/>
    </row>
    <row r="90" spans="1:19" x14ac:dyDescent="0.25">
      <c r="C90" s="9"/>
      <c r="Q90" s="11"/>
      <c r="R90" s="11"/>
      <c r="S90" s="8"/>
    </row>
    <row r="91" spans="1:19" x14ac:dyDescent="0.25">
      <c r="C91" s="9"/>
      <c r="Q91" s="11"/>
      <c r="R91" s="11"/>
      <c r="S91" s="8"/>
    </row>
    <row r="92" spans="1:19" x14ac:dyDescent="0.25">
      <c r="C92" s="9"/>
      <c r="Q92" s="11"/>
      <c r="R92" s="11"/>
      <c r="S92" s="8"/>
    </row>
    <row r="93" spans="1:19" x14ac:dyDescent="0.25">
      <c r="C93" s="9"/>
      <c r="Q93" s="11"/>
      <c r="R93" s="11"/>
      <c r="S93" s="8"/>
    </row>
    <row r="94" spans="1:19" x14ac:dyDescent="0.25">
      <c r="Q94" s="11"/>
      <c r="R94" s="11"/>
      <c r="S94" s="8"/>
    </row>
    <row r="95" spans="1:19" x14ac:dyDescent="0.25">
      <c r="Q95" s="11"/>
      <c r="R95" s="11"/>
      <c r="S95" s="8"/>
    </row>
    <row r="96" spans="1:19" x14ac:dyDescent="0.25">
      <c r="Q96" s="11"/>
      <c r="R96" s="11"/>
      <c r="S96" s="8"/>
    </row>
    <row r="97" spans="17:19" x14ac:dyDescent="0.25">
      <c r="Q97" s="11"/>
      <c r="R97" s="11"/>
      <c r="S97" s="8"/>
    </row>
    <row r="98" spans="17:19" x14ac:dyDescent="0.25">
      <c r="Q98" s="11"/>
      <c r="R98" s="11"/>
      <c r="S98" s="8"/>
    </row>
    <row r="99" spans="17:19" x14ac:dyDescent="0.25">
      <c r="Q99" s="11"/>
      <c r="R99" s="11"/>
      <c r="S99" s="8"/>
    </row>
    <row r="100" spans="17:19" x14ac:dyDescent="0.25">
      <c r="Q100" s="11"/>
      <c r="R100" s="11"/>
      <c r="S100" s="8"/>
    </row>
    <row r="101" spans="17:19" x14ac:dyDescent="0.25">
      <c r="Q101" s="11"/>
      <c r="R101" s="11"/>
      <c r="S101" s="8"/>
    </row>
    <row r="102" spans="17:19" x14ac:dyDescent="0.25">
      <c r="Q102" s="11"/>
      <c r="R102" s="11"/>
      <c r="S102" s="8"/>
    </row>
    <row r="103" spans="17:19" x14ac:dyDescent="0.25">
      <c r="Q103" s="11"/>
      <c r="R103" s="11"/>
      <c r="S103" s="8"/>
    </row>
    <row r="104" spans="17:19" x14ac:dyDescent="0.25">
      <c r="Q104" s="11"/>
      <c r="R104" s="11"/>
      <c r="S104" s="8"/>
    </row>
    <row r="105" spans="17:19" x14ac:dyDescent="0.25">
      <c r="Q105" s="11"/>
      <c r="R105" s="11"/>
      <c r="S105" s="8"/>
    </row>
    <row r="106" spans="17:19" x14ac:dyDescent="0.25">
      <c r="Q106" s="11"/>
      <c r="R106" s="11"/>
      <c r="S106" s="8"/>
    </row>
    <row r="107" spans="17:19" x14ac:dyDescent="0.25">
      <c r="Q107" s="11"/>
      <c r="R107" s="11"/>
      <c r="S107" s="8"/>
    </row>
    <row r="108" spans="17:19" x14ac:dyDescent="0.25">
      <c r="Q108" s="11"/>
      <c r="R108" s="11"/>
      <c r="S108" s="8"/>
    </row>
    <row r="109" spans="17:19" x14ac:dyDescent="0.25">
      <c r="Q109" s="11"/>
      <c r="R109" s="11"/>
      <c r="S109" s="8"/>
    </row>
    <row r="110" spans="17:19" x14ac:dyDescent="0.25">
      <c r="Q110" s="11"/>
      <c r="R110" s="11"/>
      <c r="S110" s="8"/>
    </row>
    <row r="111" spans="17:19" x14ac:dyDescent="0.25">
      <c r="Q111" s="11"/>
      <c r="R111" s="11"/>
      <c r="S111" s="8"/>
    </row>
    <row r="112" spans="17:19" x14ac:dyDescent="0.25">
      <c r="Q112" s="11"/>
      <c r="R112" s="11"/>
      <c r="S112" s="8"/>
    </row>
    <row r="113" spans="17:19" x14ac:dyDescent="0.25">
      <c r="Q113" s="11"/>
      <c r="R113" s="11"/>
      <c r="S113" s="8"/>
    </row>
    <row r="114" spans="17:19" x14ac:dyDescent="0.25">
      <c r="Q114" s="11"/>
      <c r="R114" s="11"/>
      <c r="S114" s="8"/>
    </row>
    <row r="115" spans="17:19" x14ac:dyDescent="0.25">
      <c r="Q115" s="11"/>
      <c r="R115" s="11"/>
      <c r="S115" s="8"/>
    </row>
    <row r="116" spans="17:19" x14ac:dyDescent="0.25">
      <c r="Q116" s="11"/>
      <c r="R116" s="11"/>
      <c r="S116" s="8"/>
    </row>
    <row r="117" spans="17:19" x14ac:dyDescent="0.25">
      <c r="Q117" s="11"/>
      <c r="R117" s="11"/>
      <c r="S117" s="8"/>
    </row>
    <row r="118" spans="17:19" x14ac:dyDescent="0.25">
      <c r="Q118" s="11"/>
      <c r="R118" s="11"/>
      <c r="S118" s="8"/>
    </row>
    <row r="119" spans="17:19" x14ac:dyDescent="0.25">
      <c r="Q119" s="11"/>
      <c r="R119" s="11"/>
      <c r="S119" s="8"/>
    </row>
    <row r="120" spans="17:19" x14ac:dyDescent="0.25">
      <c r="Q120" s="11"/>
      <c r="R120" s="11"/>
      <c r="S120" s="8"/>
    </row>
    <row r="121" spans="17:19" x14ac:dyDescent="0.25">
      <c r="Q121" s="11"/>
      <c r="R121" s="11"/>
      <c r="S121" s="8"/>
    </row>
    <row r="122" spans="17:19" x14ac:dyDescent="0.25">
      <c r="Q122" s="11"/>
      <c r="R122" s="11"/>
      <c r="S122" s="8"/>
    </row>
    <row r="123" spans="17:19" x14ac:dyDescent="0.25">
      <c r="Q123" s="11"/>
      <c r="R123" s="11"/>
      <c r="S123" s="8"/>
    </row>
  </sheetData>
  <mergeCells count="13">
    <mergeCell ref="A4:A8"/>
    <mergeCell ref="A1:AC1"/>
    <mergeCell ref="A2:AC2"/>
    <mergeCell ref="M3:N3"/>
    <mergeCell ref="AC4:AC8"/>
    <mergeCell ref="E5:L6"/>
    <mergeCell ref="E7:L7"/>
    <mergeCell ref="U7:AB7"/>
    <mergeCell ref="M7:T7"/>
    <mergeCell ref="M5:AB5"/>
    <mergeCell ref="M6:AB6"/>
    <mergeCell ref="E4:AB4"/>
    <mergeCell ref="B3:E3"/>
  </mergeCells>
  <pageMargins left="0.31" right="0.7" top="0.17" bottom="0.26" header="0.3" footer="0.17"/>
  <pageSetup paperSize="9" scale="71" orientation="landscape" r:id="rId1"/>
  <rowBreaks count="1" manualBreakCount="1">
    <brk id="31" max="16383" man="1"/>
  </rowBreaks>
  <colBreaks count="1" manualBreakCount="1">
    <brk id="2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20.9</vt:lpstr>
      <vt:lpstr>'20.9'!Print_Area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2016-09-26T07:19:50Z</cp:lastPrinted>
  <dcterms:created xsi:type="dcterms:W3CDTF">2013-02-14T16:19:10Z</dcterms:created>
  <dcterms:modified xsi:type="dcterms:W3CDTF">2016-09-26T07:19:55Z</dcterms:modified>
</cp:coreProperties>
</file>