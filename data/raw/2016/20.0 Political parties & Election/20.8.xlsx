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105" windowWidth="15480" windowHeight="11055" tabRatio="833"/>
  </bookViews>
  <sheets>
    <sheet name="20.8" sheetId="23" r:id="rId1"/>
  </sheets>
  <definedNames>
    <definedName name="_xlnm.Print_Area" localSheetId="0">'20.8'!$A$1:$L$27</definedName>
  </definedNames>
  <calcPr calcId="144525"/>
</workbook>
</file>

<file path=xl/calcChain.xml><?xml version="1.0" encoding="utf-8"?>
<calcChain xmlns="http://schemas.openxmlformats.org/spreadsheetml/2006/main">
  <c r="AD19" i="23" l="1"/>
  <c r="AE19" i="23"/>
  <c r="AD20" i="23"/>
  <c r="AE20" i="23"/>
  <c r="AD21" i="23"/>
  <c r="AE21" i="23"/>
  <c r="AE18" i="23"/>
  <c r="AD18" i="23"/>
  <c r="J7" i="23"/>
  <c r="I7" i="23"/>
  <c r="H7" i="23"/>
  <c r="G7" i="23"/>
  <c r="F7" i="23"/>
  <c r="E7" i="23"/>
</calcChain>
</file>

<file path=xl/sharedStrings.xml><?xml version="1.0" encoding="utf-8"?>
<sst xmlns="http://schemas.openxmlformats.org/spreadsheetml/2006/main" count="35" uniqueCount="24">
  <si>
    <t>Republic</t>
  </si>
  <si>
    <t>Source: Elections Commission</t>
  </si>
  <si>
    <t xml:space="preserve">މަޢުލޫމާތު ދެއްވި ފަރާތް: އިލެކްޝަންސް ކޮމިޝަން </t>
  </si>
  <si>
    <t>Total</t>
  </si>
  <si>
    <t>Male</t>
  </si>
  <si>
    <t>Female</t>
  </si>
  <si>
    <t xml:space="preserve"> Councils</t>
  </si>
  <si>
    <r>
      <t xml:space="preserve">Republic                      </t>
    </r>
    <r>
      <rPr>
        <b/>
        <sz val="11"/>
        <color theme="1"/>
        <rFont val="Faruma"/>
      </rPr>
      <t xml:space="preserve">މުޅިރާއްޖެ </t>
    </r>
  </si>
  <si>
    <r>
      <t xml:space="preserve">Male'                          </t>
    </r>
    <r>
      <rPr>
        <b/>
        <sz val="11"/>
        <color theme="1"/>
        <rFont val="Faruma"/>
      </rPr>
      <t xml:space="preserve"> މާލެ</t>
    </r>
  </si>
  <si>
    <r>
      <t xml:space="preserve">Atolls                  </t>
    </r>
    <r>
      <rPr>
        <b/>
        <sz val="11"/>
        <color theme="1"/>
        <rFont val="Faruma"/>
      </rPr>
      <t xml:space="preserve"> އަތޮޅުތައް</t>
    </r>
  </si>
  <si>
    <t>ކައުންސިލްތައް</t>
  </si>
  <si>
    <t>Local Councils</t>
  </si>
  <si>
    <t>ލޯކަލް ކައުންސިލްތައް</t>
  </si>
  <si>
    <t>Atoll councils</t>
  </si>
  <si>
    <t>އަތޮޅު ކައުންސިލް</t>
  </si>
  <si>
    <t>Island councils</t>
  </si>
  <si>
    <t>ރަށު ކައުންސިލް</t>
  </si>
  <si>
    <t>City councils</t>
  </si>
  <si>
    <t>ސިޓީ ކައުންސިލް</t>
  </si>
  <si>
    <t xml:space="preserve"> Local Councils</t>
  </si>
  <si>
    <t>ތާވަލު 20.8: ލޯކަލް ކައުންސިލް މެމްބަރުންގެ އަދަދު އަދި ޖިންސް، 2014</t>
  </si>
  <si>
    <t>TABLE 20.8: LOCAL COUNCIL MEMBERS BY SEX, 2014</t>
  </si>
  <si>
    <t>Note: Data Revised</t>
  </si>
  <si>
    <t xml:space="preserve">          Local council election was last held on 2014. Hence, the latest data for local council election can be derived from 2014 election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</si>
</sst>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sz val="11"/>
      <color theme="1"/>
      <name val="Faruma"/>
    </font>
    <font>
      <i/>
      <sz val="10"/>
      <color theme="1"/>
      <name val="Calibri"/>
      <family val="2"/>
      <scheme val="minor"/>
    </font>
    <font>
      <sz val="10"/>
      <name val="Arial"/>
      <family val="2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Faruma"/>
    </font>
    <font>
      <b/>
      <sz val="12"/>
      <color theme="1"/>
      <name val="Faruma"/>
    </font>
    <font>
      <sz val="11"/>
      <color theme="1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6" fillId="0" borderId="0"/>
    <xf numFmtId="0" fontId="1" fillId="0" borderId="0"/>
    <xf numFmtId="0" fontId="11" fillId="0" borderId="0"/>
    <xf numFmtId="0" fontId="1" fillId="0" borderId="0"/>
  </cellStyleXfs>
  <cellXfs count="40">
    <xf numFmtId="0" fontId="0" fillId="0" borderId="0" xfId="0"/>
    <xf numFmtId="0" fontId="2" fillId="2" borderId="0" xfId="0" applyFont="1" applyFill="1"/>
    <xf numFmtId="0" fontId="4" fillId="2" borderId="0" xfId="0" applyFont="1" applyFill="1"/>
    <xf numFmtId="0" fontId="2" fillId="2" borderId="1" xfId="0" applyFont="1" applyFill="1" applyBorder="1" applyAlignment="1">
      <alignment horizontal="right" vertical="center"/>
    </xf>
    <xf numFmtId="0" fontId="7" fillId="2" borderId="0" xfId="0" applyFont="1" applyFill="1" applyAlignment="1">
      <alignment horizontal="left" vertical="center"/>
    </xf>
    <xf numFmtId="0" fontId="9" fillId="2" borderId="0" xfId="0" applyFont="1" applyFill="1"/>
    <xf numFmtId="0" fontId="8" fillId="2" borderId="0" xfId="0" applyFont="1" applyFill="1"/>
    <xf numFmtId="0" fontId="0" fillId="2" borderId="0" xfId="0" applyFont="1" applyFill="1" applyBorder="1"/>
    <xf numFmtId="0" fontId="0" fillId="2" borderId="0" xfId="0" applyFont="1" applyFill="1"/>
    <xf numFmtId="0" fontId="2" fillId="2" borderId="0" xfId="0" applyFont="1" applyFill="1" applyBorder="1" applyAlignment="1">
      <alignment horizontal="left" vertical="center"/>
    </xf>
    <xf numFmtId="0" fontId="0" fillId="2" borderId="1" xfId="0" applyFont="1" applyFill="1" applyBorder="1"/>
    <xf numFmtId="0" fontId="0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right" vertical="center"/>
    </xf>
    <xf numFmtId="0" fontId="2" fillId="2" borderId="7" xfId="0" applyFont="1" applyFill="1" applyBorder="1" applyAlignment="1">
      <alignment horizontal="right"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0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37" fontId="0" fillId="2" borderId="0" xfId="0" applyNumberFormat="1" applyFont="1" applyFill="1" applyAlignment="1">
      <alignment horizontal="center"/>
    </xf>
    <xf numFmtId="37" fontId="0" fillId="2" borderId="0" xfId="0" applyNumberFormat="1" applyFont="1" applyFill="1"/>
    <xf numFmtId="37" fontId="2" fillId="2" borderId="0" xfId="1" applyNumberFormat="1" applyFont="1" applyFill="1" applyBorder="1" applyAlignment="1">
      <alignment horizontal="right" vertical="center"/>
    </xf>
    <xf numFmtId="37" fontId="2" fillId="2" borderId="8" xfId="1" applyNumberFormat="1" applyFont="1" applyFill="1" applyBorder="1" applyAlignment="1">
      <alignment horizontal="right" vertical="center"/>
    </xf>
    <xf numFmtId="37" fontId="0" fillId="2" borderId="0" xfId="1" applyNumberFormat="1" applyFont="1" applyFill="1" applyBorder="1" applyAlignment="1">
      <alignment horizontal="right" vertical="center"/>
    </xf>
    <xf numFmtId="37" fontId="0" fillId="2" borderId="9" xfId="1" applyNumberFormat="1" applyFont="1" applyFill="1" applyBorder="1" applyAlignment="1">
      <alignment horizontal="right" vertical="center"/>
    </xf>
    <xf numFmtId="37" fontId="0" fillId="2" borderId="10" xfId="1" applyNumberFormat="1" applyFont="1" applyFill="1" applyBorder="1" applyAlignment="1">
      <alignment horizontal="right" vertical="center"/>
    </xf>
    <xf numFmtId="37" fontId="0" fillId="2" borderId="1" xfId="1" applyNumberFormat="1" applyFont="1" applyFill="1" applyBorder="1" applyAlignment="1">
      <alignment horizontal="right" vertical="center"/>
    </xf>
    <xf numFmtId="37" fontId="0" fillId="2" borderId="6" xfId="1" applyNumberFormat="1" applyFont="1" applyFill="1" applyBorder="1" applyAlignment="1">
      <alignment horizontal="right" vertical="center"/>
    </xf>
    <xf numFmtId="37" fontId="0" fillId="2" borderId="7" xfId="1" applyNumberFormat="1" applyFont="1" applyFill="1" applyBorder="1" applyAlignment="1">
      <alignment horizontal="right" vertical="center"/>
    </xf>
    <xf numFmtId="0" fontId="5" fillId="2" borderId="0" xfId="0" applyFont="1" applyFill="1" applyBorder="1"/>
    <xf numFmtId="0" fontId="5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 vertical="top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9">
    <cellStyle name="Comma" xfId="1" builtinId="3"/>
    <cellStyle name="Comma 2" xfId="2"/>
    <cellStyle name="Comma 3" xfId="3"/>
    <cellStyle name="Normal" xfId="0" builtinId="0"/>
    <cellStyle name="Normal 2" xfId="5"/>
    <cellStyle name="Normal 2 2" xfId="7"/>
    <cellStyle name="Normal 2 3" xfId="8"/>
    <cellStyle name="Normal 3" xfId="4"/>
    <cellStyle name="Normal 3 2" xfId="6"/>
  </cellStyles>
  <dxfs count="0"/>
  <tableStyles count="0" defaultTableStyle="TableStyleMedium9" defaultPivotStyle="PivotStyleLight16"/>
  <colors>
    <mruColors>
      <color rgb="FFE7FFFF"/>
      <color rgb="FF33CCCC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</a:t>
            </a:r>
            <a:r>
              <a:rPr lang="en-US" sz="1100" baseline="0">
                <a:latin typeface="Consolas" pitchFamily="49" charset="0"/>
                <a:cs typeface="Consolas" pitchFamily="49" charset="0"/>
              </a:rPr>
              <a:t>  20.5: </a:t>
            </a:r>
            <a:r>
              <a:rPr lang="en-US" sz="1100">
                <a:latin typeface="Consolas" pitchFamily="49" charset="0"/>
                <a:cs typeface="Consolas" pitchFamily="49" charset="0"/>
              </a:rPr>
              <a:t>Number of local council members by sex, 2014</a:t>
            </a:r>
          </a:p>
        </c:rich>
      </c:tx>
      <c:layout>
        <c:manualLayout>
          <c:xMode val="edge"/>
          <c:yMode val="edge"/>
          <c:x val="0.17306545512054602"/>
          <c:y val="2.85103349964362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463249765776165"/>
          <c:y val="0.179121978961468"/>
          <c:w val="0.84588763364749475"/>
          <c:h val="0.679592474319184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'20.8'!$AD$17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'20.8'!$AC$18:$AC$21</c:f>
              <c:strCache>
                <c:ptCount val="4"/>
                <c:pt idx="0">
                  <c:v> Local Councils</c:v>
                </c:pt>
                <c:pt idx="1">
                  <c:v>Atoll councils</c:v>
                </c:pt>
                <c:pt idx="2">
                  <c:v>Island councils</c:v>
                </c:pt>
                <c:pt idx="3">
                  <c:v>City councils</c:v>
                </c:pt>
              </c:strCache>
            </c:strRef>
          </c:cat>
          <c:val>
            <c:numRef>
              <c:f>'20.8'!$AD$18:$AD$21</c:f>
              <c:numCache>
                <c:formatCode>#,##0_);\(#,##0\)</c:formatCode>
                <c:ptCount val="4"/>
                <c:pt idx="0">
                  <c:v>1034</c:v>
                </c:pt>
                <c:pt idx="1">
                  <c:v>129</c:v>
                </c:pt>
                <c:pt idx="2">
                  <c:v>890</c:v>
                </c:pt>
                <c:pt idx="3">
                  <c:v>15</c:v>
                </c:pt>
              </c:numCache>
            </c:numRef>
          </c:val>
        </c:ser>
        <c:ser>
          <c:idx val="1"/>
          <c:order val="1"/>
          <c:tx>
            <c:strRef>
              <c:f>'20.8'!$AE$17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1C706E"/>
            </a:solidFill>
          </c:spPr>
          <c:invertIfNegative val="0"/>
          <c:cat>
            <c:strRef>
              <c:f>'20.8'!$AC$18:$AC$21</c:f>
              <c:strCache>
                <c:ptCount val="4"/>
                <c:pt idx="0">
                  <c:v> Local Councils</c:v>
                </c:pt>
                <c:pt idx="1">
                  <c:v>Atoll councils</c:v>
                </c:pt>
                <c:pt idx="2">
                  <c:v>Island councils</c:v>
                </c:pt>
                <c:pt idx="3">
                  <c:v>City councils</c:v>
                </c:pt>
              </c:strCache>
            </c:strRef>
          </c:cat>
          <c:val>
            <c:numRef>
              <c:f>'20.8'!$AE$18:$AE$21</c:f>
              <c:numCache>
                <c:formatCode>#,##0_);\(#,##0\)</c:formatCode>
                <c:ptCount val="4"/>
                <c:pt idx="0">
                  <c:v>61</c:v>
                </c:pt>
                <c:pt idx="1">
                  <c:v>3</c:v>
                </c:pt>
                <c:pt idx="2">
                  <c:v>56</c:v>
                </c:pt>
                <c:pt idx="3">
                  <c:v>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9235712"/>
        <c:axId val="59237504"/>
      </c:barChart>
      <c:catAx>
        <c:axId val="59235712"/>
        <c:scaling>
          <c:orientation val="minMax"/>
        </c:scaling>
        <c:delete val="0"/>
        <c:axPos val="b"/>
        <c:majorTickMark val="out"/>
        <c:minorTickMark val="none"/>
        <c:tickLblPos val="nextTo"/>
        <c:crossAx val="59237504"/>
        <c:crosses val="autoZero"/>
        <c:auto val="1"/>
        <c:lblAlgn val="ctr"/>
        <c:lblOffset val="100"/>
        <c:noMultiLvlLbl val="0"/>
      </c:catAx>
      <c:valAx>
        <c:axId val="59237504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050"/>
                </a:pPr>
                <a:r>
                  <a:rPr lang="en-US" sz="1050"/>
                  <a:t>No.</a:t>
                </a:r>
                <a:r>
                  <a:rPr lang="en-US" sz="1050" baseline="0"/>
                  <a:t> of persons</a:t>
                </a:r>
                <a:endParaRPr lang="en-US" sz="1050"/>
              </a:p>
            </c:rich>
          </c:tx>
          <c:layout>
            <c:manualLayout>
              <c:xMode val="edge"/>
              <c:yMode val="edge"/>
              <c:x val="1.5168456026918981E-2"/>
              <c:y val="0.29270270020334532"/>
            </c:manualLayout>
          </c:layout>
          <c:overlay val="0"/>
        </c:title>
        <c:numFmt formatCode="#,##0_);\(#,##0\)" sourceLinked="1"/>
        <c:majorTickMark val="out"/>
        <c:minorTickMark val="none"/>
        <c:tickLblPos val="nextTo"/>
        <c:crossAx val="59235712"/>
        <c:crosses val="autoZero"/>
        <c:crossBetween val="between"/>
        <c:majorUnit val="200"/>
      </c:valAx>
      <c:spPr>
        <a:ln>
          <a:solidFill>
            <a:sysClr val="windowText" lastClr="000000">
              <a:lumMod val="50000"/>
              <a:lumOff val="50000"/>
            </a:sysClr>
          </a:solidFill>
        </a:ln>
      </c:spPr>
    </c:plotArea>
    <c:legend>
      <c:legendPos val="r"/>
      <c:layout>
        <c:manualLayout>
          <c:xMode val="edge"/>
          <c:yMode val="edge"/>
          <c:x val="0.72986413162729891"/>
          <c:y val="0.23965742699838927"/>
          <c:w val="0.21579249374644505"/>
          <c:h val="7.6815522792366558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66" l="0.70000000000000062" r="0.70000000000000062" t="0.75000000000000266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1087691</xdr:colOff>
      <xdr:row>14</xdr:row>
      <xdr:rowOff>66676</xdr:rowOff>
    </xdr:from>
    <xdr:to>
      <xdr:col>10</xdr:col>
      <xdr:colOff>552450</xdr:colOff>
      <xdr:row>26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295275</xdr:colOff>
      <xdr:row>15</xdr:row>
      <xdr:rowOff>104774</xdr:rowOff>
    </xdr:from>
    <xdr:to>
      <xdr:col>9</xdr:col>
      <xdr:colOff>438150</xdr:colOff>
      <xdr:row>15</xdr:row>
      <xdr:rowOff>104774</xdr:rowOff>
    </xdr:to>
    <xdr:sp macro="" textlink="">
      <xdr:nvSpPr>
        <xdr:cNvPr id="4" name="Line 4"/>
        <xdr:cNvSpPr>
          <a:spLocks noChangeShapeType="1"/>
        </xdr:cNvSpPr>
      </xdr:nvSpPr>
      <xdr:spPr bwMode="auto">
        <a:xfrm flipV="1">
          <a:off x="2143125" y="3829049"/>
          <a:ext cx="4676775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AF22"/>
  <sheetViews>
    <sheetView tabSelected="1" zoomScaleNormal="100" workbookViewId="0">
      <selection activeCell="N1" sqref="N1:N1048576"/>
    </sheetView>
  </sheetViews>
  <sheetFormatPr defaultColWidth="9.140625" defaultRowHeight="21" x14ac:dyDescent="0.55000000000000004"/>
  <cols>
    <col min="1" max="1" width="18" style="8" customWidth="1"/>
    <col min="2" max="10" width="9.7109375" style="8" customWidth="1"/>
    <col min="11" max="11" width="20.140625" style="2" customWidth="1"/>
    <col min="12" max="12" width="2.42578125" style="8" customWidth="1"/>
    <col min="13" max="28" width="9.140625" style="8"/>
    <col min="29" max="29" width="18.28515625" style="8" customWidth="1"/>
    <col min="30" max="30" width="15" style="8" customWidth="1"/>
    <col min="31" max="16384" width="9.140625" style="8"/>
  </cols>
  <sheetData>
    <row r="2" spans="1:30" s="1" customFormat="1" ht="21.75" x14ac:dyDescent="0.55000000000000004">
      <c r="A2" s="35" t="s">
        <v>20</v>
      </c>
      <c r="B2" s="35"/>
      <c r="C2" s="35"/>
      <c r="D2" s="35"/>
      <c r="E2" s="35"/>
      <c r="F2" s="35"/>
      <c r="G2" s="35"/>
      <c r="H2" s="35"/>
      <c r="I2" s="35"/>
      <c r="J2" s="35"/>
      <c r="K2" s="35"/>
    </row>
    <row r="3" spans="1:30" s="1" customFormat="1" ht="15.75" x14ac:dyDescent="0.25">
      <c r="A3" s="36" t="s">
        <v>21</v>
      </c>
      <c r="B3" s="36"/>
      <c r="C3" s="36"/>
      <c r="D3" s="36"/>
      <c r="E3" s="36"/>
      <c r="F3" s="36"/>
      <c r="G3" s="36"/>
      <c r="H3" s="36"/>
      <c r="I3" s="36"/>
      <c r="J3" s="36"/>
      <c r="K3" s="36"/>
    </row>
    <row r="5" spans="1:30" s="12" customFormat="1" x14ac:dyDescent="0.25">
      <c r="A5" s="32" t="s">
        <v>6</v>
      </c>
      <c r="B5" s="37" t="s">
        <v>7</v>
      </c>
      <c r="C5" s="37"/>
      <c r="D5" s="38"/>
      <c r="E5" s="39" t="s">
        <v>8</v>
      </c>
      <c r="F5" s="37"/>
      <c r="G5" s="38"/>
      <c r="H5" s="37" t="s">
        <v>9</v>
      </c>
      <c r="I5" s="37"/>
      <c r="J5" s="37"/>
      <c r="K5" s="33" t="s">
        <v>10</v>
      </c>
    </row>
    <row r="6" spans="1:30" s="7" customFormat="1" ht="15" x14ac:dyDescent="0.25">
      <c r="A6" s="31"/>
      <c r="B6" s="3" t="s">
        <v>3</v>
      </c>
      <c r="C6" s="3" t="s">
        <v>4</v>
      </c>
      <c r="D6" s="13" t="s">
        <v>5</v>
      </c>
      <c r="E6" s="14" t="s">
        <v>3</v>
      </c>
      <c r="F6" s="3" t="s">
        <v>4</v>
      </c>
      <c r="G6" s="13" t="s">
        <v>5</v>
      </c>
      <c r="H6" s="3" t="s">
        <v>3</v>
      </c>
      <c r="I6" s="3" t="s">
        <v>4</v>
      </c>
      <c r="J6" s="3" t="s">
        <v>5</v>
      </c>
      <c r="K6" s="34"/>
    </row>
    <row r="7" spans="1:30" s="7" customFormat="1" x14ac:dyDescent="0.25">
      <c r="A7" s="9" t="s">
        <v>11</v>
      </c>
      <c r="B7" s="21">
        <v>1095</v>
      </c>
      <c r="C7" s="21">
        <v>1034</v>
      </c>
      <c r="D7" s="22">
        <v>61</v>
      </c>
      <c r="E7" s="21">
        <f t="shared" ref="E7:J7" si="0">SUM(E8:E10)</f>
        <v>11</v>
      </c>
      <c r="F7" s="21">
        <f t="shared" si="0"/>
        <v>9</v>
      </c>
      <c r="G7" s="22">
        <f t="shared" si="0"/>
        <v>2</v>
      </c>
      <c r="H7" s="21">
        <f>SUM(H8:H10)</f>
        <v>1084</v>
      </c>
      <c r="I7" s="21">
        <f t="shared" si="0"/>
        <v>1025</v>
      </c>
      <c r="J7" s="21">
        <f t="shared" si="0"/>
        <v>59</v>
      </c>
      <c r="K7" s="15" t="s">
        <v>12</v>
      </c>
    </row>
    <row r="8" spans="1:30" s="7" customFormat="1" x14ac:dyDescent="0.25">
      <c r="A8" s="11" t="s">
        <v>13</v>
      </c>
      <c r="B8" s="23">
        <v>132</v>
      </c>
      <c r="C8" s="23">
        <v>129</v>
      </c>
      <c r="D8" s="24">
        <v>3</v>
      </c>
      <c r="E8" s="25">
        <v>0</v>
      </c>
      <c r="F8" s="23">
        <v>0</v>
      </c>
      <c r="G8" s="24">
        <v>0</v>
      </c>
      <c r="H8" s="23">
        <v>132</v>
      </c>
      <c r="I8" s="23">
        <v>129</v>
      </c>
      <c r="J8" s="23">
        <v>3</v>
      </c>
      <c r="K8" s="16" t="s">
        <v>14</v>
      </c>
    </row>
    <row r="9" spans="1:30" s="7" customFormat="1" x14ac:dyDescent="0.25">
      <c r="A9" s="11" t="s">
        <v>15</v>
      </c>
      <c r="B9" s="23">
        <v>946</v>
      </c>
      <c r="C9" s="23">
        <v>890</v>
      </c>
      <c r="D9" s="24">
        <v>56</v>
      </c>
      <c r="E9" s="25">
        <v>0</v>
      </c>
      <c r="F9" s="23">
        <v>0</v>
      </c>
      <c r="G9" s="24">
        <v>0</v>
      </c>
      <c r="H9" s="23">
        <v>946</v>
      </c>
      <c r="I9" s="23">
        <v>890</v>
      </c>
      <c r="J9" s="23">
        <v>56</v>
      </c>
      <c r="K9" s="16" t="s">
        <v>16</v>
      </c>
    </row>
    <row r="10" spans="1:30" s="7" customFormat="1" x14ac:dyDescent="0.25">
      <c r="A10" s="17" t="s">
        <v>17</v>
      </c>
      <c r="B10" s="26">
        <v>17</v>
      </c>
      <c r="C10" s="26">
        <v>15</v>
      </c>
      <c r="D10" s="27">
        <v>2</v>
      </c>
      <c r="E10" s="28">
        <v>11</v>
      </c>
      <c r="F10" s="26">
        <v>9</v>
      </c>
      <c r="G10" s="27">
        <v>2</v>
      </c>
      <c r="H10" s="28">
        <v>6</v>
      </c>
      <c r="I10" s="26">
        <v>6</v>
      </c>
      <c r="J10" s="26">
        <v>0</v>
      </c>
      <c r="K10" s="18" t="s">
        <v>18</v>
      </c>
    </row>
    <row r="11" spans="1:30" s="7" customFormat="1" x14ac:dyDescent="0.25">
      <c r="A11" s="30" t="s">
        <v>22</v>
      </c>
      <c r="B11" s="23"/>
      <c r="C11" s="23"/>
      <c r="D11" s="23"/>
      <c r="E11" s="23"/>
      <c r="F11" s="23"/>
      <c r="G11" s="23"/>
      <c r="H11" s="23"/>
      <c r="I11" s="23"/>
      <c r="J11" s="23"/>
      <c r="K11" s="16"/>
    </row>
    <row r="12" spans="1:30" s="6" customFormat="1" ht="12.75" x14ac:dyDescent="0.2">
      <c r="A12" s="29" t="s">
        <v>23</v>
      </c>
    </row>
    <row r="13" spans="1:30" s="7" customFormat="1" ht="18" x14ac:dyDescent="0.45">
      <c r="A13" s="4" t="s">
        <v>1</v>
      </c>
      <c r="B13" s="6"/>
      <c r="C13" s="6"/>
      <c r="D13" s="6"/>
      <c r="E13" s="6"/>
      <c r="F13" s="6"/>
      <c r="G13" s="6"/>
      <c r="H13" s="6"/>
      <c r="I13" s="6"/>
      <c r="J13" s="6"/>
      <c r="K13" s="5" t="s">
        <v>2</v>
      </c>
    </row>
    <row r="16" spans="1:30" x14ac:dyDescent="0.55000000000000004">
      <c r="AD16" s="8" t="s">
        <v>0</v>
      </c>
    </row>
    <row r="17" spans="5:32" x14ac:dyDescent="0.55000000000000004">
      <c r="AD17" s="12" t="s">
        <v>4</v>
      </c>
      <c r="AE17" s="12" t="s">
        <v>5</v>
      </c>
      <c r="AF17" s="12"/>
    </row>
    <row r="18" spans="5:32" x14ac:dyDescent="0.55000000000000004">
      <c r="E18" s="12"/>
      <c r="F18" s="12"/>
      <c r="G18" s="12"/>
      <c r="AC18" s="8" t="s">
        <v>19</v>
      </c>
      <c r="AD18" s="19">
        <f>C7</f>
        <v>1034</v>
      </c>
      <c r="AE18" s="19">
        <f>D7</f>
        <v>61</v>
      </c>
      <c r="AF18" s="20"/>
    </row>
    <row r="19" spans="5:32" x14ac:dyDescent="0.55000000000000004">
      <c r="E19" s="20"/>
      <c r="F19" s="20"/>
      <c r="G19" s="20"/>
      <c r="AC19" s="10" t="s">
        <v>13</v>
      </c>
      <c r="AD19" s="19">
        <f t="shared" ref="AD19:AE19" si="1">C8</f>
        <v>129</v>
      </c>
      <c r="AE19" s="19">
        <f t="shared" si="1"/>
        <v>3</v>
      </c>
      <c r="AF19" s="20"/>
    </row>
    <row r="20" spans="5:32" x14ac:dyDescent="0.55000000000000004">
      <c r="E20" s="20"/>
      <c r="F20" s="20"/>
      <c r="G20" s="20"/>
      <c r="AC20" s="8" t="s">
        <v>15</v>
      </c>
      <c r="AD20" s="19">
        <f t="shared" ref="AD20:AE20" si="2">C9</f>
        <v>890</v>
      </c>
      <c r="AE20" s="19">
        <f t="shared" si="2"/>
        <v>56</v>
      </c>
      <c r="AF20" s="20"/>
    </row>
    <row r="21" spans="5:32" x14ac:dyDescent="0.55000000000000004">
      <c r="E21" s="20"/>
      <c r="F21" s="20"/>
      <c r="G21" s="20"/>
      <c r="AC21" s="10" t="s">
        <v>17</v>
      </c>
      <c r="AD21" s="19">
        <f t="shared" ref="AD21:AE21" si="3">C10</f>
        <v>15</v>
      </c>
      <c r="AE21" s="19">
        <f t="shared" si="3"/>
        <v>2</v>
      </c>
      <c r="AF21" s="20"/>
    </row>
    <row r="22" spans="5:32" x14ac:dyDescent="0.55000000000000004">
      <c r="E22" s="20"/>
      <c r="F22" s="20"/>
      <c r="G22" s="20"/>
    </row>
  </sheetData>
  <mergeCells count="7">
    <mergeCell ref="A2:K2"/>
    <mergeCell ref="A3:K3"/>
    <mergeCell ref="A5:A6"/>
    <mergeCell ref="B5:D5"/>
    <mergeCell ref="E5:G5"/>
    <mergeCell ref="H5:J5"/>
    <mergeCell ref="K5:K6"/>
  </mergeCells>
  <pageMargins left="0.7" right="0.7" top="0.75" bottom="0.75" header="0.3" footer="0.3"/>
  <pageSetup paperSize="9" scale="85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20.8</vt:lpstr>
      <vt:lpstr>'20.8'!Print_Area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Fathmath Shifaza</cp:lastModifiedBy>
  <cp:lastPrinted>2016-09-26T07:18:59Z</cp:lastPrinted>
  <dcterms:created xsi:type="dcterms:W3CDTF">2013-02-14T16:19:10Z</dcterms:created>
  <dcterms:modified xsi:type="dcterms:W3CDTF">2016-09-26T07:19:01Z</dcterms:modified>
</cp:coreProperties>
</file>