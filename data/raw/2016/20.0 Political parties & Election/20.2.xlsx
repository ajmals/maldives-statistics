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480" windowHeight="11055" tabRatio="833"/>
  </bookViews>
  <sheets>
    <sheet name="20.2" sheetId="19" r:id="rId1"/>
  </sheets>
  <definedNames>
    <definedName name="_xlnm.Print_Area" localSheetId="0">'20.2'!$A$1:$E$30</definedName>
  </definedNames>
  <calcPr calcId="144525"/>
</workbook>
</file>

<file path=xl/calcChain.xml><?xml version="1.0" encoding="utf-8"?>
<calcChain xmlns="http://schemas.openxmlformats.org/spreadsheetml/2006/main">
  <c r="Q24" i="19" l="1"/>
  <c r="P24" i="19" s="1"/>
  <c r="Q23" i="19"/>
  <c r="P23" i="19" s="1"/>
  <c r="Q22" i="19"/>
  <c r="P22" i="19" s="1"/>
  <c r="Q21" i="19"/>
  <c r="P21" i="19"/>
  <c r="P20" i="19"/>
  <c r="Q19" i="19"/>
  <c r="P19" i="19" s="1"/>
  <c r="Q18" i="19"/>
  <c r="P18" i="19"/>
</calcChain>
</file>

<file path=xl/sharedStrings.xml><?xml version="1.0" encoding="utf-8"?>
<sst xmlns="http://schemas.openxmlformats.org/spreadsheetml/2006/main" count="32" uniqueCount="26">
  <si>
    <t>Source: Elections Commission</t>
  </si>
  <si>
    <t xml:space="preserve">މަޢުލޫމާތު ދެއްވި ފަރާތް: އިލެކްޝަންސް ކޮމިޝަން </t>
  </si>
  <si>
    <t>Election</t>
  </si>
  <si>
    <t>Year</t>
  </si>
  <si>
    <t>Expenditure (MVR)</t>
  </si>
  <si>
    <t>އިންތިހާބުތައް</t>
  </si>
  <si>
    <t>އަހަރު</t>
  </si>
  <si>
    <t>ހިނގި ޚަރަދު (ރުފިޔާ)</t>
  </si>
  <si>
    <t>Presidential election</t>
  </si>
  <si>
    <t>ރިޔާސީ އިންތިހާބު</t>
  </si>
  <si>
    <t>Parliamentary election</t>
  </si>
  <si>
    <t>ރައްޔިތުންގެ މަޖިލީހުގެ އިންތިހާބު</t>
  </si>
  <si>
    <t xml:space="preserve">Local Council elections </t>
  </si>
  <si>
    <t>ލޯކަލް ކައުންސިލް އިންތިހާބު</t>
  </si>
  <si>
    <t>million Rf</t>
  </si>
  <si>
    <t>Rf</t>
  </si>
  <si>
    <t>Presidential election, 2008</t>
  </si>
  <si>
    <t>Parliamentary election,2009</t>
  </si>
  <si>
    <t>No election in 2010</t>
  </si>
  <si>
    <t>Local Council elections ,2011</t>
  </si>
  <si>
    <t>Presidential election, 2013</t>
  </si>
  <si>
    <t xml:space="preserve">Local Council elections, 2014 </t>
  </si>
  <si>
    <t>Parliamentary election,2014</t>
  </si>
  <si>
    <t>TABLE 20.2: EXPENDITURE ON ELECTIONS, 2008 - 2014</t>
  </si>
  <si>
    <t>ތާވަލު 20.2: އިންތިޚާބުތަކަށް ހިނގި ޚަރަދު، 2008 - 2014</t>
  </si>
  <si>
    <t>Note:  There were no elections in 2015.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</si>
</sst>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3" fillId="0" borderId="0"/>
    <xf numFmtId="0" fontId="1" fillId="0" borderId="0"/>
  </cellStyleXfs>
  <cellXfs count="32">
    <xf numFmtId="0" fontId="0" fillId="0" borderId="0" xfId="0"/>
    <xf numFmtId="0" fontId="8" fillId="2" borderId="0" xfId="0" applyFont="1" applyFill="1"/>
    <xf numFmtId="0" fontId="8" fillId="2" borderId="0" xfId="0" applyFont="1" applyFill="1" applyBorder="1"/>
    <xf numFmtId="0" fontId="8" fillId="2" borderId="1" xfId="0" applyFont="1" applyFill="1" applyBorder="1"/>
    <xf numFmtId="0" fontId="6" fillId="2" borderId="1" xfId="0" applyFont="1" applyFill="1" applyBorder="1"/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0" fillId="2" borderId="0" xfId="0" applyFont="1" applyFill="1" applyBorder="1"/>
    <xf numFmtId="0" fontId="0" fillId="2" borderId="0" xfId="0" applyFont="1" applyFill="1"/>
    <xf numFmtId="164" fontId="0" fillId="2" borderId="0" xfId="0" applyNumberFormat="1" applyFont="1" applyFill="1"/>
    <xf numFmtId="165" fontId="0" fillId="2" borderId="0" xfId="0" applyNumberFormat="1" applyFont="1" applyFill="1"/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Border="1"/>
    <xf numFmtId="0" fontId="8" fillId="2" borderId="0" xfId="0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0" fillId="2" borderId="1" xfId="0" applyFont="1" applyFill="1" applyBorder="1"/>
    <xf numFmtId="43" fontId="0" fillId="2" borderId="0" xfId="0" applyNumberFormat="1" applyFont="1" applyFill="1"/>
    <xf numFmtId="0" fontId="8" fillId="2" borderId="1" xfId="0" applyFont="1" applyFill="1" applyBorder="1" applyAlignment="1">
      <alignment horizontal="center" vertical="center"/>
    </xf>
    <xf numFmtId="0" fontId="4" fillId="2" borderId="0" xfId="0" applyFont="1" applyFill="1"/>
    <xf numFmtId="166" fontId="8" fillId="2" borderId="0" xfId="1" applyNumberFormat="1" applyFont="1" applyFill="1" applyAlignment="1">
      <alignment horizontal="right" vertical="center"/>
    </xf>
    <xf numFmtId="166" fontId="8" fillId="2" borderId="0" xfId="1" applyNumberFormat="1" applyFont="1" applyFill="1" applyBorder="1" applyAlignment="1">
      <alignment horizontal="right" vertical="center"/>
    </xf>
    <xf numFmtId="166" fontId="8" fillId="2" borderId="1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</cellXfs>
  <cellStyles count="9">
    <cellStyle name="Comma" xfId="1" builtinId="3"/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</cellStyles>
  <dxfs count="0"/>
  <tableStyles count="0" defaultTableStyle="TableStyleMedium9" defaultPivotStyle="PivotStyleLight16"/>
  <colors>
    <mruColors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20.2: Expenditure on elections during 2008 - 2014</a:t>
            </a:r>
          </a:p>
        </c:rich>
      </c:tx>
      <c:layout>
        <c:manualLayout>
          <c:xMode val="edge"/>
          <c:yMode val="edge"/>
          <c:x val="0.15535706924558179"/>
          <c:y val="3.643310890486515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799524548971933E-2"/>
          <c:y val="0.15524314668999803"/>
          <c:w val="0.88033325495665915"/>
          <c:h val="0.6378780256634620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'20.2'!$O$18:$O$24</c:f>
              <c:strCache>
                <c:ptCount val="7"/>
                <c:pt idx="0">
                  <c:v>Presidential election, 2008</c:v>
                </c:pt>
                <c:pt idx="1">
                  <c:v>Parliamentary election,2009</c:v>
                </c:pt>
                <c:pt idx="2">
                  <c:v>No election in 2010</c:v>
                </c:pt>
                <c:pt idx="3">
                  <c:v>Local Council elections ,2011</c:v>
                </c:pt>
                <c:pt idx="4">
                  <c:v>Presidential election, 2013</c:v>
                </c:pt>
                <c:pt idx="5">
                  <c:v>Local Council elections, 2014 </c:v>
                </c:pt>
                <c:pt idx="6">
                  <c:v>Parliamentary election,2014</c:v>
                </c:pt>
              </c:strCache>
            </c:strRef>
          </c:cat>
          <c:val>
            <c:numRef>
              <c:f>'20.2'!$P$18:$P$24</c:f>
              <c:numCache>
                <c:formatCode>0.0</c:formatCode>
                <c:ptCount val="7"/>
                <c:pt idx="0">
                  <c:v>61.599484750000002</c:v>
                </c:pt>
                <c:pt idx="1">
                  <c:v>22.06917683</c:v>
                </c:pt>
                <c:pt idx="2">
                  <c:v>0</c:v>
                </c:pt>
                <c:pt idx="3">
                  <c:v>45.434174030000001</c:v>
                </c:pt>
                <c:pt idx="4">
                  <c:v>76.487272000000004</c:v>
                </c:pt>
                <c:pt idx="5">
                  <c:v>29.704529000000001</c:v>
                </c:pt>
                <c:pt idx="6">
                  <c:v>25.929971999999999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593920"/>
        <c:axId val="138875264"/>
      </c:barChart>
      <c:catAx>
        <c:axId val="15459392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38875264"/>
        <c:crosses val="autoZero"/>
        <c:auto val="1"/>
        <c:lblAlgn val="ctr"/>
        <c:lblOffset val="100"/>
        <c:noMultiLvlLbl val="0"/>
      </c:catAx>
      <c:valAx>
        <c:axId val="138875264"/>
        <c:scaling>
          <c:orientation val="minMax"/>
          <c:max val="8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 million  MVR</a:t>
                </a:r>
              </a:p>
            </c:rich>
          </c:tx>
          <c:layout>
            <c:manualLayout>
              <c:xMode val="edge"/>
              <c:yMode val="edge"/>
              <c:x val="1.0390380177681872E-2"/>
              <c:y val="0.3426296169500558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54593920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spPr>
    <a:solidFill>
      <a:srgbClr val="E7FFFF"/>
    </a:solidFill>
  </c:spPr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</xdr:colOff>
      <xdr:row>15</xdr:row>
      <xdr:rowOff>13335</xdr:rowOff>
    </xdr:from>
    <xdr:to>
      <xdr:col>4</xdr:col>
      <xdr:colOff>249555</xdr:colOff>
      <xdr:row>29</xdr:row>
      <xdr:rowOff>81915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952499</xdr:colOff>
      <xdr:row>16</xdr:row>
      <xdr:rowOff>114299</xdr:rowOff>
    </xdr:from>
    <xdr:to>
      <xdr:col>3</xdr:col>
      <xdr:colOff>1619250</xdr:colOff>
      <xdr:row>16</xdr:row>
      <xdr:rowOff>114299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952499" y="3600449"/>
          <a:ext cx="4476751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24"/>
  <sheetViews>
    <sheetView tabSelected="1" zoomScaleNormal="100" workbookViewId="0">
      <selection activeCell="H1" sqref="H1:I1048576"/>
    </sheetView>
  </sheetViews>
  <sheetFormatPr defaultColWidth="9.140625" defaultRowHeight="15" x14ac:dyDescent="0.25"/>
  <cols>
    <col min="1" max="1" width="24.7109375" style="8" customWidth="1"/>
    <col min="2" max="2" width="13.28515625" style="8" customWidth="1"/>
    <col min="3" max="3" width="19.140625" style="8" customWidth="1"/>
    <col min="4" max="4" width="25.42578125" style="8" customWidth="1"/>
    <col min="5" max="5" width="7.85546875" style="8" customWidth="1"/>
    <col min="6" max="13" width="22.140625" style="8" customWidth="1"/>
    <col min="14" max="14" width="8.28515625" style="8" customWidth="1"/>
    <col min="15" max="15" width="26.5703125" style="8" bestFit="1" customWidth="1"/>
    <col min="16" max="16" width="9.140625" style="8"/>
    <col min="17" max="17" width="16.85546875" style="8" customWidth="1"/>
    <col min="18" max="16384" width="9.140625" style="8"/>
  </cols>
  <sheetData>
    <row r="1" spans="1:4" ht="21" x14ac:dyDescent="0.55000000000000004">
      <c r="A1" s="26" t="s">
        <v>24</v>
      </c>
      <c r="B1" s="26"/>
      <c r="C1" s="26"/>
      <c r="D1" s="26"/>
    </row>
    <row r="2" spans="1:4" x14ac:dyDescent="0.25">
      <c r="A2" s="27" t="s">
        <v>23</v>
      </c>
      <c r="B2" s="27"/>
      <c r="C2" s="27"/>
      <c r="D2" s="27"/>
    </row>
    <row r="4" spans="1:4" x14ac:dyDescent="0.25">
      <c r="A4" s="28" t="s">
        <v>2</v>
      </c>
      <c r="B4" s="11" t="s">
        <v>3</v>
      </c>
      <c r="C4" s="12" t="s">
        <v>4</v>
      </c>
      <c r="D4" s="30" t="s">
        <v>5</v>
      </c>
    </row>
    <row r="5" spans="1:4" ht="18.75" x14ac:dyDescent="0.25">
      <c r="A5" s="29"/>
      <c r="B5" s="13" t="s">
        <v>6</v>
      </c>
      <c r="C5" s="14" t="s">
        <v>7</v>
      </c>
      <c r="D5" s="31"/>
    </row>
    <row r="6" spans="1:4" ht="18.75" x14ac:dyDescent="0.5">
      <c r="A6" s="1" t="s">
        <v>8</v>
      </c>
      <c r="B6" s="15">
        <v>2008</v>
      </c>
      <c r="C6" s="23">
        <v>61599484.75</v>
      </c>
      <c r="D6" s="16" t="s">
        <v>9</v>
      </c>
    </row>
    <row r="7" spans="1:4" ht="18.75" x14ac:dyDescent="0.5">
      <c r="A7" s="1" t="s">
        <v>10</v>
      </c>
      <c r="B7" s="15">
        <v>2009</v>
      </c>
      <c r="C7" s="23">
        <v>22069176.829999998</v>
      </c>
      <c r="D7" s="16" t="s">
        <v>11</v>
      </c>
    </row>
    <row r="8" spans="1:4" s="7" customFormat="1" ht="18.75" x14ac:dyDescent="0.5">
      <c r="A8" s="2" t="s">
        <v>12</v>
      </c>
      <c r="B8" s="17">
        <v>2011</v>
      </c>
      <c r="C8" s="24">
        <v>45434174.030000001</v>
      </c>
      <c r="D8" s="16" t="s">
        <v>13</v>
      </c>
    </row>
    <row r="9" spans="1:4" s="7" customFormat="1" ht="18.75" x14ac:dyDescent="0.5">
      <c r="A9" s="2" t="s">
        <v>8</v>
      </c>
      <c r="B9" s="17">
        <v>2013</v>
      </c>
      <c r="C9" s="24">
        <v>76487272</v>
      </c>
      <c r="D9" s="16" t="s">
        <v>9</v>
      </c>
    </row>
    <row r="10" spans="1:4" s="7" customFormat="1" ht="18.75" x14ac:dyDescent="0.5">
      <c r="A10" s="2" t="s">
        <v>12</v>
      </c>
      <c r="B10" s="17">
        <v>2014</v>
      </c>
      <c r="C10" s="24">
        <v>29704529</v>
      </c>
      <c r="D10" s="16" t="s">
        <v>13</v>
      </c>
    </row>
    <row r="11" spans="1:4" ht="18.75" x14ac:dyDescent="0.5">
      <c r="A11" s="3" t="s">
        <v>10</v>
      </c>
      <c r="B11" s="21">
        <v>2014</v>
      </c>
      <c r="C11" s="25">
        <v>25929972</v>
      </c>
      <c r="D11" s="4" t="s">
        <v>11</v>
      </c>
    </row>
    <row r="12" spans="1:4" x14ac:dyDescent="0.25">
      <c r="A12" s="22" t="s">
        <v>25</v>
      </c>
    </row>
    <row r="13" spans="1:4" s="18" customFormat="1" ht="17.25" x14ac:dyDescent="0.25">
      <c r="A13" s="5" t="s">
        <v>0</v>
      </c>
      <c r="D13" s="6" t="s">
        <v>1</v>
      </c>
    </row>
    <row r="17" spans="15:17" x14ac:dyDescent="0.25">
      <c r="P17" s="8" t="s">
        <v>14</v>
      </c>
      <c r="Q17" s="8" t="s">
        <v>15</v>
      </c>
    </row>
    <row r="18" spans="15:17" x14ac:dyDescent="0.25">
      <c r="O18" s="8" t="s">
        <v>16</v>
      </c>
      <c r="P18" s="9">
        <f>Q18/1000000</f>
        <v>61.599484750000002</v>
      </c>
      <c r="Q18" s="10">
        <f>C6</f>
        <v>61599484.75</v>
      </c>
    </row>
    <row r="19" spans="15:17" x14ac:dyDescent="0.25">
      <c r="O19" s="8" t="s">
        <v>17</v>
      </c>
      <c r="P19" s="9">
        <f t="shared" ref="P19:P20" si="0">Q19/1000000</f>
        <v>22.06917683</v>
      </c>
      <c r="Q19" s="10">
        <f>C7</f>
        <v>22069176.829999998</v>
      </c>
    </row>
    <row r="20" spans="15:17" x14ac:dyDescent="0.25">
      <c r="O20" s="8" t="s">
        <v>18</v>
      </c>
      <c r="P20" s="9">
        <f t="shared" si="0"/>
        <v>0</v>
      </c>
    </row>
    <row r="21" spans="15:17" x14ac:dyDescent="0.25">
      <c r="O21" s="19" t="s">
        <v>19</v>
      </c>
      <c r="P21" s="9">
        <f>Q21/1000000</f>
        <v>45.434174030000001</v>
      </c>
      <c r="Q21" s="10">
        <f>C8</f>
        <v>45434174.030000001</v>
      </c>
    </row>
    <row r="22" spans="15:17" x14ac:dyDescent="0.25">
      <c r="O22" s="8" t="s">
        <v>20</v>
      </c>
      <c r="P22" s="9">
        <f>Q22/1000000</f>
        <v>76.487272000000004</v>
      </c>
      <c r="Q22" s="20">
        <f>C9</f>
        <v>76487272</v>
      </c>
    </row>
    <row r="23" spans="15:17" x14ac:dyDescent="0.25">
      <c r="O23" s="2" t="s">
        <v>21</v>
      </c>
      <c r="P23" s="9">
        <f t="shared" ref="P23:P24" si="1">Q23/1000000</f>
        <v>29.704529000000001</v>
      </c>
      <c r="Q23" s="20">
        <f t="shared" ref="Q23:Q24" si="2">C10</f>
        <v>29704529</v>
      </c>
    </row>
    <row r="24" spans="15:17" x14ac:dyDescent="0.25">
      <c r="O24" s="3" t="s">
        <v>22</v>
      </c>
      <c r="P24" s="9">
        <f t="shared" si="1"/>
        <v>25.929971999999999</v>
      </c>
      <c r="Q24" s="20">
        <f t="shared" si="2"/>
        <v>25929972</v>
      </c>
    </row>
  </sheetData>
  <mergeCells count="4">
    <mergeCell ref="A1:D1"/>
    <mergeCell ref="A2:D2"/>
    <mergeCell ref="A4:A5"/>
    <mergeCell ref="D4:D5"/>
  </mergeCells>
  <pageMargins left="0.7" right="0.7" top="0.75" bottom="0.75" header="0.3" footer="0.3"/>
  <pageSetup scale="9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20.2</vt:lpstr>
      <vt:lpstr>'20.2'!Print_Area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Fathmath Shifaza</cp:lastModifiedBy>
  <cp:lastPrinted>2016-09-26T07:11:56Z</cp:lastPrinted>
  <dcterms:created xsi:type="dcterms:W3CDTF">2013-02-14T16:19:10Z</dcterms:created>
  <dcterms:modified xsi:type="dcterms:W3CDTF">2016-09-26T07:11:58Z</dcterms:modified>
</cp:coreProperties>
</file>