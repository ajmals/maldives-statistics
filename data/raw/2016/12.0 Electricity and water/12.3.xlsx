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3" sheetId="19" r:id="rId1"/>
  </sheets>
  <definedNames>
    <definedName name="_xlnm.Print_Area" localSheetId="0">'12.3'!$A$1:$O$41</definedName>
  </definedNames>
  <calcPr calcId="144525"/>
</workbook>
</file>

<file path=xl/calcChain.xml><?xml version="1.0" encoding="utf-8"?>
<calcChain xmlns="http://schemas.openxmlformats.org/spreadsheetml/2006/main">
  <c r="B40" i="19" l="1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N10" i="19"/>
  <c r="N6" i="19" s="1"/>
  <c r="M10" i="19"/>
  <c r="M6" i="19" s="1"/>
  <c r="L10" i="19"/>
  <c r="L6" i="19" s="1"/>
  <c r="K10" i="19"/>
  <c r="K6" i="19" s="1"/>
  <c r="J10" i="19"/>
  <c r="I10" i="19"/>
  <c r="I6" i="19" s="1"/>
  <c r="H10" i="19"/>
  <c r="H6" i="19" s="1"/>
  <c r="G10" i="19"/>
  <c r="G6" i="19" s="1"/>
  <c r="F10" i="19"/>
  <c r="F6" i="19" s="1"/>
  <c r="E10" i="19"/>
  <c r="E6" i="19" s="1"/>
  <c r="D10" i="19"/>
  <c r="D6" i="19" s="1"/>
  <c r="C10" i="19"/>
  <c r="C6" i="19" s="1"/>
  <c r="B9" i="19"/>
  <c r="B8" i="19"/>
  <c r="B7" i="19"/>
  <c r="J6" i="19"/>
  <c r="B10" i="19" l="1"/>
  <c r="B6" i="19"/>
</calcChain>
</file>

<file path=xl/sharedStrings.xml><?xml version="1.0" encoding="utf-8"?>
<sst xmlns="http://schemas.openxmlformats.org/spreadsheetml/2006/main" count="97" uniqueCount="90">
  <si>
    <t>wlcmuj</t>
  </si>
  <si>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</si>
  <si>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</si>
  <si>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</si>
  <si>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</si>
  <si>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</si>
  <si>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</si>
  <si>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</si>
  <si>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</si>
  <si>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</si>
  <si>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</si>
  <si>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</si>
  <si>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</si>
  <si>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</si>
  <si>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</si>
  <si>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</si>
  <si>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</si>
  <si>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</si>
  <si>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</si>
  <si>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</si>
  <si>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</si>
  <si>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</si>
  <si>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</si>
  <si>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</si>
  <si>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</si>
  <si>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</si>
  <si>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</si>
  <si>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</si>
  <si>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</si>
  <si>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</si>
  <si>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</si>
  <si>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</si>
  <si>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</si>
  <si>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</si>
  <si>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</si>
  <si>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</si>
  <si>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</si>
  <si>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</si>
  <si>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</si>
  <si>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</si>
  <si>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</si>
  <si>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</si>
  <si>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</si>
  <si>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</si>
  <si>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</si>
  <si>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</si>
  <si>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</si>
  <si>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</si>
  <si>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</si>
  <si>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</si>
  <si>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</si>
  <si>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</si>
  <si>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</si>
  <si>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</si>
  <si>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</si>
  <si>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</si>
  <si>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</si>
  <si>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</si>
  <si>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</si>
  <si>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</si>
  <si>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</si>
  <si>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-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</si>
  <si>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</si>
  <si>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</si>
  <si>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</si>
  <si>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</si>
  <si>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</si>
  <si>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</si>
  <si>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</si>
  <si>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</si>
  <si>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</si>
  <si>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</si>
  <si>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</si>
  <si>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</si>
  <si>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</si>
  <si>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</si>
  <si>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</si>
  <si>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</si>
  <si>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</si>
  <si>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</si>
  <si>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</si>
  <si>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</si>
  <si>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</si>
  <si>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</si>
  <si>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</si>
  <si>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</si>
  <si>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2015</t>
  </si>
  <si>
    <t>Table  12.3 :   MONTHLY CONSUMPTION OF FUEL FOR ELECTRICITY GENERATION IN SELECTED LOCALITIES BY PUBLIC SECTOR, 2015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</si>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</sst>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Garamond"/>
      <family val="1"/>
    </font>
    <font>
      <b/>
      <sz val="10.5"/>
      <name val="A_Faseyha"/>
    </font>
    <font>
      <b/>
      <sz val="10.5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_Faseyha"/>
    </font>
    <font>
      <sz val="10"/>
      <color theme="1"/>
      <name val="Faruma"/>
    </font>
    <font>
      <sz val="12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_Faseyha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53">
    <xf numFmtId="0" fontId="0" fillId="0" borderId="0" xfId="0"/>
    <xf numFmtId="0" fontId="0" fillId="2" borderId="0" xfId="0" applyFill="1"/>
    <xf numFmtId="0" fontId="4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3" fontId="4" fillId="2" borderId="3" xfId="0" applyNumberFormat="1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right" vertical="center"/>
    </xf>
    <xf numFmtId="0" fontId="15" fillId="2" borderId="9" xfId="0" applyFont="1" applyFill="1" applyBorder="1" applyAlignment="1">
      <alignment horizontal="right" vertical="center"/>
    </xf>
    <xf numFmtId="0" fontId="17" fillId="2" borderId="3" xfId="2" applyFont="1" applyFill="1" applyBorder="1" applyAlignment="1">
      <alignment vertical="center"/>
    </xf>
    <xf numFmtId="0" fontId="18" fillId="2" borderId="3" xfId="2" applyFont="1" applyFill="1" applyBorder="1" applyAlignment="1">
      <alignment vertical="center"/>
    </xf>
    <xf numFmtId="0" fontId="19" fillId="2" borderId="3" xfId="2" applyFont="1" applyFill="1" applyBorder="1" applyAlignment="1">
      <alignment vertical="center"/>
    </xf>
    <xf numFmtId="0" fontId="8" fillId="2" borderId="2" xfId="2" applyFont="1" applyFill="1" applyBorder="1" applyAlignment="1" applyProtection="1">
      <alignment vertical="center"/>
    </xf>
    <xf numFmtId="164" fontId="8" fillId="2" borderId="2" xfId="1" applyNumberFormat="1" applyFont="1" applyFill="1" applyBorder="1" applyAlignment="1" applyProtection="1">
      <alignment horizontal="right" vertical="center"/>
    </xf>
    <xf numFmtId="0" fontId="20" fillId="2" borderId="12" xfId="0" applyFont="1" applyFill="1" applyBorder="1" applyAlignment="1">
      <alignment horizontal="right" vertical="center"/>
    </xf>
    <xf numFmtId="0" fontId="8" fillId="2" borderId="3" xfId="2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right" vertical="center"/>
    </xf>
    <xf numFmtId="164" fontId="8" fillId="2" borderId="3" xfId="3" applyNumberFormat="1" applyFont="1" applyFill="1" applyBorder="1" applyAlignment="1">
      <alignment horizontal="right" vertical="center"/>
    </xf>
    <xf numFmtId="0" fontId="20" fillId="2" borderId="7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right" vertical="center"/>
    </xf>
    <xf numFmtId="1" fontId="17" fillId="2" borderId="3" xfId="2" applyNumberFormat="1" applyFont="1" applyFill="1" applyBorder="1" applyAlignment="1">
      <alignment vertical="center"/>
    </xf>
    <xf numFmtId="0" fontId="22" fillId="2" borderId="3" xfId="2" applyFont="1" applyFill="1" applyBorder="1" applyAlignment="1">
      <alignment vertical="center"/>
    </xf>
    <xf numFmtId="164" fontId="22" fillId="2" borderId="3" xfId="3" applyNumberFormat="1" applyFont="1" applyFill="1" applyBorder="1" applyAlignment="1">
      <alignment vertical="center"/>
    </xf>
    <xf numFmtId="164" fontId="17" fillId="2" borderId="3" xfId="3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3" fontId="8" fillId="2" borderId="6" xfId="0" applyNumberFormat="1" applyFont="1" applyFill="1" applyBorder="1" applyAlignment="1">
      <alignment horizontal="right" vertical="center"/>
    </xf>
    <xf numFmtId="0" fontId="21" fillId="2" borderId="6" xfId="0" applyFont="1" applyFill="1" applyBorder="1" applyAlignment="1">
      <alignment horizontal="right" vertical="center"/>
    </xf>
    <xf numFmtId="0" fontId="1" fillId="2" borderId="0" xfId="0" applyFont="1" applyFill="1" applyBorder="1"/>
    <xf numFmtId="1" fontId="1" fillId="2" borderId="0" xfId="0" applyNumberFormat="1" applyFont="1" applyFill="1" applyBorder="1"/>
    <xf numFmtId="0" fontId="1" fillId="2" borderId="0" xfId="0" applyFont="1" applyFill="1"/>
    <xf numFmtId="0" fontId="6" fillId="2" borderId="1" xfId="2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0" fontId="25" fillId="2" borderId="0" xfId="0" applyFont="1" applyFill="1"/>
    <xf numFmtId="3" fontId="10" fillId="2" borderId="0" xfId="0" applyNumberFormat="1" applyFont="1" applyFill="1" applyBorder="1"/>
    <xf numFmtId="0" fontId="9" fillId="2" borderId="0" xfId="0" applyFont="1" applyFill="1" applyBorder="1"/>
    <xf numFmtId="0" fontId="9" fillId="2" borderId="3" xfId="2" applyFont="1" applyFill="1" applyBorder="1" applyAlignment="1">
      <alignment vertical="center"/>
    </xf>
    <xf numFmtId="164" fontId="7" fillId="2" borderId="3" xfId="3" applyNumberFormat="1" applyFont="1" applyFill="1" applyBorder="1" applyAlignment="1">
      <alignment horizontal="right" vertical="center"/>
    </xf>
    <xf numFmtId="164" fontId="7" fillId="2" borderId="6" xfId="3" applyNumberFormat="1" applyFont="1" applyFill="1" applyBorder="1" applyAlignment="1">
      <alignment horizontal="right" vertical="center"/>
    </xf>
    <xf numFmtId="164" fontId="5" fillId="2" borderId="3" xfId="3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/>
    </xf>
    <xf numFmtId="0" fontId="16" fillId="2" borderId="9" xfId="2" applyFont="1" applyFill="1" applyBorder="1" applyAlignment="1">
      <alignment horizontal="center" vertical="center"/>
    </xf>
    <xf numFmtId="0" fontId="16" fillId="2" borderId="10" xfId="2" applyFont="1" applyFill="1" applyBorder="1" applyAlignment="1">
      <alignment horizontal="center" vertical="center"/>
    </xf>
    <xf numFmtId="0" fontId="16" fillId="2" borderId="4" xfId="2" applyFont="1" applyFill="1" applyBorder="1" applyAlignment="1">
      <alignment horizontal="center" vertical="center"/>
    </xf>
    <xf numFmtId="0" fontId="2" fillId="2" borderId="9" xfId="2" applyFont="1" applyFill="1" applyBorder="1" applyAlignment="1" applyProtection="1">
      <alignment horizontal="center" vertical="center"/>
    </xf>
    <xf numFmtId="0" fontId="2" fillId="2" borderId="10" xfId="2" applyFont="1" applyFill="1" applyBorder="1" applyAlignment="1" applyProtection="1">
      <alignment horizontal="center" vertical="center"/>
    </xf>
    <xf numFmtId="0" fontId="2" fillId="2" borderId="4" xfId="2" applyFont="1" applyFill="1" applyBorder="1" applyAlignment="1" applyProtection="1">
      <alignment horizontal="center" vertical="center"/>
    </xf>
    <xf numFmtId="0" fontId="2" fillId="2" borderId="8" xfId="2" applyFont="1" applyFill="1" applyBorder="1" applyAlignment="1" applyProtection="1">
      <alignment horizontal="center" vertical="top"/>
    </xf>
    <xf numFmtId="0" fontId="2" fillId="2" borderId="11" xfId="2" applyFont="1" applyFill="1" applyBorder="1" applyAlignment="1" applyProtection="1">
      <alignment horizontal="center" vertical="top"/>
    </xf>
    <xf numFmtId="0" fontId="2" fillId="2" borderId="5" xfId="2" applyFont="1" applyFill="1" applyBorder="1" applyAlignment="1" applyProtection="1">
      <alignment horizontal="center" vertical="top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 2 2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3"/>
  <sheetViews>
    <sheetView tabSelected="1" zoomScaleNormal="100" workbookViewId="0">
      <selection activeCell="A50" sqref="A50:XFD88"/>
    </sheetView>
  </sheetViews>
  <sheetFormatPr defaultColWidth="11.140625" defaultRowHeight="15" x14ac:dyDescent="0.25"/>
  <cols>
    <col min="1" max="1" width="16.7109375" style="8" customWidth="1"/>
    <col min="2" max="14" width="8.42578125" style="8" customWidth="1"/>
    <col min="15" max="15" width="13.5703125" style="8" bestFit="1" customWidth="1"/>
    <col min="16" max="16" width="1.85546875" style="8" customWidth="1"/>
    <col min="17" max="16384" width="11.140625" style="8"/>
  </cols>
  <sheetData>
    <row r="1" spans="1:30" ht="21.75" x14ac:dyDescent="0.25">
      <c r="A1" s="44" t="s">
        <v>86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30" s="9" customFormat="1" x14ac:dyDescent="0.25">
      <c r="A2" s="47" t="s">
        <v>87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30" s="1" customFormat="1" ht="17.25" x14ac:dyDescent="0.4">
      <c r="A3" s="43" t="s">
        <v>88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30" s="10" customFormat="1" ht="15.75" x14ac:dyDescent="0.2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</row>
    <row r="5" spans="1:30" s="14" customFormat="1" ht="15.75" x14ac:dyDescent="0.25">
      <c r="A5" s="11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3" t="s">
        <v>1</v>
      </c>
    </row>
    <row r="6" spans="1:30" ht="15.75" x14ac:dyDescent="0.25">
      <c r="A6" s="2" t="s">
        <v>5</v>
      </c>
      <c r="B6" s="15">
        <f>SUM(C6:N6)</f>
        <v>101229</v>
      </c>
      <c r="C6" s="16">
        <f>C10+C9+C8+C7</f>
        <v>7865</v>
      </c>
      <c r="D6" s="16">
        <f t="shared" ref="D6:N6" si="0">D10+D9+D8+D7</f>
        <v>7394</v>
      </c>
      <c r="E6" s="16">
        <f t="shared" si="0"/>
        <v>8751</v>
      </c>
      <c r="F6" s="16">
        <f t="shared" si="0"/>
        <v>9062</v>
      </c>
      <c r="G6" s="16">
        <f t="shared" si="0"/>
        <v>9023</v>
      </c>
      <c r="H6" s="16">
        <f t="shared" si="0"/>
        <v>8707</v>
      </c>
      <c r="I6" s="16">
        <f t="shared" si="0"/>
        <v>8590</v>
      </c>
      <c r="J6" s="16">
        <f t="shared" si="0"/>
        <v>8590</v>
      </c>
      <c r="K6" s="16">
        <f t="shared" si="0"/>
        <v>7890</v>
      </c>
      <c r="L6" s="16">
        <f t="shared" si="0"/>
        <v>8548</v>
      </c>
      <c r="M6" s="16">
        <f t="shared" si="0"/>
        <v>8428</v>
      </c>
      <c r="N6" s="16">
        <f t="shared" si="0"/>
        <v>8381</v>
      </c>
      <c r="O6" s="17" t="s">
        <v>0</v>
      </c>
    </row>
    <row r="7" spans="1:30" ht="18.75" x14ac:dyDescent="0.25">
      <c r="A7" s="18" t="s">
        <v>18</v>
      </c>
      <c r="B7" s="15">
        <f>SUM(C7:N7)</f>
        <v>79509</v>
      </c>
      <c r="C7" s="40">
        <v>6225</v>
      </c>
      <c r="D7" s="40">
        <v>5860</v>
      </c>
      <c r="E7" s="40">
        <v>6942</v>
      </c>
      <c r="F7" s="40">
        <v>7169</v>
      </c>
      <c r="G7" s="40">
        <v>7148</v>
      </c>
      <c r="H7" s="40">
        <v>6841</v>
      </c>
      <c r="I7" s="40">
        <v>6720</v>
      </c>
      <c r="J7" s="40">
        <v>6744</v>
      </c>
      <c r="K7" s="40">
        <v>6139</v>
      </c>
      <c r="L7" s="40">
        <v>6677</v>
      </c>
      <c r="M7" s="40">
        <v>6568</v>
      </c>
      <c r="N7" s="40">
        <v>6476</v>
      </c>
      <c r="O7" s="19" t="s">
        <v>19</v>
      </c>
    </row>
    <row r="8" spans="1:30" ht="18.75" x14ac:dyDescent="0.25">
      <c r="A8" s="18" t="s">
        <v>20</v>
      </c>
      <c r="B8" s="15">
        <f>SUM(C8:N8)</f>
        <v>2994</v>
      </c>
      <c r="C8" s="40">
        <v>240</v>
      </c>
      <c r="D8" s="40">
        <v>220</v>
      </c>
      <c r="E8" s="40">
        <v>238</v>
      </c>
      <c r="F8" s="40">
        <v>262</v>
      </c>
      <c r="G8" s="40">
        <v>279</v>
      </c>
      <c r="H8" s="40">
        <v>278</v>
      </c>
      <c r="I8" s="40">
        <v>255</v>
      </c>
      <c r="J8" s="40">
        <v>256</v>
      </c>
      <c r="K8" s="40">
        <v>240</v>
      </c>
      <c r="L8" s="40">
        <v>243</v>
      </c>
      <c r="M8" s="40">
        <v>247</v>
      </c>
      <c r="N8" s="40">
        <v>236</v>
      </c>
      <c r="O8" s="19" t="s">
        <v>21</v>
      </c>
    </row>
    <row r="9" spans="1:30" ht="18.75" x14ac:dyDescent="0.25">
      <c r="A9" s="18" t="s">
        <v>22</v>
      </c>
      <c r="B9" s="15">
        <f>SUM(C9:N9)</f>
        <v>8234</v>
      </c>
      <c r="C9" s="40">
        <v>615</v>
      </c>
      <c r="D9" s="40">
        <v>581</v>
      </c>
      <c r="E9" s="40">
        <v>702</v>
      </c>
      <c r="F9" s="40">
        <v>723</v>
      </c>
      <c r="G9" s="40">
        <v>727</v>
      </c>
      <c r="H9" s="40">
        <v>718</v>
      </c>
      <c r="I9" s="40">
        <v>702</v>
      </c>
      <c r="J9" s="40">
        <v>688</v>
      </c>
      <c r="K9" s="40">
        <v>638</v>
      </c>
      <c r="L9" s="40">
        <v>702</v>
      </c>
      <c r="M9" s="40">
        <v>705</v>
      </c>
      <c r="N9" s="40">
        <v>733</v>
      </c>
      <c r="O9" s="19" t="s">
        <v>23</v>
      </c>
    </row>
    <row r="10" spans="1:30" s="3" customFormat="1" ht="18.75" x14ac:dyDescent="0.25">
      <c r="A10" s="2" t="s">
        <v>24</v>
      </c>
      <c r="B10" s="5">
        <f t="shared" ref="B10:N10" si="1">SUM(B11:B40)</f>
        <v>10492</v>
      </c>
      <c r="C10" s="5">
        <f t="shared" si="1"/>
        <v>785</v>
      </c>
      <c r="D10" s="5">
        <f t="shared" si="1"/>
        <v>733</v>
      </c>
      <c r="E10" s="5">
        <f t="shared" si="1"/>
        <v>869</v>
      </c>
      <c r="F10" s="5">
        <f t="shared" si="1"/>
        <v>908</v>
      </c>
      <c r="G10" s="5">
        <f t="shared" si="1"/>
        <v>869</v>
      </c>
      <c r="H10" s="5">
        <f t="shared" si="1"/>
        <v>870</v>
      </c>
      <c r="I10" s="5">
        <f t="shared" si="1"/>
        <v>913</v>
      </c>
      <c r="J10" s="5">
        <f t="shared" si="1"/>
        <v>902</v>
      </c>
      <c r="K10" s="5">
        <f t="shared" si="1"/>
        <v>873</v>
      </c>
      <c r="L10" s="5">
        <f t="shared" si="1"/>
        <v>926</v>
      </c>
      <c r="M10" s="5">
        <f t="shared" si="1"/>
        <v>908</v>
      </c>
      <c r="N10" s="5">
        <f t="shared" si="1"/>
        <v>936</v>
      </c>
      <c r="O10" s="7" t="s">
        <v>25</v>
      </c>
    </row>
    <row r="11" spans="1:30" ht="18.75" x14ac:dyDescent="0.25">
      <c r="A11" s="18" t="s">
        <v>26</v>
      </c>
      <c r="B11" s="15">
        <f t="shared" ref="B11:B40" si="2">SUM(C11:N11)</f>
        <v>500</v>
      </c>
      <c r="C11" s="40">
        <v>39</v>
      </c>
      <c r="D11" s="40">
        <v>36</v>
      </c>
      <c r="E11" s="40">
        <v>42</v>
      </c>
      <c r="F11" s="40">
        <v>44</v>
      </c>
      <c r="G11" s="40">
        <v>43</v>
      </c>
      <c r="H11" s="40">
        <v>42</v>
      </c>
      <c r="I11" s="40">
        <v>45</v>
      </c>
      <c r="J11" s="40">
        <v>43</v>
      </c>
      <c r="K11" s="40">
        <v>41</v>
      </c>
      <c r="L11" s="40">
        <v>43</v>
      </c>
      <c r="M11" s="40">
        <v>41</v>
      </c>
      <c r="N11" s="40">
        <v>41</v>
      </c>
      <c r="O11" s="19" t="s">
        <v>27</v>
      </c>
    </row>
    <row r="12" spans="1:30" ht="18.75" x14ac:dyDescent="0.25">
      <c r="A12" s="18" t="s">
        <v>28</v>
      </c>
      <c r="B12" s="15">
        <f t="shared" si="2"/>
        <v>377</v>
      </c>
      <c r="C12" s="40">
        <v>30</v>
      </c>
      <c r="D12" s="40">
        <v>28</v>
      </c>
      <c r="E12" s="40">
        <v>32</v>
      </c>
      <c r="F12" s="40">
        <v>36</v>
      </c>
      <c r="G12" s="40">
        <v>30</v>
      </c>
      <c r="H12" s="40">
        <v>30</v>
      </c>
      <c r="I12" s="40">
        <v>34</v>
      </c>
      <c r="J12" s="40">
        <v>29</v>
      </c>
      <c r="K12" s="40">
        <v>28</v>
      </c>
      <c r="L12" s="40">
        <v>34</v>
      </c>
      <c r="M12" s="40">
        <v>31</v>
      </c>
      <c r="N12" s="40">
        <v>35</v>
      </c>
      <c r="O12" s="19" t="s">
        <v>29</v>
      </c>
    </row>
    <row r="13" spans="1:30" ht="18.75" x14ac:dyDescent="0.25">
      <c r="A13" s="18" t="s">
        <v>30</v>
      </c>
      <c r="B13" s="15">
        <f t="shared" si="2"/>
        <v>320</v>
      </c>
      <c r="C13" s="40">
        <v>21</v>
      </c>
      <c r="D13" s="40">
        <v>21</v>
      </c>
      <c r="E13" s="40">
        <v>26</v>
      </c>
      <c r="F13" s="40">
        <v>26</v>
      </c>
      <c r="G13" s="40">
        <v>27</v>
      </c>
      <c r="H13" s="40">
        <v>27</v>
      </c>
      <c r="I13" s="40">
        <v>32</v>
      </c>
      <c r="J13" s="40">
        <v>29</v>
      </c>
      <c r="K13" s="40">
        <v>27</v>
      </c>
      <c r="L13" s="40">
        <v>28</v>
      </c>
      <c r="M13" s="40">
        <v>27</v>
      </c>
      <c r="N13" s="40">
        <v>29</v>
      </c>
      <c r="O13" s="19" t="s">
        <v>31</v>
      </c>
    </row>
    <row r="14" spans="1:30" ht="18.75" x14ac:dyDescent="0.25">
      <c r="A14" s="18" t="s">
        <v>32</v>
      </c>
      <c r="B14" s="15">
        <f t="shared" si="2"/>
        <v>545</v>
      </c>
      <c r="C14" s="40">
        <v>43</v>
      </c>
      <c r="D14" s="40">
        <v>40</v>
      </c>
      <c r="E14" s="40">
        <v>48</v>
      </c>
      <c r="F14" s="40">
        <v>49</v>
      </c>
      <c r="G14" s="40">
        <v>46</v>
      </c>
      <c r="H14" s="40">
        <v>46</v>
      </c>
      <c r="I14" s="40">
        <v>47</v>
      </c>
      <c r="J14" s="40">
        <v>47</v>
      </c>
      <c r="K14" s="40">
        <v>44</v>
      </c>
      <c r="L14" s="40">
        <v>47</v>
      </c>
      <c r="M14" s="40">
        <v>43</v>
      </c>
      <c r="N14" s="40">
        <v>45</v>
      </c>
      <c r="O14" s="19" t="s">
        <v>33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 x14ac:dyDescent="0.25">
      <c r="A15" s="18" t="s">
        <v>34</v>
      </c>
      <c r="B15" s="15">
        <f t="shared" si="2"/>
        <v>634</v>
      </c>
      <c r="C15" s="40">
        <v>48</v>
      </c>
      <c r="D15" s="40">
        <v>43</v>
      </c>
      <c r="E15" s="40">
        <v>53</v>
      </c>
      <c r="F15" s="40">
        <v>55</v>
      </c>
      <c r="G15" s="40">
        <v>55</v>
      </c>
      <c r="H15" s="40">
        <v>55</v>
      </c>
      <c r="I15" s="40">
        <v>56</v>
      </c>
      <c r="J15" s="40">
        <v>52</v>
      </c>
      <c r="K15" s="40">
        <v>50</v>
      </c>
      <c r="L15" s="40">
        <v>55</v>
      </c>
      <c r="M15" s="40">
        <v>54</v>
      </c>
      <c r="N15" s="40">
        <v>58</v>
      </c>
      <c r="O15" s="19" t="s">
        <v>35</v>
      </c>
    </row>
    <row r="16" spans="1:30" ht="18.75" x14ac:dyDescent="0.25">
      <c r="A16" s="18" t="s">
        <v>36</v>
      </c>
      <c r="B16" s="15">
        <f t="shared" si="2"/>
        <v>1042</v>
      </c>
      <c r="C16" s="40">
        <v>80</v>
      </c>
      <c r="D16" s="40">
        <v>76</v>
      </c>
      <c r="E16" s="40">
        <v>88</v>
      </c>
      <c r="F16" s="40">
        <v>87</v>
      </c>
      <c r="G16" s="40">
        <v>85</v>
      </c>
      <c r="H16" s="40">
        <v>88</v>
      </c>
      <c r="I16" s="40">
        <v>86</v>
      </c>
      <c r="J16" s="40">
        <v>91</v>
      </c>
      <c r="K16" s="40">
        <v>84</v>
      </c>
      <c r="L16" s="40">
        <v>91</v>
      </c>
      <c r="M16" s="40">
        <v>94</v>
      </c>
      <c r="N16" s="40">
        <v>92</v>
      </c>
      <c r="O16" s="19" t="s">
        <v>37</v>
      </c>
    </row>
    <row r="17" spans="1:16" ht="18.75" x14ac:dyDescent="0.25">
      <c r="A17" s="18" t="s">
        <v>38</v>
      </c>
      <c r="B17" s="15">
        <f t="shared" si="2"/>
        <v>37</v>
      </c>
      <c r="C17" s="40">
        <v>3</v>
      </c>
      <c r="D17" s="40">
        <v>3</v>
      </c>
      <c r="E17" s="40">
        <v>4</v>
      </c>
      <c r="F17" s="40">
        <v>3</v>
      </c>
      <c r="G17" s="40">
        <v>3</v>
      </c>
      <c r="H17" s="40">
        <v>3</v>
      </c>
      <c r="I17" s="40">
        <v>3</v>
      </c>
      <c r="J17" s="40">
        <v>3</v>
      </c>
      <c r="K17" s="40">
        <v>3</v>
      </c>
      <c r="L17" s="40">
        <v>3</v>
      </c>
      <c r="M17" s="40">
        <v>3</v>
      </c>
      <c r="N17" s="40">
        <v>3</v>
      </c>
      <c r="O17" s="19" t="s">
        <v>39</v>
      </c>
    </row>
    <row r="18" spans="1:16" ht="18.75" x14ac:dyDescent="0.25">
      <c r="A18" s="18" t="s">
        <v>40</v>
      </c>
      <c r="B18" s="15">
        <f t="shared" si="2"/>
        <v>275</v>
      </c>
      <c r="C18" s="40">
        <v>20</v>
      </c>
      <c r="D18" s="40">
        <v>19</v>
      </c>
      <c r="E18" s="40">
        <v>24</v>
      </c>
      <c r="F18" s="40">
        <v>25</v>
      </c>
      <c r="G18" s="40">
        <v>21</v>
      </c>
      <c r="H18" s="40">
        <v>22</v>
      </c>
      <c r="I18" s="40">
        <v>23</v>
      </c>
      <c r="J18" s="40">
        <v>24</v>
      </c>
      <c r="K18" s="40">
        <v>23</v>
      </c>
      <c r="L18" s="40">
        <v>25</v>
      </c>
      <c r="M18" s="40">
        <v>24</v>
      </c>
      <c r="N18" s="40">
        <v>25</v>
      </c>
      <c r="O18" s="19" t="s">
        <v>41</v>
      </c>
    </row>
    <row r="19" spans="1:16" ht="18.75" x14ac:dyDescent="0.25">
      <c r="A19" s="18" t="s">
        <v>42</v>
      </c>
      <c r="B19" s="15">
        <f t="shared" si="2"/>
        <v>1573</v>
      </c>
      <c r="C19" s="40">
        <v>122</v>
      </c>
      <c r="D19" s="40">
        <v>113</v>
      </c>
      <c r="E19" s="40">
        <v>134</v>
      </c>
      <c r="F19" s="40">
        <v>143</v>
      </c>
      <c r="G19" s="40">
        <v>132</v>
      </c>
      <c r="H19" s="40">
        <v>129</v>
      </c>
      <c r="I19" s="40">
        <v>133</v>
      </c>
      <c r="J19" s="40">
        <v>134</v>
      </c>
      <c r="K19" s="40">
        <v>123</v>
      </c>
      <c r="L19" s="40">
        <v>132</v>
      </c>
      <c r="M19" s="40">
        <v>138</v>
      </c>
      <c r="N19" s="40">
        <v>140</v>
      </c>
      <c r="O19" s="19" t="s">
        <v>43</v>
      </c>
    </row>
    <row r="20" spans="1:16" ht="18.75" x14ac:dyDescent="0.25">
      <c r="A20" s="18" t="s">
        <v>44</v>
      </c>
      <c r="B20" s="15">
        <f t="shared" si="2"/>
        <v>575</v>
      </c>
      <c r="C20" s="40">
        <v>44</v>
      </c>
      <c r="D20" s="40">
        <v>40</v>
      </c>
      <c r="E20" s="40">
        <v>48</v>
      </c>
      <c r="F20" s="40">
        <v>52</v>
      </c>
      <c r="G20" s="40">
        <v>50</v>
      </c>
      <c r="H20" s="40">
        <v>51</v>
      </c>
      <c r="I20" s="40">
        <v>51</v>
      </c>
      <c r="J20" s="40">
        <v>48</v>
      </c>
      <c r="K20" s="40">
        <v>45</v>
      </c>
      <c r="L20" s="40">
        <v>48</v>
      </c>
      <c r="M20" s="40">
        <v>49</v>
      </c>
      <c r="N20" s="40">
        <v>49</v>
      </c>
      <c r="O20" s="19" t="s">
        <v>45</v>
      </c>
    </row>
    <row r="21" spans="1:16" ht="18.75" x14ac:dyDescent="0.25">
      <c r="A21" s="18" t="s">
        <v>46</v>
      </c>
      <c r="B21" s="15">
        <f t="shared" si="2"/>
        <v>289</v>
      </c>
      <c r="C21" s="40">
        <v>21</v>
      </c>
      <c r="D21" s="40">
        <v>20</v>
      </c>
      <c r="E21" s="40">
        <v>24</v>
      </c>
      <c r="F21" s="40">
        <v>28</v>
      </c>
      <c r="G21" s="40">
        <v>25</v>
      </c>
      <c r="H21" s="40">
        <v>25</v>
      </c>
      <c r="I21" s="40">
        <v>26</v>
      </c>
      <c r="J21" s="40">
        <v>24</v>
      </c>
      <c r="K21" s="40">
        <v>24</v>
      </c>
      <c r="L21" s="40">
        <v>25</v>
      </c>
      <c r="M21" s="40">
        <v>23</v>
      </c>
      <c r="N21" s="40">
        <v>24</v>
      </c>
      <c r="O21" s="19" t="s">
        <v>47</v>
      </c>
    </row>
    <row r="22" spans="1:16" ht="18.75" x14ac:dyDescent="0.25">
      <c r="A22" s="18" t="s">
        <v>48</v>
      </c>
      <c r="B22" s="15">
        <f t="shared" si="2"/>
        <v>281</v>
      </c>
      <c r="C22" s="40">
        <v>22</v>
      </c>
      <c r="D22" s="40">
        <v>20</v>
      </c>
      <c r="E22" s="40">
        <v>25</v>
      </c>
      <c r="F22" s="40">
        <v>26</v>
      </c>
      <c r="G22" s="40">
        <v>24</v>
      </c>
      <c r="H22" s="40">
        <v>22</v>
      </c>
      <c r="I22" s="40">
        <v>26</v>
      </c>
      <c r="J22" s="40">
        <v>22</v>
      </c>
      <c r="K22" s="40">
        <v>22</v>
      </c>
      <c r="L22" s="40">
        <v>24</v>
      </c>
      <c r="M22" s="40">
        <v>24</v>
      </c>
      <c r="N22" s="40">
        <v>24</v>
      </c>
      <c r="O22" s="19" t="s">
        <v>49</v>
      </c>
    </row>
    <row r="23" spans="1:16" ht="18.75" x14ac:dyDescent="0.25">
      <c r="A23" s="18" t="s">
        <v>50</v>
      </c>
      <c r="B23" s="15">
        <f t="shared" si="2"/>
        <v>203</v>
      </c>
      <c r="C23" s="40">
        <v>16</v>
      </c>
      <c r="D23" s="40">
        <v>15</v>
      </c>
      <c r="E23" s="40">
        <v>18</v>
      </c>
      <c r="F23" s="40">
        <v>18</v>
      </c>
      <c r="G23" s="40">
        <v>17</v>
      </c>
      <c r="H23" s="40">
        <v>18</v>
      </c>
      <c r="I23" s="40">
        <v>20</v>
      </c>
      <c r="J23" s="40">
        <v>18</v>
      </c>
      <c r="K23" s="40">
        <v>16</v>
      </c>
      <c r="L23" s="40">
        <v>16</v>
      </c>
      <c r="M23" s="40">
        <v>15</v>
      </c>
      <c r="N23" s="40">
        <v>16</v>
      </c>
      <c r="O23" s="19" t="s">
        <v>51</v>
      </c>
    </row>
    <row r="24" spans="1:16" ht="18.75" x14ac:dyDescent="0.25">
      <c r="A24" s="18" t="s">
        <v>52</v>
      </c>
      <c r="B24" s="15">
        <f t="shared" si="2"/>
        <v>148</v>
      </c>
      <c r="C24" s="40">
        <v>11</v>
      </c>
      <c r="D24" s="40">
        <v>10</v>
      </c>
      <c r="E24" s="40">
        <v>12</v>
      </c>
      <c r="F24" s="40">
        <v>13</v>
      </c>
      <c r="G24" s="40">
        <v>13</v>
      </c>
      <c r="H24" s="40">
        <v>12</v>
      </c>
      <c r="I24" s="40">
        <v>14</v>
      </c>
      <c r="J24" s="40">
        <v>13</v>
      </c>
      <c r="K24" s="40">
        <v>12</v>
      </c>
      <c r="L24" s="40">
        <v>12</v>
      </c>
      <c r="M24" s="40">
        <v>12</v>
      </c>
      <c r="N24" s="40">
        <v>14</v>
      </c>
      <c r="O24" s="19" t="s">
        <v>53</v>
      </c>
    </row>
    <row r="25" spans="1:16" ht="18.75" x14ac:dyDescent="0.25">
      <c r="A25" s="18" t="s">
        <v>54</v>
      </c>
      <c r="B25" s="15">
        <f t="shared" si="2"/>
        <v>164</v>
      </c>
      <c r="C25" s="40">
        <v>11</v>
      </c>
      <c r="D25" s="40">
        <v>10</v>
      </c>
      <c r="E25" s="40">
        <v>14</v>
      </c>
      <c r="F25" s="40">
        <v>16</v>
      </c>
      <c r="G25" s="40">
        <v>15</v>
      </c>
      <c r="H25" s="40">
        <v>14</v>
      </c>
      <c r="I25" s="40">
        <v>15</v>
      </c>
      <c r="J25" s="40">
        <v>14</v>
      </c>
      <c r="K25" s="40">
        <v>14</v>
      </c>
      <c r="L25" s="40">
        <v>13</v>
      </c>
      <c r="M25" s="40">
        <v>14</v>
      </c>
      <c r="N25" s="40">
        <v>14</v>
      </c>
      <c r="O25" s="19" t="s">
        <v>55</v>
      </c>
    </row>
    <row r="26" spans="1:16" s="21" customFormat="1" ht="18.75" x14ac:dyDescent="0.25">
      <c r="A26" s="4" t="s">
        <v>56</v>
      </c>
      <c r="B26" s="5">
        <f t="shared" si="2"/>
        <v>226</v>
      </c>
      <c r="C26" s="42">
        <v>17</v>
      </c>
      <c r="D26" s="42">
        <v>16</v>
      </c>
      <c r="E26" s="42">
        <v>19</v>
      </c>
      <c r="F26" s="42">
        <v>21</v>
      </c>
      <c r="G26" s="42">
        <v>19</v>
      </c>
      <c r="H26" s="42">
        <v>21</v>
      </c>
      <c r="I26" s="42">
        <v>19</v>
      </c>
      <c r="J26" s="42">
        <v>18</v>
      </c>
      <c r="K26" s="42">
        <v>18</v>
      </c>
      <c r="L26" s="42">
        <v>20</v>
      </c>
      <c r="M26" s="42">
        <v>19</v>
      </c>
      <c r="N26" s="42">
        <v>19</v>
      </c>
      <c r="O26" s="6" t="s">
        <v>57</v>
      </c>
    </row>
    <row r="27" spans="1:16" s="21" customFormat="1" ht="18.75" x14ac:dyDescent="0.25">
      <c r="A27" s="4" t="s">
        <v>58</v>
      </c>
      <c r="B27" s="5">
        <f t="shared" si="2"/>
        <v>574</v>
      </c>
      <c r="C27" s="42">
        <v>41</v>
      </c>
      <c r="D27" s="42">
        <v>39</v>
      </c>
      <c r="E27" s="42">
        <v>47</v>
      </c>
      <c r="F27" s="42">
        <v>47</v>
      </c>
      <c r="G27" s="42">
        <v>51</v>
      </c>
      <c r="H27" s="42">
        <v>51</v>
      </c>
      <c r="I27" s="42">
        <v>51</v>
      </c>
      <c r="J27" s="42">
        <v>51</v>
      </c>
      <c r="K27" s="42">
        <v>51</v>
      </c>
      <c r="L27" s="42">
        <v>51</v>
      </c>
      <c r="M27" s="42">
        <v>47</v>
      </c>
      <c r="N27" s="42">
        <v>47</v>
      </c>
      <c r="O27" s="6" t="s">
        <v>59</v>
      </c>
    </row>
    <row r="28" spans="1:16" s="21" customFormat="1" ht="18.75" x14ac:dyDescent="0.25">
      <c r="A28" s="4" t="s">
        <v>60</v>
      </c>
      <c r="B28" s="5">
        <f t="shared" si="2"/>
        <v>177</v>
      </c>
      <c r="C28" s="42" t="s">
        <v>61</v>
      </c>
      <c r="D28" s="42" t="s">
        <v>61</v>
      </c>
      <c r="E28" s="42" t="s">
        <v>61</v>
      </c>
      <c r="F28" s="42" t="s">
        <v>61</v>
      </c>
      <c r="G28" s="42" t="s">
        <v>61</v>
      </c>
      <c r="H28" s="42" t="s">
        <v>61</v>
      </c>
      <c r="I28" s="42" t="s">
        <v>61</v>
      </c>
      <c r="J28" s="42">
        <v>24</v>
      </c>
      <c r="K28" s="42">
        <v>39</v>
      </c>
      <c r="L28" s="42">
        <v>39</v>
      </c>
      <c r="M28" s="42">
        <v>37</v>
      </c>
      <c r="N28" s="42">
        <v>38</v>
      </c>
      <c r="O28" s="6" t="s">
        <v>62</v>
      </c>
    </row>
    <row r="29" spans="1:16" s="21" customFormat="1" ht="18.75" x14ac:dyDescent="0.25">
      <c r="A29" s="4" t="s">
        <v>63</v>
      </c>
      <c r="B29" s="5">
        <f t="shared" si="2"/>
        <v>208</v>
      </c>
      <c r="C29" s="42">
        <v>17</v>
      </c>
      <c r="D29" s="42">
        <v>15</v>
      </c>
      <c r="E29" s="42">
        <v>18</v>
      </c>
      <c r="F29" s="42">
        <v>18</v>
      </c>
      <c r="G29" s="42">
        <v>18</v>
      </c>
      <c r="H29" s="42">
        <v>18</v>
      </c>
      <c r="I29" s="42">
        <v>22</v>
      </c>
      <c r="J29" s="42">
        <v>17</v>
      </c>
      <c r="K29" s="42">
        <v>16</v>
      </c>
      <c r="L29" s="42">
        <v>16</v>
      </c>
      <c r="M29" s="42">
        <v>15</v>
      </c>
      <c r="N29" s="42">
        <v>18</v>
      </c>
      <c r="O29" s="6" t="s">
        <v>64</v>
      </c>
    </row>
    <row r="30" spans="1:16" s="21" customFormat="1" ht="18.75" x14ac:dyDescent="0.25">
      <c r="A30" s="4" t="s">
        <v>65</v>
      </c>
      <c r="B30" s="5">
        <f t="shared" si="2"/>
        <v>130</v>
      </c>
      <c r="C30" s="42">
        <v>8</v>
      </c>
      <c r="D30" s="42">
        <v>9</v>
      </c>
      <c r="E30" s="42">
        <v>10</v>
      </c>
      <c r="F30" s="42">
        <v>10</v>
      </c>
      <c r="G30" s="42">
        <v>12</v>
      </c>
      <c r="H30" s="42">
        <v>13</v>
      </c>
      <c r="I30" s="42">
        <v>13</v>
      </c>
      <c r="J30" s="42">
        <v>11</v>
      </c>
      <c r="K30" s="42">
        <v>11</v>
      </c>
      <c r="L30" s="42">
        <v>11</v>
      </c>
      <c r="M30" s="42">
        <v>11</v>
      </c>
      <c r="N30" s="42">
        <v>11</v>
      </c>
      <c r="O30" s="6" t="s">
        <v>66</v>
      </c>
      <c r="P30" s="22"/>
    </row>
    <row r="31" spans="1:16" s="21" customFormat="1" ht="18.75" x14ac:dyDescent="0.25">
      <c r="A31" s="4" t="s">
        <v>67</v>
      </c>
      <c r="B31" s="5">
        <f t="shared" si="2"/>
        <v>245</v>
      </c>
      <c r="C31" s="42">
        <v>18</v>
      </c>
      <c r="D31" s="42">
        <v>16</v>
      </c>
      <c r="E31" s="42">
        <v>16</v>
      </c>
      <c r="F31" s="42">
        <v>21</v>
      </c>
      <c r="G31" s="42">
        <v>20</v>
      </c>
      <c r="H31" s="42">
        <v>19</v>
      </c>
      <c r="I31" s="42">
        <v>24</v>
      </c>
      <c r="J31" s="42">
        <v>25</v>
      </c>
      <c r="K31" s="42">
        <v>21</v>
      </c>
      <c r="L31" s="42">
        <v>22</v>
      </c>
      <c r="M31" s="42">
        <v>22</v>
      </c>
      <c r="N31" s="42">
        <v>21</v>
      </c>
      <c r="O31" s="6" t="s">
        <v>68</v>
      </c>
      <c r="P31" s="22"/>
    </row>
    <row r="32" spans="1:16" s="21" customFormat="1" ht="18.75" x14ac:dyDescent="0.25">
      <c r="A32" s="4" t="s">
        <v>69</v>
      </c>
      <c r="B32" s="5">
        <f t="shared" si="2"/>
        <v>252</v>
      </c>
      <c r="C32" s="42">
        <v>19</v>
      </c>
      <c r="D32" s="42">
        <v>18</v>
      </c>
      <c r="E32" s="42">
        <v>22</v>
      </c>
      <c r="F32" s="42">
        <v>22</v>
      </c>
      <c r="G32" s="42">
        <v>23</v>
      </c>
      <c r="H32" s="42">
        <v>22</v>
      </c>
      <c r="I32" s="42">
        <v>22</v>
      </c>
      <c r="J32" s="42">
        <v>20</v>
      </c>
      <c r="K32" s="42">
        <v>20</v>
      </c>
      <c r="L32" s="42">
        <v>22</v>
      </c>
      <c r="M32" s="42">
        <v>20</v>
      </c>
      <c r="N32" s="42">
        <v>22</v>
      </c>
      <c r="O32" s="6" t="s">
        <v>70</v>
      </c>
      <c r="P32" s="22"/>
    </row>
    <row r="33" spans="1:17" s="21" customFormat="1" ht="18.75" x14ac:dyDescent="0.25">
      <c r="A33" s="4" t="s">
        <v>89</v>
      </c>
      <c r="B33" s="5">
        <f t="shared" si="2"/>
        <v>714</v>
      </c>
      <c r="C33" s="42">
        <v>57</v>
      </c>
      <c r="D33" s="42">
        <v>51</v>
      </c>
      <c r="E33" s="42">
        <v>60</v>
      </c>
      <c r="F33" s="42">
        <v>62</v>
      </c>
      <c r="G33" s="42">
        <v>60</v>
      </c>
      <c r="H33" s="42">
        <v>61</v>
      </c>
      <c r="I33" s="42">
        <v>62</v>
      </c>
      <c r="J33" s="42">
        <v>59</v>
      </c>
      <c r="K33" s="42">
        <v>57</v>
      </c>
      <c r="L33" s="42">
        <v>61</v>
      </c>
      <c r="M33" s="42">
        <v>60</v>
      </c>
      <c r="N33" s="42">
        <v>64</v>
      </c>
      <c r="O33" s="6" t="s">
        <v>71</v>
      </c>
      <c r="P33" s="22"/>
    </row>
    <row r="34" spans="1:17" s="21" customFormat="1" ht="18.75" x14ac:dyDescent="0.25">
      <c r="A34" s="4" t="s">
        <v>72</v>
      </c>
      <c r="B34" s="5">
        <f t="shared" si="2"/>
        <v>161</v>
      </c>
      <c r="C34" s="42">
        <v>13</v>
      </c>
      <c r="D34" s="42">
        <v>12</v>
      </c>
      <c r="E34" s="42">
        <v>13</v>
      </c>
      <c r="F34" s="42">
        <v>13</v>
      </c>
      <c r="G34" s="42">
        <v>13</v>
      </c>
      <c r="H34" s="42">
        <v>14</v>
      </c>
      <c r="I34" s="42">
        <v>15</v>
      </c>
      <c r="J34" s="42">
        <v>13</v>
      </c>
      <c r="K34" s="42">
        <v>13</v>
      </c>
      <c r="L34" s="42">
        <v>14</v>
      </c>
      <c r="M34" s="42">
        <v>14</v>
      </c>
      <c r="N34" s="42">
        <v>14</v>
      </c>
      <c r="O34" s="6" t="s">
        <v>73</v>
      </c>
      <c r="P34" s="22"/>
    </row>
    <row r="35" spans="1:17" s="21" customFormat="1" ht="18.75" x14ac:dyDescent="0.25">
      <c r="A35" s="4" t="s">
        <v>74</v>
      </c>
      <c r="B35" s="5">
        <f t="shared" si="2"/>
        <v>74</v>
      </c>
      <c r="C35" s="42">
        <v>5</v>
      </c>
      <c r="D35" s="42">
        <v>5</v>
      </c>
      <c r="E35" s="42">
        <v>6</v>
      </c>
      <c r="F35" s="42">
        <v>7</v>
      </c>
      <c r="G35" s="42">
        <v>6</v>
      </c>
      <c r="H35" s="42">
        <v>6</v>
      </c>
      <c r="I35" s="42">
        <v>7</v>
      </c>
      <c r="J35" s="42">
        <v>6</v>
      </c>
      <c r="K35" s="42">
        <v>6</v>
      </c>
      <c r="L35" s="42">
        <v>6</v>
      </c>
      <c r="M35" s="42">
        <v>6</v>
      </c>
      <c r="N35" s="42">
        <v>8</v>
      </c>
      <c r="O35" s="6" t="s">
        <v>75</v>
      </c>
      <c r="P35" s="22"/>
    </row>
    <row r="36" spans="1:17" s="21" customFormat="1" ht="18.75" x14ac:dyDescent="0.25">
      <c r="A36" s="4" t="s">
        <v>76</v>
      </c>
      <c r="B36" s="5">
        <f t="shared" si="2"/>
        <v>236</v>
      </c>
      <c r="C36" s="42">
        <v>18</v>
      </c>
      <c r="D36" s="42">
        <v>18</v>
      </c>
      <c r="E36" s="42">
        <v>21</v>
      </c>
      <c r="F36" s="42">
        <v>21</v>
      </c>
      <c r="G36" s="42">
        <v>20</v>
      </c>
      <c r="H36" s="42">
        <v>19</v>
      </c>
      <c r="I36" s="42">
        <v>21</v>
      </c>
      <c r="J36" s="42">
        <v>20</v>
      </c>
      <c r="K36" s="42">
        <v>19</v>
      </c>
      <c r="L36" s="42">
        <v>20</v>
      </c>
      <c r="M36" s="42">
        <v>19</v>
      </c>
      <c r="N36" s="42">
        <v>20</v>
      </c>
      <c r="O36" s="6" t="s">
        <v>77</v>
      </c>
      <c r="P36" s="22"/>
    </row>
    <row r="37" spans="1:17" ht="18.75" x14ac:dyDescent="0.25">
      <c r="A37" s="18" t="s">
        <v>78</v>
      </c>
      <c r="B37" s="15">
        <f t="shared" si="2"/>
        <v>161</v>
      </c>
      <c r="C37" s="40">
        <v>13</v>
      </c>
      <c r="D37" s="40">
        <v>12</v>
      </c>
      <c r="E37" s="40">
        <v>12</v>
      </c>
      <c r="F37" s="40">
        <v>13</v>
      </c>
      <c r="G37" s="40">
        <v>15</v>
      </c>
      <c r="H37" s="40">
        <v>14</v>
      </c>
      <c r="I37" s="40">
        <v>15</v>
      </c>
      <c r="J37" s="40">
        <v>15</v>
      </c>
      <c r="K37" s="40">
        <v>14</v>
      </c>
      <c r="L37" s="40">
        <v>15</v>
      </c>
      <c r="M37" s="40">
        <v>11</v>
      </c>
      <c r="N37" s="40">
        <v>12</v>
      </c>
      <c r="O37" s="19" t="s">
        <v>79</v>
      </c>
      <c r="P37" s="23"/>
    </row>
    <row r="38" spans="1:17" ht="18.75" x14ac:dyDescent="0.25">
      <c r="A38" s="18" t="s">
        <v>80</v>
      </c>
      <c r="B38" s="15">
        <f t="shared" si="2"/>
        <v>131</v>
      </c>
      <c r="C38" s="40">
        <v>10</v>
      </c>
      <c r="D38" s="40">
        <v>11</v>
      </c>
      <c r="E38" s="40">
        <v>13</v>
      </c>
      <c r="F38" s="40">
        <v>11</v>
      </c>
      <c r="G38" s="40">
        <v>7</v>
      </c>
      <c r="H38" s="40">
        <v>7</v>
      </c>
      <c r="I38" s="40">
        <v>10</v>
      </c>
      <c r="J38" s="40">
        <v>12</v>
      </c>
      <c r="K38" s="40">
        <v>12</v>
      </c>
      <c r="L38" s="40">
        <v>12</v>
      </c>
      <c r="M38" s="40">
        <v>14</v>
      </c>
      <c r="N38" s="40">
        <v>12</v>
      </c>
      <c r="O38" s="19" t="s">
        <v>81</v>
      </c>
      <c r="P38" s="23"/>
    </row>
    <row r="39" spans="1:17" ht="18.75" x14ac:dyDescent="0.25">
      <c r="A39" s="18" t="s">
        <v>82</v>
      </c>
      <c r="B39" s="15">
        <f t="shared" si="2"/>
        <v>182</v>
      </c>
      <c r="C39" s="40">
        <v>13</v>
      </c>
      <c r="D39" s="40">
        <v>13</v>
      </c>
      <c r="E39" s="40">
        <v>15</v>
      </c>
      <c r="F39" s="40">
        <v>16</v>
      </c>
      <c r="G39" s="40">
        <v>14</v>
      </c>
      <c r="H39" s="40">
        <v>16</v>
      </c>
      <c r="I39" s="40">
        <v>16</v>
      </c>
      <c r="J39" s="40">
        <v>16</v>
      </c>
      <c r="K39" s="40">
        <v>15</v>
      </c>
      <c r="L39" s="40">
        <v>16</v>
      </c>
      <c r="M39" s="40">
        <v>16</v>
      </c>
      <c r="N39" s="40">
        <v>16</v>
      </c>
      <c r="O39" s="19" t="s">
        <v>83</v>
      </c>
      <c r="P39" s="23"/>
    </row>
    <row r="40" spans="1:17" s="29" customFormat="1" ht="18.75" x14ac:dyDescent="0.25">
      <c r="A40" s="24" t="s">
        <v>84</v>
      </c>
      <c r="B40" s="25">
        <f t="shared" si="2"/>
        <v>58</v>
      </c>
      <c r="C40" s="41">
        <v>5</v>
      </c>
      <c r="D40" s="41">
        <v>4</v>
      </c>
      <c r="E40" s="41">
        <v>5</v>
      </c>
      <c r="F40" s="41">
        <v>5</v>
      </c>
      <c r="G40" s="41">
        <v>5</v>
      </c>
      <c r="H40" s="41">
        <v>5</v>
      </c>
      <c r="I40" s="41">
        <v>5</v>
      </c>
      <c r="J40" s="41">
        <v>4</v>
      </c>
      <c r="K40" s="41">
        <v>5</v>
      </c>
      <c r="L40" s="41">
        <v>5</v>
      </c>
      <c r="M40" s="41">
        <v>5</v>
      </c>
      <c r="N40" s="41">
        <v>5</v>
      </c>
      <c r="O40" s="26" t="s">
        <v>85</v>
      </c>
      <c r="P40" s="27"/>
      <c r="Q40" s="28"/>
    </row>
    <row r="41" spans="1:17" s="35" customFormat="1" ht="14.25" x14ac:dyDescent="0.25">
      <c r="A41" s="30" t="s">
        <v>2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3"/>
      <c r="O41" s="34" t="s">
        <v>3</v>
      </c>
    </row>
    <row r="42" spans="1:17" s="29" customFormat="1" x14ac:dyDescent="0.25">
      <c r="A42" s="36"/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27"/>
    </row>
    <row r="43" spans="1:17" s="39" customFormat="1" ht="12" x14ac:dyDescent="0.25"/>
  </sheetData>
  <mergeCells count="4">
    <mergeCell ref="A1:O1"/>
    <mergeCell ref="A2:O2"/>
    <mergeCell ref="A3:O3"/>
    <mergeCell ref="A4:O4"/>
  </mergeCells>
  <pageMargins left="0.7" right="0.7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2016-09-08T07:41:45Z</cp:lastPrinted>
  <dcterms:created xsi:type="dcterms:W3CDTF">2015-01-12T08:51:45Z</dcterms:created>
  <dcterms:modified xsi:type="dcterms:W3CDTF">2016-09-08T07:41:50Z</dcterms:modified>
</cp:coreProperties>
</file>