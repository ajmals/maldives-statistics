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2" sheetId="18" r:id="rId1"/>
  </sheets>
  <definedNames>
    <definedName name="_xlnm.Print_Area" localSheetId="0">'12.2'!$A$1:$O$41</definedName>
  </definedNames>
  <calcPr calcId="144525"/>
</workbook>
</file>

<file path=xl/calcChain.xml><?xml version="1.0" encoding="utf-8"?>
<calcChain xmlns="http://schemas.openxmlformats.org/spreadsheetml/2006/main">
  <c r="B40" i="18" l="1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N10" i="18"/>
  <c r="N6" i="18" s="1"/>
  <c r="M10" i="18"/>
  <c r="M6" i="18" s="1"/>
  <c r="L10" i="18"/>
  <c r="L6" i="18" s="1"/>
  <c r="K10" i="18"/>
  <c r="K6" i="18" s="1"/>
  <c r="J10" i="18"/>
  <c r="J6" i="18" s="1"/>
  <c r="I10" i="18"/>
  <c r="I6" i="18" s="1"/>
  <c r="H10" i="18"/>
  <c r="G10" i="18"/>
  <c r="G6" i="18" s="1"/>
  <c r="F10" i="18"/>
  <c r="F6" i="18" s="1"/>
  <c r="E10" i="18"/>
  <c r="E6" i="18" s="1"/>
  <c r="D10" i="18"/>
  <c r="D6" i="18" s="1"/>
  <c r="C10" i="18"/>
  <c r="C6" i="18" s="1"/>
  <c r="B9" i="18"/>
  <c r="B8" i="18"/>
  <c r="C7" i="18"/>
  <c r="B7" i="18" s="1"/>
  <c r="H6" i="18"/>
  <c r="B6" i="18" l="1"/>
  <c r="B10" i="18"/>
</calcChain>
</file>

<file path=xl/sharedStrings.xml><?xml version="1.0" encoding="utf-8"?>
<sst xmlns="http://schemas.openxmlformats.org/spreadsheetml/2006/main" count="110" uniqueCount="102">
  <si>
    <t>wlcmuj</t>
  </si>
  <si>
    <t>cCrWm</t>
  </si>
  <si>
    <t>Em</t>
  </si>
  <si>
    <t>cnUj</t>
  </si>
  <si>
    <t>iawluj</t>
  </si>
  <si>
    <t>cnwt</t>
  </si>
  <si>
    <t>Source: State Electric Company Limited</t>
  </si>
  <si>
    <t>cDeTimil Inepcmok ckircTckeliacTETcs :ctWrwf ivcaedutWmUluAwm</t>
  </si>
  <si>
    <t>2015 ,urwvcnim idcaefua cTcnwrwk uhwmcswmikea cnukwtctWrwf egurWkurws  : 12.2 ulwvWt</t>
  </si>
  <si>
    <t>Table  12.2 :  MONTHLY ELECTRICITY PRODUCTION BY PUBLIC SECTOR, 2015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</si>
  <si>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</si>
  <si>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</si>
  <si>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</si>
  <si>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</si>
  <si>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</si>
  <si>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</si>
  <si>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</si>
  <si>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</si>
  <si>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</si>
  <si>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</si>
  <si>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</si>
  <si>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</si>
  <si>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</si>
  <si>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</si>
  <si>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</si>
  <si>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</si>
  <si>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</si>
  <si>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</si>
  <si>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</si>
  <si>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</si>
  <si>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</si>
  <si>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</si>
  <si>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</si>
  <si>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</si>
  <si>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</si>
  <si>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</si>
  <si>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</si>
  <si>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</si>
  <si>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</si>
  <si>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</si>
  <si>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</si>
  <si>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</si>
  <si>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</si>
  <si>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</si>
  <si>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</si>
  <si>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</si>
  <si>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</si>
  <si>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</si>
  <si>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</si>
  <si>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</si>
  <si>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</si>
  <si>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</si>
  <si>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</si>
  <si>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</si>
  <si>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</si>
  <si>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</si>
  <si>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</si>
  <si>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</si>
  <si>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</si>
  <si>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</si>
  <si>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</si>
  <si>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</si>
  <si>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</si>
  <si>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</si>
  <si>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</si>
  <si>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</si>
  <si>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</si>
  <si>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</si>
  <si>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</si>
  <si>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</si>
  <si>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</si>
  <si>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</si>
  <si>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</si>
  <si>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</si>
  <si>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</si>
  <si>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</si>
  <si>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-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</si>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</sst>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10"/>
      <name val="A_Faseyha"/>
    </font>
    <font>
      <sz val="9"/>
      <name val="A_Faseyha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  <font>
      <b/>
      <sz val="10"/>
      <name val="Faruma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0" fontId="0" fillId="2" borderId="0" xfId="0" applyFill="1"/>
    <xf numFmtId="164" fontId="5" fillId="2" borderId="1" xfId="1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/>
    </xf>
    <xf numFmtId="3" fontId="4" fillId="2" borderId="5" xfId="0" applyNumberFormat="1" applyFont="1" applyFill="1" applyBorder="1" applyAlignment="1">
      <alignment horizontal="right" vertical="center"/>
    </xf>
    <xf numFmtId="0" fontId="12" fillId="2" borderId="6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17" fillId="2" borderId="8" xfId="0" applyFont="1" applyFill="1" applyBorder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0" fontId="18" fillId="2" borderId="8" xfId="0" applyFont="1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1" fontId="10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19" fillId="2" borderId="0" xfId="0" applyFont="1" applyFill="1" applyBorder="1"/>
    <xf numFmtId="0" fontId="5" fillId="2" borderId="0" xfId="0" applyFont="1" applyFill="1" applyBorder="1"/>
    <xf numFmtId="1" fontId="7" fillId="2" borderId="0" xfId="0" applyNumberFormat="1" applyFont="1" applyFill="1" applyBorder="1"/>
    <xf numFmtId="0" fontId="3" fillId="2" borderId="0" xfId="0" applyFont="1" applyFill="1" applyBorder="1"/>
    <xf numFmtId="0" fontId="0" fillId="2" borderId="0" xfId="0" applyFill="1" applyAlignment="1">
      <alignment horizontal="left" vertical="center"/>
    </xf>
    <xf numFmtId="3" fontId="0" fillId="2" borderId="0" xfId="0" applyNumberFormat="1" applyFill="1"/>
    <xf numFmtId="164" fontId="5" fillId="2" borderId="4" xfId="1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right" vertical="center"/>
    </xf>
    <xf numFmtId="0" fontId="16" fillId="2" borderId="7" xfId="0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2"/>
  <sheetViews>
    <sheetView tabSelected="1" zoomScaleNormal="100" workbookViewId="0">
      <selection activeCell="N20" sqref="N20"/>
    </sheetView>
  </sheetViews>
  <sheetFormatPr defaultRowHeight="15" x14ac:dyDescent="0.25"/>
  <cols>
    <col min="1" max="1" width="16.140625" style="27" customWidth="1"/>
    <col min="2" max="2" width="11.28515625" style="1" bestFit="1" customWidth="1"/>
    <col min="3" max="3" width="11.42578125" style="1" customWidth="1"/>
    <col min="4" max="4" width="10.140625" style="1" customWidth="1"/>
    <col min="5" max="14" width="9" style="1" customWidth="1"/>
    <col min="15" max="15" width="13.28515625" style="1" customWidth="1"/>
    <col min="16" max="16" width="3.5703125" style="1" customWidth="1"/>
    <col min="17" max="16384" width="9.140625" style="1"/>
  </cols>
  <sheetData>
    <row r="1" spans="1:32" ht="16.5" x14ac:dyDescent="0.25">
      <c r="A1" s="31" t="s">
        <v>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32" ht="15.75" x14ac:dyDescent="0.25">
      <c r="A2" s="32" t="s">
        <v>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32" ht="17.25" x14ac:dyDescent="0.4">
      <c r="A3" s="33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32" ht="17.25" x14ac:dyDescent="0.4">
      <c r="A4" s="34" t="s">
        <v>11</v>
      </c>
      <c r="B4" s="4" t="s">
        <v>0</v>
      </c>
      <c r="C4" s="4" t="s">
        <v>12</v>
      </c>
      <c r="D4" s="4" t="s">
        <v>13</v>
      </c>
      <c r="E4" s="4" t="s">
        <v>1</v>
      </c>
      <c r="F4" s="4" t="s">
        <v>14</v>
      </c>
      <c r="G4" s="4" t="s">
        <v>2</v>
      </c>
      <c r="H4" s="4" t="s">
        <v>3</v>
      </c>
      <c r="I4" s="4" t="s">
        <v>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36" t="s">
        <v>5</v>
      </c>
    </row>
    <row r="5" spans="1:32" x14ac:dyDescent="0.25">
      <c r="A5" s="35"/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37"/>
    </row>
    <row r="6" spans="1:32" s="9" customFormat="1" ht="15.75" x14ac:dyDescent="0.25">
      <c r="A6" s="6" t="s">
        <v>20</v>
      </c>
      <c r="B6" s="7">
        <f>SUM(C6:N6)</f>
        <v>386478.17099999997</v>
      </c>
      <c r="C6" s="7">
        <f>C10+C9+C8+C7</f>
        <v>30372.561999999998</v>
      </c>
      <c r="D6" s="7">
        <f t="shared" ref="D6:N6" si="0">D10+D9+D8+D7</f>
        <v>28664.18</v>
      </c>
      <c r="E6" s="7">
        <f t="shared" si="0"/>
        <v>33788.553999999996</v>
      </c>
      <c r="F6" s="7">
        <f t="shared" si="0"/>
        <v>34671.274000000005</v>
      </c>
      <c r="G6" s="7">
        <f t="shared" si="0"/>
        <v>34430.546999999999</v>
      </c>
      <c r="H6" s="7">
        <f t="shared" si="0"/>
        <v>32993.817999999999</v>
      </c>
      <c r="I6" s="7">
        <f t="shared" si="0"/>
        <v>32421.07</v>
      </c>
      <c r="J6" s="7">
        <f t="shared" si="0"/>
        <v>32571.427000000003</v>
      </c>
      <c r="K6" s="7">
        <f t="shared" si="0"/>
        <v>30029.365000000002</v>
      </c>
      <c r="L6" s="7">
        <f t="shared" si="0"/>
        <v>32374.839</v>
      </c>
      <c r="M6" s="7">
        <f t="shared" si="0"/>
        <v>32130.893</v>
      </c>
      <c r="N6" s="7">
        <f t="shared" si="0"/>
        <v>32029.642</v>
      </c>
      <c r="O6" s="8" t="s">
        <v>0</v>
      </c>
      <c r="Q6" s="30"/>
      <c r="R6" s="30"/>
      <c r="S6" s="30"/>
      <c r="T6" s="30"/>
      <c r="U6" s="30"/>
      <c r="V6" s="30"/>
      <c r="W6" s="30"/>
      <c r="X6" s="30"/>
    </row>
    <row r="7" spans="1:32" s="9" customFormat="1" ht="18.75" x14ac:dyDescent="0.25">
      <c r="A7" s="11" t="s">
        <v>33</v>
      </c>
      <c r="B7" s="12">
        <f>SUM(C7:N7)</f>
        <v>308896.36499999999</v>
      </c>
      <c r="C7" s="2">
        <f>24571</f>
        <v>24571</v>
      </c>
      <c r="D7" s="2">
        <v>22988.305</v>
      </c>
      <c r="E7" s="2">
        <v>27330.174999999999</v>
      </c>
      <c r="F7" s="2">
        <v>27862.008000000002</v>
      </c>
      <c r="G7" s="2">
        <v>27757.335999999999</v>
      </c>
      <c r="H7" s="2">
        <v>26443.007000000001</v>
      </c>
      <c r="I7" s="2">
        <v>25939.632000000001</v>
      </c>
      <c r="J7" s="2">
        <v>26020.025000000001</v>
      </c>
      <c r="K7" s="2">
        <v>23671.808000000001</v>
      </c>
      <c r="L7" s="2">
        <v>25772.968000000001</v>
      </c>
      <c r="M7" s="2">
        <v>25255.891</v>
      </c>
      <c r="N7" s="2">
        <v>25284.21</v>
      </c>
      <c r="O7" s="13" t="s">
        <v>34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s="9" customFormat="1" ht="18.75" x14ac:dyDescent="0.25">
      <c r="A8" s="11" t="s">
        <v>35</v>
      </c>
      <c r="B8" s="12">
        <f>SUM(C8:N8)</f>
        <v>11481.522000000001</v>
      </c>
      <c r="C8" s="2">
        <v>917.14499999999998</v>
      </c>
      <c r="D8" s="2">
        <v>962.88499999999999</v>
      </c>
      <c r="E8" s="2">
        <v>921.61400000000003</v>
      </c>
      <c r="F8" s="2">
        <v>1008.313</v>
      </c>
      <c r="G8" s="2">
        <v>1058.433</v>
      </c>
      <c r="H8" s="2">
        <v>1044.201</v>
      </c>
      <c r="I8" s="2">
        <v>967.56600000000003</v>
      </c>
      <c r="J8" s="2">
        <v>977.50900000000001</v>
      </c>
      <c r="K8" s="2">
        <v>902.66399999999999</v>
      </c>
      <c r="L8" s="2">
        <v>913.15200000000004</v>
      </c>
      <c r="M8" s="2">
        <v>903.35199999999998</v>
      </c>
      <c r="N8" s="2">
        <v>904.68799999999999</v>
      </c>
      <c r="O8" s="13" t="s">
        <v>36</v>
      </c>
    </row>
    <row r="9" spans="1:32" s="9" customFormat="1" ht="18.75" x14ac:dyDescent="0.25">
      <c r="A9" s="11" t="s">
        <v>37</v>
      </c>
      <c r="B9" s="12">
        <f>SUM(C9:N9)</f>
        <v>30152.284</v>
      </c>
      <c r="C9" s="2">
        <v>2212.4169999999999</v>
      </c>
      <c r="D9" s="2">
        <v>2072.9899999999998</v>
      </c>
      <c r="E9" s="2">
        <v>2498.7649999999999</v>
      </c>
      <c r="F9" s="2">
        <v>2604.953</v>
      </c>
      <c r="G9" s="2">
        <v>2600.7779999999998</v>
      </c>
      <c r="H9" s="2">
        <v>2509.61</v>
      </c>
      <c r="I9" s="2">
        <v>2516.8719999999998</v>
      </c>
      <c r="J9" s="2">
        <v>2504.893</v>
      </c>
      <c r="K9" s="2">
        <v>2504.893</v>
      </c>
      <c r="L9" s="2">
        <v>2571.7190000000001</v>
      </c>
      <c r="M9" s="2">
        <v>2899.65</v>
      </c>
      <c r="N9" s="2">
        <v>2654.7440000000001</v>
      </c>
      <c r="O9" s="13" t="s">
        <v>38</v>
      </c>
      <c r="X9" s="10"/>
    </row>
    <row r="10" spans="1:32" s="10" customFormat="1" ht="18.75" x14ac:dyDescent="0.25">
      <c r="A10" s="6" t="s">
        <v>39</v>
      </c>
      <c r="B10" s="12">
        <f t="shared" ref="B10:N10" si="1">SUM(B11:B40)</f>
        <v>35948</v>
      </c>
      <c r="C10" s="12">
        <f t="shared" si="1"/>
        <v>2672</v>
      </c>
      <c r="D10" s="12">
        <f t="shared" si="1"/>
        <v>2640</v>
      </c>
      <c r="E10" s="12">
        <f t="shared" si="1"/>
        <v>3038</v>
      </c>
      <c r="F10" s="12">
        <f t="shared" si="1"/>
        <v>3196</v>
      </c>
      <c r="G10" s="12">
        <f t="shared" si="1"/>
        <v>3014</v>
      </c>
      <c r="H10" s="12">
        <f t="shared" si="1"/>
        <v>2997</v>
      </c>
      <c r="I10" s="12">
        <f t="shared" si="1"/>
        <v>2997</v>
      </c>
      <c r="J10" s="12">
        <f t="shared" si="1"/>
        <v>3069</v>
      </c>
      <c r="K10" s="12">
        <f t="shared" si="1"/>
        <v>2950</v>
      </c>
      <c r="L10" s="12">
        <f t="shared" si="1"/>
        <v>3117</v>
      </c>
      <c r="M10" s="12">
        <f t="shared" si="1"/>
        <v>3072</v>
      </c>
      <c r="N10" s="12">
        <f t="shared" si="1"/>
        <v>3186</v>
      </c>
      <c r="O10" s="15" t="s">
        <v>40</v>
      </c>
    </row>
    <row r="11" spans="1:32" s="9" customFormat="1" ht="18.75" x14ac:dyDescent="0.25">
      <c r="A11" s="11" t="s">
        <v>41</v>
      </c>
      <c r="B11" s="12">
        <f>SUM(C11:N11)</f>
        <v>1793</v>
      </c>
      <c r="C11" s="2">
        <v>137</v>
      </c>
      <c r="D11" s="2">
        <v>128</v>
      </c>
      <c r="E11" s="2">
        <v>150</v>
      </c>
      <c r="F11" s="2">
        <v>185</v>
      </c>
      <c r="G11" s="2">
        <v>151</v>
      </c>
      <c r="H11" s="2">
        <v>155</v>
      </c>
      <c r="I11" s="2">
        <v>158</v>
      </c>
      <c r="J11" s="2">
        <v>149</v>
      </c>
      <c r="K11" s="2">
        <v>140</v>
      </c>
      <c r="L11" s="2">
        <v>149</v>
      </c>
      <c r="M11" s="2">
        <v>144</v>
      </c>
      <c r="N11" s="2">
        <v>147</v>
      </c>
      <c r="O11" s="13" t="s">
        <v>42</v>
      </c>
    </row>
    <row r="12" spans="1:32" s="9" customFormat="1" ht="18.75" x14ac:dyDescent="0.25">
      <c r="A12" s="11" t="s">
        <v>43</v>
      </c>
      <c r="B12" s="12">
        <f t="shared" ref="B12:B40" si="2">SUM(C12:N12)</f>
        <v>1055</v>
      </c>
      <c r="C12" s="2">
        <v>81</v>
      </c>
      <c r="D12" s="2">
        <v>81</v>
      </c>
      <c r="E12" s="2">
        <v>85</v>
      </c>
      <c r="F12" s="2">
        <v>92</v>
      </c>
      <c r="G12" s="2">
        <v>87</v>
      </c>
      <c r="H12" s="2">
        <v>90</v>
      </c>
      <c r="I12" s="2">
        <v>96</v>
      </c>
      <c r="J12" s="2">
        <v>89</v>
      </c>
      <c r="K12" s="2">
        <v>85</v>
      </c>
      <c r="L12" s="2">
        <v>88</v>
      </c>
      <c r="M12" s="2">
        <v>91</v>
      </c>
      <c r="N12" s="2">
        <v>90</v>
      </c>
      <c r="O12" s="13" t="s">
        <v>44</v>
      </c>
    </row>
    <row r="13" spans="1:32" s="9" customFormat="1" ht="18.75" x14ac:dyDescent="0.25">
      <c r="A13" s="11" t="s">
        <v>45</v>
      </c>
      <c r="B13" s="12">
        <f t="shared" si="2"/>
        <v>1010</v>
      </c>
      <c r="C13" s="2">
        <v>72</v>
      </c>
      <c r="D13" s="2">
        <v>69</v>
      </c>
      <c r="E13" s="2">
        <v>85</v>
      </c>
      <c r="F13" s="2">
        <v>87</v>
      </c>
      <c r="G13" s="2">
        <v>85</v>
      </c>
      <c r="H13" s="2">
        <v>80</v>
      </c>
      <c r="I13" s="2">
        <v>89</v>
      </c>
      <c r="J13" s="2">
        <v>93</v>
      </c>
      <c r="K13" s="2">
        <v>81</v>
      </c>
      <c r="L13" s="2">
        <v>88</v>
      </c>
      <c r="M13" s="2">
        <v>88</v>
      </c>
      <c r="N13" s="2">
        <v>93</v>
      </c>
      <c r="O13" s="13" t="s">
        <v>46</v>
      </c>
    </row>
    <row r="14" spans="1:32" s="9" customFormat="1" ht="18.75" x14ac:dyDescent="0.25">
      <c r="A14" s="11" t="s">
        <v>47</v>
      </c>
      <c r="B14" s="12">
        <f t="shared" si="2"/>
        <v>2008</v>
      </c>
      <c r="C14" s="2">
        <v>147</v>
      </c>
      <c r="D14" s="2">
        <v>139</v>
      </c>
      <c r="E14" s="2">
        <v>175</v>
      </c>
      <c r="F14" s="2">
        <v>178</v>
      </c>
      <c r="G14" s="2">
        <v>170</v>
      </c>
      <c r="H14" s="2">
        <v>170</v>
      </c>
      <c r="I14" s="2">
        <v>176</v>
      </c>
      <c r="J14" s="2">
        <v>174</v>
      </c>
      <c r="K14" s="2">
        <v>165</v>
      </c>
      <c r="L14" s="2">
        <v>180</v>
      </c>
      <c r="M14" s="2">
        <v>165</v>
      </c>
      <c r="N14" s="2">
        <v>169</v>
      </c>
      <c r="O14" s="13" t="s">
        <v>48</v>
      </c>
    </row>
    <row r="15" spans="1:32" s="9" customFormat="1" ht="18.75" x14ac:dyDescent="0.25">
      <c r="A15" s="11" t="s">
        <v>49</v>
      </c>
      <c r="B15" s="12">
        <f t="shared" si="2"/>
        <v>2357</v>
      </c>
      <c r="C15" s="2">
        <v>177</v>
      </c>
      <c r="D15" s="2">
        <v>161</v>
      </c>
      <c r="E15" s="2">
        <v>196</v>
      </c>
      <c r="F15" s="2">
        <v>204</v>
      </c>
      <c r="G15" s="2">
        <v>204</v>
      </c>
      <c r="H15" s="2">
        <v>203</v>
      </c>
      <c r="I15" s="2">
        <v>202</v>
      </c>
      <c r="J15" s="2">
        <v>196</v>
      </c>
      <c r="K15" s="2">
        <v>192</v>
      </c>
      <c r="L15" s="2">
        <v>208</v>
      </c>
      <c r="M15" s="2">
        <v>203</v>
      </c>
      <c r="N15" s="2">
        <v>211</v>
      </c>
      <c r="O15" s="13" t="s">
        <v>50</v>
      </c>
    </row>
    <row r="16" spans="1:32" s="9" customFormat="1" ht="18.75" x14ac:dyDescent="0.25">
      <c r="A16" s="11" t="s">
        <v>51</v>
      </c>
      <c r="B16" s="12">
        <f t="shared" si="2"/>
        <v>3589</v>
      </c>
      <c r="C16" s="2">
        <v>274</v>
      </c>
      <c r="D16" s="2">
        <v>260</v>
      </c>
      <c r="E16" s="2">
        <v>304</v>
      </c>
      <c r="F16" s="2">
        <v>300</v>
      </c>
      <c r="G16" s="2">
        <v>304</v>
      </c>
      <c r="H16" s="2">
        <v>317</v>
      </c>
      <c r="I16" s="2">
        <v>288</v>
      </c>
      <c r="J16" s="2">
        <v>306</v>
      </c>
      <c r="K16" s="2">
        <v>290</v>
      </c>
      <c r="L16" s="2">
        <v>314</v>
      </c>
      <c r="M16" s="2">
        <v>321</v>
      </c>
      <c r="N16" s="2">
        <v>311</v>
      </c>
      <c r="O16" s="13" t="s">
        <v>52</v>
      </c>
    </row>
    <row r="17" spans="1:16" s="9" customFormat="1" ht="18.75" x14ac:dyDescent="0.25">
      <c r="A17" s="11" t="s">
        <v>53</v>
      </c>
      <c r="B17" s="12">
        <f t="shared" si="2"/>
        <v>113</v>
      </c>
      <c r="C17" s="2">
        <v>14</v>
      </c>
      <c r="D17" s="2">
        <v>12</v>
      </c>
      <c r="E17" s="2">
        <v>11</v>
      </c>
      <c r="F17" s="2">
        <v>10</v>
      </c>
      <c r="G17" s="2">
        <v>7</v>
      </c>
      <c r="H17" s="2">
        <v>7</v>
      </c>
      <c r="I17" s="2">
        <v>11</v>
      </c>
      <c r="J17" s="2">
        <v>10</v>
      </c>
      <c r="K17" s="2">
        <v>8</v>
      </c>
      <c r="L17" s="2">
        <v>9</v>
      </c>
      <c r="M17" s="2">
        <v>7</v>
      </c>
      <c r="N17" s="2">
        <v>7</v>
      </c>
      <c r="O17" s="13" t="s">
        <v>54</v>
      </c>
    </row>
    <row r="18" spans="1:16" s="9" customFormat="1" ht="18.75" x14ac:dyDescent="0.25">
      <c r="A18" s="11" t="s">
        <v>55</v>
      </c>
      <c r="B18" s="12">
        <f t="shared" si="2"/>
        <v>851</v>
      </c>
      <c r="C18" s="2">
        <v>63</v>
      </c>
      <c r="D18" s="2">
        <v>58</v>
      </c>
      <c r="E18" s="2">
        <v>72</v>
      </c>
      <c r="F18" s="2">
        <v>73</v>
      </c>
      <c r="G18" s="2">
        <v>70</v>
      </c>
      <c r="H18" s="2">
        <v>70</v>
      </c>
      <c r="I18" s="2">
        <v>75</v>
      </c>
      <c r="J18" s="2">
        <v>74</v>
      </c>
      <c r="K18" s="2">
        <v>74</v>
      </c>
      <c r="L18" s="2">
        <v>75</v>
      </c>
      <c r="M18" s="2">
        <v>72</v>
      </c>
      <c r="N18" s="2">
        <v>75</v>
      </c>
      <c r="O18" s="13" t="s">
        <v>56</v>
      </c>
    </row>
    <row r="19" spans="1:16" s="9" customFormat="1" ht="18.75" x14ac:dyDescent="0.25">
      <c r="A19" s="11" t="s">
        <v>57</v>
      </c>
      <c r="B19" s="12">
        <f t="shared" si="2"/>
        <v>5779</v>
      </c>
      <c r="C19" s="2">
        <v>446</v>
      </c>
      <c r="D19" s="2">
        <v>420</v>
      </c>
      <c r="E19" s="2">
        <v>516</v>
      </c>
      <c r="F19" s="2">
        <v>544</v>
      </c>
      <c r="G19" s="2">
        <v>489</v>
      </c>
      <c r="H19" s="2">
        <v>471</v>
      </c>
      <c r="I19" s="2">
        <v>489</v>
      </c>
      <c r="J19" s="2">
        <v>484</v>
      </c>
      <c r="K19" s="2">
        <v>453</v>
      </c>
      <c r="L19" s="2">
        <v>484</v>
      </c>
      <c r="M19" s="2">
        <v>482</v>
      </c>
      <c r="N19" s="2">
        <v>501</v>
      </c>
      <c r="O19" s="13" t="s">
        <v>58</v>
      </c>
      <c r="P19" s="16"/>
    </row>
    <row r="20" spans="1:16" s="9" customFormat="1" ht="18.75" x14ac:dyDescent="0.25">
      <c r="A20" s="11" t="s">
        <v>59</v>
      </c>
      <c r="B20" s="12">
        <f t="shared" si="2"/>
        <v>2129</v>
      </c>
      <c r="C20" s="2">
        <v>164</v>
      </c>
      <c r="D20" s="2">
        <v>150</v>
      </c>
      <c r="E20" s="2">
        <v>183</v>
      </c>
      <c r="F20" s="2">
        <v>195</v>
      </c>
      <c r="G20" s="2">
        <v>188</v>
      </c>
      <c r="H20" s="2">
        <v>188</v>
      </c>
      <c r="I20" s="2">
        <v>181</v>
      </c>
      <c r="J20" s="2">
        <v>178</v>
      </c>
      <c r="K20" s="2">
        <v>166</v>
      </c>
      <c r="L20" s="2">
        <v>181</v>
      </c>
      <c r="M20" s="2">
        <v>173</v>
      </c>
      <c r="N20" s="2">
        <v>182</v>
      </c>
      <c r="O20" s="13" t="s">
        <v>60</v>
      </c>
      <c r="P20" s="16"/>
    </row>
    <row r="21" spans="1:16" s="9" customFormat="1" ht="18.75" x14ac:dyDescent="0.25">
      <c r="A21" s="11" t="s">
        <v>61</v>
      </c>
      <c r="B21" s="12">
        <f t="shared" si="2"/>
        <v>1013</v>
      </c>
      <c r="C21" s="2">
        <v>67</v>
      </c>
      <c r="D21" s="2">
        <v>73</v>
      </c>
      <c r="E21" s="2">
        <v>83</v>
      </c>
      <c r="F21" s="2">
        <v>97</v>
      </c>
      <c r="G21" s="2">
        <v>87</v>
      </c>
      <c r="H21" s="2">
        <v>84</v>
      </c>
      <c r="I21" s="2">
        <v>97</v>
      </c>
      <c r="J21" s="2">
        <v>83</v>
      </c>
      <c r="K21" s="2">
        <v>87</v>
      </c>
      <c r="L21" s="2">
        <v>85</v>
      </c>
      <c r="M21" s="2">
        <v>88</v>
      </c>
      <c r="N21" s="2">
        <v>82</v>
      </c>
      <c r="O21" s="13" t="s">
        <v>62</v>
      </c>
      <c r="P21" s="16"/>
    </row>
    <row r="22" spans="1:16" s="9" customFormat="1" ht="18.75" x14ac:dyDescent="0.25">
      <c r="A22" s="11" t="s">
        <v>63</v>
      </c>
      <c r="B22" s="12">
        <f t="shared" si="2"/>
        <v>923</v>
      </c>
      <c r="C22" s="2">
        <v>70</v>
      </c>
      <c r="D22" s="2">
        <v>72</v>
      </c>
      <c r="E22" s="2">
        <v>77</v>
      </c>
      <c r="F22" s="2">
        <v>89</v>
      </c>
      <c r="G22" s="2">
        <v>78</v>
      </c>
      <c r="H22" s="2">
        <v>95</v>
      </c>
      <c r="I22" s="2">
        <v>76</v>
      </c>
      <c r="J22" s="2">
        <v>71</v>
      </c>
      <c r="K22" s="2">
        <v>71</v>
      </c>
      <c r="L22" s="2">
        <v>73</v>
      </c>
      <c r="M22" s="2">
        <v>75</v>
      </c>
      <c r="N22" s="2">
        <v>76</v>
      </c>
      <c r="O22" s="13" t="s">
        <v>64</v>
      </c>
      <c r="P22" s="16"/>
    </row>
    <row r="23" spans="1:16" s="9" customFormat="1" ht="18.75" x14ac:dyDescent="0.25">
      <c r="A23" s="11" t="s">
        <v>65</v>
      </c>
      <c r="B23" s="12">
        <f t="shared" si="2"/>
        <v>591</v>
      </c>
      <c r="C23" s="2">
        <v>43</v>
      </c>
      <c r="D23" s="2">
        <v>50</v>
      </c>
      <c r="E23" s="2">
        <v>46</v>
      </c>
      <c r="F23" s="2">
        <v>48</v>
      </c>
      <c r="G23" s="2">
        <v>51</v>
      </c>
      <c r="H23" s="2">
        <v>49</v>
      </c>
      <c r="I23" s="2">
        <v>54</v>
      </c>
      <c r="J23" s="2">
        <v>54</v>
      </c>
      <c r="K23" s="2">
        <v>45</v>
      </c>
      <c r="L23" s="2">
        <v>53</v>
      </c>
      <c r="M23" s="2">
        <v>47</v>
      </c>
      <c r="N23" s="2">
        <v>51</v>
      </c>
      <c r="O23" s="13" t="s">
        <v>66</v>
      </c>
      <c r="P23" s="16"/>
    </row>
    <row r="24" spans="1:16" s="9" customFormat="1" ht="18.75" x14ac:dyDescent="0.25">
      <c r="A24" s="11" t="s">
        <v>67</v>
      </c>
      <c r="B24" s="12">
        <f t="shared" si="2"/>
        <v>489</v>
      </c>
      <c r="C24" s="2">
        <v>41</v>
      </c>
      <c r="D24" s="2">
        <v>40</v>
      </c>
      <c r="E24" s="2">
        <v>39</v>
      </c>
      <c r="F24" s="2">
        <v>40</v>
      </c>
      <c r="G24" s="2">
        <v>39</v>
      </c>
      <c r="H24" s="2">
        <v>37</v>
      </c>
      <c r="I24" s="2">
        <v>43</v>
      </c>
      <c r="J24" s="2">
        <v>43</v>
      </c>
      <c r="K24" s="2">
        <v>38</v>
      </c>
      <c r="L24" s="2">
        <v>42</v>
      </c>
      <c r="M24" s="2">
        <v>40</v>
      </c>
      <c r="N24" s="2">
        <v>47</v>
      </c>
      <c r="O24" s="13" t="s">
        <v>68</v>
      </c>
      <c r="P24" s="16"/>
    </row>
    <row r="25" spans="1:16" s="9" customFormat="1" ht="18.75" x14ac:dyDescent="0.25">
      <c r="A25" s="11" t="s">
        <v>69</v>
      </c>
      <c r="B25" s="12">
        <f t="shared" si="2"/>
        <v>571</v>
      </c>
      <c r="C25" s="2">
        <v>40</v>
      </c>
      <c r="D25" s="2">
        <v>38</v>
      </c>
      <c r="E25" s="2">
        <v>47</v>
      </c>
      <c r="F25" s="2">
        <v>66</v>
      </c>
      <c r="G25" s="2">
        <v>45</v>
      </c>
      <c r="H25" s="2">
        <v>47</v>
      </c>
      <c r="I25" s="2">
        <v>47</v>
      </c>
      <c r="J25" s="2">
        <v>44</v>
      </c>
      <c r="K25" s="2">
        <v>45</v>
      </c>
      <c r="L25" s="2">
        <v>46</v>
      </c>
      <c r="M25" s="2">
        <v>49</v>
      </c>
      <c r="N25" s="2">
        <v>57</v>
      </c>
      <c r="O25" s="13" t="s">
        <v>70</v>
      </c>
      <c r="P25" s="16"/>
    </row>
    <row r="26" spans="1:16" s="9" customFormat="1" ht="18.75" x14ac:dyDescent="0.25">
      <c r="A26" s="11" t="s">
        <v>71</v>
      </c>
      <c r="B26" s="12">
        <f t="shared" si="2"/>
        <v>788</v>
      </c>
      <c r="C26" s="2">
        <v>69</v>
      </c>
      <c r="D26" s="2">
        <v>67</v>
      </c>
      <c r="E26" s="2">
        <v>78</v>
      </c>
      <c r="F26" s="2">
        <v>76</v>
      </c>
      <c r="G26" s="2">
        <v>70</v>
      </c>
      <c r="H26" s="2">
        <v>58</v>
      </c>
      <c r="I26" s="2">
        <v>60</v>
      </c>
      <c r="J26" s="2">
        <v>65</v>
      </c>
      <c r="K26" s="2">
        <v>57</v>
      </c>
      <c r="L26" s="2">
        <v>67</v>
      </c>
      <c r="M26" s="2">
        <v>59</v>
      </c>
      <c r="N26" s="2">
        <v>62</v>
      </c>
      <c r="O26" s="13" t="s">
        <v>72</v>
      </c>
      <c r="P26" s="16"/>
    </row>
    <row r="27" spans="1:16" s="18" customFormat="1" ht="18.75" x14ac:dyDescent="0.25">
      <c r="A27" s="11" t="s">
        <v>73</v>
      </c>
      <c r="B27" s="12">
        <f t="shared" si="2"/>
        <v>1928</v>
      </c>
      <c r="C27" s="2">
        <v>125</v>
      </c>
      <c r="D27" s="2">
        <v>159</v>
      </c>
      <c r="E27" s="2">
        <v>180</v>
      </c>
      <c r="F27" s="2">
        <v>180</v>
      </c>
      <c r="G27" s="2">
        <v>180</v>
      </c>
      <c r="H27" s="2">
        <v>173</v>
      </c>
      <c r="I27" s="2">
        <v>155</v>
      </c>
      <c r="J27" s="2">
        <v>161</v>
      </c>
      <c r="K27" s="2">
        <v>153</v>
      </c>
      <c r="L27" s="2">
        <v>153</v>
      </c>
      <c r="M27" s="2">
        <v>153</v>
      </c>
      <c r="N27" s="2">
        <v>156</v>
      </c>
      <c r="O27" s="13" t="s">
        <v>74</v>
      </c>
      <c r="P27" s="17"/>
    </row>
    <row r="28" spans="1:16" s="18" customFormat="1" ht="18.75" x14ac:dyDescent="0.25">
      <c r="A28" s="11" t="s">
        <v>75</v>
      </c>
      <c r="B28" s="12">
        <f t="shared" si="2"/>
        <v>584</v>
      </c>
      <c r="C28" s="2" t="s">
        <v>76</v>
      </c>
      <c r="D28" s="2" t="s">
        <v>76</v>
      </c>
      <c r="E28" s="2" t="s">
        <v>76</v>
      </c>
      <c r="F28" s="2" t="s">
        <v>76</v>
      </c>
      <c r="G28" s="2" t="s">
        <v>76</v>
      </c>
      <c r="H28" s="2" t="s">
        <v>76</v>
      </c>
      <c r="I28" s="2" t="s">
        <v>76</v>
      </c>
      <c r="J28" s="2">
        <v>72</v>
      </c>
      <c r="K28" s="2">
        <v>122</v>
      </c>
      <c r="L28" s="2">
        <v>130</v>
      </c>
      <c r="M28" s="2">
        <v>129</v>
      </c>
      <c r="N28" s="2">
        <v>131</v>
      </c>
      <c r="O28" s="13" t="s">
        <v>77</v>
      </c>
      <c r="P28" s="17"/>
    </row>
    <row r="29" spans="1:16" s="18" customFormat="1" ht="18.75" x14ac:dyDescent="0.25">
      <c r="A29" s="11" t="s">
        <v>78</v>
      </c>
      <c r="B29" s="12">
        <f t="shared" si="2"/>
        <v>669</v>
      </c>
      <c r="C29" s="2">
        <v>53</v>
      </c>
      <c r="D29" s="2">
        <v>54</v>
      </c>
      <c r="E29" s="2">
        <v>56</v>
      </c>
      <c r="F29" s="2">
        <v>61</v>
      </c>
      <c r="G29" s="2">
        <v>54</v>
      </c>
      <c r="H29" s="2">
        <v>55</v>
      </c>
      <c r="I29" s="2">
        <v>62</v>
      </c>
      <c r="J29" s="2">
        <v>56</v>
      </c>
      <c r="K29" s="2">
        <v>67</v>
      </c>
      <c r="L29" s="2">
        <v>49</v>
      </c>
      <c r="M29" s="2">
        <v>49</v>
      </c>
      <c r="N29" s="2">
        <v>53</v>
      </c>
      <c r="O29" s="13" t="s">
        <v>79</v>
      </c>
      <c r="P29" s="17"/>
    </row>
    <row r="30" spans="1:16" s="18" customFormat="1" ht="18.75" x14ac:dyDescent="0.25">
      <c r="A30" s="11" t="s">
        <v>80</v>
      </c>
      <c r="B30" s="12">
        <f t="shared" si="2"/>
        <v>411</v>
      </c>
      <c r="C30" s="2">
        <v>29</v>
      </c>
      <c r="D30" s="2">
        <v>31</v>
      </c>
      <c r="E30" s="2">
        <v>37</v>
      </c>
      <c r="F30" s="2">
        <v>32</v>
      </c>
      <c r="G30" s="2">
        <v>35</v>
      </c>
      <c r="H30" s="2">
        <v>35</v>
      </c>
      <c r="I30" s="2">
        <v>35</v>
      </c>
      <c r="J30" s="2">
        <v>36</v>
      </c>
      <c r="K30" s="2">
        <v>35</v>
      </c>
      <c r="L30" s="2">
        <v>36</v>
      </c>
      <c r="M30" s="2">
        <v>34</v>
      </c>
      <c r="N30" s="2">
        <v>36</v>
      </c>
      <c r="O30" s="13" t="s">
        <v>81</v>
      </c>
      <c r="P30" s="17"/>
    </row>
    <row r="31" spans="1:16" s="18" customFormat="1" ht="18.75" x14ac:dyDescent="0.25">
      <c r="A31" s="11" t="s">
        <v>82</v>
      </c>
      <c r="B31" s="12">
        <f t="shared" si="2"/>
        <v>768</v>
      </c>
      <c r="C31" s="2">
        <v>56</v>
      </c>
      <c r="D31" s="2">
        <v>62</v>
      </c>
      <c r="E31" s="2">
        <v>65</v>
      </c>
      <c r="F31" s="2">
        <v>67</v>
      </c>
      <c r="G31" s="2">
        <v>64</v>
      </c>
      <c r="H31" s="2">
        <v>66</v>
      </c>
      <c r="I31" s="2">
        <v>61</v>
      </c>
      <c r="J31" s="2">
        <v>67</v>
      </c>
      <c r="K31" s="2">
        <v>65</v>
      </c>
      <c r="L31" s="2">
        <v>67</v>
      </c>
      <c r="M31" s="2">
        <v>63</v>
      </c>
      <c r="N31" s="2">
        <v>65</v>
      </c>
      <c r="O31" s="13" t="s">
        <v>83</v>
      </c>
      <c r="P31" s="17"/>
    </row>
    <row r="32" spans="1:16" s="18" customFormat="1" ht="18.75" x14ac:dyDescent="0.25">
      <c r="A32" s="11" t="s">
        <v>84</v>
      </c>
      <c r="B32" s="12">
        <f t="shared" si="2"/>
        <v>870</v>
      </c>
      <c r="C32" s="2">
        <v>67</v>
      </c>
      <c r="D32" s="2">
        <v>70</v>
      </c>
      <c r="E32" s="2">
        <v>67</v>
      </c>
      <c r="F32" s="2">
        <v>77</v>
      </c>
      <c r="G32" s="2">
        <v>82</v>
      </c>
      <c r="H32" s="2">
        <v>74</v>
      </c>
      <c r="I32" s="2">
        <v>74</v>
      </c>
      <c r="J32" s="2">
        <v>69</v>
      </c>
      <c r="K32" s="2">
        <v>69</v>
      </c>
      <c r="L32" s="2">
        <v>73</v>
      </c>
      <c r="M32" s="2">
        <v>73</v>
      </c>
      <c r="N32" s="2">
        <v>75</v>
      </c>
      <c r="O32" s="13" t="s">
        <v>85</v>
      </c>
      <c r="P32" s="17"/>
    </row>
    <row r="33" spans="1:16" s="18" customFormat="1" ht="18.75" x14ac:dyDescent="0.25">
      <c r="A33" s="11" t="s">
        <v>86</v>
      </c>
      <c r="B33" s="12">
        <f t="shared" si="2"/>
        <v>2587</v>
      </c>
      <c r="C33" s="2">
        <v>193</v>
      </c>
      <c r="D33" s="2">
        <v>201</v>
      </c>
      <c r="E33" s="2">
        <v>219</v>
      </c>
      <c r="F33" s="2">
        <v>220</v>
      </c>
      <c r="G33" s="2">
        <v>214</v>
      </c>
      <c r="H33" s="2">
        <v>213</v>
      </c>
      <c r="I33" s="2">
        <v>224</v>
      </c>
      <c r="J33" s="2">
        <v>226</v>
      </c>
      <c r="K33" s="2">
        <v>198</v>
      </c>
      <c r="L33" s="2">
        <v>213</v>
      </c>
      <c r="M33" s="2">
        <v>221</v>
      </c>
      <c r="N33" s="2">
        <v>245</v>
      </c>
      <c r="O33" s="13" t="s">
        <v>87</v>
      </c>
      <c r="P33" s="17"/>
    </row>
    <row r="34" spans="1:16" s="18" customFormat="1" ht="18.75" x14ac:dyDescent="0.25">
      <c r="A34" s="11" t="s">
        <v>88</v>
      </c>
      <c r="B34" s="12">
        <f t="shared" si="2"/>
        <v>549</v>
      </c>
      <c r="C34" s="2">
        <v>42</v>
      </c>
      <c r="D34" s="2">
        <v>43</v>
      </c>
      <c r="E34" s="2">
        <v>41</v>
      </c>
      <c r="F34" s="2">
        <v>45</v>
      </c>
      <c r="G34" s="2">
        <v>45</v>
      </c>
      <c r="H34" s="2">
        <v>47</v>
      </c>
      <c r="I34" s="2">
        <v>51</v>
      </c>
      <c r="J34" s="2">
        <v>47</v>
      </c>
      <c r="K34" s="2">
        <v>46</v>
      </c>
      <c r="L34" s="2">
        <v>48</v>
      </c>
      <c r="M34" s="2">
        <v>47</v>
      </c>
      <c r="N34" s="2">
        <v>47</v>
      </c>
      <c r="O34" s="13" t="s">
        <v>89</v>
      </c>
      <c r="P34" s="17"/>
    </row>
    <row r="35" spans="1:16" s="18" customFormat="1" ht="18.75" x14ac:dyDescent="0.25">
      <c r="A35" s="11" t="s">
        <v>90</v>
      </c>
      <c r="B35" s="12">
        <f t="shared" si="2"/>
        <v>196</v>
      </c>
      <c r="C35" s="2">
        <v>17</v>
      </c>
      <c r="D35" s="2">
        <v>13</v>
      </c>
      <c r="E35" s="2">
        <v>15</v>
      </c>
      <c r="F35" s="2">
        <v>16</v>
      </c>
      <c r="G35" s="2">
        <v>15</v>
      </c>
      <c r="H35" s="2">
        <v>17</v>
      </c>
      <c r="I35" s="2">
        <v>18</v>
      </c>
      <c r="J35" s="2">
        <v>16</v>
      </c>
      <c r="K35" s="2">
        <v>15</v>
      </c>
      <c r="L35" s="2">
        <v>17</v>
      </c>
      <c r="M35" s="2">
        <v>17</v>
      </c>
      <c r="N35" s="2">
        <v>20</v>
      </c>
      <c r="O35" s="13" t="s">
        <v>91</v>
      </c>
      <c r="P35" s="17"/>
    </row>
    <row r="36" spans="1:16" s="18" customFormat="1" ht="18.75" x14ac:dyDescent="0.25">
      <c r="A36" s="11" t="s">
        <v>92</v>
      </c>
      <c r="B36" s="12">
        <f t="shared" si="2"/>
        <v>827</v>
      </c>
      <c r="C36" s="2">
        <v>68</v>
      </c>
      <c r="D36" s="2">
        <v>67</v>
      </c>
      <c r="E36" s="2">
        <v>88</v>
      </c>
      <c r="F36" s="2">
        <v>69</v>
      </c>
      <c r="G36" s="2">
        <v>75</v>
      </c>
      <c r="H36" s="2">
        <v>73</v>
      </c>
      <c r="I36" s="2">
        <v>61</v>
      </c>
      <c r="J36" s="2">
        <v>80</v>
      </c>
      <c r="K36" s="2">
        <v>63</v>
      </c>
      <c r="L36" s="2">
        <v>62</v>
      </c>
      <c r="M36" s="2">
        <v>59</v>
      </c>
      <c r="N36" s="2">
        <v>62</v>
      </c>
      <c r="O36" s="13" t="s">
        <v>93</v>
      </c>
      <c r="P36" s="17"/>
    </row>
    <row r="37" spans="1:16" s="18" customFormat="1" ht="18.75" x14ac:dyDescent="0.25">
      <c r="A37" s="11" t="s">
        <v>94</v>
      </c>
      <c r="B37" s="12">
        <f t="shared" si="2"/>
        <v>416</v>
      </c>
      <c r="C37" s="2">
        <v>36</v>
      </c>
      <c r="D37" s="2">
        <v>30</v>
      </c>
      <c r="E37" s="2">
        <v>38</v>
      </c>
      <c r="F37" s="2">
        <v>37</v>
      </c>
      <c r="G37" s="2">
        <v>36</v>
      </c>
      <c r="H37" s="2">
        <v>36</v>
      </c>
      <c r="I37" s="2">
        <v>33</v>
      </c>
      <c r="J37" s="2">
        <v>37</v>
      </c>
      <c r="K37" s="2">
        <v>33</v>
      </c>
      <c r="L37" s="2">
        <v>37</v>
      </c>
      <c r="M37" s="2">
        <v>30</v>
      </c>
      <c r="N37" s="2">
        <v>33</v>
      </c>
      <c r="O37" s="13" t="s">
        <v>95</v>
      </c>
      <c r="P37" s="17"/>
    </row>
    <row r="38" spans="1:16" s="18" customFormat="1" ht="18.75" x14ac:dyDescent="0.25">
      <c r="A38" s="11" t="s">
        <v>96</v>
      </c>
      <c r="B38" s="12">
        <f t="shared" si="2"/>
        <v>339</v>
      </c>
      <c r="C38" s="2">
        <v>25</v>
      </c>
      <c r="D38" s="2">
        <v>35</v>
      </c>
      <c r="E38" s="2">
        <v>30</v>
      </c>
      <c r="F38" s="2">
        <v>40</v>
      </c>
      <c r="G38" s="2">
        <v>25</v>
      </c>
      <c r="H38" s="2">
        <v>25</v>
      </c>
      <c r="I38" s="2">
        <v>18</v>
      </c>
      <c r="J38" s="2">
        <v>26</v>
      </c>
      <c r="K38" s="2">
        <v>27</v>
      </c>
      <c r="L38" s="2">
        <v>25</v>
      </c>
      <c r="M38" s="2">
        <v>29</v>
      </c>
      <c r="N38" s="2">
        <v>34</v>
      </c>
      <c r="O38" s="13" t="s">
        <v>97</v>
      </c>
      <c r="P38" s="17"/>
    </row>
    <row r="39" spans="1:16" s="9" customFormat="1" ht="18.75" x14ac:dyDescent="0.25">
      <c r="A39" s="11" t="s">
        <v>98</v>
      </c>
      <c r="B39" s="12">
        <f t="shared" si="2"/>
        <v>554</v>
      </c>
      <c r="C39" s="2">
        <v>43</v>
      </c>
      <c r="D39" s="2">
        <v>46</v>
      </c>
      <c r="E39" s="2">
        <v>40</v>
      </c>
      <c r="F39" s="2">
        <v>54</v>
      </c>
      <c r="G39" s="2">
        <v>47</v>
      </c>
      <c r="H39" s="2">
        <v>45</v>
      </c>
      <c r="I39" s="2">
        <v>45</v>
      </c>
      <c r="J39" s="2">
        <v>45</v>
      </c>
      <c r="K39" s="2">
        <v>44</v>
      </c>
      <c r="L39" s="2">
        <v>49</v>
      </c>
      <c r="M39" s="2">
        <v>48</v>
      </c>
      <c r="N39" s="2">
        <v>48</v>
      </c>
      <c r="O39" s="13" t="s">
        <v>99</v>
      </c>
      <c r="P39" s="16"/>
    </row>
    <row r="40" spans="1:16" s="9" customFormat="1" ht="18.75" x14ac:dyDescent="0.25">
      <c r="A40" s="19" t="s">
        <v>100</v>
      </c>
      <c r="B40" s="20">
        <f t="shared" si="2"/>
        <v>191</v>
      </c>
      <c r="C40" s="29">
        <v>13</v>
      </c>
      <c r="D40" s="29">
        <v>11</v>
      </c>
      <c r="E40" s="29">
        <v>15</v>
      </c>
      <c r="F40" s="29">
        <v>14</v>
      </c>
      <c r="G40" s="29">
        <v>17</v>
      </c>
      <c r="H40" s="29">
        <v>17</v>
      </c>
      <c r="I40" s="29">
        <v>18</v>
      </c>
      <c r="J40" s="29">
        <v>18</v>
      </c>
      <c r="K40" s="29">
        <v>16</v>
      </c>
      <c r="L40" s="29">
        <v>16</v>
      </c>
      <c r="M40" s="29">
        <v>16</v>
      </c>
      <c r="N40" s="29">
        <v>20</v>
      </c>
      <c r="O40" s="21" t="s">
        <v>101</v>
      </c>
      <c r="P40" s="16"/>
    </row>
    <row r="41" spans="1:16" s="26" customFormat="1" x14ac:dyDescent="0.35">
      <c r="A41" s="22" t="s">
        <v>6</v>
      </c>
      <c r="B41" s="23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3" t="s">
        <v>7</v>
      </c>
    </row>
    <row r="42" spans="1:16" x14ac:dyDescent="0.25">
      <c r="C42" s="28"/>
    </row>
  </sheetData>
  <mergeCells count="5">
    <mergeCell ref="A1:O1"/>
    <mergeCell ref="A2:O2"/>
    <mergeCell ref="A3:O3"/>
    <mergeCell ref="A4:A5"/>
    <mergeCell ref="O4:O5"/>
  </mergeCells>
  <pageMargins left="0.7" right="0.7" top="0.75" bottom="0.75" header="0.3" footer="0.3"/>
  <pageSetup paperSize="9" scale="67" orientation="landscape" horizontalDpi="4294967295" verticalDpi="4294967295" r:id="rId1"/>
  <rowBreaks count="1" manualBreakCount="1">
    <brk id="4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</vt:lpstr>
      <vt:lpstr>'12.2'!Print_Area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2016-09-08T07:40:50Z</cp:lastPrinted>
  <dcterms:created xsi:type="dcterms:W3CDTF">2015-01-12T08:51:45Z</dcterms:created>
  <dcterms:modified xsi:type="dcterms:W3CDTF">2016-09-08T07:40:52Z</dcterms:modified>
</cp:coreProperties>
</file>