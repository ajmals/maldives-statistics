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 activeTab="4"/>
  </bookViews>
  <sheets>
    <sheet name="12.1" sheetId="17" r:id="rId1"/>
    <sheet name="12.2" sheetId="18" r:id="rId2"/>
    <sheet name="12.3" sheetId="19" r:id="rId3"/>
    <sheet name="12.4" sheetId="20" r:id="rId4"/>
    <sheet name="12.5" sheetId="21" r:id="rId5"/>
    <sheet name="12.6" sheetId="22" r:id="rId6"/>
    <sheet name="12.8" sheetId="8" r:id="rId7"/>
    <sheet name="12.9" sheetId="9" r:id="rId8"/>
    <sheet name="12.10" sheetId="10" r:id="rId9"/>
    <sheet name="12.11" sheetId="11" r:id="rId10"/>
    <sheet name="12.12" sheetId="15" r:id="rId11"/>
    <sheet name="12.13" sheetId="12" r:id="rId12"/>
    <sheet name="12.14" sheetId="13" r:id="rId13"/>
    <sheet name="12.15" sheetId="14" r:id="rId14"/>
    <sheet name="12.16" sheetId="16" r:id="rId15"/>
    <sheet name="12.19" sheetId="23" r:id="rId16"/>
    <sheet name="12.20" sheetId="24" r:id="rId17"/>
  </sheets>
  <definedNames>
    <definedName name="_xlnm.Print_Area" localSheetId="0">'12.1'!$A$1:$I$39</definedName>
    <definedName name="_xlnm.Print_Area" localSheetId="9">'12.11'!$A$1:$O$21</definedName>
    <definedName name="_xlnm.Print_Area" localSheetId="10">'12.12'!$A$1:$L$21</definedName>
    <definedName name="_xlnm.Print_Area" localSheetId="11">'12.13'!$A$1:$J$21</definedName>
    <definedName name="_xlnm.Print_Area" localSheetId="12">'12.14'!$A$1:$P$23</definedName>
    <definedName name="_xlnm.Print_Area" localSheetId="13">'12.15'!$A$1:$M$19</definedName>
    <definedName name="_xlnm.Print_Area" localSheetId="2">'12.3'!$A$1:$O$41</definedName>
    <definedName name="_xlnm.Print_Area" localSheetId="3">'12.4'!$A$1:$P$38</definedName>
    <definedName name="_xlnm.Print_Area" localSheetId="5">'12.6'!$A$1:$J$19</definedName>
    <definedName name="_xlnm.Print_Area" localSheetId="6">'12.8'!$A$1:$K$39</definedName>
    <definedName name="_xlnm.Print_Titles" localSheetId="3">'12.4'!$4:$4</definedName>
  </definedNames>
  <calcPr calcId="144525"/>
</workbook>
</file>

<file path=xl/calcChain.xml><?xml version="1.0" encoding="utf-8"?>
<calcChain xmlns="http://schemas.openxmlformats.org/spreadsheetml/2006/main">
  <c r="O16" i="9" l="1"/>
  <c r="H7" i="22"/>
  <c r="H8" i="22"/>
  <c r="H9" i="22"/>
  <c r="H10" i="22"/>
  <c r="H11" i="22"/>
  <c r="H12" i="22"/>
  <c r="H13" i="22"/>
  <c r="H14" i="22"/>
  <c r="H15" i="22"/>
  <c r="H16" i="22"/>
  <c r="H17" i="22"/>
  <c r="H6" i="22"/>
  <c r="G17" i="22"/>
  <c r="H16" i="17" l="1"/>
  <c r="F17" i="22" l="1"/>
  <c r="D17" i="22"/>
  <c r="B17" i="22"/>
  <c r="C18" i="21"/>
  <c r="E17" i="21" s="1"/>
  <c r="D17" i="21"/>
  <c r="D16" i="21"/>
  <c r="D15" i="21"/>
  <c r="D14" i="21"/>
  <c r="D13" i="21"/>
  <c r="C11" i="21"/>
  <c r="E11" i="21" s="1"/>
  <c r="D10" i="21"/>
  <c r="D9" i="21"/>
  <c r="D8" i="21"/>
  <c r="D7" i="21"/>
  <c r="D6" i="21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E21" i="20"/>
  <c r="C21" i="20"/>
  <c r="B20" i="20"/>
  <c r="B19" i="20"/>
  <c r="B18" i="20"/>
  <c r="B17" i="20"/>
  <c r="N16" i="20"/>
  <c r="N9" i="20" s="1"/>
  <c r="N5" i="20" s="1"/>
  <c r="M16" i="20"/>
  <c r="M9" i="20" s="1"/>
  <c r="M5" i="20" s="1"/>
  <c r="L16" i="20"/>
  <c r="L9" i="20" s="1"/>
  <c r="L5" i="20" s="1"/>
  <c r="K16" i="20"/>
  <c r="K9" i="20" s="1"/>
  <c r="K5" i="20" s="1"/>
  <c r="J16" i="20"/>
  <c r="I16" i="20"/>
  <c r="I9" i="20" s="1"/>
  <c r="I5" i="20" s="1"/>
  <c r="H16" i="20"/>
  <c r="H9" i="20" s="1"/>
  <c r="H5" i="20" s="1"/>
  <c r="G16" i="20"/>
  <c r="G9" i="20" s="1"/>
  <c r="G5" i="20" s="1"/>
  <c r="F16" i="20"/>
  <c r="F9" i="20" s="1"/>
  <c r="F5" i="20" s="1"/>
  <c r="E16" i="20"/>
  <c r="D16" i="20"/>
  <c r="D9" i="20" s="1"/>
  <c r="D5" i="20" s="1"/>
  <c r="C16" i="20"/>
  <c r="C9" i="20" s="1"/>
  <c r="C5" i="20" s="1"/>
  <c r="B15" i="20"/>
  <c r="B14" i="20"/>
  <c r="B13" i="20"/>
  <c r="B12" i="20"/>
  <c r="B11" i="20"/>
  <c r="B10" i="20"/>
  <c r="B8" i="20"/>
  <c r="B7" i="20"/>
  <c r="B6" i="20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N10" i="19"/>
  <c r="N6" i="19" s="1"/>
  <c r="M10" i="19"/>
  <c r="M6" i="19" s="1"/>
  <c r="L10" i="19"/>
  <c r="L6" i="19" s="1"/>
  <c r="K10" i="19"/>
  <c r="K6" i="19" s="1"/>
  <c r="J10" i="19"/>
  <c r="I10" i="19"/>
  <c r="I6" i="19" s="1"/>
  <c r="H10" i="19"/>
  <c r="H6" i="19" s="1"/>
  <c r="G10" i="19"/>
  <c r="G6" i="19" s="1"/>
  <c r="F10" i="19"/>
  <c r="F6" i="19" s="1"/>
  <c r="E10" i="19"/>
  <c r="E6" i="19" s="1"/>
  <c r="D10" i="19"/>
  <c r="D6" i="19" s="1"/>
  <c r="C10" i="19"/>
  <c r="C6" i="19" s="1"/>
  <c r="B9" i="19"/>
  <c r="B8" i="19"/>
  <c r="B7" i="19"/>
  <c r="J6" i="19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N10" i="18"/>
  <c r="N6" i="18" s="1"/>
  <c r="M10" i="18"/>
  <c r="M6" i="18" s="1"/>
  <c r="L10" i="18"/>
  <c r="L6" i="18" s="1"/>
  <c r="K10" i="18"/>
  <c r="K6" i="18" s="1"/>
  <c r="J10" i="18"/>
  <c r="J6" i="18" s="1"/>
  <c r="I10" i="18"/>
  <c r="I6" i="18" s="1"/>
  <c r="H10" i="18"/>
  <c r="G10" i="18"/>
  <c r="G6" i="18" s="1"/>
  <c r="F10" i="18"/>
  <c r="F6" i="18" s="1"/>
  <c r="E10" i="18"/>
  <c r="E6" i="18" s="1"/>
  <c r="D10" i="18"/>
  <c r="D6" i="18" s="1"/>
  <c r="C10" i="18"/>
  <c r="C6" i="18" s="1"/>
  <c r="B9" i="18"/>
  <c r="B8" i="18"/>
  <c r="C7" i="18"/>
  <c r="B7" i="18" s="1"/>
  <c r="H6" i="18"/>
  <c r="G19" i="17"/>
  <c r="D19" i="17"/>
  <c r="D17" i="17"/>
  <c r="F16" i="17"/>
  <c r="H9" i="17"/>
  <c r="H19" i="17" s="1"/>
  <c r="F9" i="17"/>
  <c r="F19" i="17" s="1"/>
  <c r="E9" i="17"/>
  <c r="E19" i="17" s="1"/>
  <c r="D9" i="17"/>
  <c r="H8" i="17"/>
  <c r="H18" i="17" s="1"/>
  <c r="F8" i="17"/>
  <c r="E8" i="17"/>
  <c r="E18" i="17" s="1"/>
  <c r="D8" i="17"/>
  <c r="D18" i="17" s="1"/>
  <c r="H7" i="17"/>
  <c r="F7" i="17"/>
  <c r="G17" i="17" s="1"/>
  <c r="E7" i="17"/>
  <c r="F17" i="17" s="1"/>
  <c r="D7" i="17"/>
  <c r="F6" i="17"/>
  <c r="G16" i="17" s="1"/>
  <c r="E6" i="17"/>
  <c r="E16" i="17" s="1"/>
  <c r="D6" i="17"/>
  <c r="D16" i="17" s="1"/>
  <c r="G5" i="17"/>
  <c r="G12" i="17" s="1"/>
  <c r="E9" i="20" l="1"/>
  <c r="E5" i="20" s="1"/>
  <c r="H5" i="17"/>
  <c r="B21" i="20"/>
  <c r="D11" i="21"/>
  <c r="F6" i="21" s="1"/>
  <c r="E8" i="21"/>
  <c r="F9" i="21"/>
  <c r="E9" i="21"/>
  <c r="B16" i="20"/>
  <c r="B10" i="19"/>
  <c r="B6" i="19"/>
  <c r="B6" i="18"/>
  <c r="B10" i="18"/>
  <c r="F17" i="21"/>
  <c r="F11" i="21"/>
  <c r="D18" i="21"/>
  <c r="E7" i="21"/>
  <c r="E13" i="21"/>
  <c r="E18" i="21"/>
  <c r="E10" i="21"/>
  <c r="E16" i="21"/>
  <c r="E14" i="21"/>
  <c r="E15" i="21"/>
  <c r="E6" i="21"/>
  <c r="J9" i="20"/>
  <c r="J5" i="20" s="1"/>
  <c r="H10" i="17"/>
  <c r="G14" i="17"/>
  <c r="G11" i="17"/>
  <c r="H14" i="17"/>
  <c r="F18" i="17"/>
  <c r="G10" i="17"/>
  <c r="H13" i="17"/>
  <c r="G18" i="17"/>
  <c r="D5" i="17"/>
  <c r="D14" i="17" s="1"/>
  <c r="G15" i="17"/>
  <c r="E17" i="17"/>
  <c r="H17" i="17"/>
  <c r="G13" i="17"/>
  <c r="E5" i="17"/>
  <c r="E14" i="17" s="1"/>
  <c r="F5" i="17"/>
  <c r="F12" i="17" s="1"/>
  <c r="H12" i="17"/>
  <c r="B5" i="20" l="1"/>
  <c r="F10" i="21"/>
  <c r="F14" i="17"/>
  <c r="F8" i="21"/>
  <c r="D11" i="17"/>
  <c r="F7" i="21"/>
  <c r="B9" i="20"/>
  <c r="H15" i="17"/>
  <c r="H11" i="17"/>
  <c r="F16" i="21"/>
  <c r="F18" i="21"/>
  <c r="F15" i="21"/>
  <c r="F13" i="21"/>
  <c r="F14" i="21"/>
  <c r="E12" i="17"/>
  <c r="E11" i="17"/>
  <c r="D15" i="17"/>
  <c r="D10" i="17"/>
  <c r="D13" i="17"/>
  <c r="D12" i="17"/>
  <c r="F11" i="17"/>
  <c r="F10" i="17"/>
  <c r="F15" i="17"/>
  <c r="F13" i="17"/>
  <c r="E10" i="17"/>
  <c r="E13" i="17"/>
  <c r="E15" i="17"/>
  <c r="N19" i="13" l="1"/>
  <c r="J15" i="16" l="1"/>
  <c r="J14" i="16"/>
  <c r="J13" i="16"/>
  <c r="J4" i="16"/>
  <c r="K15" i="14"/>
  <c r="K14" i="14"/>
  <c r="K13" i="14"/>
  <c r="K4" i="14"/>
  <c r="O18" i="13"/>
  <c r="O17" i="13"/>
  <c r="O16" i="13"/>
  <c r="O5" i="13"/>
  <c r="O11" i="13" s="1"/>
  <c r="H6" i="12"/>
  <c r="K5" i="15"/>
  <c r="N6" i="11"/>
  <c r="J18" i="10"/>
  <c r="J17" i="10"/>
  <c r="J16" i="10"/>
  <c r="J5" i="10"/>
  <c r="I16" i="9"/>
  <c r="I15" i="9"/>
  <c r="I14" i="9"/>
  <c r="I5" i="9"/>
  <c r="I10" i="9" s="1"/>
  <c r="I19" i="8"/>
  <c r="I18" i="8"/>
  <c r="I17" i="8"/>
  <c r="I6" i="8"/>
  <c r="I15" i="8" s="1"/>
  <c r="I13" i="8" l="1"/>
  <c r="I14" i="8"/>
  <c r="I12" i="8"/>
  <c r="J9" i="16"/>
  <c r="J10" i="16"/>
  <c r="J11" i="16"/>
  <c r="K9" i="14"/>
  <c r="K10" i="14"/>
  <c r="K11" i="14"/>
  <c r="O12" i="13"/>
  <c r="O13" i="13"/>
  <c r="O14" i="13"/>
  <c r="J11" i="10"/>
  <c r="J12" i="10"/>
  <c r="J13" i="10"/>
  <c r="I11" i="9"/>
  <c r="I12" i="9"/>
  <c r="I11" i="8" l="1"/>
  <c r="I20" i="8" s="1"/>
  <c r="J8" i="16"/>
  <c r="O10" i="13"/>
  <c r="I9" i="9"/>
  <c r="K8" i="14"/>
  <c r="J10" i="10"/>
  <c r="B5" i="9"/>
  <c r="B10" i="9" s="1"/>
  <c r="B14" i="9"/>
  <c r="B15" i="9"/>
  <c r="B16" i="9"/>
  <c r="E17" i="8"/>
  <c r="B7" i="8"/>
  <c r="C17" i="8" s="1"/>
  <c r="B8" i="8"/>
  <c r="B18" i="8" s="1"/>
  <c r="B9" i="8"/>
  <c r="B10" i="8"/>
  <c r="B19" i="8"/>
  <c r="B20" i="8"/>
  <c r="B12" i="9" l="1"/>
  <c r="B11" i="9"/>
  <c r="B17" i="8"/>
  <c r="B13" i="9"/>
  <c r="B9" i="9"/>
  <c r="B6" i="8"/>
  <c r="B14" i="8" s="1"/>
  <c r="B15" i="8"/>
  <c r="B16" i="8" l="1"/>
  <c r="B13" i="8"/>
  <c r="B12" i="8"/>
  <c r="B11" i="8" s="1"/>
  <c r="I15" i="16" l="1"/>
  <c r="I14" i="16"/>
  <c r="I13" i="16"/>
  <c r="I4" i="16"/>
  <c r="J12" i="16" s="1"/>
  <c r="J15" i="14"/>
  <c r="J14" i="14"/>
  <c r="J13" i="14"/>
  <c r="J4" i="14"/>
  <c r="K12" i="14" s="1"/>
  <c r="N18" i="13"/>
  <c r="N17" i="13"/>
  <c r="N16" i="13"/>
  <c r="N5" i="13"/>
  <c r="O15" i="13" s="1"/>
  <c r="G6" i="12"/>
  <c r="J5" i="15"/>
  <c r="M6" i="11"/>
  <c r="I18" i="10"/>
  <c r="I17" i="10"/>
  <c r="I16" i="10"/>
  <c r="I5" i="10"/>
  <c r="J15" i="10" s="1"/>
  <c r="H16" i="9"/>
  <c r="H15" i="9"/>
  <c r="H14" i="9"/>
  <c r="H5" i="9"/>
  <c r="I13" i="9" s="1"/>
  <c r="H6" i="8"/>
  <c r="I16" i="8" s="1"/>
  <c r="I13" i="10" l="1"/>
  <c r="I12" i="10"/>
  <c r="I11" i="10"/>
  <c r="I9" i="16"/>
  <c r="I10" i="16"/>
  <c r="I11" i="16"/>
  <c r="J9" i="14"/>
  <c r="J10" i="14"/>
  <c r="J11" i="14"/>
  <c r="N11" i="13"/>
  <c r="N12" i="13"/>
  <c r="N13" i="13"/>
  <c r="N14" i="13"/>
  <c r="H10" i="9"/>
  <c r="H11" i="9"/>
  <c r="H12" i="9"/>
  <c r="H12" i="8"/>
  <c r="H13" i="8"/>
  <c r="H14" i="8"/>
  <c r="H15" i="8"/>
  <c r="I8" i="16" l="1"/>
  <c r="J8" i="14"/>
  <c r="N10" i="13"/>
  <c r="I10" i="10"/>
  <c r="H9" i="9"/>
  <c r="H11" i="8"/>
  <c r="H15" i="16" l="1"/>
  <c r="H14" i="16"/>
  <c r="H13" i="16"/>
  <c r="H4" i="16"/>
  <c r="I12" i="16" s="1"/>
  <c r="I15" i="14"/>
  <c r="I14" i="14"/>
  <c r="I13" i="14"/>
  <c r="M19" i="13"/>
  <c r="G16" i="9"/>
  <c r="G15" i="9"/>
  <c r="G14" i="9"/>
  <c r="H18" i="10"/>
  <c r="H17" i="10"/>
  <c r="H16" i="10"/>
  <c r="L19" i="13"/>
  <c r="M18" i="13"/>
  <c r="M16" i="13"/>
  <c r="M17" i="13"/>
  <c r="L6" i="11"/>
  <c r="G8" i="8"/>
  <c r="H18" i="8" s="1"/>
  <c r="G7" i="8"/>
  <c r="H17" i="8" s="1"/>
  <c r="H9" i="16" l="1"/>
  <c r="H10" i="16"/>
  <c r="H11" i="16"/>
  <c r="G17" i="8"/>
  <c r="G18" i="8"/>
  <c r="G15" i="16" l="1"/>
  <c r="F15" i="16"/>
  <c r="E15" i="16"/>
  <c r="D15" i="16"/>
  <c r="C15" i="16"/>
  <c r="G14" i="16"/>
  <c r="F14" i="16"/>
  <c r="E14" i="16"/>
  <c r="D14" i="16"/>
  <c r="C14" i="16"/>
  <c r="G13" i="16"/>
  <c r="F13" i="16"/>
  <c r="E13" i="16"/>
  <c r="D13" i="16"/>
  <c r="C13" i="16"/>
  <c r="B11" i="16"/>
  <c r="B10" i="16"/>
  <c r="B9" i="16"/>
  <c r="G4" i="16"/>
  <c r="H12" i="16" s="1"/>
  <c r="F4" i="16"/>
  <c r="E4" i="16"/>
  <c r="D4" i="16"/>
  <c r="C4" i="16"/>
  <c r="C12" i="16" s="1"/>
  <c r="H15" i="14"/>
  <c r="G15" i="14"/>
  <c r="F15" i="14"/>
  <c r="E15" i="14"/>
  <c r="D15" i="14"/>
  <c r="H14" i="14"/>
  <c r="G14" i="14"/>
  <c r="F14" i="14"/>
  <c r="E14" i="14"/>
  <c r="D14" i="14"/>
  <c r="H13" i="14"/>
  <c r="G13" i="14"/>
  <c r="F13" i="14"/>
  <c r="E13" i="14"/>
  <c r="D13" i="14"/>
  <c r="I4" i="14"/>
  <c r="H4" i="14"/>
  <c r="G4" i="14"/>
  <c r="F4" i="14"/>
  <c r="E4" i="14"/>
  <c r="D4" i="14"/>
  <c r="D12" i="14" s="1"/>
  <c r="K19" i="13"/>
  <c r="J19" i="13"/>
  <c r="I19" i="13"/>
  <c r="H19" i="13"/>
  <c r="G19" i="13"/>
  <c r="F19" i="13"/>
  <c r="E19" i="13"/>
  <c r="D19" i="13"/>
  <c r="L18" i="13"/>
  <c r="K18" i="13"/>
  <c r="J18" i="13"/>
  <c r="I18" i="13"/>
  <c r="H18" i="13"/>
  <c r="L17" i="13"/>
  <c r="K17" i="13"/>
  <c r="J17" i="13"/>
  <c r="I17" i="13"/>
  <c r="H17" i="13"/>
  <c r="I16" i="13"/>
  <c r="H16" i="13"/>
  <c r="M5" i="13"/>
  <c r="L5" i="13"/>
  <c r="K5" i="13"/>
  <c r="J5" i="13"/>
  <c r="I5" i="13"/>
  <c r="H5" i="13"/>
  <c r="H15" i="13" s="1"/>
  <c r="C18" i="12"/>
  <c r="C17" i="12"/>
  <c r="C16" i="12"/>
  <c r="C15" i="12"/>
  <c r="C14" i="12"/>
  <c r="C13" i="12"/>
  <c r="C12" i="12"/>
  <c r="C11" i="12"/>
  <c r="C10" i="12"/>
  <c r="C9" i="12"/>
  <c r="C8" i="12"/>
  <c r="C7" i="12"/>
  <c r="F6" i="12"/>
  <c r="E6" i="12"/>
  <c r="D6" i="12"/>
  <c r="B6" i="12"/>
  <c r="F17" i="15"/>
  <c r="E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I5" i="15"/>
  <c r="H5" i="15"/>
  <c r="G5" i="15"/>
  <c r="D5" i="15"/>
  <c r="I18" i="11"/>
  <c r="F18" i="11"/>
  <c r="I17" i="11"/>
  <c r="F17" i="11"/>
  <c r="I16" i="11"/>
  <c r="F16" i="11"/>
  <c r="I15" i="11"/>
  <c r="F15" i="11"/>
  <c r="I14" i="11"/>
  <c r="F14" i="11"/>
  <c r="I13" i="11"/>
  <c r="F13" i="11"/>
  <c r="I12" i="11"/>
  <c r="F12" i="11"/>
  <c r="I11" i="11"/>
  <c r="F11" i="11"/>
  <c r="I10" i="11"/>
  <c r="F10" i="11"/>
  <c r="I9" i="11"/>
  <c r="F9" i="11"/>
  <c r="I8" i="11"/>
  <c r="I6" i="11" s="1"/>
  <c r="F8" i="11"/>
  <c r="I7" i="11"/>
  <c r="F7" i="11"/>
  <c r="K6" i="11"/>
  <c r="J6" i="11"/>
  <c r="H6" i="11"/>
  <c r="G6" i="11"/>
  <c r="E6" i="11"/>
  <c r="D6" i="11"/>
  <c r="C6" i="11"/>
  <c r="B6" i="11"/>
  <c r="G18" i="10"/>
  <c r="G17" i="10"/>
  <c r="G16" i="10"/>
  <c r="E8" i="10"/>
  <c r="F18" i="10" s="1"/>
  <c r="D8" i="10"/>
  <c r="D18" i="10" s="1"/>
  <c r="C8" i="10"/>
  <c r="C18" i="10" s="1"/>
  <c r="E7" i="10"/>
  <c r="F17" i="10" s="1"/>
  <c r="D7" i="10"/>
  <c r="C7" i="10"/>
  <c r="C17" i="10" s="1"/>
  <c r="E6" i="10"/>
  <c r="F16" i="10" s="1"/>
  <c r="D6" i="10"/>
  <c r="C6" i="10"/>
  <c r="C16" i="10" s="1"/>
  <c r="H5" i="10"/>
  <c r="G5" i="10"/>
  <c r="F5" i="10"/>
  <c r="B5" i="10"/>
  <c r="B13" i="10" s="1"/>
  <c r="F16" i="9"/>
  <c r="C16" i="9"/>
  <c r="F15" i="9"/>
  <c r="C15" i="9"/>
  <c r="F14" i="9"/>
  <c r="C14" i="9"/>
  <c r="D8" i="9"/>
  <c r="E16" i="9" s="1"/>
  <c r="D7" i="9"/>
  <c r="E15" i="9" s="1"/>
  <c r="D6" i="9"/>
  <c r="E14" i="9" s="1"/>
  <c r="G5" i="9"/>
  <c r="F5" i="9"/>
  <c r="E5" i="9"/>
  <c r="C5" i="9"/>
  <c r="C13" i="9" s="1"/>
  <c r="D20" i="8"/>
  <c r="D19" i="8"/>
  <c r="F18" i="8"/>
  <c r="E18" i="8"/>
  <c r="D18" i="8"/>
  <c r="F17" i="8"/>
  <c r="D17" i="8"/>
  <c r="G10" i="8"/>
  <c r="E10" i="8"/>
  <c r="F20" i="8" s="1"/>
  <c r="C20" i="8"/>
  <c r="G9" i="8"/>
  <c r="E9" i="8"/>
  <c r="F19" i="8" s="1"/>
  <c r="C19" i="8"/>
  <c r="C18" i="8"/>
  <c r="F6" i="8"/>
  <c r="E6" i="8"/>
  <c r="D6" i="8"/>
  <c r="C6" i="8"/>
  <c r="C16" i="8" s="1"/>
  <c r="D12" i="16" l="1"/>
  <c r="D16" i="10"/>
  <c r="F5" i="15"/>
  <c r="E5" i="15"/>
  <c r="F6" i="11"/>
  <c r="L16" i="13"/>
  <c r="F12" i="14"/>
  <c r="B8" i="16"/>
  <c r="C6" i="12"/>
  <c r="G6" i="8"/>
  <c r="C5" i="10"/>
  <c r="C15" i="10" s="1"/>
  <c r="J16" i="13"/>
  <c r="F12" i="16"/>
  <c r="G15" i="10"/>
  <c r="I15" i="13"/>
  <c r="N15" i="13"/>
  <c r="M11" i="13"/>
  <c r="M12" i="13"/>
  <c r="M15" i="13"/>
  <c r="M14" i="13"/>
  <c r="G12" i="14"/>
  <c r="E12" i="16"/>
  <c r="D5" i="10"/>
  <c r="D11" i="10" s="1"/>
  <c r="I15" i="10"/>
  <c r="H15" i="10"/>
  <c r="H12" i="14"/>
  <c r="D5" i="9"/>
  <c r="D10" i="9" s="1"/>
  <c r="E5" i="10"/>
  <c r="D17" i="10"/>
  <c r="K16" i="13"/>
  <c r="E12" i="14"/>
  <c r="J12" i="14"/>
  <c r="I10" i="14"/>
  <c r="I12" i="14"/>
  <c r="I9" i="14"/>
  <c r="G12" i="16"/>
  <c r="H13" i="9"/>
  <c r="G13" i="9"/>
  <c r="G12" i="9"/>
  <c r="G11" i="9"/>
  <c r="G10" i="9"/>
  <c r="F13" i="9"/>
  <c r="H16" i="8"/>
  <c r="G16" i="8"/>
  <c r="G12" i="8"/>
  <c r="G13" i="8"/>
  <c r="H19" i="8"/>
  <c r="G19" i="8"/>
  <c r="G14" i="8"/>
  <c r="H20" i="8"/>
  <c r="G20" i="8"/>
  <c r="G15" i="8"/>
  <c r="D16" i="8"/>
  <c r="E16" i="8"/>
  <c r="F16" i="8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D9" i="14"/>
  <c r="E9" i="14"/>
  <c r="F9" i="14"/>
  <c r="G9" i="14"/>
  <c r="H9" i="14"/>
  <c r="D10" i="14"/>
  <c r="E10" i="14"/>
  <c r="F10" i="14"/>
  <c r="G10" i="14"/>
  <c r="H10" i="14"/>
  <c r="D11" i="14"/>
  <c r="E11" i="14"/>
  <c r="F11" i="14"/>
  <c r="G11" i="14"/>
  <c r="H11" i="14"/>
  <c r="I11" i="14"/>
  <c r="H11" i="13"/>
  <c r="I11" i="13"/>
  <c r="J11" i="13"/>
  <c r="K11" i="13"/>
  <c r="L11" i="13"/>
  <c r="H12" i="13"/>
  <c r="I12" i="13"/>
  <c r="J12" i="13"/>
  <c r="K12" i="13"/>
  <c r="L12" i="13"/>
  <c r="H13" i="13"/>
  <c r="I13" i="13"/>
  <c r="J13" i="13"/>
  <c r="K13" i="13"/>
  <c r="L13" i="13"/>
  <c r="M13" i="13"/>
  <c r="H14" i="13"/>
  <c r="I14" i="13"/>
  <c r="J14" i="13"/>
  <c r="K14" i="13"/>
  <c r="L14" i="13"/>
  <c r="J15" i="13"/>
  <c r="K15" i="13"/>
  <c r="L15" i="13"/>
  <c r="B11" i="10"/>
  <c r="E11" i="10"/>
  <c r="F11" i="10"/>
  <c r="G11" i="10"/>
  <c r="H11" i="10"/>
  <c r="B12" i="10"/>
  <c r="E12" i="10"/>
  <c r="F12" i="10"/>
  <c r="G12" i="10"/>
  <c r="H12" i="10"/>
  <c r="E13" i="10"/>
  <c r="F13" i="10"/>
  <c r="G13" i="10"/>
  <c r="H13" i="10"/>
  <c r="E16" i="10"/>
  <c r="E17" i="10"/>
  <c r="E18" i="10"/>
  <c r="C10" i="9"/>
  <c r="E10" i="9"/>
  <c r="F10" i="9"/>
  <c r="C11" i="9"/>
  <c r="E11" i="9"/>
  <c r="F11" i="9"/>
  <c r="C12" i="9"/>
  <c r="E12" i="9"/>
  <c r="F12" i="9"/>
  <c r="D14" i="9"/>
  <c r="D15" i="9"/>
  <c r="D16" i="9"/>
  <c r="C12" i="8"/>
  <c r="D12" i="8"/>
  <c r="E12" i="8"/>
  <c r="F12" i="8"/>
  <c r="C13" i="8"/>
  <c r="D13" i="8"/>
  <c r="E13" i="8"/>
  <c r="F13" i="8"/>
  <c r="C14" i="8"/>
  <c r="D14" i="8"/>
  <c r="E14" i="8"/>
  <c r="F14" i="8"/>
  <c r="C15" i="8"/>
  <c r="D15" i="8"/>
  <c r="E15" i="8"/>
  <c r="F15" i="8"/>
  <c r="E19" i="8"/>
  <c r="E20" i="8"/>
  <c r="E13" i="9" l="1"/>
  <c r="C12" i="10"/>
  <c r="D15" i="10"/>
  <c r="C13" i="10"/>
  <c r="C11" i="10"/>
  <c r="D12" i="9"/>
  <c r="D11" i="9"/>
  <c r="D12" i="10"/>
  <c r="D10" i="10" s="1"/>
  <c r="D13" i="9"/>
  <c r="D13" i="10"/>
  <c r="E15" i="10"/>
  <c r="F15" i="10"/>
  <c r="H8" i="16"/>
  <c r="G8" i="16"/>
  <c r="F8" i="16"/>
  <c r="E8" i="16"/>
  <c r="D8" i="16"/>
  <c r="C8" i="16"/>
  <c r="I8" i="14"/>
  <c r="H8" i="14"/>
  <c r="G8" i="14"/>
  <c r="F8" i="14"/>
  <c r="E8" i="14"/>
  <c r="D8" i="14"/>
  <c r="M10" i="13"/>
  <c r="L10" i="13"/>
  <c r="K10" i="13"/>
  <c r="J10" i="13"/>
  <c r="I10" i="13"/>
  <c r="H10" i="13"/>
  <c r="H10" i="10"/>
  <c r="G10" i="10"/>
  <c r="F10" i="10"/>
  <c r="E10" i="10"/>
  <c r="C10" i="10"/>
  <c r="B10" i="10"/>
  <c r="G9" i="9"/>
  <c r="F9" i="9"/>
  <c r="E9" i="9"/>
  <c r="C9" i="9"/>
  <c r="G11" i="8"/>
  <c r="F11" i="8"/>
  <c r="E11" i="8"/>
  <c r="D11" i="8"/>
  <c r="C11" i="8"/>
  <c r="D9" i="9" l="1"/>
</calcChain>
</file>

<file path=xl/sharedStrings.xml><?xml version="1.0" encoding="utf-8"?>
<sst xmlns="http://schemas.openxmlformats.org/spreadsheetml/2006/main" count="761" uniqueCount="296">
  <si>
    <t xml:space="preserve"> % cnutogWviawfiheb</t>
  </si>
  <si>
    <t>% change over previous year</t>
  </si>
  <si>
    <t xml:space="preserve"> % urwvcnim ivurutia eruvcSwrwhwa Iruk</t>
  </si>
  <si>
    <t>wlcmuj</t>
  </si>
  <si>
    <t>cCrWm</t>
  </si>
  <si>
    <t>Em</t>
  </si>
  <si>
    <t>cnUj</t>
  </si>
  <si>
    <t>iawluj</t>
  </si>
  <si>
    <t>cnwt</t>
  </si>
  <si>
    <t>Month</t>
  </si>
  <si>
    <t>cswm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</si>
  <si>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</si>
  <si>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</si>
  <si>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</si>
  <si>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</si>
  <si>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</si>
  <si>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</si>
  <si>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</si>
  <si>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</si>
  <si>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</si>
  <si>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</si>
  <si>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</si>
  <si>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</si>
  <si>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</si>
  <si>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</si>
  <si>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 xml:space="preserve"> Commercial</t>
  </si>
  <si>
    <t>Source: Male' Water &amp; Sewerage Company  Limited</t>
  </si>
  <si>
    <t>cDeTimil Inepcmok cjErevcs cDcnea rwTOv ElWm :ctWrwf ivcaedutWmUluawm</t>
  </si>
  <si>
    <t>Source: Male' Water &amp; Sewerage Company Private Limited</t>
  </si>
  <si>
    <t xml:space="preserve">Total 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</si>
  <si>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</si>
  <si>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</si>
  <si>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</si>
  <si>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</si>
  <si>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</si>
  <si>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</si>
  <si>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</si>
  <si>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</si>
  <si>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</si>
  <si>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</si>
  <si>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</si>
  <si>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</si>
  <si>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</si>
  <si>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</si>
  <si>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</si>
  <si>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</si>
  <si>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</si>
  <si>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</si>
  <si>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</si>
  <si>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</si>
  <si>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</si>
  <si>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</si>
  <si>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</si>
  <si>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 xml:space="preserve">Total ( number ) </t>
  </si>
  <si>
    <t>2015 - 2009  ,urwvcnim unuverukcnunEb iawgElWm cnef Everukclib  : 12.8  ulwvWt</t>
  </si>
  <si>
    <t>Table 12.8 : BILLED WATER CONSUMPTION IN MALE',   2009 - 2015</t>
  </si>
  <si>
    <r>
      <t xml:space="preserve">2015 - 2009  ,urwvcnim unuverukcnunEb </t>
    </r>
    <r>
      <rPr>
        <b/>
        <sz val="11"/>
        <color theme="1"/>
        <rFont val="A_Reethi"/>
      </rPr>
      <t>ވިލިނގިލީގައި</t>
    </r>
    <r>
      <rPr>
        <b/>
        <sz val="11"/>
        <color theme="1"/>
        <rFont val="A_Randhoo"/>
      </rPr>
      <t xml:space="preserve"> cnef Everukclib   :12.9 ulwvWt</t>
    </r>
  </si>
  <si>
    <t>Table 12.9 : BILLED WATER CONSUMPTION IN VILLINGILI, 2009 - 2015</t>
  </si>
  <si>
    <r>
      <t>2015 - 2009  ,urwvcnim unuverukcnunEb iawgElWm</t>
    </r>
    <r>
      <rPr>
        <b/>
        <sz val="11"/>
        <color theme="1"/>
        <rFont val="A_Reethi"/>
      </rPr>
      <t>ހުޅު</t>
    </r>
    <r>
      <rPr>
        <b/>
        <sz val="11"/>
        <color theme="1"/>
        <rFont val="A_Randhoo"/>
      </rPr>
      <t xml:space="preserve"> cnef Everukclib :12.10 ulwvWt</t>
    </r>
  </si>
  <si>
    <t xml:space="preserve"> Table 12.10 : BILLED WATER CONSUMPTION IN HULHUMALE', 2009 - 2015</t>
  </si>
  <si>
    <t>2015- 2009 ,urwvcnim unuverukcnunEb cnef iawgElWm cnutog eguhwmcswm  : 12.11  ulwvWt</t>
  </si>
  <si>
    <t>Table 12.11 : WATER DISTRIBUTION  IN MALE', BY MONTH 2009 - 2015</t>
  </si>
  <si>
    <r>
      <t xml:space="preserve">2015- 2006 ,urwvcnimunuverukcnunEb cnef </t>
    </r>
    <r>
      <rPr>
        <b/>
        <sz val="10"/>
        <rFont val="A_Reethi"/>
      </rPr>
      <t>ވިލިނގިލީގައި</t>
    </r>
    <r>
      <rPr>
        <b/>
        <sz val="10"/>
        <rFont val="A_Randhoo"/>
      </rPr>
      <t xml:space="preserve"> cnutog eguhwmcswm  : 12.12  ulwvWt</t>
    </r>
  </si>
  <si>
    <t>Table 12.12 : WATER DISTRIBUTION  IN VILLINGILI BY MONTH,  2006 -  2015</t>
  </si>
  <si>
    <r>
      <t xml:space="preserve">2015- 2009 ,urwvcnim unuverukcnunEb cnef </t>
    </r>
    <r>
      <rPr>
        <b/>
        <sz val="10"/>
        <rFont val="A_Reethi"/>
      </rPr>
      <t>ހުޅުމާލޭގައި</t>
    </r>
    <r>
      <rPr>
        <b/>
        <sz val="10"/>
        <rFont val="A_Randhoo"/>
      </rPr>
      <t xml:space="preserve"> cnutog eguhwmcswm  : 12.13  ulwvWt</t>
    </r>
  </si>
  <si>
    <t xml:space="preserve">Table 12.13 : WATER DISTRIBUTION  IN HULHUMALE' BY MONTH, 2009 - 2015                                   </t>
  </si>
  <si>
    <t>ތާވަލު 12.14: ތަނުގެ ގޮތުން މާލޭގައި ފެން ބޭނުންކުރާ ފަރާތްތަކުގެ އަދަދު، 2009 - 2015</t>
  </si>
  <si>
    <t>Table 12.14 : NUMBER OF CUSTOMERS USING WATER IN MALE' BY TYPE, 2009 - 2015</t>
  </si>
  <si>
    <t>ތާވަލު 12.15: ތަނުގެ ގޮތުން ވިލިނގިލީގައި ފެން ބޭނުންކުރާ ފަރާތްތަކުގެ އަދަދު، 2006 - 2015</t>
  </si>
  <si>
    <t>Table 12.15 : NUMBER OF CUSTOMERS USING WATER IN VILLINGILI BY TYPE, 2006 - 2015</t>
  </si>
  <si>
    <t>ތާވަލު 12.16: ތަނުގެ ގޮތުން ހުޅުމާލޭގައި ފެން ބޭނުންކުރާ ފަރާތްތަކުގެ އަދަދު، 2008 - 2015</t>
  </si>
  <si>
    <t>Table 12.16 : NUMBER OF CUSTOMERS USING WATER IN HULHUMALE' BY TYPE, 2008 - 2015</t>
  </si>
  <si>
    <t>2015 - 2009 ,ctogEveruk cnunEb cTcnwrwk iawgElWm : 12.1 ulwvWt</t>
  </si>
  <si>
    <t>Table 12.1 :   ELECTRICITY UTILIZATION IN MALE', 2009 - 2015</t>
  </si>
  <si>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</si>
  <si>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</si>
  <si>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</si>
  <si>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</si>
  <si>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</si>
  <si>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</si>
  <si>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Manufacturing and  Commercial</t>
  </si>
  <si>
    <t xml:space="preserve">           cnwtcnwt ELugWairWfwyiv iaWnwtcnwt Wdcawfuaitekwt</t>
  </si>
  <si>
    <t>Government Buildings</t>
  </si>
  <si>
    <t>cawtctWrWmia egurWkurws</t>
  </si>
  <si>
    <t>Public Places and  Schools</t>
  </si>
  <si>
    <t xml:space="preserve"> cawtclUkcs iaWnwtcnwt wncnuh cSwmunEb umcaWA</t>
  </si>
  <si>
    <t>%  share</t>
  </si>
  <si>
    <t>Source: State Electric Company Limited</t>
  </si>
  <si>
    <t>cDeTimil Inepcmok ckircTckeliacTETcs :ctWrwf ivcaedutWmUluAwm</t>
  </si>
  <si>
    <t>kWh</t>
  </si>
  <si>
    <t>2015 ,urwvcnim idcaefua cTcnwrwk uhwmcswmikea cnukwtctWrwf egurWkurws  : 12.2 ulwvWt</t>
  </si>
  <si>
    <t>Table  12.2 :  MONTHLY ELECTRICITY PRODUCTION BY PUBLIC SECTOR, 2015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</si>
  <si>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</si>
  <si>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</si>
  <si>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</si>
  <si>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</si>
  <si>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</si>
  <si>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</si>
  <si>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</si>
  <si>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</si>
  <si>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</si>
  <si>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</si>
  <si>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</si>
  <si>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</si>
  <si>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</si>
  <si>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</si>
  <si>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</si>
  <si>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</si>
  <si>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</si>
  <si>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</si>
  <si>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</si>
  <si>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</si>
  <si>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</si>
  <si>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</si>
  <si>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</si>
  <si>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</si>
  <si>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</si>
  <si>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K.Villingili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</si>
  <si>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</si>
  <si>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</si>
  <si>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</si>
  <si>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</si>
  <si>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</si>
  <si>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</si>
  <si>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</si>
  <si>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</si>
  <si>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</si>
  <si>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</si>
  <si>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</si>
  <si>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</si>
  <si>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</si>
  <si>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</si>
  <si>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</si>
  <si>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</si>
  <si>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</si>
  <si>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</si>
  <si>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</si>
  <si>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</si>
  <si>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</si>
  <si>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</si>
  <si>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</si>
  <si>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</si>
  <si>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</si>
  <si>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</si>
  <si>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</si>
  <si>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</si>
  <si>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</si>
  <si>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</si>
  <si>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</si>
  <si>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</si>
  <si>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</si>
  <si>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</si>
  <si>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</si>
  <si>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</si>
  <si>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</si>
  <si>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</si>
  <si>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</si>
  <si>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</si>
  <si>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-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</si>
  <si>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</si>
  <si>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</si>
  <si>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</si>
  <si>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</si>
  <si>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</si>
  <si>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</si>
  <si>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</si>
  <si>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</si>
  <si>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</si>
  <si>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</si>
  <si>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</si>
  <si>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</si>
  <si>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</si>
  <si>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</si>
  <si>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</si>
  <si>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</si>
  <si>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</si>
  <si>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</si>
  <si>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</si>
  <si>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</si>
  <si>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</si>
  <si>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</si>
  <si>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</si>
  <si>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</si>
  <si>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</si>
  <si>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2015</t>
  </si>
  <si>
    <t>Table  12.3 :   MONTHLY CONSUMPTION OF FUEL FOR ELECTRICITY GENERATION IN SELECTED LOCALITIES BY PUBLIC SECTOR, 2015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</si>
  <si>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</si>
  <si>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Adh.Mahibadhoo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</si>
  <si>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2015</t>
  </si>
  <si>
    <t>Table  12.4 :   MONTHLY CONSUMPTION OF LUBRICATION OIL FOR ELECTRICITY GENERATION IN SELECTED LOCALITIES BY PUBLIC SECTOR, 2015</t>
  </si>
  <si>
    <t>(In '000 litres)</t>
  </si>
  <si>
    <t>0..1</t>
  </si>
  <si>
    <t xml:space="preserve"> </t>
  </si>
  <si>
    <t>2015 ,urwvcnim unuverukcnunEb cTcnwrwk iawgElWm :12.5 ulwvWt</t>
  </si>
  <si>
    <t>TABLE 12.5 ELECTRICITY CONSUMPTION IN MALE',  2015</t>
  </si>
  <si>
    <t>Bands</t>
  </si>
  <si>
    <t>ރޭޓް</t>
  </si>
  <si>
    <t>ޖުމްލަ</t>
  </si>
  <si>
    <t>އަދަދު</t>
  </si>
  <si>
    <t>ބޭންޑް</t>
  </si>
  <si>
    <t>Total (Kwh)</t>
  </si>
  <si>
    <t>% Share of Quantity</t>
  </si>
  <si>
    <t>% Share of Value</t>
  </si>
  <si>
    <t>Domestic</t>
  </si>
  <si>
    <t>ގޭބިސީ</t>
  </si>
  <si>
    <t>0-100 units</t>
  </si>
  <si>
    <t>100 - 0</t>
  </si>
  <si>
    <t>101-300</t>
  </si>
  <si>
    <t>300 - 101</t>
  </si>
  <si>
    <t>301 -500</t>
  </si>
  <si>
    <t>500 - 301</t>
  </si>
  <si>
    <t>501-600</t>
  </si>
  <si>
    <t>600 - 501</t>
  </si>
  <si>
    <t>&gt; 600</t>
  </si>
  <si>
    <t>601އަށް ވުރެމަތި</t>
  </si>
  <si>
    <t>All bands</t>
  </si>
  <si>
    <t>ހުރިހާ ބޭންޑް</t>
  </si>
  <si>
    <t>Non-Domestic</t>
  </si>
  <si>
    <t>އޮފީސް އަދި އެހެނިހެން</t>
  </si>
  <si>
    <t>cDeTimil Inepcmok ckircTckeliacTETcs :ctWrwfivcaedutWmUluAwm</t>
  </si>
  <si>
    <t>2015 ,urwvcnim unuved IDiscbws cTcnwrwk iawgElWm : 12.6  ulwvWt</t>
  </si>
  <si>
    <t>TABLE 12.6 ELECTRICITY SUBSIDY MALE',  2015</t>
  </si>
  <si>
    <t xml:space="preserve">ޖުމްލަ ގޭބިސީ އަދަދު </t>
  </si>
  <si>
    <t>ކަރަންޓް ބިލްގެ ޖުމްލަ
(ސަބްސިޑީ ނުލާ)</t>
  </si>
  <si>
    <t xml:space="preserve">ޖުމްލަ ސަބްސިޑީ (ރުފިޔާއިން) </t>
  </si>
  <si>
    <t xml:space="preserve">No of Households </t>
  </si>
  <si>
    <t>Total Electricity bill (MVR)
(excluding subsidy)</t>
  </si>
  <si>
    <t>Total amount on electricity subsidy (MVR)</t>
  </si>
  <si>
    <t>Monthly government subsidy (usage based)</t>
  </si>
  <si>
    <t>މަހުގެގޮތުން ސަރުކާރުން ސަބްސިޑީ ދެއްވި ވަރު (ބޭނުންކުރި މިންވަރުން)</t>
  </si>
  <si>
    <t>less than 100 MVR</t>
  </si>
  <si>
    <t>100 ރުފިޔާއަށްވުރެ ދަށް</t>
  </si>
  <si>
    <t>100-199</t>
  </si>
  <si>
    <t>199 - 100</t>
  </si>
  <si>
    <t>200-299</t>
  </si>
  <si>
    <t>299 - 200</t>
  </si>
  <si>
    <t>300-399</t>
  </si>
  <si>
    <t>399 - 300</t>
  </si>
  <si>
    <t>400-499</t>
  </si>
  <si>
    <t>499 - 400</t>
  </si>
  <si>
    <t>500-599</t>
  </si>
  <si>
    <t>599 - 500</t>
  </si>
  <si>
    <t>600-699</t>
  </si>
  <si>
    <t>699 - 600</t>
  </si>
  <si>
    <t>700-799</t>
  </si>
  <si>
    <t>799 - 700</t>
  </si>
  <si>
    <t>800-899</t>
  </si>
  <si>
    <t>899 - 800</t>
  </si>
  <si>
    <t>900-999</t>
  </si>
  <si>
    <t>999 - 900</t>
  </si>
  <si>
    <t>1000+</t>
  </si>
  <si>
    <t>1000 ރުފިޔާއަށްވުރެ މަތި</t>
  </si>
  <si>
    <t>* Please note that the Total Electricity Bill values are derived after deducting the subsidies</t>
  </si>
  <si>
    <t>*ކަރަންޓް ބިލްގެ ޖުމްލަ އަދަދުތައް ނެގިފައިވަނީ ސަބްސިޑީއަށްވާ އަދަދު ކެނޑުމަށްފަހުއެވެ.</t>
  </si>
  <si>
    <t>Rates (MVR)</t>
  </si>
  <si>
    <t>Value (MVR)</t>
  </si>
  <si>
    <t>ތާވަލު 12.19: ރާއްޖޭން ބޭރުން ފުޅީގައި ބަންދުކުރި ފެން އެތެރެކުރެވުނު އަދަދު، 2010 - 2015</t>
  </si>
  <si>
    <t>TABLE 12.19: Imports of Mineral water, 2010 - 2015</t>
  </si>
  <si>
    <t>Year</t>
  </si>
  <si>
    <t>Quantity (in Ltr)</t>
  </si>
  <si>
    <t>C.I.F Value (MVR)</t>
  </si>
  <si>
    <t>Source:  Maldives Customs Service</t>
  </si>
  <si>
    <t>މައުލޫމާތު ދެއްވި ފަރާތް: މޯލްޑިވްސް ކަސްޓަމްސް ސަރވިސް</t>
  </si>
  <si>
    <t>ތާވަލު 12.20: ރާއްޖޭން ބޭރުން ފުޅީގައި ބަންދުކުރި ފެން އެތެރެކުރެވުނު ޤައުމު، 2015</t>
  </si>
  <si>
    <t>TABLE 12.20: Imports of Mineral waterby Country, 2015</t>
  </si>
  <si>
    <t>Country Of Consignment</t>
  </si>
  <si>
    <t>Quantity (Ltr)</t>
  </si>
  <si>
    <t>CIF (MVR)</t>
  </si>
  <si>
    <t xml:space="preserve">    Total</t>
  </si>
  <si>
    <t>AUSTRALIA</t>
  </si>
  <si>
    <t>AUSTRIA</t>
  </si>
  <si>
    <t>CHINA</t>
  </si>
  <si>
    <t>FINLAND</t>
  </si>
  <si>
    <t>FRANCE</t>
  </si>
  <si>
    <t>GERMANY</t>
  </si>
  <si>
    <t>HONG KONG</t>
  </si>
  <si>
    <t>INDIA</t>
  </si>
  <si>
    <t>INDONESIA</t>
  </si>
  <si>
    <t>ITALY</t>
  </si>
  <si>
    <t>LUXEMBOURG</t>
  </si>
  <si>
    <t>MALAYSIA</t>
  </si>
  <si>
    <t>NEW ZEALAND</t>
  </si>
  <si>
    <t>SAUDI ARABIA</t>
  </si>
  <si>
    <t>SINGAPORE</t>
  </si>
  <si>
    <t>SOUTH KOREA</t>
  </si>
  <si>
    <t>SRI LANKA</t>
  </si>
  <si>
    <t>SWITZERLAND</t>
  </si>
  <si>
    <t>THAILAND</t>
  </si>
  <si>
    <t>TURKEY</t>
  </si>
  <si>
    <t>U.A.E</t>
  </si>
  <si>
    <t>U.K</t>
  </si>
  <si>
    <t>U.S.A</t>
  </si>
  <si>
    <t>Total (MVR)</t>
  </si>
  <si>
    <t xml:space="preserve">ޖުމްލަ (ރުފިޔާއިން) </t>
  </si>
  <si>
    <t xml:space="preserve">މަހުގެގޮތުން ސަރުކާރުން ސަބްސިޑީ ފިއުލް ސަރ ޗާރޖް ދެއްވި ވަރު (ރުފިޔާއިން) </t>
  </si>
  <si>
    <t>Monthly government subsidy fuel surcharge (MVR)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</si>
</sst>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  <numFmt numFmtId="168" formatCode="0.00000"/>
    <numFmt numFmtId="169" formatCode="General_)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sz val="10"/>
      <color theme="1"/>
      <name val="A_Randhoo"/>
    </font>
    <font>
      <b/>
      <sz val="10"/>
      <name val="A_Funa"/>
    </font>
    <font>
      <b/>
      <sz val="9"/>
      <color theme="1"/>
      <name val="A_Randhoo"/>
    </font>
    <font>
      <sz val="9"/>
      <color theme="1"/>
      <name val="A_Randhoo"/>
    </font>
    <font>
      <sz val="10"/>
      <name val="Garamond"/>
      <family val="1"/>
    </font>
    <font>
      <sz val="9"/>
      <color theme="1"/>
      <name val="Garamond"/>
      <family val="1"/>
    </font>
    <font>
      <b/>
      <sz val="11"/>
      <color theme="1"/>
      <name val="A_Reethi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sz val="9"/>
      <name val="Garamond"/>
      <family val="1"/>
    </font>
    <font>
      <b/>
      <sz val="10"/>
      <name val="A_Reethi"/>
    </font>
    <font>
      <b/>
      <sz val="10"/>
      <color theme="1"/>
      <name val="A_Randhoo"/>
    </font>
    <font>
      <b/>
      <sz val="9"/>
      <name val="A_Randhoo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name val="A_Faseyha"/>
    </font>
    <font>
      <sz val="10"/>
      <name val="Faruma"/>
    </font>
    <font>
      <b/>
      <sz val="10"/>
      <name val="Faruma"/>
    </font>
    <font>
      <i/>
      <sz val="10"/>
      <name val="Calibri"/>
      <family val="2"/>
      <scheme val="minor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_Faseyha"/>
    </font>
    <font>
      <sz val="10"/>
      <color theme="1"/>
      <name val="Faruma"/>
    </font>
    <font>
      <sz val="12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_Faseyha"/>
    </font>
    <font>
      <i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_Faseyha"/>
    </font>
    <font>
      <b/>
      <sz val="11"/>
      <name val="A_Ilham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Faruma"/>
    </font>
    <font>
      <b/>
      <u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Faruma"/>
    </font>
    <font>
      <b/>
      <sz val="10"/>
      <color theme="1"/>
      <name val="Faruma"/>
    </font>
    <font>
      <sz val="9"/>
      <color theme="1"/>
      <name val="Faruma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 style="thin">
        <color theme="0"/>
      </left>
      <right style="thin">
        <color theme="0"/>
      </right>
      <top style="dotted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/>
      <right/>
      <top style="thin">
        <color indexed="64"/>
      </top>
      <bottom style="dotted">
        <color theme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0" borderId="0"/>
    <xf numFmtId="0" fontId="3" fillId="0" borderId="0"/>
  </cellStyleXfs>
  <cellXfs count="561">
    <xf numFmtId="0" fontId="0" fillId="0" borderId="0" xfId="0"/>
    <xf numFmtId="0" fontId="0" fillId="2" borderId="0" xfId="0" applyFill="1"/>
    <xf numFmtId="0" fontId="0" fillId="2" borderId="0" xfId="0" applyFont="1" applyFill="1"/>
    <xf numFmtId="0" fontId="13" fillId="2" borderId="0" xfId="3" applyFont="1" applyFill="1" applyBorder="1" applyAlignment="1">
      <alignment horizontal="center" vertical="center" wrapText="1"/>
    </xf>
    <xf numFmtId="0" fontId="3" fillId="2" borderId="0" xfId="3" applyFont="1" applyFill="1" applyBorder="1"/>
    <xf numFmtId="0" fontId="16" fillId="2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vertical="center"/>
    </xf>
    <xf numFmtId="0" fontId="29" fillId="2" borderId="2" xfId="0" applyFont="1" applyFill="1" applyBorder="1" applyAlignment="1">
      <alignment horizontal="right" vertical="center"/>
    </xf>
    <xf numFmtId="0" fontId="18" fillId="2" borderId="0" xfId="0" applyFont="1" applyFill="1"/>
    <xf numFmtId="0" fontId="16" fillId="2" borderId="0" xfId="0" applyFont="1" applyFill="1"/>
    <xf numFmtId="164" fontId="16" fillId="2" borderId="0" xfId="1" applyNumberFormat="1" applyFont="1" applyFill="1" applyAlignment="1"/>
    <xf numFmtId="0" fontId="29" fillId="2" borderId="0" xfId="0" applyFont="1" applyFill="1" applyAlignment="1">
      <alignment horizontal="right"/>
    </xf>
    <xf numFmtId="0" fontId="15" fillId="2" borderId="0" xfId="0" applyFont="1" applyFill="1"/>
    <xf numFmtId="164" fontId="15" fillId="2" borderId="0" xfId="1" applyNumberFormat="1" applyFont="1" applyFill="1" applyAlignment="1"/>
    <xf numFmtId="0" fontId="30" fillId="2" borderId="0" xfId="0" applyFont="1" applyFill="1" applyAlignment="1">
      <alignment horizontal="right"/>
    </xf>
    <xf numFmtId="0" fontId="17" fillId="2" borderId="0" xfId="0" applyFont="1" applyFill="1"/>
    <xf numFmtId="167" fontId="17" fillId="2" borderId="0" xfId="0" applyNumberFormat="1" applyFont="1" applyFill="1"/>
    <xf numFmtId="0" fontId="15" fillId="2" borderId="3" xfId="0" applyFont="1" applyFill="1" applyBorder="1"/>
    <xf numFmtId="164" fontId="15" fillId="2" borderId="3" xfId="1" applyNumberFormat="1" applyFont="1" applyFill="1" applyBorder="1" applyAlignment="1"/>
    <xf numFmtId="0" fontId="30" fillId="2" borderId="3" xfId="0" applyFont="1" applyFill="1" applyBorder="1" applyAlignment="1">
      <alignment horizontal="right"/>
    </xf>
    <xf numFmtId="0" fontId="16" fillId="2" borderId="0" xfId="0" applyFont="1" applyFill="1" applyBorder="1"/>
    <xf numFmtId="164" fontId="16" fillId="2" borderId="0" xfId="1" applyNumberFormat="1" applyFont="1" applyFill="1" applyBorder="1" applyAlignment="1">
      <alignment horizontal="right"/>
    </xf>
    <xf numFmtId="0" fontId="29" fillId="2" borderId="0" xfId="0" applyFont="1" applyFill="1" applyAlignment="1">
      <alignment horizontal="right" vertical="center"/>
    </xf>
    <xf numFmtId="0" fontId="18" fillId="2" borderId="0" xfId="0" applyFont="1" applyFill="1" applyBorder="1"/>
    <xf numFmtId="164" fontId="15" fillId="2" borderId="0" xfId="1" applyNumberFormat="1" applyFont="1" applyFill="1" applyAlignment="1">
      <alignment horizontal="right"/>
    </xf>
    <xf numFmtId="164" fontId="15" fillId="2" borderId="3" xfId="1" applyNumberFormat="1" applyFont="1" applyFill="1" applyBorder="1" applyAlignment="1">
      <alignment horizontal="right"/>
    </xf>
    <xf numFmtId="0" fontId="16" fillId="2" borderId="0" xfId="0" applyFont="1" applyFill="1" applyBorder="1" applyAlignment="1" applyProtection="1">
      <alignment horizontal="left" vertical="center"/>
    </xf>
    <xf numFmtId="3" fontId="16" fillId="2" borderId="0" xfId="1" applyNumberFormat="1" applyFont="1" applyFill="1" applyBorder="1"/>
    <xf numFmtId="3" fontId="15" fillId="2" borderId="0" xfId="1" applyNumberFormat="1" applyFont="1" applyFill="1"/>
    <xf numFmtId="0" fontId="15" fillId="2" borderId="1" xfId="0" applyFont="1" applyFill="1" applyBorder="1"/>
    <xf numFmtId="3" fontId="15" fillId="2" borderId="1" xfId="1" applyNumberFormat="1" applyFont="1" applyFill="1" applyBorder="1"/>
    <xf numFmtId="0" fontId="30" fillId="2" borderId="1" xfId="0" applyFont="1" applyFill="1" applyBorder="1" applyAlignment="1">
      <alignment horizontal="right"/>
    </xf>
    <xf numFmtId="0" fontId="30" fillId="2" borderId="0" xfId="6" applyFont="1" applyFill="1" applyAlignment="1">
      <alignment horizontal="right"/>
    </xf>
    <xf numFmtId="0" fontId="32" fillId="2" borderId="0" xfId="6" applyFont="1" applyFill="1"/>
    <xf numFmtId="0" fontId="19" fillId="2" borderId="0" xfId="0" applyFont="1" applyFill="1" applyAlignment="1"/>
    <xf numFmtId="1" fontId="0" fillId="2" borderId="0" xfId="0" applyNumberFormat="1" applyFont="1" applyFill="1"/>
    <xf numFmtId="0" fontId="19" fillId="2" borderId="0" xfId="0" applyFont="1" applyFill="1"/>
    <xf numFmtId="0" fontId="25" fillId="2" borderId="0" xfId="0" applyFont="1" applyFill="1" applyAlignment="1">
      <alignment vertical="center"/>
    </xf>
    <xf numFmtId="0" fontId="7" fillId="2" borderId="0" xfId="3" applyFont="1" applyFill="1"/>
    <xf numFmtId="0" fontId="4" fillId="2" borderId="2" xfId="3" applyFont="1" applyFill="1" applyBorder="1" applyAlignment="1">
      <alignment horizontal="right" vertical="center"/>
    </xf>
    <xf numFmtId="0" fontId="34" fillId="2" borderId="2" xfId="0" applyFont="1" applyFill="1" applyBorder="1" applyAlignment="1">
      <alignment horizontal="right" vertical="center"/>
    </xf>
    <xf numFmtId="0" fontId="4" fillId="2" borderId="0" xfId="3" applyFont="1" applyFill="1" applyAlignment="1">
      <alignment vertical="center"/>
    </xf>
    <xf numFmtId="3" fontId="4" fillId="2" borderId="0" xfId="3" applyNumberFormat="1" applyFont="1" applyFill="1" applyAlignment="1">
      <alignment horizontal="right" vertical="center" readingOrder="2"/>
    </xf>
    <xf numFmtId="0" fontId="34" fillId="2" borderId="0" xfId="0" applyFont="1" applyFill="1" applyAlignment="1">
      <alignment horizontal="right"/>
    </xf>
    <xf numFmtId="0" fontId="7" fillId="2" borderId="0" xfId="3" applyFont="1" applyFill="1" applyAlignment="1">
      <alignment vertical="center"/>
    </xf>
    <xf numFmtId="3" fontId="7" fillId="2" borderId="0" xfId="3" applyNumberFormat="1" applyFont="1" applyFill="1" applyAlignment="1">
      <alignment horizontal="right" vertical="center" readingOrder="2"/>
    </xf>
    <xf numFmtId="0" fontId="24" fillId="2" borderId="0" xfId="0" applyFont="1" applyFill="1" applyAlignment="1">
      <alignment horizontal="right"/>
    </xf>
    <xf numFmtId="0" fontId="7" fillId="2" borderId="3" xfId="3" applyFont="1" applyFill="1" applyBorder="1" applyAlignment="1">
      <alignment vertical="center"/>
    </xf>
    <xf numFmtId="3" fontId="7" fillId="2" borderId="3" xfId="3" applyNumberFormat="1" applyFont="1" applyFill="1" applyBorder="1" applyAlignment="1">
      <alignment horizontal="right" vertical="center" readingOrder="2"/>
    </xf>
    <xf numFmtId="0" fontId="24" fillId="2" borderId="3" xfId="0" applyFont="1" applyFill="1" applyBorder="1" applyAlignment="1">
      <alignment horizontal="right"/>
    </xf>
    <xf numFmtId="3" fontId="4" fillId="2" borderId="0" xfId="3" applyNumberFormat="1" applyFont="1" applyFill="1" applyAlignment="1">
      <alignment horizontal="right" vertical="center"/>
    </xf>
    <xf numFmtId="0" fontId="34" fillId="2" borderId="0" xfId="0" applyFont="1" applyFill="1" applyAlignment="1">
      <alignment horizontal="right" vertical="center"/>
    </xf>
    <xf numFmtId="3" fontId="7" fillId="2" borderId="0" xfId="3" applyNumberFormat="1" applyFont="1" applyFill="1"/>
    <xf numFmtId="3" fontId="4" fillId="2" borderId="0" xfId="3" applyNumberFormat="1" applyFont="1" applyFill="1" applyAlignment="1">
      <alignment horizontal="right" vertical="center" readingOrder="1"/>
    </xf>
    <xf numFmtId="3" fontId="7" fillId="2" borderId="0" xfId="3" applyNumberFormat="1" applyFont="1" applyFill="1" applyAlignment="1">
      <alignment horizontal="right" vertical="center" readingOrder="1"/>
    </xf>
    <xf numFmtId="3" fontId="7" fillId="2" borderId="0" xfId="0" applyNumberFormat="1" applyFont="1" applyFill="1" applyBorder="1" applyAlignment="1">
      <alignment horizontal="right" vertical="center"/>
    </xf>
    <xf numFmtId="0" fontId="7" fillId="2" borderId="1" xfId="3" applyFont="1" applyFill="1" applyBorder="1" applyAlignment="1">
      <alignment vertical="center"/>
    </xf>
    <xf numFmtId="3" fontId="7" fillId="2" borderId="1" xfId="3" applyNumberFormat="1" applyFont="1" applyFill="1" applyBorder="1" applyAlignment="1">
      <alignment horizontal="right" vertical="center"/>
    </xf>
    <xf numFmtId="3" fontId="7" fillId="2" borderId="1" xfId="3" applyNumberFormat="1" applyFont="1" applyFill="1" applyBorder="1" applyAlignment="1">
      <alignment horizontal="right" vertical="center" readingOrder="2"/>
    </xf>
    <xf numFmtId="3" fontId="7" fillId="2" borderId="1" xfId="0" applyNumberFormat="1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right"/>
    </xf>
    <xf numFmtId="0" fontId="8" fillId="2" borderId="0" xfId="6" applyFont="1" applyFill="1"/>
    <xf numFmtId="0" fontId="9" fillId="2" borderId="0" xfId="6" applyFont="1" applyFill="1" applyAlignment="1">
      <alignment horizontal="right"/>
    </xf>
    <xf numFmtId="0" fontId="7" fillId="2" borderId="0" xfId="3" applyFont="1" applyFill="1" applyBorder="1"/>
    <xf numFmtId="0" fontId="0" fillId="2" borderId="0" xfId="0" applyFill="1" applyBorder="1"/>
    <xf numFmtId="0" fontId="22" fillId="2" borderId="2" xfId="3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1" fontId="22" fillId="2" borderId="0" xfId="3" applyNumberFormat="1" applyFont="1" applyFill="1" applyBorder="1" applyAlignment="1">
      <alignment horizontal="right" vertical="center"/>
    </xf>
    <xf numFmtId="1" fontId="21" fillId="2" borderId="0" xfId="3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1" fontId="21" fillId="2" borderId="3" xfId="3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22" fillId="2" borderId="0" xfId="3" applyFont="1" applyFill="1" applyBorder="1" applyAlignment="1">
      <alignment horizontal="right" vertical="center"/>
    </xf>
    <xf numFmtId="1" fontId="21" fillId="2" borderId="0" xfId="3" applyNumberFormat="1" applyFont="1" applyFill="1" applyBorder="1" applyAlignment="1"/>
    <xf numFmtId="0" fontId="4" fillId="2" borderId="0" xfId="0" applyFont="1" applyFill="1" applyBorder="1" applyAlignment="1" applyProtection="1">
      <alignment horizontal="left" vertical="center"/>
    </xf>
    <xf numFmtId="1" fontId="21" fillId="2" borderId="1" xfId="3" applyNumberFormat="1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right" vertical="center"/>
    </xf>
    <xf numFmtId="0" fontId="35" fillId="2" borderId="0" xfId="3" applyFont="1" applyFill="1" applyAlignment="1">
      <alignment horizontal="center" vertical="center"/>
    </xf>
    <xf numFmtId="0" fontId="31" fillId="2" borderId="0" xfId="6" applyFill="1"/>
    <xf numFmtId="0" fontId="31" fillId="2" borderId="0" xfId="6" applyFill="1" applyBorder="1"/>
    <xf numFmtId="0" fontId="11" fillId="2" borderId="1" xfId="6" applyFont="1" applyFill="1" applyBorder="1" applyAlignment="1">
      <alignment horizontal="center"/>
    </xf>
    <xf numFmtId="0" fontId="37" fillId="2" borderId="0" xfId="6" applyFont="1" applyFill="1" applyBorder="1"/>
    <xf numFmtId="0" fontId="37" fillId="2" borderId="0" xfId="6" applyFont="1" applyFill="1"/>
    <xf numFmtId="0" fontId="22" fillId="2" borderId="2" xfId="6" applyFont="1" applyFill="1" applyBorder="1"/>
    <xf numFmtId="0" fontId="22" fillId="2" borderId="2" xfId="6" applyFont="1" applyFill="1" applyBorder="1" applyAlignment="1">
      <alignment horizontal="right"/>
    </xf>
    <xf numFmtId="0" fontId="34" fillId="2" borderId="2" xfId="6" applyFont="1" applyFill="1" applyBorder="1" applyAlignment="1">
      <alignment horizontal="right"/>
    </xf>
    <xf numFmtId="0" fontId="22" fillId="2" borderId="0" xfId="6" applyFont="1" applyFill="1" applyBorder="1"/>
    <xf numFmtId="166" fontId="22" fillId="2" borderId="0" xfId="6" applyNumberFormat="1" applyFont="1" applyFill="1"/>
    <xf numFmtId="0" fontId="34" fillId="2" borderId="0" xfId="6" applyFont="1" applyFill="1" applyBorder="1" applyAlignment="1">
      <alignment horizontal="right"/>
    </xf>
    <xf numFmtId="0" fontId="21" fillId="2" borderId="0" xfId="6" applyFont="1" applyFill="1" applyBorder="1"/>
    <xf numFmtId="166" fontId="21" fillId="2" borderId="0" xfId="6" applyNumberFormat="1" applyFont="1" applyFill="1"/>
    <xf numFmtId="0" fontId="24" fillId="2" borderId="0" xfId="6" applyFont="1" applyFill="1" applyBorder="1" applyAlignment="1">
      <alignment horizontal="right"/>
    </xf>
    <xf numFmtId="167" fontId="11" fillId="2" borderId="0" xfId="6" applyNumberFormat="1" applyFont="1" applyFill="1" applyBorder="1"/>
    <xf numFmtId="0" fontId="21" fillId="2" borderId="0" xfId="6" applyFont="1" applyFill="1"/>
    <xf numFmtId="167" fontId="6" fillId="2" borderId="0" xfId="6" applyNumberFormat="1" applyFont="1" applyFill="1" applyBorder="1"/>
    <xf numFmtId="0" fontId="24" fillId="2" borderId="1" xfId="6" applyFont="1" applyFill="1" applyBorder="1" applyAlignment="1">
      <alignment horizontal="right"/>
    </xf>
    <xf numFmtId="0" fontId="9" fillId="2" borderId="0" xfId="6" applyFont="1" applyFill="1"/>
    <xf numFmtId="0" fontId="3" fillId="2" borderId="0" xfId="3" applyFill="1"/>
    <xf numFmtId="0" fontId="6" fillId="2" borderId="0" xfId="6" applyFont="1" applyFill="1"/>
    <xf numFmtId="0" fontId="11" fillId="2" borderId="0" xfId="6" applyFont="1" applyFill="1" applyBorder="1" applyAlignment="1">
      <alignment horizontal="right"/>
    </xf>
    <xf numFmtId="166" fontId="6" fillId="2" borderId="0" xfId="6" applyNumberFormat="1" applyFont="1" applyFill="1" applyAlignment="1">
      <alignment horizontal="right"/>
    </xf>
    <xf numFmtId="0" fontId="4" fillId="2" borderId="2" xfId="6" applyFont="1" applyFill="1" applyBorder="1"/>
    <xf numFmtId="0" fontId="4" fillId="2" borderId="2" xfId="6" applyFont="1" applyFill="1" applyBorder="1" applyAlignment="1">
      <alignment horizontal="center" vertical="center"/>
    </xf>
    <xf numFmtId="0" fontId="4" fillId="2" borderId="0" xfId="6" applyFont="1" applyFill="1" applyBorder="1"/>
    <xf numFmtId="166" fontId="4" fillId="2" borderId="0" xfId="6" applyNumberFormat="1" applyFont="1" applyFill="1" applyAlignment="1">
      <alignment horizontal="center"/>
    </xf>
    <xf numFmtId="0" fontId="7" fillId="2" borderId="0" xfId="6" applyFont="1" applyFill="1" applyBorder="1"/>
    <xf numFmtId="166" fontId="7" fillId="2" borderId="0" xfId="3" applyNumberFormat="1" applyFont="1" applyFill="1" applyAlignment="1">
      <alignment horizontal="center"/>
    </xf>
    <xf numFmtId="166" fontId="7" fillId="2" borderId="0" xfId="4" applyNumberFormat="1" applyFont="1" applyFill="1" applyAlignment="1">
      <alignment horizontal="center"/>
    </xf>
    <xf numFmtId="0" fontId="7" fillId="2" borderId="1" xfId="6" applyFont="1" applyFill="1" applyBorder="1"/>
    <xf numFmtId="166" fontId="7" fillId="2" borderId="1" xfId="3" applyNumberFormat="1" applyFont="1" applyFill="1" applyBorder="1" applyAlignment="1">
      <alignment horizontal="center"/>
    </xf>
    <xf numFmtId="166" fontId="7" fillId="2" borderId="1" xfId="4" applyNumberFormat="1" applyFont="1" applyFill="1" applyBorder="1" applyAlignment="1">
      <alignment horizontal="center"/>
    </xf>
    <xf numFmtId="4" fontId="12" fillId="2" borderId="0" xfId="6" applyNumberFormat="1" applyFont="1" applyFill="1" applyAlignment="1">
      <alignment horizontal="center"/>
    </xf>
    <xf numFmtId="0" fontId="34" fillId="2" borderId="0" xfId="3" applyFont="1" applyFill="1" applyAlignment="1">
      <alignment vertical="center"/>
    </xf>
    <xf numFmtId="0" fontId="7" fillId="2" borderId="0" xfId="3" applyFont="1" applyFill="1" applyAlignment="1">
      <alignment wrapText="1"/>
    </xf>
    <xf numFmtId="0" fontId="5" fillId="2" borderId="0" xfId="3" applyFont="1" applyFill="1" applyBorder="1" applyAlignment="1">
      <alignment vertical="center"/>
    </xf>
    <xf numFmtId="0" fontId="4" fillId="2" borderId="2" xfId="6" applyFont="1" applyFill="1" applyBorder="1" applyAlignment="1">
      <alignment vertical="center"/>
    </xf>
    <xf numFmtId="0" fontId="4" fillId="2" borderId="2" xfId="6" applyFont="1" applyFill="1" applyBorder="1" applyAlignment="1">
      <alignment horizontal="right" vertical="center"/>
    </xf>
    <xf numFmtId="0" fontId="4" fillId="2" borderId="0" xfId="6" applyFont="1" applyFill="1" applyBorder="1" applyAlignment="1">
      <alignment vertical="center"/>
    </xf>
    <xf numFmtId="167" fontId="4" fillId="2" borderId="0" xfId="3" applyNumberFormat="1" applyFont="1" applyFill="1" applyAlignment="1">
      <alignment horizontal="right" vertical="center"/>
    </xf>
    <xf numFmtId="167" fontId="4" fillId="2" borderId="0" xfId="4" applyNumberFormat="1" applyFont="1" applyFill="1" applyAlignment="1">
      <alignment horizontal="right" vertical="center"/>
    </xf>
    <xf numFmtId="0" fontId="7" fillId="2" borderId="0" xfId="6" applyFont="1" applyFill="1" applyBorder="1" applyAlignment="1">
      <alignment vertical="center"/>
    </xf>
    <xf numFmtId="167" fontId="7" fillId="2" borderId="0" xfId="3" applyNumberFormat="1" applyFont="1" applyFill="1" applyAlignment="1">
      <alignment horizontal="right" vertical="center"/>
    </xf>
    <xf numFmtId="167" fontId="7" fillId="2" borderId="0" xfId="4" applyNumberFormat="1" applyFont="1" applyFill="1" applyAlignment="1">
      <alignment horizontal="right" vertical="center"/>
    </xf>
    <xf numFmtId="0" fontId="7" fillId="2" borderId="1" xfId="6" applyFont="1" applyFill="1" applyBorder="1" applyAlignment="1">
      <alignment vertical="center"/>
    </xf>
    <xf numFmtId="167" fontId="7" fillId="2" borderId="1" xfId="3" applyNumberFormat="1" applyFont="1" applyFill="1" applyBorder="1" applyAlignment="1">
      <alignment horizontal="right" vertical="center"/>
    </xf>
    <xf numFmtId="167" fontId="7" fillId="2" borderId="1" xfId="4" applyNumberFormat="1" applyFont="1" applyFill="1" applyBorder="1" applyAlignment="1">
      <alignment horizontal="right" vertical="center"/>
    </xf>
    <xf numFmtId="0" fontId="4" fillId="2" borderId="1" xfId="3" applyFont="1" applyFill="1" applyBorder="1" applyAlignment="1">
      <alignment horizontal="center"/>
    </xf>
    <xf numFmtId="0" fontId="4" fillId="2" borderId="0" xfId="3" applyFont="1" applyFill="1" applyBorder="1" applyAlignment="1">
      <alignment horizontal="center"/>
    </xf>
    <xf numFmtId="0" fontId="39" fillId="2" borderId="2" xfId="0" applyFont="1" applyFill="1" applyBorder="1" applyAlignment="1">
      <alignment horizontal="right" vertical="center"/>
    </xf>
    <xf numFmtId="0" fontId="21" fillId="2" borderId="0" xfId="3" applyFont="1" applyFill="1"/>
    <xf numFmtId="0" fontId="22" fillId="2" borderId="0" xfId="3" applyFont="1" applyFill="1"/>
    <xf numFmtId="3" fontId="22" fillId="2" borderId="0" xfId="3" applyNumberFormat="1" applyFont="1" applyFill="1"/>
    <xf numFmtId="3" fontId="22" fillId="2" borderId="0" xfId="3" applyNumberFormat="1" applyFont="1" applyFill="1" applyAlignment="1">
      <alignment horizontal="right" vertical="center"/>
    </xf>
    <xf numFmtId="0" fontId="39" fillId="2" borderId="0" xfId="0" applyFont="1" applyFill="1" applyAlignment="1">
      <alignment horizontal="right"/>
    </xf>
    <xf numFmtId="3" fontId="21" fillId="2" borderId="0" xfId="3" applyNumberFormat="1" applyFont="1" applyFill="1"/>
    <xf numFmtId="3" fontId="21" fillId="2" borderId="0" xfId="3" applyNumberFormat="1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21" fillId="2" borderId="4" xfId="3" applyFont="1" applyFill="1" applyBorder="1"/>
    <xf numFmtId="3" fontId="21" fillId="2" borderId="4" xfId="3" applyNumberFormat="1" applyFont="1" applyFill="1" applyBorder="1"/>
    <xf numFmtId="3" fontId="21" fillId="2" borderId="4" xfId="3" applyNumberFormat="1" applyFont="1" applyFill="1" applyBorder="1" applyAlignment="1">
      <alignment horizontal="right" vertical="center"/>
    </xf>
    <xf numFmtId="0" fontId="27" fillId="2" borderId="3" xfId="0" applyFont="1" applyFill="1" applyBorder="1" applyAlignment="1">
      <alignment horizontal="right"/>
    </xf>
    <xf numFmtId="0" fontId="22" fillId="2" borderId="0" xfId="3" applyFont="1" applyFill="1" applyBorder="1"/>
    <xf numFmtId="166" fontId="22" fillId="2" borderId="0" xfId="3" applyNumberFormat="1" applyFont="1" applyFill="1"/>
    <xf numFmtId="3" fontId="22" fillId="2" borderId="0" xfId="3" applyNumberFormat="1" applyFont="1" applyFill="1" applyAlignment="1">
      <alignment horizontal="right"/>
    </xf>
    <xf numFmtId="0" fontId="39" fillId="2" borderId="0" xfId="0" applyFont="1" applyFill="1" applyAlignment="1">
      <alignment horizontal="right" vertical="center"/>
    </xf>
    <xf numFmtId="166" fontId="21" fillId="2" borderId="0" xfId="3" applyNumberFormat="1" applyFont="1" applyFill="1"/>
    <xf numFmtId="166" fontId="21" fillId="2" borderId="0" xfId="3" applyNumberFormat="1" applyFont="1" applyFill="1" applyAlignment="1">
      <alignment horizontal="right"/>
    </xf>
    <xf numFmtId="166" fontId="21" fillId="2" borderId="4" xfId="3" applyNumberFormat="1" applyFont="1" applyFill="1" applyBorder="1"/>
    <xf numFmtId="166" fontId="21" fillId="2" borderId="4" xfId="3" applyNumberFormat="1" applyFont="1" applyFill="1" applyBorder="1" applyAlignment="1">
      <alignment horizontal="right"/>
    </xf>
    <xf numFmtId="0" fontId="22" fillId="2" borderId="0" xfId="3" applyFont="1" applyFill="1" applyBorder="1" applyAlignment="1" applyProtection="1">
      <alignment horizontal="left" vertical="center"/>
    </xf>
    <xf numFmtId="166" fontId="22" fillId="2" borderId="0" xfId="3" applyNumberFormat="1" applyFont="1" applyFill="1" applyAlignment="1">
      <alignment horizontal="right"/>
    </xf>
    <xf numFmtId="0" fontId="21" fillId="2" borderId="0" xfId="3" applyFont="1" applyFill="1" applyBorder="1"/>
    <xf numFmtId="166" fontId="21" fillId="2" borderId="0" xfId="3" applyNumberFormat="1" applyFont="1" applyFill="1" applyBorder="1"/>
    <xf numFmtId="166" fontId="21" fillId="2" borderId="0" xfId="3" applyNumberFormat="1" applyFont="1" applyFill="1" applyBorder="1" applyAlignment="1">
      <alignment horizontal="right"/>
    </xf>
    <xf numFmtId="3" fontId="21" fillId="2" borderId="0" xfId="3" applyNumberFormat="1" applyFont="1" applyFill="1" applyBorder="1" applyAlignment="1">
      <alignment horizontal="right" vertical="center"/>
    </xf>
    <xf numFmtId="0" fontId="21" fillId="2" borderId="1" xfId="3" applyFont="1" applyFill="1" applyBorder="1"/>
    <xf numFmtId="166" fontId="21" fillId="2" borderId="1" xfId="3" applyNumberFormat="1" applyFont="1" applyFill="1" applyBorder="1"/>
    <xf numFmtId="166" fontId="21" fillId="2" borderId="1" xfId="3" applyNumberFormat="1" applyFont="1" applyFill="1" applyBorder="1" applyAlignment="1">
      <alignment horizontal="right"/>
    </xf>
    <xf numFmtId="3" fontId="21" fillId="2" borderId="1" xfId="3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horizontal="right"/>
    </xf>
    <xf numFmtId="166" fontId="7" fillId="2" borderId="0" xfId="3" applyNumberFormat="1" applyFont="1" applyFill="1"/>
    <xf numFmtId="0" fontId="24" fillId="2" borderId="0" xfId="6" applyFont="1" applyFill="1" applyAlignment="1">
      <alignment horizontal="right"/>
    </xf>
    <xf numFmtId="167" fontId="7" fillId="2" borderId="0" xfId="3" applyNumberFormat="1" applyFont="1" applyFill="1"/>
    <xf numFmtId="0" fontId="9" fillId="2" borderId="0" xfId="3" applyFont="1" applyFill="1"/>
    <xf numFmtId="0" fontId="20" fillId="2" borderId="0" xfId="3" applyFont="1" applyFill="1" applyAlignment="1">
      <alignment vertical="center"/>
    </xf>
    <xf numFmtId="0" fontId="3" fillId="2" borderId="0" xfId="3" applyFill="1" applyAlignment="1">
      <alignment vertical="top"/>
    </xf>
    <xf numFmtId="0" fontId="4" fillId="2" borderId="2" xfId="3" applyFont="1" applyFill="1" applyBorder="1" applyAlignment="1">
      <alignment horizontal="left" vertical="center"/>
    </xf>
    <xf numFmtId="0" fontId="4" fillId="2" borderId="0" xfId="3" applyFont="1" applyFill="1" applyAlignment="1">
      <alignment horizontal="left" vertical="center"/>
    </xf>
    <xf numFmtId="164" fontId="4" fillId="2" borderId="0" xfId="4" applyNumberFormat="1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3" fontId="7" fillId="2" borderId="0" xfId="3" applyNumberFormat="1" applyFont="1" applyFill="1" applyAlignment="1">
      <alignment horizontal="right" vertical="center"/>
    </xf>
    <xf numFmtId="3" fontId="7" fillId="2" borderId="0" xfId="3" applyNumberFormat="1" applyFont="1" applyFill="1" applyAlignment="1">
      <alignment vertical="center"/>
    </xf>
    <xf numFmtId="0" fontId="7" fillId="2" borderId="0" xfId="3" applyFont="1" applyFill="1" applyAlignment="1">
      <alignment horizontal="right" vertical="center"/>
    </xf>
    <xf numFmtId="0" fontId="7" fillId="2" borderId="4" xfId="3" applyFont="1" applyFill="1" applyBorder="1" applyAlignment="1">
      <alignment horizontal="left" vertical="center"/>
    </xf>
    <xf numFmtId="3" fontId="7" fillId="2" borderId="4" xfId="3" applyNumberFormat="1" applyFont="1" applyFill="1" applyBorder="1" applyAlignment="1">
      <alignment horizontal="right" vertical="center"/>
    </xf>
    <xf numFmtId="0" fontId="7" fillId="2" borderId="4" xfId="3" applyFont="1" applyFill="1" applyBorder="1" applyAlignment="1">
      <alignment horizontal="right" vertical="center"/>
    </xf>
    <xf numFmtId="0" fontId="24" fillId="2" borderId="4" xfId="0" applyFont="1" applyFill="1" applyBorder="1" applyAlignment="1">
      <alignment horizontal="right" vertical="center"/>
    </xf>
    <xf numFmtId="0" fontId="4" fillId="2" borderId="0" xfId="3" applyFont="1" applyFill="1" applyAlignment="1">
      <alignment horizontal="right" vertical="center"/>
    </xf>
    <xf numFmtId="3" fontId="4" fillId="2" borderId="0" xfId="3" applyNumberFormat="1" applyFont="1" applyFill="1" applyBorder="1" applyAlignment="1">
      <alignment horizontal="right" vertical="center"/>
    </xf>
    <xf numFmtId="3" fontId="7" fillId="2" borderId="0" xfId="3" applyNumberFormat="1" applyFont="1" applyFill="1" applyBorder="1" applyAlignment="1">
      <alignment horizontal="right" vertical="center"/>
    </xf>
    <xf numFmtId="0" fontId="7" fillId="2" borderId="0" xfId="3" applyFont="1" applyFill="1" applyBorder="1" applyAlignment="1">
      <alignment horizontal="left" vertical="center"/>
    </xf>
    <xf numFmtId="0" fontId="7" fillId="2" borderId="1" xfId="3" applyFont="1" applyFill="1" applyBorder="1" applyAlignment="1">
      <alignment horizontal="left" vertical="center"/>
    </xf>
    <xf numFmtId="0" fontId="30" fillId="2" borderId="0" xfId="6" applyFont="1" applyFill="1" applyAlignment="1">
      <alignment horizontal="right" vertical="center"/>
    </xf>
    <xf numFmtId="1" fontId="3" fillId="2" borderId="0" xfId="3" applyNumberFormat="1" applyFill="1"/>
    <xf numFmtId="0" fontId="40" fillId="2" borderId="2" xfId="0" applyFont="1" applyFill="1" applyBorder="1" applyAlignment="1">
      <alignment horizontal="right" vertical="center"/>
    </xf>
    <xf numFmtId="0" fontId="22" fillId="2" borderId="0" xfId="3" applyFont="1" applyFill="1" applyAlignment="1">
      <alignment horizontal="left" vertical="center"/>
    </xf>
    <xf numFmtId="164" fontId="12" fillId="2" borderId="0" xfId="4" applyNumberFormat="1" applyFont="1" applyFill="1" applyBorder="1" applyAlignment="1"/>
    <xf numFmtId="164" fontId="22" fillId="2" borderId="0" xfId="1" applyNumberFormat="1" applyFont="1" applyFill="1" applyBorder="1" applyAlignment="1">
      <alignment horizontal="right" vertical="center"/>
    </xf>
    <xf numFmtId="0" fontId="40" fillId="2" borderId="0" xfId="0" applyFont="1" applyFill="1" applyAlignment="1">
      <alignment horizontal="right" vertical="center"/>
    </xf>
    <xf numFmtId="0" fontId="21" fillId="2" borderId="0" xfId="3" applyFont="1" applyFill="1" applyAlignment="1">
      <alignment horizontal="left" vertical="center"/>
    </xf>
    <xf numFmtId="164" fontId="9" fillId="2" borderId="0" xfId="4" applyNumberFormat="1" applyFont="1" applyFill="1" applyBorder="1" applyAlignment="1"/>
    <xf numFmtId="164" fontId="21" fillId="2" borderId="0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1" fontId="9" fillId="2" borderId="0" xfId="3" applyNumberFormat="1" applyFont="1" applyFill="1" applyBorder="1" applyAlignment="1"/>
    <xf numFmtId="0" fontId="21" fillId="2" borderId="4" xfId="3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right" vertical="center"/>
    </xf>
    <xf numFmtId="1" fontId="12" fillId="2" borderId="5" xfId="3" applyNumberFormat="1" applyFont="1" applyFill="1" applyBorder="1" applyAlignment="1"/>
    <xf numFmtId="1" fontId="22" fillId="2" borderId="5" xfId="3" applyNumberFormat="1" applyFont="1" applyFill="1" applyBorder="1" applyAlignment="1"/>
    <xf numFmtId="1" fontId="9" fillId="2" borderId="4" xfId="3" applyNumberFormat="1" applyFont="1" applyFill="1" applyBorder="1" applyAlignment="1"/>
    <xf numFmtId="1" fontId="21" fillId="2" borderId="4" xfId="3" applyNumberFormat="1" applyFont="1" applyFill="1" applyBorder="1" applyAlignment="1"/>
    <xf numFmtId="0" fontId="10" fillId="2" borderId="3" xfId="0" applyFont="1" applyFill="1" applyBorder="1" applyAlignment="1">
      <alignment horizontal="right" vertical="center"/>
    </xf>
    <xf numFmtId="1" fontId="22" fillId="2" borderId="0" xfId="3" applyNumberFormat="1" applyFont="1" applyFill="1" applyBorder="1" applyAlignment="1"/>
    <xf numFmtId="0" fontId="21" fillId="2" borderId="0" xfId="3" applyFont="1" applyFill="1" applyBorder="1" applyAlignment="1">
      <alignment horizontal="left" vertical="center"/>
    </xf>
    <xf numFmtId="0" fontId="21" fillId="2" borderId="1" xfId="3" applyFont="1" applyFill="1" applyBorder="1" applyAlignment="1">
      <alignment horizontal="left" vertical="center"/>
    </xf>
    <xf numFmtId="0" fontId="7" fillId="2" borderId="1" xfId="3" applyFont="1" applyFill="1" applyBorder="1"/>
    <xf numFmtId="1" fontId="21" fillId="2" borderId="1" xfId="3" applyNumberFormat="1" applyFont="1" applyFill="1" applyBorder="1" applyAlignment="1"/>
    <xf numFmtId="0" fontId="10" fillId="2" borderId="1" xfId="0" applyFont="1" applyFill="1" applyBorder="1" applyAlignment="1">
      <alignment horizontal="right" vertical="center"/>
    </xf>
    <xf numFmtId="0" fontId="13" fillId="2" borderId="0" xfId="3" applyFont="1" applyFill="1" applyBorder="1" applyAlignment="1">
      <alignment vertical="center" wrapText="1"/>
    </xf>
    <xf numFmtId="0" fontId="14" fillId="2" borderId="0" xfId="6" applyFont="1" applyFill="1"/>
    <xf numFmtId="0" fontId="21" fillId="2" borderId="3" xfId="3" applyFont="1" applyFill="1" applyBorder="1" applyAlignment="1">
      <alignment horizontal="left" vertical="center"/>
    </xf>
    <xf numFmtId="0" fontId="3" fillId="2" borderId="0" xfId="3" applyFont="1" applyFill="1" applyBorder="1" applyAlignment="1">
      <alignment horizontal="right" vertical="center"/>
    </xf>
    <xf numFmtId="0" fontId="3" fillId="2" borderId="0" xfId="3" applyFont="1" applyFill="1" applyBorder="1" applyAlignment="1">
      <alignment vertical="center"/>
    </xf>
    <xf numFmtId="0" fontId="22" fillId="2" borderId="0" xfId="3" applyFont="1" applyFill="1" applyBorder="1" applyAlignment="1">
      <alignment horizontal="left" vertical="center"/>
    </xf>
    <xf numFmtId="1" fontId="21" fillId="2" borderId="0" xfId="3" applyNumberFormat="1" applyFont="1" applyFill="1" applyBorder="1"/>
    <xf numFmtId="0" fontId="8" fillId="2" borderId="0" xfId="6" applyFont="1" applyFill="1" applyBorder="1" applyAlignment="1">
      <alignment vertical="center"/>
    </xf>
    <xf numFmtId="0" fontId="28" fillId="2" borderId="0" xfId="3" applyFont="1" applyFill="1" applyBorder="1" applyAlignment="1">
      <alignment vertical="center" wrapText="1"/>
    </xf>
    <xf numFmtId="0" fontId="10" fillId="2" borderId="0" xfId="6" applyFont="1" applyFill="1" applyAlignment="1">
      <alignment horizontal="right"/>
    </xf>
    <xf numFmtId="164" fontId="15" fillId="2" borderId="4" xfId="1" applyNumberFormat="1" applyFont="1" applyFill="1" applyBorder="1" applyAlignment="1"/>
    <xf numFmtId="0" fontId="28" fillId="2" borderId="1" xfId="3" applyFont="1" applyFill="1" applyBorder="1" applyAlignment="1">
      <alignment vertical="center" wrapText="1"/>
    </xf>
    <xf numFmtId="0" fontId="5" fillId="2" borderId="1" xfId="3" applyFont="1" applyFill="1" applyBorder="1" applyAlignment="1">
      <alignment vertical="center"/>
    </xf>
    <xf numFmtId="0" fontId="4" fillId="2" borderId="2" xfId="3" applyFont="1" applyFill="1" applyBorder="1" applyAlignment="1">
      <alignment vertical="center"/>
    </xf>
    <xf numFmtId="0" fontId="5" fillId="2" borderId="1" xfId="3" applyFont="1" applyFill="1" applyBorder="1" applyAlignment="1"/>
    <xf numFmtId="166" fontId="7" fillId="2" borderId="0" xfId="6" applyNumberFormat="1" applyFont="1" applyFill="1" applyBorder="1" applyAlignment="1">
      <alignment horizontal="center"/>
    </xf>
    <xf numFmtId="166" fontId="7" fillId="2" borderId="1" xfId="6" applyNumberFormat="1" applyFont="1" applyFill="1" applyBorder="1" applyAlignment="1">
      <alignment horizontal="center"/>
    </xf>
    <xf numFmtId="165" fontId="21" fillId="2" borderId="0" xfId="1" applyNumberFormat="1" applyFont="1" applyFill="1"/>
    <xf numFmtId="0" fontId="4" fillId="2" borderId="1" xfId="3" applyFont="1" applyFill="1" applyBorder="1" applyAlignment="1">
      <alignment horizontal="right" vertical="center"/>
    </xf>
    <xf numFmtId="0" fontId="28" fillId="2" borderId="1" xfId="3" applyFont="1" applyFill="1" applyBorder="1" applyAlignment="1">
      <alignment horizontal="left" vertical="center" wrapText="1"/>
    </xf>
    <xf numFmtId="0" fontId="5" fillId="2" borderId="0" xfId="3" applyFont="1" applyFill="1" applyBorder="1" applyAlignment="1">
      <alignment horizontal="center" vertical="center"/>
    </xf>
    <xf numFmtId="0" fontId="10" fillId="2" borderId="0" xfId="6" applyFont="1" applyFill="1" applyAlignment="1">
      <alignment horizontal="right"/>
    </xf>
    <xf numFmtId="37" fontId="15" fillId="2" borderId="3" xfId="1" applyNumberFormat="1" applyFont="1" applyFill="1" applyBorder="1" applyAlignment="1">
      <alignment horizontal="right"/>
    </xf>
    <xf numFmtId="0" fontId="21" fillId="2" borderId="6" xfId="6" applyFont="1" applyFill="1" applyBorder="1"/>
    <xf numFmtId="166" fontId="21" fillId="2" borderId="6" xfId="6" applyNumberFormat="1" applyFont="1" applyFill="1" applyBorder="1"/>
    <xf numFmtId="165" fontId="21" fillId="2" borderId="6" xfId="1" applyNumberFormat="1" applyFont="1" applyFill="1" applyBorder="1"/>
    <xf numFmtId="0" fontId="24" fillId="2" borderId="6" xfId="6" applyFont="1" applyFill="1" applyBorder="1" applyAlignment="1">
      <alignment horizontal="right"/>
    </xf>
    <xf numFmtId="0" fontId="3" fillId="2" borderId="9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>
      <alignment vertical="center"/>
    </xf>
    <xf numFmtId="0" fontId="4" fillId="2" borderId="12" xfId="0" applyFont="1" applyFill="1" applyBorder="1" applyAlignment="1" applyProtection="1">
      <alignment vertical="center"/>
    </xf>
    <xf numFmtId="0" fontId="4" fillId="2" borderId="13" xfId="0" applyFont="1" applyFill="1" applyBorder="1" applyAlignment="1">
      <alignment vertical="center"/>
    </xf>
    <xf numFmtId="0" fontId="42" fillId="2" borderId="13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vertical="center"/>
    </xf>
    <xf numFmtId="0" fontId="4" fillId="2" borderId="15" xfId="0" applyFont="1" applyFill="1" applyBorder="1" applyAlignment="1" applyProtection="1">
      <alignment horizontal="left" vertical="center"/>
    </xf>
    <xf numFmtId="3" fontId="4" fillId="2" borderId="11" xfId="0" applyNumberFormat="1" applyFont="1" applyFill="1" applyBorder="1" applyAlignment="1" applyProtection="1">
      <alignment horizontal="right" vertical="center"/>
    </xf>
    <xf numFmtId="164" fontId="4" fillId="2" borderId="11" xfId="1" applyNumberFormat="1" applyFont="1" applyFill="1" applyBorder="1" applyAlignment="1" applyProtection="1">
      <alignment horizontal="right" vertical="center"/>
    </xf>
    <xf numFmtId="0" fontId="42" fillId="2" borderId="11" xfId="0" applyFont="1" applyFill="1" applyBorder="1" applyAlignment="1">
      <alignment horizontal="right" vertical="center"/>
    </xf>
    <xf numFmtId="0" fontId="5" fillId="2" borderId="14" xfId="0" applyFont="1" applyFill="1" applyBorder="1" applyAlignment="1">
      <alignment vertical="center"/>
    </xf>
    <xf numFmtId="0" fontId="7" fillId="2" borderId="16" xfId="0" applyFont="1" applyFill="1" applyBorder="1" applyAlignment="1" applyProtection="1">
      <alignment horizontal="left" vertical="center"/>
    </xf>
    <xf numFmtId="3" fontId="7" fillId="2" borderId="14" xfId="0" applyNumberFormat="1" applyFont="1" applyFill="1" applyBorder="1" applyAlignment="1">
      <alignment horizontal="right" vertical="center"/>
    </xf>
    <xf numFmtId="164" fontId="7" fillId="2" borderId="14" xfId="1" applyNumberFormat="1" applyFont="1" applyFill="1" applyBorder="1" applyAlignment="1">
      <alignment horizontal="right" vertical="center"/>
    </xf>
    <xf numFmtId="0" fontId="43" fillId="2" borderId="14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vertical="center"/>
    </xf>
    <xf numFmtId="3" fontId="7" fillId="2" borderId="9" xfId="0" applyNumberFormat="1" applyFont="1" applyFill="1" applyBorder="1" applyAlignment="1">
      <alignment vertical="center"/>
    </xf>
    <xf numFmtId="164" fontId="7" fillId="2" borderId="9" xfId="1" applyNumberFormat="1" applyFont="1" applyFill="1" applyBorder="1" applyAlignment="1">
      <alignment vertical="center"/>
    </xf>
    <xf numFmtId="0" fontId="7" fillId="2" borderId="17" xfId="0" applyFont="1" applyFill="1" applyBorder="1" applyAlignment="1" applyProtection="1">
      <alignment horizontal="left" vertical="center"/>
    </xf>
    <xf numFmtId="0" fontId="43" fillId="2" borderId="9" xfId="0" applyFont="1" applyFill="1" applyBorder="1" applyAlignment="1">
      <alignment horizontal="right" vertical="center"/>
    </xf>
    <xf numFmtId="3" fontId="4" fillId="2" borderId="18" xfId="0" applyNumberFormat="1" applyFont="1" applyFill="1" applyBorder="1" applyAlignment="1" applyProtection="1">
      <alignment horizontal="right" vertical="center"/>
    </xf>
    <xf numFmtId="1" fontId="4" fillId="2" borderId="18" xfId="1" applyNumberFormat="1" applyFont="1" applyFill="1" applyBorder="1" applyAlignment="1">
      <alignment horizontal="right" vertical="center"/>
    </xf>
    <xf numFmtId="0" fontId="42" fillId="2" borderId="18" xfId="0" applyFont="1" applyFill="1" applyBorder="1" applyAlignment="1">
      <alignment horizontal="right" vertical="center"/>
    </xf>
    <xf numFmtId="3" fontId="7" fillId="2" borderId="14" xfId="1" applyNumberFormat="1" applyFont="1" applyFill="1" applyBorder="1" applyAlignment="1">
      <alignment horizontal="right" vertical="center"/>
    </xf>
    <xf numFmtId="1" fontId="7" fillId="2" borderId="14" xfId="1" applyNumberFormat="1" applyFont="1" applyFill="1" applyBorder="1" applyAlignment="1">
      <alignment horizontal="right" vertical="center"/>
    </xf>
    <xf numFmtId="3" fontId="7" fillId="2" borderId="9" xfId="0" applyNumberFormat="1" applyFont="1" applyFill="1" applyBorder="1" applyAlignment="1" applyProtection="1">
      <alignment vertical="center"/>
      <protection locked="0"/>
    </xf>
    <xf numFmtId="1" fontId="7" fillId="2" borderId="9" xfId="0" applyNumberFormat="1" applyFont="1" applyFill="1" applyBorder="1" applyAlignment="1">
      <alignment vertical="center"/>
    </xf>
    <xf numFmtId="1" fontId="7" fillId="2" borderId="9" xfId="0" applyNumberFormat="1" applyFont="1" applyFill="1" applyBorder="1" applyAlignment="1">
      <alignment horizontal="right" vertical="center"/>
    </xf>
    <xf numFmtId="3" fontId="7" fillId="2" borderId="19" xfId="0" applyNumberFormat="1" applyFont="1" applyFill="1" applyBorder="1" applyAlignment="1" applyProtection="1">
      <alignment vertical="center"/>
      <protection locked="0"/>
    </xf>
    <xf numFmtId="1" fontId="7" fillId="2" borderId="19" xfId="0" applyNumberFormat="1" applyFont="1" applyFill="1" applyBorder="1" applyAlignment="1">
      <alignment vertical="center"/>
    </xf>
    <xf numFmtId="1" fontId="7" fillId="2" borderId="19" xfId="0" applyNumberFormat="1" applyFont="1" applyFill="1" applyBorder="1" applyAlignment="1">
      <alignment horizontal="right" vertical="center"/>
    </xf>
    <xf numFmtId="0" fontId="43" fillId="2" borderId="19" xfId="0" applyFont="1" applyFill="1" applyBorder="1" applyAlignment="1">
      <alignment horizontal="right" vertical="center"/>
    </xf>
    <xf numFmtId="3" fontId="4" fillId="2" borderId="11" xfId="1" applyNumberFormat="1" applyFont="1" applyFill="1" applyBorder="1" applyAlignment="1">
      <alignment horizontal="right" vertical="center"/>
    </xf>
    <xf numFmtId="1" fontId="4" fillId="2" borderId="11" xfId="1" applyNumberFormat="1" applyFont="1" applyFill="1" applyBorder="1" applyAlignment="1">
      <alignment horizontal="right" vertical="center"/>
    </xf>
    <xf numFmtId="3" fontId="7" fillId="2" borderId="9" xfId="1" applyNumberFormat="1" applyFont="1" applyFill="1" applyBorder="1" applyAlignment="1">
      <alignment vertical="center"/>
    </xf>
    <xf numFmtId="0" fontId="7" fillId="2" borderId="20" xfId="0" applyFont="1" applyFill="1" applyBorder="1" applyAlignment="1" applyProtection="1">
      <alignment horizontal="left" vertical="center"/>
    </xf>
    <xf numFmtId="3" fontId="7" fillId="2" borderId="21" xfId="1" applyNumberFormat="1" applyFont="1" applyFill="1" applyBorder="1" applyAlignment="1">
      <alignment vertical="center"/>
    </xf>
    <xf numFmtId="1" fontId="7" fillId="2" borderId="21" xfId="1" applyNumberFormat="1" applyFont="1" applyFill="1" applyBorder="1" applyAlignment="1">
      <alignment vertical="center"/>
    </xf>
    <xf numFmtId="0" fontId="43" fillId="2" borderId="21" xfId="0" applyFont="1" applyFill="1" applyBorder="1" applyAlignment="1">
      <alignment horizontal="right" vertical="center"/>
    </xf>
    <xf numFmtId="0" fontId="8" fillId="2" borderId="15" xfId="0" applyFont="1" applyFill="1" applyBorder="1" applyAlignment="1" applyProtection="1">
      <alignment horizontal="left" vertical="center"/>
    </xf>
    <xf numFmtId="3" fontId="9" fillId="2" borderId="11" xfId="1" applyNumberFormat="1" applyFont="1" applyFill="1" applyBorder="1" applyAlignment="1">
      <alignment horizontal="right" vertical="center"/>
    </xf>
    <xf numFmtId="0" fontId="7" fillId="2" borderId="11" xfId="0" applyFont="1" applyFill="1" applyBorder="1" applyAlignment="1">
      <alignment vertical="center"/>
    </xf>
    <xf numFmtId="0" fontId="44" fillId="2" borderId="0" xfId="0" applyFont="1" applyFill="1" applyBorder="1" applyAlignment="1">
      <alignment horizontal="right"/>
    </xf>
    <xf numFmtId="0" fontId="6" fillId="2" borderId="16" xfId="0" applyFont="1" applyFill="1" applyBorder="1" applyAlignment="1" applyProtection="1">
      <alignment horizontal="left" vertical="center"/>
    </xf>
    <xf numFmtId="3" fontId="6" fillId="2" borderId="14" xfId="1" applyNumberFormat="1" applyFont="1" applyFill="1" applyBorder="1" applyAlignment="1">
      <alignment horizontal="right" vertical="center"/>
    </xf>
    <xf numFmtId="0" fontId="10" fillId="2" borderId="14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vertical="center"/>
    </xf>
    <xf numFmtId="0" fontId="6" fillId="2" borderId="14" xfId="0" applyFont="1" applyFill="1" applyBorder="1" applyAlignment="1" applyProtection="1">
      <alignment horizontal="left" vertical="center"/>
    </xf>
    <xf numFmtId="0" fontId="6" fillId="2" borderId="16" xfId="0" applyFont="1" applyFill="1" applyBorder="1" applyAlignment="1">
      <alignment vertical="center"/>
    </xf>
    <xf numFmtId="0" fontId="0" fillId="2" borderId="14" xfId="0" applyFill="1" applyBorder="1"/>
    <xf numFmtId="0" fontId="11" fillId="2" borderId="14" xfId="0" applyFont="1" applyFill="1" applyBorder="1" applyAlignment="1">
      <alignment horizontal="right"/>
    </xf>
    <xf numFmtId="1" fontId="6" fillId="2" borderId="14" xfId="0" applyNumberFormat="1" applyFont="1" applyFill="1" applyBorder="1"/>
    <xf numFmtId="0" fontId="6" fillId="2" borderId="14" xfId="0" applyFont="1" applyFill="1" applyBorder="1"/>
    <xf numFmtId="3" fontId="0" fillId="2" borderId="14" xfId="0" applyNumberFormat="1" applyFill="1" applyBorder="1"/>
    <xf numFmtId="1" fontId="0" fillId="2" borderId="14" xfId="0" applyNumberFormat="1" applyFill="1" applyBorder="1"/>
    <xf numFmtId="164" fontId="6" fillId="2" borderId="14" xfId="2" applyNumberFormat="1" applyFont="1" applyFill="1" applyBorder="1" applyAlignment="1" applyProtection="1">
      <alignment horizontal="right" vertical="center"/>
      <protection locked="0"/>
    </xf>
    <xf numFmtId="3" fontId="12" fillId="2" borderId="11" xfId="0" applyNumberFormat="1" applyFont="1" applyFill="1" applyBorder="1" applyAlignment="1" applyProtection="1">
      <alignment horizontal="right" vertical="center"/>
    </xf>
    <xf numFmtId="164" fontId="12" fillId="2" borderId="11" xfId="1" applyNumberFormat="1" applyFont="1" applyFill="1" applyBorder="1" applyAlignment="1" applyProtection="1">
      <alignment horizontal="right" vertical="center"/>
    </xf>
    <xf numFmtId="168" fontId="6" fillId="2" borderId="14" xfId="0" applyNumberFormat="1" applyFont="1" applyFill="1" applyBorder="1"/>
    <xf numFmtId="0" fontId="0" fillId="2" borderId="16" xfId="0" applyFill="1" applyBorder="1"/>
    <xf numFmtId="0" fontId="47" fillId="2" borderId="22" xfId="0" applyFont="1" applyFill="1" applyBorder="1" applyAlignment="1">
      <alignment horizontal="right"/>
    </xf>
    <xf numFmtId="0" fontId="12" fillId="2" borderId="21" xfId="0" applyFont="1" applyFill="1" applyBorder="1" applyAlignment="1">
      <alignment horizontal="right"/>
    </xf>
    <xf numFmtId="0" fontId="4" fillId="2" borderId="16" xfId="0" applyFont="1" applyFill="1" applyBorder="1" applyAlignment="1">
      <alignment horizontal="left" vertical="center"/>
    </xf>
    <xf numFmtId="3" fontId="4" fillId="2" borderId="22" xfId="0" applyNumberFormat="1" applyFont="1" applyFill="1" applyBorder="1" applyAlignment="1">
      <alignment horizontal="right" vertical="center"/>
    </xf>
    <xf numFmtId="0" fontId="42" fillId="2" borderId="2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7" fillId="2" borderId="16" xfId="0" applyFont="1" applyFill="1" applyBorder="1" applyAlignment="1">
      <alignment horizontal="left" vertical="center"/>
    </xf>
    <xf numFmtId="3" fontId="4" fillId="2" borderId="14" xfId="0" applyNumberFormat="1" applyFont="1" applyFill="1" applyBorder="1" applyAlignment="1">
      <alignment horizontal="right" vertical="center"/>
    </xf>
    <xf numFmtId="0" fontId="48" fillId="2" borderId="25" xfId="0" applyFont="1" applyFill="1" applyBorder="1" applyAlignment="1">
      <alignment horizontal="right" vertical="center"/>
    </xf>
    <xf numFmtId="1" fontId="0" fillId="2" borderId="0" xfId="0" applyNumberFormat="1" applyFill="1" applyAlignment="1">
      <alignment horizontal="right" vertical="center"/>
    </xf>
    <xf numFmtId="0" fontId="49" fillId="2" borderId="25" xfId="0" applyFont="1" applyFill="1" applyBorder="1" applyAlignment="1">
      <alignment horizontal="right" vertical="center"/>
    </xf>
    <xf numFmtId="1" fontId="0" fillId="2" borderId="0" xfId="0" applyNumberFormat="1" applyFill="1" applyBorder="1" applyAlignment="1">
      <alignment horizontal="right" vertical="center"/>
    </xf>
    <xf numFmtId="1" fontId="21" fillId="2" borderId="0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7" fillId="2" borderId="20" xfId="0" applyFont="1" applyFill="1" applyBorder="1" applyAlignment="1">
      <alignment horizontal="left" vertical="center"/>
    </xf>
    <xf numFmtId="3" fontId="4" fillId="2" borderId="21" xfId="0" applyNumberFormat="1" applyFont="1" applyFill="1" applyBorder="1" applyAlignment="1">
      <alignment horizontal="right" vertical="center"/>
    </xf>
    <xf numFmtId="0" fontId="48" fillId="2" borderId="21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0" fontId="50" fillId="2" borderId="0" xfId="0" applyFont="1" applyFill="1" applyBorder="1"/>
    <xf numFmtId="0" fontId="7" fillId="2" borderId="0" xfId="0" applyFont="1" applyFill="1" applyBorder="1"/>
    <xf numFmtId="1" fontId="9" fillId="2" borderId="0" xfId="0" applyNumberFormat="1" applyFont="1" applyFill="1" applyBorder="1"/>
    <xf numFmtId="0" fontId="3" fillId="2" borderId="0" xfId="0" applyFont="1" applyFill="1" applyBorder="1"/>
    <xf numFmtId="0" fontId="0" fillId="2" borderId="0" xfId="0" applyFill="1" applyAlignment="1">
      <alignment horizontal="left" vertical="center"/>
    </xf>
    <xf numFmtId="3" fontId="0" fillId="2" borderId="0" xfId="0" applyNumberFormat="1" applyFill="1"/>
    <xf numFmtId="164" fontId="7" fillId="2" borderId="21" xfId="1" applyNumberFormat="1" applyFont="1" applyFill="1" applyBorder="1" applyAlignment="1">
      <alignment horizontal="right" vertical="center"/>
    </xf>
    <xf numFmtId="0" fontId="52" fillId="2" borderId="14" xfId="3" applyFont="1" applyFill="1" applyBorder="1" applyAlignment="1">
      <alignment vertical="center"/>
    </xf>
    <xf numFmtId="0" fontId="53" fillId="2" borderId="14" xfId="3" applyFont="1" applyFill="1" applyBorder="1" applyAlignment="1">
      <alignment vertical="center"/>
    </xf>
    <xf numFmtId="0" fontId="54" fillId="2" borderId="14" xfId="3" applyFont="1" applyFill="1" applyBorder="1" applyAlignment="1">
      <alignment vertical="center"/>
    </xf>
    <xf numFmtId="0" fontId="16" fillId="2" borderId="13" xfId="3" applyFont="1" applyFill="1" applyBorder="1" applyAlignment="1" applyProtection="1">
      <alignment vertical="center"/>
    </xf>
    <xf numFmtId="164" fontId="16" fillId="2" borderId="13" xfId="2" applyNumberFormat="1" applyFont="1" applyFill="1" applyBorder="1" applyAlignment="1" applyProtection="1">
      <alignment horizontal="right" vertical="center"/>
    </xf>
    <xf numFmtId="0" fontId="55" fillId="2" borderId="28" xfId="0" applyFont="1" applyFill="1" applyBorder="1" applyAlignment="1">
      <alignment horizontal="right" vertical="center"/>
    </xf>
    <xf numFmtId="0" fontId="16" fillId="2" borderId="14" xfId="3" applyFont="1" applyFill="1" applyBorder="1" applyAlignment="1">
      <alignment vertical="center"/>
    </xf>
    <xf numFmtId="3" fontId="16" fillId="2" borderId="14" xfId="0" applyNumberFormat="1" applyFont="1" applyFill="1" applyBorder="1" applyAlignment="1">
      <alignment horizontal="right" vertical="center"/>
    </xf>
    <xf numFmtId="164" fontId="16" fillId="2" borderId="14" xfId="4" applyNumberFormat="1" applyFont="1" applyFill="1" applyBorder="1" applyAlignment="1">
      <alignment horizontal="right" vertical="center"/>
    </xf>
    <xf numFmtId="0" fontId="55" fillId="2" borderId="23" xfId="0" applyFont="1" applyFill="1" applyBorder="1" applyAlignment="1">
      <alignment horizontal="right" vertical="center"/>
    </xf>
    <xf numFmtId="0" fontId="15" fillId="2" borderId="16" xfId="0" applyFont="1" applyFill="1" applyBorder="1" applyAlignment="1">
      <alignment horizontal="left" vertical="center"/>
    </xf>
    <xf numFmtId="0" fontId="56" fillId="2" borderId="25" xfId="0" applyFont="1" applyFill="1" applyBorder="1" applyAlignment="1">
      <alignment horizontal="right" vertical="center"/>
    </xf>
    <xf numFmtId="1" fontId="52" fillId="2" borderId="14" xfId="3" applyNumberFormat="1" applyFont="1" applyFill="1" applyBorder="1" applyAlignment="1">
      <alignment vertical="center"/>
    </xf>
    <xf numFmtId="0" fontId="57" fillId="2" borderId="14" xfId="3" applyFont="1" applyFill="1" applyBorder="1" applyAlignment="1">
      <alignment vertical="center"/>
    </xf>
    <xf numFmtId="164" fontId="57" fillId="2" borderId="14" xfId="4" applyNumberFormat="1" applyFont="1" applyFill="1" applyBorder="1" applyAlignment="1">
      <alignment vertical="center"/>
    </xf>
    <xf numFmtId="164" fontId="52" fillId="2" borderId="14" xfId="4" applyNumberFormat="1" applyFont="1" applyFill="1" applyBorder="1" applyAlignment="1">
      <alignment vertical="center"/>
    </xf>
    <xf numFmtId="0" fontId="15" fillId="2" borderId="20" xfId="0" applyFont="1" applyFill="1" applyBorder="1" applyAlignment="1">
      <alignment horizontal="left" vertical="center"/>
    </xf>
    <xf numFmtId="3" fontId="16" fillId="2" borderId="21" xfId="0" applyNumberFormat="1" applyFont="1" applyFill="1" applyBorder="1" applyAlignment="1">
      <alignment horizontal="right" vertical="center"/>
    </xf>
    <xf numFmtId="0" fontId="56" fillId="2" borderId="21" xfId="0" applyFont="1" applyFill="1" applyBorder="1" applyAlignment="1">
      <alignment horizontal="right" vertical="center"/>
    </xf>
    <xf numFmtId="0" fontId="1" fillId="2" borderId="0" xfId="0" applyFont="1" applyFill="1" applyBorder="1"/>
    <xf numFmtId="1" fontId="1" fillId="2" borderId="0" xfId="0" applyNumberFormat="1" applyFont="1" applyFill="1" applyBorder="1"/>
    <xf numFmtId="0" fontId="1" fillId="2" borderId="0" xfId="0" applyFont="1" applyFill="1"/>
    <xf numFmtId="0" fontId="14" fillId="2" borderId="11" xfId="3" applyFont="1" applyFill="1" applyBorder="1" applyAlignment="1">
      <alignment vertical="center"/>
    </xf>
    <xf numFmtId="3" fontId="18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58" fillId="2" borderId="0" xfId="0" applyFont="1" applyFill="1" applyBorder="1" applyAlignment="1">
      <alignment vertical="center"/>
    </xf>
    <xf numFmtId="0" fontId="59" fillId="2" borderId="0" xfId="0" applyFont="1" applyFill="1" applyBorder="1" applyAlignment="1">
      <alignment horizontal="right" vertical="center"/>
    </xf>
    <xf numFmtId="0" fontId="58" fillId="2" borderId="0" xfId="0" applyFont="1" applyFill="1" applyAlignment="1">
      <alignment vertical="center"/>
    </xf>
    <xf numFmtId="0" fontId="60" fillId="2" borderId="0" xfId="0" applyFont="1" applyFill="1"/>
    <xf numFmtId="3" fontId="18" fillId="2" borderId="0" xfId="0" applyNumberFormat="1" applyFont="1" applyFill="1" applyBorder="1"/>
    <xf numFmtId="0" fontId="17" fillId="2" borderId="0" xfId="0" applyFont="1" applyFill="1" applyBorder="1"/>
    <xf numFmtId="0" fontId="17" fillId="2" borderId="14" xfId="3" applyFont="1" applyFill="1" applyBorder="1" applyAlignment="1">
      <alignment vertical="center"/>
    </xf>
    <xf numFmtId="164" fontId="15" fillId="2" borderId="14" xfId="4" applyNumberFormat="1" applyFont="1" applyFill="1" applyBorder="1" applyAlignment="1">
      <alignment horizontal="right" vertical="center"/>
    </xf>
    <xf numFmtId="164" fontId="15" fillId="2" borderId="21" xfId="4" applyNumberFormat="1" applyFont="1" applyFill="1" applyBorder="1" applyAlignment="1">
      <alignment horizontal="right" vertical="center"/>
    </xf>
    <xf numFmtId="0" fontId="16" fillId="2" borderId="13" xfId="3" applyFont="1" applyFill="1" applyBorder="1" applyAlignment="1">
      <alignment vertical="center"/>
    </xf>
    <xf numFmtId="0" fontId="16" fillId="2" borderId="13" xfId="3" applyFont="1" applyFill="1" applyBorder="1" applyAlignment="1">
      <alignment horizontal="right" vertical="center"/>
    </xf>
    <xf numFmtId="0" fontId="16" fillId="2" borderId="13" xfId="3" applyFont="1" applyFill="1" applyBorder="1" applyAlignment="1" applyProtection="1">
      <alignment horizontal="right" vertical="center"/>
    </xf>
    <xf numFmtId="0" fontId="19" fillId="2" borderId="13" xfId="3" applyFont="1" applyFill="1" applyBorder="1" applyAlignment="1">
      <alignment vertical="center"/>
    </xf>
    <xf numFmtId="0" fontId="19" fillId="2" borderId="14" xfId="3" applyFont="1" applyFill="1" applyBorder="1" applyAlignment="1">
      <alignment vertical="center"/>
    </xf>
    <xf numFmtId="165" fontId="16" fillId="2" borderId="14" xfId="1" applyNumberFormat="1" applyFont="1" applyFill="1" applyBorder="1" applyAlignment="1">
      <alignment horizontal="right" vertical="center"/>
    </xf>
    <xf numFmtId="0" fontId="62" fillId="2" borderId="14" xfId="3" applyFont="1" applyFill="1" applyBorder="1" applyAlignment="1">
      <alignment vertical="center"/>
    </xf>
    <xf numFmtId="166" fontId="4" fillId="2" borderId="14" xfId="0" applyNumberFormat="1" applyFont="1" applyFill="1" applyBorder="1" applyAlignment="1">
      <alignment horizontal="right" vertical="center"/>
    </xf>
    <xf numFmtId="167" fontId="62" fillId="2" borderId="14" xfId="3" applyNumberFormat="1" applyFont="1" applyFill="1" applyBorder="1" applyAlignment="1">
      <alignment vertical="center"/>
    </xf>
    <xf numFmtId="165" fontId="4" fillId="2" borderId="14" xfId="1" applyNumberFormat="1" applyFont="1" applyFill="1" applyBorder="1" applyAlignment="1">
      <alignment horizontal="right" vertical="center"/>
    </xf>
    <xf numFmtId="0" fontId="3" fillId="2" borderId="14" xfId="3" applyFont="1" applyFill="1" applyBorder="1" applyAlignment="1">
      <alignment vertical="center"/>
    </xf>
    <xf numFmtId="0" fontId="60" fillId="2" borderId="14" xfId="3" applyFont="1" applyFill="1" applyBorder="1" applyAlignment="1">
      <alignment vertical="center"/>
    </xf>
    <xf numFmtId="0" fontId="14" fillId="2" borderId="11" xfId="3" applyFont="1" applyFill="1" applyBorder="1" applyAlignment="1" applyProtection="1">
      <alignment horizontal="left" vertical="top"/>
    </xf>
    <xf numFmtId="0" fontId="59" fillId="2" borderId="0" xfId="0" applyFont="1" applyFill="1" applyBorder="1" applyAlignment="1">
      <alignment horizontal="right" vertical="top"/>
    </xf>
    <xf numFmtId="0" fontId="17" fillId="2" borderId="14" xfId="3" applyFont="1" applyFill="1" applyBorder="1" applyAlignment="1">
      <alignment vertical="top"/>
    </xf>
    <xf numFmtId="165" fontId="15" fillId="2" borderId="14" xfId="1" applyNumberFormat="1" applyFont="1" applyFill="1" applyBorder="1" applyAlignment="1">
      <alignment horizontal="right" vertical="center"/>
    </xf>
    <xf numFmtId="0" fontId="20" fillId="2" borderId="29" xfId="3" applyFont="1" applyFill="1" applyBorder="1" applyAlignment="1">
      <alignment vertical="center"/>
    </xf>
    <xf numFmtId="0" fontId="21" fillId="2" borderId="14" xfId="0" applyFont="1" applyFill="1" applyBorder="1"/>
    <xf numFmtId="0" fontId="7" fillId="2" borderId="14" xfId="0" applyFont="1" applyFill="1" applyBorder="1"/>
    <xf numFmtId="169" fontId="23" fillId="2" borderId="30" xfId="3" applyNumberFormat="1" applyFont="1" applyFill="1" applyBorder="1" applyAlignment="1">
      <alignment vertical="top" wrapText="1"/>
    </xf>
    <xf numFmtId="169" fontId="23" fillId="2" borderId="31" xfId="3" applyNumberFormat="1" applyFont="1" applyFill="1" applyBorder="1" applyAlignment="1">
      <alignment vertical="top" wrapText="1"/>
    </xf>
    <xf numFmtId="169" fontId="64" fillId="2" borderId="31" xfId="3" applyNumberFormat="1" applyFont="1" applyFill="1" applyBorder="1" applyAlignment="1">
      <alignment horizontal="right" vertical="top" wrapText="1"/>
    </xf>
    <xf numFmtId="169" fontId="22" fillId="2" borderId="33" xfId="3" applyNumberFormat="1" applyFont="1" applyFill="1" applyBorder="1" applyAlignment="1">
      <alignment horizontal="right" vertical="center"/>
    </xf>
    <xf numFmtId="169" fontId="65" fillId="2" borderId="11" xfId="0" applyNumberFormat="1" applyFont="1" applyFill="1" applyBorder="1"/>
    <xf numFmtId="43" fontId="21" fillId="2" borderId="14" xfId="4" applyFont="1" applyFill="1" applyBorder="1"/>
    <xf numFmtId="164" fontId="21" fillId="2" borderId="14" xfId="4" applyNumberFormat="1" applyFont="1" applyFill="1" applyBorder="1"/>
    <xf numFmtId="43" fontId="21" fillId="2" borderId="34" xfId="4" applyFont="1" applyFill="1" applyBorder="1"/>
    <xf numFmtId="43" fontId="66" fillId="2" borderId="34" xfId="4" applyFont="1" applyFill="1" applyBorder="1" applyAlignment="1">
      <alignment vertical="center" textRotation="90"/>
    </xf>
    <xf numFmtId="164" fontId="23" fillId="2" borderId="14" xfId="4" applyNumberFormat="1" applyFont="1" applyFill="1" applyBorder="1" applyAlignment="1">
      <alignment horizontal="right" vertical="center"/>
    </xf>
    <xf numFmtId="169" fontId="21" fillId="2" borderId="14" xfId="3" applyNumberFormat="1" applyFont="1" applyFill="1" applyBorder="1" applyAlignment="1" applyProtection="1">
      <alignment horizontal="left" vertical="center"/>
    </xf>
    <xf numFmtId="43" fontId="21" fillId="2" borderId="14" xfId="4" applyFont="1" applyFill="1" applyBorder="1" applyAlignment="1" applyProtection="1">
      <alignment horizontal="right" vertical="center"/>
    </xf>
    <xf numFmtId="165" fontId="21" fillId="2" borderId="14" xfId="4" applyNumberFormat="1" applyFont="1" applyFill="1" applyBorder="1" applyAlignment="1">
      <alignment horizontal="left" vertical="center" indent="7"/>
    </xf>
    <xf numFmtId="164" fontId="67" fillId="2" borderId="14" xfId="4" applyNumberFormat="1" applyFont="1" applyFill="1" applyBorder="1" applyAlignment="1">
      <alignment horizontal="right" vertical="center"/>
    </xf>
    <xf numFmtId="0" fontId="7" fillId="2" borderId="25" xfId="0" applyFont="1" applyFill="1" applyBorder="1"/>
    <xf numFmtId="0" fontId="7" fillId="2" borderId="16" xfId="0" applyFont="1" applyFill="1" applyBorder="1"/>
    <xf numFmtId="0" fontId="7" fillId="2" borderId="26" xfId="0" applyFont="1" applyFill="1" applyBorder="1"/>
    <xf numFmtId="169" fontId="22" fillId="2" borderId="14" xfId="3" applyNumberFormat="1" applyFont="1" applyFill="1" applyBorder="1" applyAlignment="1" applyProtection="1">
      <alignment horizontal="left" vertical="center"/>
    </xf>
    <xf numFmtId="43" fontId="2" fillId="2" borderId="14" xfId="4" applyFont="1" applyFill="1" applyBorder="1" applyAlignment="1">
      <alignment horizontal="right" vertical="center"/>
    </xf>
    <xf numFmtId="164" fontId="22" fillId="2" borderId="14" xfId="4" applyNumberFormat="1" applyFont="1" applyFill="1" applyBorder="1" applyAlignment="1">
      <alignment horizontal="right" vertical="center"/>
    </xf>
    <xf numFmtId="164" fontId="22" fillId="2" borderId="14" xfId="4" applyNumberFormat="1" applyFont="1" applyFill="1" applyBorder="1" applyAlignment="1">
      <alignment horizontal="left" vertical="center" indent="7"/>
    </xf>
    <xf numFmtId="169" fontId="68" fillId="2" borderId="14" xfId="3" applyNumberFormat="1" applyFont="1" applyFill="1" applyBorder="1" applyAlignment="1" applyProtection="1">
      <alignment horizontal="left" vertical="center"/>
    </xf>
    <xf numFmtId="43" fontId="21" fillId="2" borderId="14" xfId="4" applyFont="1" applyFill="1" applyBorder="1" applyAlignment="1">
      <alignment horizontal="right" vertical="center"/>
    </xf>
    <xf numFmtId="164" fontId="21" fillId="2" borderId="14" xfId="4" applyNumberFormat="1" applyFont="1" applyFill="1" applyBorder="1" applyAlignment="1">
      <alignment horizontal="right" vertical="center"/>
    </xf>
    <xf numFmtId="165" fontId="21" fillId="2" borderId="34" xfId="4" applyNumberFormat="1" applyFont="1" applyFill="1" applyBorder="1" applyAlignment="1">
      <alignment horizontal="left" vertical="center" indent="7"/>
    </xf>
    <xf numFmtId="165" fontId="66" fillId="2" borderId="34" xfId="4" applyNumberFormat="1" applyFont="1" applyFill="1" applyBorder="1" applyAlignment="1">
      <alignment horizontal="left" vertical="center" indent="7"/>
    </xf>
    <xf numFmtId="164" fontId="7" fillId="2" borderId="14" xfId="0" applyNumberFormat="1" applyFont="1" applyFill="1" applyBorder="1"/>
    <xf numFmtId="169" fontId="22" fillId="2" borderId="21" xfId="3" applyNumberFormat="1" applyFont="1" applyFill="1" applyBorder="1" applyAlignment="1" applyProtection="1">
      <alignment horizontal="left" vertical="center"/>
    </xf>
    <xf numFmtId="43" fontId="2" fillId="2" borderId="21" xfId="4" applyFont="1" applyFill="1" applyBorder="1" applyAlignment="1">
      <alignment horizontal="right" vertical="center"/>
    </xf>
    <xf numFmtId="164" fontId="22" fillId="2" borderId="21" xfId="4" applyNumberFormat="1" applyFont="1" applyFill="1" applyBorder="1" applyAlignment="1">
      <alignment horizontal="right" vertical="center"/>
    </xf>
    <xf numFmtId="164" fontId="22" fillId="2" borderId="21" xfId="4" applyNumberFormat="1" applyFont="1" applyFill="1" applyBorder="1" applyAlignment="1">
      <alignment horizontal="left" vertical="center" indent="7"/>
    </xf>
    <xf numFmtId="164" fontId="23" fillId="2" borderId="21" xfId="4" applyNumberFormat="1" applyFont="1" applyFill="1" applyBorder="1" applyAlignment="1">
      <alignment horizontal="right" vertical="center"/>
    </xf>
    <xf numFmtId="0" fontId="8" fillId="2" borderId="15" xfId="0" applyFont="1" applyFill="1" applyBorder="1" applyAlignment="1" applyProtection="1">
      <alignment horizontal="left" vertical="top"/>
    </xf>
    <xf numFmtId="43" fontId="2" fillId="2" borderId="0" xfId="4" applyFont="1" applyFill="1" applyBorder="1"/>
    <xf numFmtId="43" fontId="22" fillId="2" borderId="0" xfId="4" applyFont="1" applyFill="1" applyBorder="1"/>
    <xf numFmtId="0" fontId="10" fillId="2" borderId="0" xfId="0" applyFont="1" applyFill="1" applyBorder="1" applyAlignment="1">
      <alignment horizontal="right" vertical="top"/>
    </xf>
    <xf numFmtId="0" fontId="7" fillId="2" borderId="29" xfId="0" applyFont="1" applyFill="1" applyBorder="1"/>
    <xf numFmtId="43" fontId="7" fillId="2" borderId="14" xfId="4" applyFont="1" applyFill="1" applyBorder="1"/>
    <xf numFmtId="169" fontId="15" fillId="2" borderId="14" xfId="0" applyNumberFormat="1" applyFont="1" applyFill="1" applyBorder="1"/>
    <xf numFmtId="0" fontId="25" fillId="2" borderId="29" xfId="3" applyFont="1" applyFill="1" applyBorder="1" applyAlignment="1">
      <alignment vertical="center"/>
    </xf>
    <xf numFmtId="169" fontId="58" fillId="2" borderId="14" xfId="0" applyNumberFormat="1" applyFont="1" applyFill="1" applyBorder="1"/>
    <xf numFmtId="0" fontId="16" fillId="2" borderId="1" xfId="0" applyFont="1" applyFill="1" applyBorder="1" applyAlignment="1">
      <alignment horizontal="right" vertical="center" wrapText="1"/>
    </xf>
    <xf numFmtId="169" fontId="16" fillId="2" borderId="11" xfId="3" applyNumberFormat="1" applyFont="1" applyFill="1" applyBorder="1" applyAlignment="1" applyProtection="1">
      <alignment horizontal="left" vertical="center" wrapText="1"/>
    </xf>
    <xf numFmtId="169" fontId="16" fillId="2" borderId="11" xfId="0" applyNumberFormat="1" applyFont="1" applyFill="1" applyBorder="1"/>
    <xf numFmtId="0" fontId="71" fillId="2" borderId="28" xfId="3" applyFont="1" applyFill="1" applyBorder="1" applyAlignment="1">
      <alignment horizontal="right" vertical="center" wrapText="1" readingOrder="2"/>
    </xf>
    <xf numFmtId="169" fontId="16" fillId="2" borderId="14" xfId="0" applyNumberFormat="1" applyFont="1" applyFill="1" applyBorder="1"/>
    <xf numFmtId="169" fontId="15" fillId="2" borderId="14" xfId="3" applyNumberFormat="1" applyFont="1" applyFill="1" applyBorder="1" applyAlignment="1" applyProtection="1">
      <alignment horizontal="left" vertical="center"/>
    </xf>
    <xf numFmtId="169" fontId="56" fillId="2" borderId="14" xfId="3" applyNumberFormat="1" applyFont="1" applyFill="1" applyBorder="1" applyAlignment="1" applyProtection="1">
      <alignment horizontal="right" vertical="center" readingOrder="2"/>
    </xf>
    <xf numFmtId="169" fontId="15" fillId="2" borderId="16" xfId="0" applyNumberFormat="1" applyFont="1" applyFill="1" applyBorder="1" applyAlignment="1">
      <alignment horizontal="left" vertical="center"/>
    </xf>
    <xf numFmtId="169" fontId="15" fillId="2" borderId="14" xfId="0" applyNumberFormat="1" applyFont="1" applyFill="1" applyBorder="1" applyAlignment="1">
      <alignment horizontal="left" vertical="center"/>
    </xf>
    <xf numFmtId="169" fontId="15" fillId="2" borderId="14" xfId="0" applyNumberFormat="1" applyFont="1" applyFill="1" applyBorder="1" applyAlignment="1">
      <alignment horizontal="right" vertical="center"/>
    </xf>
    <xf numFmtId="169" fontId="16" fillId="2" borderId="39" xfId="3" applyNumberFormat="1" applyFont="1" applyFill="1" applyBorder="1" applyAlignment="1" applyProtection="1">
      <alignment horizontal="left" vertical="center"/>
    </xf>
    <xf numFmtId="169" fontId="71" fillId="2" borderId="39" xfId="3" applyNumberFormat="1" applyFont="1" applyFill="1" applyBorder="1" applyAlignment="1" applyProtection="1">
      <alignment horizontal="right" vertical="center" readingOrder="2"/>
    </xf>
    <xf numFmtId="169" fontId="15" fillId="2" borderId="16" xfId="0" applyNumberFormat="1" applyFont="1" applyFill="1" applyBorder="1"/>
    <xf numFmtId="0" fontId="14" fillId="2" borderId="15" xfId="0" applyFont="1" applyFill="1" applyBorder="1" applyAlignment="1" applyProtection="1">
      <alignment horizontal="left" vertical="center"/>
    </xf>
    <xf numFmtId="169" fontId="15" fillId="2" borderId="11" xfId="0" applyNumberFormat="1" applyFont="1" applyFill="1" applyBorder="1"/>
    <xf numFmtId="43" fontId="15" fillId="2" borderId="11" xfId="4" applyFont="1" applyFill="1" applyBorder="1"/>
    <xf numFmtId="0" fontId="30" fillId="2" borderId="0" xfId="0" applyFont="1" applyFill="1" applyBorder="1" applyAlignment="1">
      <alignment horizontal="right" vertical="center"/>
    </xf>
    <xf numFmtId="164" fontId="15" fillId="2" borderId="25" xfId="5" applyNumberFormat="1" applyFont="1" applyFill="1" applyBorder="1" applyAlignment="1">
      <alignment horizontal="right" vertical="center"/>
    </xf>
    <xf numFmtId="0" fontId="41" fillId="2" borderId="8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41" xfId="0" applyFont="1" applyFill="1" applyBorder="1" applyAlignment="1" applyProtection="1">
      <alignment horizontal="center" vertical="center"/>
    </xf>
    <xf numFmtId="0" fontId="42" fillId="2" borderId="42" xfId="0" applyFon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164" fontId="7" fillId="2" borderId="14" xfId="4" applyNumberFormat="1" applyFont="1" applyFill="1" applyBorder="1" applyAlignment="1">
      <alignment horizontal="right" vertical="center"/>
    </xf>
    <xf numFmtId="167" fontId="15" fillId="2" borderId="14" xfId="1" applyNumberFormat="1" applyFont="1" applyFill="1" applyBorder="1" applyAlignment="1">
      <alignment horizontal="right" vertical="center"/>
    </xf>
    <xf numFmtId="167" fontId="7" fillId="2" borderId="14" xfId="1" applyNumberFormat="1" applyFont="1" applyFill="1" applyBorder="1" applyAlignment="1">
      <alignment horizontal="right" vertical="center"/>
    </xf>
    <xf numFmtId="167" fontId="15" fillId="2" borderId="21" xfId="1" applyNumberFormat="1" applyFont="1" applyFill="1" applyBorder="1" applyAlignment="1">
      <alignment horizontal="right" vertical="center"/>
    </xf>
    <xf numFmtId="0" fontId="17" fillId="2" borderId="11" xfId="3" applyFont="1" applyFill="1" applyBorder="1" applyAlignment="1">
      <alignment vertical="center"/>
    </xf>
    <xf numFmtId="165" fontId="16" fillId="2" borderId="21" xfId="1" applyNumberFormat="1" applyFont="1" applyFill="1" applyBorder="1" applyAlignment="1">
      <alignment horizontal="right" vertical="center"/>
    </xf>
    <xf numFmtId="0" fontId="0" fillId="2" borderId="0" xfId="0" applyFill="1"/>
    <xf numFmtId="0" fontId="0" fillId="2" borderId="0" xfId="0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3" fillId="2" borderId="0" xfId="3" applyFont="1" applyFill="1" applyAlignment="1">
      <alignment vertical="center"/>
    </xf>
    <xf numFmtId="0" fontId="14" fillId="2" borderId="0" xfId="0" applyFont="1" applyFill="1" applyAlignment="1"/>
    <xf numFmtId="0" fontId="73" fillId="2" borderId="0" xfId="0" applyFont="1" applyFill="1" applyAlignment="1"/>
    <xf numFmtId="0" fontId="72" fillId="2" borderId="0" xfId="0" applyFont="1" applyFill="1" applyAlignment="1"/>
    <xf numFmtId="0" fontId="0" fillId="2" borderId="0" xfId="0" applyFill="1" applyAlignment="1"/>
    <xf numFmtId="43" fontId="0" fillId="2" borderId="0" xfId="0" applyNumberFormat="1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72" fillId="2" borderId="0" xfId="0" applyFont="1" applyFill="1" applyAlignment="1"/>
    <xf numFmtId="0" fontId="15" fillId="2" borderId="0" xfId="0" applyFont="1" applyFill="1" applyBorder="1" applyAlignment="1">
      <alignment horizontal="left"/>
    </xf>
    <xf numFmtId="43" fontId="15" fillId="2" borderId="0" xfId="1" applyFont="1" applyFill="1" applyBorder="1" applyAlignment="1">
      <alignment horizontal="center"/>
    </xf>
    <xf numFmtId="0" fontId="15" fillId="2" borderId="0" xfId="0" applyFont="1" applyFill="1" applyBorder="1"/>
    <xf numFmtId="0" fontId="16" fillId="2" borderId="0" xfId="0" applyFont="1" applyFill="1" applyBorder="1" applyAlignment="1"/>
    <xf numFmtId="43" fontId="15" fillId="2" borderId="0" xfId="1" applyFont="1" applyFill="1" applyBorder="1" applyAlignment="1">
      <alignment horizontal="left"/>
    </xf>
    <xf numFmtId="0" fontId="14" fillId="2" borderId="0" xfId="0" applyFont="1" applyFill="1" applyBorder="1" applyAlignment="1">
      <alignment vertical="center"/>
    </xf>
    <xf numFmtId="43" fontId="16" fillId="2" borderId="2" xfId="1" applyFont="1" applyFill="1" applyBorder="1" applyAlignment="1">
      <alignment horizontal="right" vertical="center"/>
    </xf>
    <xf numFmtId="43" fontId="15" fillId="2" borderId="1" xfId="1" applyFont="1" applyFill="1" applyBorder="1" applyAlignment="1">
      <alignment horizontal="left"/>
    </xf>
    <xf numFmtId="37" fontId="0" fillId="2" borderId="0" xfId="1" applyNumberFormat="1" applyFont="1" applyFill="1" applyAlignment="1">
      <alignment horizontal="center" vertical="center"/>
    </xf>
    <xf numFmtId="37" fontId="0" fillId="2" borderId="0" xfId="1" applyNumberFormat="1" applyFont="1" applyFill="1" applyBorder="1" applyAlignment="1">
      <alignment horizontal="center" vertical="center"/>
    </xf>
    <xf numFmtId="37" fontId="0" fillId="2" borderId="1" xfId="1" applyNumberFormat="1" applyFont="1" applyFill="1" applyBorder="1" applyAlignment="1">
      <alignment horizontal="center" vertical="center"/>
    </xf>
    <xf numFmtId="37" fontId="16" fillId="2" borderId="0" xfId="1" applyNumberFormat="1" applyFont="1" applyFill="1" applyBorder="1" applyAlignment="1">
      <alignment horizontal="right" vertical="center"/>
    </xf>
    <xf numFmtId="37" fontId="15" fillId="2" borderId="0" xfId="1" applyNumberFormat="1" applyFont="1" applyFill="1" applyBorder="1" applyAlignment="1">
      <alignment horizontal="right"/>
    </xf>
    <xf numFmtId="37" fontId="15" fillId="2" borderId="1" xfId="1" applyNumberFormat="1" applyFont="1" applyFill="1" applyBorder="1" applyAlignment="1">
      <alignment horizontal="right"/>
    </xf>
    <xf numFmtId="169" fontId="16" fillId="2" borderId="42" xfId="0" applyNumberFormat="1" applyFont="1" applyFill="1" applyBorder="1"/>
    <xf numFmtId="43" fontId="15" fillId="2" borderId="0" xfId="4" applyFont="1" applyFill="1" applyBorder="1"/>
    <xf numFmtId="169" fontId="16" fillId="2" borderId="33" xfId="3" applyNumberFormat="1" applyFont="1" applyFill="1" applyBorder="1" applyAlignment="1" applyProtection="1">
      <alignment horizontal="right" vertical="center" wrapText="1"/>
    </xf>
    <xf numFmtId="164" fontId="15" fillId="2" borderId="14" xfId="5" applyNumberFormat="1" applyFont="1" applyFill="1" applyBorder="1" applyAlignment="1">
      <alignment horizontal="right" vertical="center"/>
    </xf>
    <xf numFmtId="164" fontId="16" fillId="2" borderId="39" xfId="4" applyNumberFormat="1" applyFont="1" applyFill="1" applyBorder="1" applyAlignment="1">
      <alignment horizontal="right" vertical="center"/>
    </xf>
    <xf numFmtId="164" fontId="16" fillId="2" borderId="21" xfId="4" applyNumberFormat="1" applyFont="1" applyFill="1" applyBorder="1" applyAlignment="1">
      <alignment horizontal="right" vertical="center"/>
    </xf>
    <xf numFmtId="164" fontId="15" fillId="2" borderId="16" xfId="5" applyNumberFormat="1" applyFont="1" applyFill="1" applyBorder="1" applyAlignment="1">
      <alignment horizontal="right" vertical="center"/>
    </xf>
    <xf numFmtId="169" fontId="16" fillId="2" borderId="1" xfId="3" applyNumberFormat="1" applyFont="1" applyFill="1" applyBorder="1" applyAlignment="1" applyProtection="1">
      <alignment horizontal="right" vertical="center" wrapText="1"/>
    </xf>
    <xf numFmtId="169" fontId="70" fillId="2" borderId="45" xfId="3" applyNumberFormat="1" applyFont="1" applyFill="1" applyBorder="1" applyAlignment="1" applyProtection="1">
      <alignment horizontal="right" vertical="center" wrapText="1" readingOrder="2"/>
    </xf>
    <xf numFmtId="0" fontId="71" fillId="2" borderId="46" xfId="3" applyFont="1" applyFill="1" applyBorder="1" applyAlignment="1">
      <alignment horizontal="right" vertical="center" wrapText="1" readingOrder="2"/>
    </xf>
    <xf numFmtId="0" fontId="41" fillId="2" borderId="7" xfId="0" applyFont="1" applyFill="1" applyBorder="1" applyAlignment="1">
      <alignment horizontal="center"/>
    </xf>
    <xf numFmtId="0" fontId="41" fillId="2" borderId="8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5" fillId="2" borderId="23" xfId="0" applyFont="1" applyFill="1" applyBorder="1" applyAlignment="1">
      <alignment horizontal="right" vertical="center"/>
    </xf>
    <xf numFmtId="0" fontId="47" fillId="2" borderId="24" xfId="0" applyFont="1" applyFill="1" applyBorder="1" applyAlignment="1">
      <alignment horizontal="right" vertical="center"/>
    </xf>
    <xf numFmtId="0" fontId="51" fillId="2" borderId="25" xfId="3" applyFont="1" applyFill="1" applyBorder="1" applyAlignment="1">
      <alignment horizontal="center" vertical="center"/>
    </xf>
    <xf numFmtId="0" fontId="51" fillId="2" borderId="26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center"/>
    </xf>
    <xf numFmtId="0" fontId="2" fillId="2" borderId="25" xfId="3" applyFont="1" applyFill="1" applyBorder="1" applyAlignment="1" applyProtection="1">
      <alignment horizontal="center" vertical="center"/>
    </xf>
    <xf numFmtId="0" fontId="2" fillId="2" borderId="26" xfId="3" applyFont="1" applyFill="1" applyBorder="1" applyAlignment="1" applyProtection="1">
      <alignment horizontal="center" vertical="center"/>
    </xf>
    <xf numFmtId="0" fontId="2" fillId="2" borderId="16" xfId="3" applyFont="1" applyFill="1" applyBorder="1" applyAlignment="1" applyProtection="1">
      <alignment horizontal="center" vertical="center"/>
    </xf>
    <xf numFmtId="0" fontId="2" fillId="2" borderId="24" xfId="3" applyFont="1" applyFill="1" applyBorder="1" applyAlignment="1" applyProtection="1">
      <alignment horizontal="center" vertical="top"/>
    </xf>
    <xf numFmtId="0" fontId="2" fillId="2" borderId="27" xfId="3" applyFont="1" applyFill="1" applyBorder="1" applyAlignment="1" applyProtection="1">
      <alignment horizontal="center" vertical="top"/>
    </xf>
    <xf numFmtId="0" fontId="2" fillId="2" borderId="20" xfId="3" applyFont="1" applyFill="1" applyBorder="1" applyAlignment="1" applyProtection="1">
      <alignment horizontal="center" vertical="top"/>
    </xf>
    <xf numFmtId="0" fontId="16" fillId="2" borderId="25" xfId="3" applyFont="1" applyFill="1" applyBorder="1" applyAlignment="1" applyProtection="1">
      <alignment horizontal="center" vertical="center"/>
    </xf>
    <xf numFmtId="0" fontId="16" fillId="2" borderId="26" xfId="3" applyFont="1" applyFill="1" applyBorder="1" applyAlignment="1" applyProtection="1">
      <alignment horizontal="center" vertical="center"/>
    </xf>
    <xf numFmtId="0" fontId="16" fillId="2" borderId="16" xfId="3" applyFont="1" applyFill="1" applyBorder="1" applyAlignment="1" applyProtection="1">
      <alignment horizontal="center" vertical="center"/>
    </xf>
    <xf numFmtId="0" fontId="61" fillId="2" borderId="24" xfId="3" applyFont="1" applyFill="1" applyBorder="1" applyAlignment="1" applyProtection="1">
      <alignment horizontal="center" vertical="center"/>
    </xf>
    <xf numFmtId="0" fontId="61" fillId="2" borderId="27" xfId="3" applyFont="1" applyFill="1" applyBorder="1" applyAlignment="1" applyProtection="1">
      <alignment horizontal="center" vertical="center"/>
    </xf>
    <xf numFmtId="0" fontId="61" fillId="2" borderId="20" xfId="3" applyFont="1" applyFill="1" applyBorder="1" applyAlignment="1" applyProtection="1">
      <alignment horizontal="center" vertical="center"/>
    </xf>
    <xf numFmtId="0" fontId="63" fillId="2" borderId="29" xfId="3" applyFont="1" applyFill="1" applyBorder="1" applyAlignment="1">
      <alignment horizontal="center" vertical="center"/>
    </xf>
    <xf numFmtId="169" fontId="13" fillId="2" borderId="24" xfId="3" applyNumberFormat="1" applyFont="1" applyFill="1" applyBorder="1" applyAlignment="1">
      <alignment horizontal="center" vertical="top" wrapText="1"/>
    </xf>
    <xf numFmtId="169" fontId="13" fillId="2" borderId="27" xfId="3" applyNumberFormat="1" applyFont="1" applyFill="1" applyBorder="1" applyAlignment="1">
      <alignment horizontal="center" vertical="top" wrapText="1"/>
    </xf>
    <xf numFmtId="169" fontId="13" fillId="2" borderId="20" xfId="3" applyNumberFormat="1" applyFont="1" applyFill="1" applyBorder="1" applyAlignment="1">
      <alignment horizontal="center" vertical="top" wrapText="1"/>
    </xf>
    <xf numFmtId="169" fontId="22" fillId="2" borderId="28" xfId="3" applyNumberFormat="1" applyFont="1" applyFill="1" applyBorder="1" applyAlignment="1">
      <alignment horizontal="left" vertical="center"/>
    </xf>
    <xf numFmtId="169" fontId="22" fillId="2" borderId="33" xfId="3" applyNumberFormat="1" applyFont="1" applyFill="1" applyBorder="1" applyAlignment="1">
      <alignment horizontal="left" vertical="center"/>
    </xf>
    <xf numFmtId="169" fontId="23" fillId="2" borderId="32" xfId="3" applyNumberFormat="1" applyFont="1" applyFill="1" applyBorder="1" applyAlignment="1">
      <alignment horizontal="right" vertical="center" wrapText="1"/>
    </xf>
    <xf numFmtId="169" fontId="23" fillId="2" borderId="10" xfId="3" applyNumberFormat="1" applyFont="1" applyFill="1" applyBorder="1" applyAlignment="1">
      <alignment horizontal="right" vertical="center" wrapText="1"/>
    </xf>
    <xf numFmtId="0" fontId="25" fillId="2" borderId="29" xfId="3" applyFont="1" applyFill="1" applyBorder="1" applyAlignment="1">
      <alignment horizontal="center" vertical="center"/>
    </xf>
    <xf numFmtId="0" fontId="25" fillId="2" borderId="15" xfId="3" applyFont="1" applyFill="1" applyBorder="1" applyAlignment="1">
      <alignment horizontal="center" vertical="center"/>
    </xf>
    <xf numFmtId="169" fontId="69" fillId="2" borderId="24" xfId="3" applyNumberFormat="1" applyFont="1" applyFill="1" applyBorder="1" applyAlignment="1">
      <alignment horizontal="center" vertical="center" wrapText="1"/>
    </xf>
    <xf numFmtId="169" fontId="69" fillId="2" borderId="27" xfId="3" applyNumberFormat="1" applyFont="1" applyFill="1" applyBorder="1" applyAlignment="1">
      <alignment horizontal="center" vertical="center" wrapText="1"/>
    </xf>
    <xf numFmtId="169" fontId="69" fillId="2" borderId="20" xfId="3" applyNumberFormat="1" applyFont="1" applyFill="1" applyBorder="1" applyAlignment="1">
      <alignment horizontal="center" vertical="center" wrapText="1"/>
    </xf>
    <xf numFmtId="169" fontId="16" fillId="2" borderId="35" xfId="3" applyNumberFormat="1" applyFont="1" applyFill="1" applyBorder="1" applyAlignment="1">
      <alignment horizontal="left" vertical="center"/>
    </xf>
    <xf numFmtId="169" fontId="16" fillId="2" borderId="37" xfId="3" applyNumberFormat="1" applyFont="1" applyFill="1" applyBorder="1" applyAlignment="1">
      <alignment horizontal="left" vertical="center"/>
    </xf>
    <xf numFmtId="169" fontId="70" fillId="2" borderId="43" xfId="3" applyNumberFormat="1" applyFont="1" applyFill="1" applyBorder="1" applyAlignment="1" applyProtection="1">
      <alignment horizontal="right" vertical="center" wrapText="1" readingOrder="2"/>
    </xf>
    <xf numFmtId="169" fontId="70" fillId="2" borderId="44" xfId="3" applyNumberFormat="1" applyFont="1" applyFill="1" applyBorder="1" applyAlignment="1" applyProtection="1">
      <alignment horizontal="right" vertical="center" wrapText="1" readingOrder="2"/>
    </xf>
    <xf numFmtId="0" fontId="26" fillId="2" borderId="36" xfId="3" applyFont="1" applyFill="1" applyBorder="1" applyAlignment="1">
      <alignment horizontal="right" vertical="center"/>
    </xf>
    <xf numFmtId="0" fontId="26" fillId="2" borderId="1" xfId="3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 wrapText="1"/>
    </xf>
    <xf numFmtId="169" fontId="14" fillId="2" borderId="23" xfId="0" applyNumberFormat="1" applyFont="1" applyFill="1" applyBorder="1" applyAlignment="1">
      <alignment horizontal="left" vertical="center" wrapText="1"/>
    </xf>
    <xf numFmtId="169" fontId="14" fillId="2" borderId="40" xfId="0" applyNumberFormat="1" applyFont="1" applyFill="1" applyBorder="1" applyAlignment="1">
      <alignment horizontal="left" vertical="center" wrapText="1"/>
    </xf>
    <xf numFmtId="169" fontId="14" fillId="2" borderId="38" xfId="0" applyNumberFormat="1" applyFont="1" applyFill="1" applyBorder="1" applyAlignment="1">
      <alignment horizontal="left" vertical="center" wrapText="1"/>
    </xf>
    <xf numFmtId="169" fontId="72" fillId="2" borderId="35" xfId="3" applyNumberFormat="1" applyFont="1" applyFill="1" applyBorder="1" applyAlignment="1" applyProtection="1">
      <alignment horizontal="right" vertical="center" wrapText="1" readingOrder="2"/>
    </xf>
    <xf numFmtId="169" fontId="72" fillId="2" borderId="36" xfId="3" applyNumberFormat="1" applyFont="1" applyFill="1" applyBorder="1" applyAlignment="1" applyProtection="1">
      <alignment horizontal="right" vertical="center" wrapText="1" readingOrder="2"/>
    </xf>
    <xf numFmtId="3" fontId="16" fillId="2" borderId="23" xfId="3" applyNumberFormat="1" applyFont="1" applyFill="1" applyBorder="1" applyAlignment="1">
      <alignment horizontal="center"/>
    </xf>
    <xf numFmtId="3" fontId="16" fillId="2" borderId="38" xfId="3" applyNumberFormat="1" applyFont="1" applyFill="1" applyBorder="1" applyAlignment="1">
      <alignment horizontal="center"/>
    </xf>
    <xf numFmtId="164" fontId="16" fillId="2" borderId="39" xfId="4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1" xfId="3" applyFont="1" applyFill="1" applyBorder="1" applyAlignment="1">
      <alignment horizontal="right" vertical="center" wrapText="1"/>
    </xf>
    <xf numFmtId="0" fontId="28" fillId="2" borderId="1" xfId="3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center" vertical="center"/>
    </xf>
    <xf numFmtId="0" fontId="22" fillId="2" borderId="0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right" vertical="center"/>
    </xf>
    <xf numFmtId="0" fontId="22" fillId="2" borderId="0" xfId="3" applyFont="1" applyFill="1" applyBorder="1" applyAlignment="1">
      <alignment horizontal="center" vertical="center" wrapText="1"/>
    </xf>
    <xf numFmtId="0" fontId="34" fillId="2" borderId="0" xfId="3" applyFont="1" applyFill="1" applyAlignment="1">
      <alignment horizontal="center" vertical="center"/>
    </xf>
    <xf numFmtId="0" fontId="5" fillId="2" borderId="0" xfId="6" applyFont="1" applyFill="1" applyBorder="1" applyAlignment="1">
      <alignment horizontal="center"/>
    </xf>
    <xf numFmtId="0" fontId="5" fillId="2" borderId="0" xfId="3" applyFont="1" applyFill="1" applyBorder="1" applyAlignment="1">
      <alignment horizontal="center" vertical="center"/>
    </xf>
    <xf numFmtId="0" fontId="10" fillId="2" borderId="0" xfId="6" applyFont="1" applyFill="1" applyAlignment="1">
      <alignment horizontal="right"/>
    </xf>
    <xf numFmtId="0" fontId="4" fillId="2" borderId="0" xfId="6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 vertical="center"/>
    </xf>
    <xf numFmtId="0" fontId="4" fillId="2" borderId="0" xfId="6" applyFont="1" applyFill="1" applyBorder="1" applyAlignment="1">
      <alignment horizontal="center" wrapText="1"/>
    </xf>
    <xf numFmtId="0" fontId="23" fillId="2" borderId="0" xfId="3" applyFont="1" applyFill="1" applyAlignment="1">
      <alignment horizontal="center" vertical="center"/>
    </xf>
    <xf numFmtId="0" fontId="20" fillId="2" borderId="0" xfId="3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 vertical="top"/>
    </xf>
    <xf numFmtId="0" fontId="22" fillId="2" borderId="1" xfId="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49" fillId="2" borderId="0" xfId="3" applyFont="1" applyFill="1" applyAlignment="1">
      <alignment horizontal="center" vertical="center"/>
    </xf>
    <xf numFmtId="0" fontId="69" fillId="2" borderId="0" xfId="0" applyFont="1" applyFill="1" applyBorder="1" applyAlignment="1">
      <alignment horizontal="center" vertical="top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200">
                <a:latin typeface="Candara" pitchFamily="34" charset="0"/>
                <a:cs typeface="Consolas" pitchFamily="49" charset="0"/>
              </a:defRPr>
            </a:pPr>
            <a:r>
              <a:rPr lang="en-US" sz="1200">
                <a:latin typeface="Candara" pitchFamily="34" charset="0"/>
                <a:cs typeface="Consolas" pitchFamily="49" charset="0"/>
              </a:rPr>
              <a:t>Figure 12.1   Electricity production, Male', 2009 - 2015</a:t>
            </a:r>
          </a:p>
        </c:rich>
      </c:tx>
      <c:layout>
        <c:manualLayout>
          <c:xMode val="edge"/>
          <c:yMode val="edge"/>
          <c:x val="0.28436649964209021"/>
          <c:y val="2.8127941845749092E-2"/>
        </c:manualLayout>
      </c:layout>
      <c:overlay val="0"/>
    </c:title>
    <c:autoTitleDeleted val="0"/>
    <c:view3D>
      <c:rotX val="0"/>
      <c:rotY val="0"/>
      <c:rAngAx val="0"/>
      <c:perspective val="0"/>
    </c:view3D>
    <c:floor>
      <c:thickness val="0"/>
    </c:floor>
    <c:sideWall>
      <c:thickness val="0"/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sideWall>
    <c:backWall>
      <c:thickness val="0"/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0.13073921825948226"/>
          <c:y val="0.14531468641046741"/>
          <c:w val="0.8528295666767618"/>
          <c:h val="0.69381658635954091"/>
        </c:manualLayout>
      </c:layout>
      <c:bar3D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</c:spPr>
          <c:invertIfNegative val="0"/>
          <c:cat>
            <c:numRef>
              <c:f>'12.1'!$X$29:$AG$29</c:f>
              <c:numCache>
                <c:formatCode>0</c:formatCod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 formatCode="General">
                  <c:v>2009</c:v>
                </c:pt>
                <c:pt idx="4">
                  <c:v>2010</c:v>
                </c:pt>
                <c:pt idx="5" formatCode="General">
                  <c:v>2011</c:v>
                </c:pt>
                <c:pt idx="6" formatCode="General">
                  <c:v>2012</c:v>
                </c:pt>
                <c:pt idx="7" formatCode="General">
                  <c:v>2013</c:v>
                </c:pt>
                <c:pt idx="8" formatCode="General">
                  <c:v>2014</c:v>
                </c:pt>
                <c:pt idx="9" formatCode="General">
                  <c:v>2015</c:v>
                </c:pt>
              </c:numCache>
            </c:numRef>
          </c:cat>
          <c:val>
            <c:numRef>
              <c:f>'12.1'!$X$30:$AG$30</c:f>
              <c:numCache>
                <c:formatCode>_(* #,##0_);_(* \(#,##0\);_(* "-"??_);_(@_)</c:formatCode>
                <c:ptCount val="10"/>
                <c:pt idx="0">
                  <c:v>156108</c:v>
                </c:pt>
                <c:pt idx="1">
                  <c:v>159642.78099999999</c:v>
                </c:pt>
                <c:pt idx="2">
                  <c:v>173370.872</c:v>
                </c:pt>
                <c:pt idx="3">
                  <c:v>187110.266</c:v>
                </c:pt>
                <c:pt idx="4">
                  <c:v>195722.55800000002</c:v>
                </c:pt>
                <c:pt idx="5">
                  <c:v>211889.32699999999</c:v>
                </c:pt>
                <c:pt idx="6">
                  <c:v>219663.37332000001</c:v>
                </c:pt>
                <c:pt idx="7">
                  <c:v>232023.39200000002</c:v>
                </c:pt>
                <c:pt idx="8">
                  <c:v>239067</c:v>
                </c:pt>
                <c:pt idx="9">
                  <c:v>260445.08562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12880640"/>
        <c:axId val="112907008"/>
        <c:axId val="0"/>
      </c:bar3DChart>
      <c:catAx>
        <c:axId val="11288064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112907008"/>
        <c:crosses val="autoZero"/>
        <c:auto val="1"/>
        <c:lblAlgn val="ctr"/>
        <c:lblOffset val="100"/>
        <c:noMultiLvlLbl val="0"/>
      </c:catAx>
      <c:valAx>
        <c:axId val="112907008"/>
        <c:scaling>
          <c:orientation val="minMax"/>
          <c:min val="0"/>
        </c:scaling>
        <c:delete val="0"/>
        <c:axPos val="l"/>
        <c:majorGridlines>
          <c:spPr>
            <a:ln w="1270">
              <a:solidFill>
                <a:srgbClr val="33CCCC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-60000" vert="horz"/>
          <a:lstStyle/>
          <a:p>
            <a:pPr>
              <a:defRPr/>
            </a:pPr>
            <a:endParaRPr lang="en-US"/>
          </a:p>
        </c:txPr>
        <c:crossAx val="112880640"/>
        <c:crosses val="autoZero"/>
        <c:crossBetween val="between"/>
        <c:minorUnit val="10000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420186113099502"/>
          <c:y val="0.25764541093652688"/>
          <c:w val="0.39894983530180872"/>
          <c:h val="0.72533162023499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C706E"/>
              </a:solidFill>
            </c:spPr>
          </c:dPt>
          <c:dPt>
            <c:idx val="1"/>
            <c:bubble3D val="0"/>
            <c:spPr>
              <a:solidFill>
                <a:srgbClr val="33CCCC"/>
              </a:solidFill>
            </c:spPr>
          </c:dPt>
          <c:dPt>
            <c:idx val="2"/>
            <c:bubble3D val="0"/>
            <c:spPr>
              <a:solidFill>
                <a:srgbClr val="E7FFFF"/>
              </a:solidFill>
            </c:spPr>
          </c:dPt>
          <c:dLbls>
            <c:dLbl>
              <c:idx val="0"/>
              <c:layout>
                <c:manualLayout>
                  <c:x val="-0.18269327486758768"/>
                  <c:y val="-0.200451764587003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0923900231033993E-2"/>
                  <c:y val="1.246983938077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12898828327596795"/>
                  <c:y val="1.1554100353068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'12.8'!$A$12:$A$15</c:f>
              <c:strCache>
                <c:ptCount val="4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  <c:pt idx="3">
                  <c:v>Tap Bays</c:v>
                </c:pt>
              </c:strCache>
            </c:strRef>
          </c:cat>
          <c:val>
            <c:numRef>
              <c:f>'12.8'!$I$12:$I$15</c:f>
              <c:numCache>
                <c:formatCode>_(* #,##0_);_(* \(#,##0\);_(* "-"??_);_(@_)</c:formatCode>
                <c:ptCount val="4"/>
                <c:pt idx="0">
                  <c:v>80.455612260492032</c:v>
                </c:pt>
                <c:pt idx="1">
                  <c:v>8.9747584860563148</c:v>
                </c:pt>
                <c:pt idx="2">
                  <c:v>10.569629253451659</c:v>
                </c:pt>
                <c:pt idx="3" formatCode="#,##0_);\(#,##0\)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1188720</xdr:colOff>
      <xdr:row>20</xdr:row>
      <xdr:rowOff>131445</xdr:rowOff>
    </xdr:from>
    <xdr:to>
      <xdr:col>8</xdr:col>
      <xdr:colOff>1150620</xdr:colOff>
      <xdr:row>37</xdr:row>
      <xdr:rowOff>129540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1284261</xdr:colOff>
      <xdr:row>27</xdr:row>
      <xdr:rowOff>60144</xdr:rowOff>
    </xdr:from>
    <xdr:ext cx="233205" cy="741590"/>
    <xdr:sp macro="" textlink="">
      <xdr:nvSpPr>
        <xdr:cNvPr id="3" name="TextBox 2"/>
        <xdr:cNvSpPr txBox="1"/>
      </xdr:nvSpPr>
      <xdr:spPr>
        <a:xfrm rot="16200000">
          <a:off x="1030069" y="5715011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  <xdr:twoCellAnchor>
    <xdr:from>
      <xdr:col>2</xdr:col>
      <xdr:colOff>561976</xdr:colOff>
      <xdr:row>22</xdr:row>
      <xdr:rowOff>95250</xdr:rowOff>
    </xdr:from>
    <xdr:to>
      <xdr:col>7</xdr:col>
      <xdr:colOff>523876</xdr:colOff>
      <xdr:row>22</xdr:row>
      <xdr:rowOff>95250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3057526" y="4505325"/>
          <a:ext cx="36766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0.48325</cdr:x>
      <cdr:y>0.92692</cdr:y>
    </cdr:from>
    <cdr:to>
      <cdr:x>0.5601</cdr:x>
      <cdr:y>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3063729" y="2957670"/>
          <a:ext cx="487192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/>
            <a:t>Year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276226</xdr:colOff>
      <xdr:row>22</xdr:row>
      <xdr:rowOff>77099</xdr:rowOff>
    </xdr:from>
    <xdr:to>
      <xdr:col>9</xdr:col>
      <xdr:colOff>466726</xdr:colOff>
      <xdr:row>38</xdr:row>
      <xdr:rowOff>1176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514351</xdr:colOff>
      <xdr:row>22</xdr:row>
      <xdr:rowOff>160020</xdr:rowOff>
    </xdr:from>
    <xdr:to>
      <xdr:col>9</xdr:col>
      <xdr:colOff>171451</xdr:colOff>
      <xdr:row>24</xdr:row>
      <xdr:rowOff>19050</xdr:rowOff>
    </xdr:to>
    <xdr:sp macro="" textlink="">
      <xdr:nvSpPr>
        <xdr:cNvPr id="4" name="TextBox 7"/>
        <xdr:cNvSpPr txBox="1"/>
      </xdr:nvSpPr>
      <xdr:spPr>
        <a:xfrm>
          <a:off x="514351" y="5436870"/>
          <a:ext cx="5124450" cy="24003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2014</a:t>
          </a:r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638175</xdr:colOff>
      <xdr:row>24</xdr:row>
      <xdr:rowOff>9525</xdr:rowOff>
    </xdr:from>
    <xdr:to>
      <xdr:col>8</xdr:col>
      <xdr:colOff>485775</xdr:colOff>
      <xdr:row>24</xdr:row>
      <xdr:rowOff>9525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638175" y="5667375"/>
          <a:ext cx="4705350" cy="0"/>
        </a:xfrm>
        <a:prstGeom prst="line">
          <a:avLst/>
        </a:prstGeom>
        <a:ln w="2222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60"/>
  <sheetViews>
    <sheetView zoomScaleNormal="100" workbookViewId="0">
      <selection activeCell="K29" sqref="K29"/>
    </sheetView>
  </sheetViews>
  <sheetFormatPr defaultColWidth="11.140625" defaultRowHeight="12.75" x14ac:dyDescent="0.25"/>
  <cols>
    <col min="1" max="1" width="26.5703125" style="284" customWidth="1"/>
    <col min="2" max="2" width="10.85546875" style="253" customWidth="1"/>
    <col min="3" max="8" width="11.140625" style="253" customWidth="1"/>
    <col min="9" max="13" width="34.5703125" style="253" customWidth="1"/>
    <col min="14" max="14" width="25" style="253" customWidth="1"/>
    <col min="15" max="15" width="9.28515625" style="253" customWidth="1"/>
    <col min="16" max="26" width="8.5703125" style="253" customWidth="1"/>
    <col min="27" max="27" width="10" style="253" customWidth="1"/>
    <col min="28" max="30" width="11.140625" style="253"/>
    <col min="31" max="31" width="12.42578125" style="253" bestFit="1" customWidth="1"/>
    <col min="32" max="16384" width="11.140625" style="253"/>
  </cols>
  <sheetData>
    <row r="1" spans="1:14" s="235" customFormat="1" ht="18.75" x14ac:dyDescent="0.45">
      <c r="A1" s="486" t="s">
        <v>72</v>
      </c>
      <c r="B1" s="486"/>
      <c r="C1" s="486"/>
      <c r="D1" s="486"/>
      <c r="E1" s="486"/>
      <c r="F1" s="486"/>
      <c r="G1" s="486"/>
      <c r="H1" s="486"/>
      <c r="I1" s="487"/>
      <c r="J1" s="436"/>
      <c r="K1" s="436"/>
      <c r="L1" s="436"/>
      <c r="M1" s="436"/>
    </row>
    <row r="2" spans="1:14" s="236" customFormat="1" x14ac:dyDescent="0.25">
      <c r="A2" s="488" t="s">
        <v>73</v>
      </c>
      <c r="B2" s="488"/>
      <c r="C2" s="488"/>
      <c r="D2" s="488"/>
      <c r="E2" s="488"/>
      <c r="F2" s="488"/>
      <c r="G2" s="488"/>
      <c r="H2" s="488"/>
      <c r="I2" s="488"/>
      <c r="J2" s="437"/>
      <c r="K2" s="437"/>
      <c r="L2" s="437"/>
      <c r="M2" s="437"/>
    </row>
    <row r="3" spans="1:14" s="239" customFormat="1" x14ac:dyDescent="0.25">
      <c r="A3" s="237"/>
      <c r="B3" s="237"/>
      <c r="C3" s="237"/>
      <c r="D3" s="237"/>
      <c r="E3" s="237"/>
      <c r="F3" s="237"/>
      <c r="G3" s="237"/>
      <c r="H3" s="237"/>
      <c r="I3" s="238"/>
      <c r="J3" s="438"/>
      <c r="K3" s="438"/>
      <c r="L3" s="438"/>
      <c r="M3" s="438"/>
    </row>
    <row r="4" spans="1:14" s="243" customFormat="1" ht="15.75" x14ac:dyDescent="0.25">
      <c r="A4" s="240" t="s">
        <v>74</v>
      </c>
      <c r="B4" s="241">
        <v>2009</v>
      </c>
      <c r="C4" s="241">
        <v>2010</v>
      </c>
      <c r="D4" s="241">
        <v>2011</v>
      </c>
      <c r="E4" s="241">
        <v>2012</v>
      </c>
      <c r="F4" s="241">
        <v>2013</v>
      </c>
      <c r="G4" s="241">
        <v>2014</v>
      </c>
      <c r="H4" s="241">
        <v>2015</v>
      </c>
      <c r="I4" s="242" t="s">
        <v>75</v>
      </c>
      <c r="J4" s="439"/>
      <c r="K4" s="439"/>
      <c r="L4" s="439"/>
      <c r="M4" s="439"/>
    </row>
    <row r="5" spans="1:14" s="248" customFormat="1" ht="15.75" x14ac:dyDescent="0.25">
      <c r="A5" s="244" t="s">
        <v>76</v>
      </c>
      <c r="B5" s="245">
        <v>187110.266</v>
      </c>
      <c r="C5" s="245">
        <v>195722.55800000002</v>
      </c>
      <c r="D5" s="246">
        <f>SUM(D6:D9)</f>
        <v>211889.32699999999</v>
      </c>
      <c r="E5" s="246">
        <f>SUM(E6:E9)</f>
        <v>219663.37332000001</v>
      </c>
      <c r="F5" s="246">
        <f>SUM(F6:F9)</f>
        <v>232023.39200000002</v>
      </c>
      <c r="G5" s="246">
        <f>SUM(G6:G9)</f>
        <v>239067</v>
      </c>
      <c r="H5" s="246">
        <f>SUM(H6:H9)</f>
        <v>260445.08562</v>
      </c>
      <c r="I5" s="247" t="s">
        <v>77</v>
      </c>
      <c r="J5" s="247"/>
      <c r="K5" s="247"/>
      <c r="L5" s="247"/>
      <c r="M5" s="247"/>
    </row>
    <row r="6" spans="1:14" ht="15.75" x14ac:dyDescent="0.25">
      <c r="A6" s="249" t="s">
        <v>78</v>
      </c>
      <c r="B6" s="250">
        <v>88944.971999999994</v>
      </c>
      <c r="C6" s="250">
        <v>95038.9</v>
      </c>
      <c r="D6" s="251">
        <f>103656318/1000</f>
        <v>103656.318</v>
      </c>
      <c r="E6" s="251">
        <f>111363653/1000</f>
        <v>111363.65300000001</v>
      </c>
      <c r="F6" s="251">
        <f>119971440/1000</f>
        <v>119971.44</v>
      </c>
      <c r="G6" s="251">
        <v>123902</v>
      </c>
      <c r="H6" s="251">
        <v>137096</v>
      </c>
      <c r="I6" s="252" t="s">
        <v>79</v>
      </c>
      <c r="J6" s="252"/>
      <c r="K6" s="252"/>
      <c r="L6" s="252"/>
      <c r="M6" s="252"/>
      <c r="N6" s="248"/>
    </row>
    <row r="7" spans="1:14" ht="15.75" x14ac:dyDescent="0.25">
      <c r="A7" s="249" t="s">
        <v>80</v>
      </c>
      <c r="B7" s="254">
        <v>65606.008000000002</v>
      </c>
      <c r="C7" s="254">
        <v>71403.343999999997</v>
      </c>
      <c r="D7" s="255">
        <f>77813511/1000</f>
        <v>77813.510999999999</v>
      </c>
      <c r="E7" s="255">
        <f>79364129.32/1000</f>
        <v>79364.129319999993</v>
      </c>
      <c r="F7" s="255">
        <f>82565573/1000</f>
        <v>82565.573000000004</v>
      </c>
      <c r="G7" s="255">
        <v>85616</v>
      </c>
      <c r="H7" s="255">
        <f>91503609/1000</f>
        <v>91503.608999999997</v>
      </c>
      <c r="I7" s="252" t="s">
        <v>81</v>
      </c>
      <c r="J7" s="252"/>
      <c r="K7" s="252"/>
      <c r="L7" s="252"/>
      <c r="M7" s="252"/>
      <c r="N7" s="248"/>
    </row>
    <row r="8" spans="1:14" ht="15.75" x14ac:dyDescent="0.25">
      <c r="A8" s="249" t="s">
        <v>82</v>
      </c>
      <c r="B8" s="250">
        <v>29244.899000000001</v>
      </c>
      <c r="C8" s="250">
        <v>25529.73</v>
      </c>
      <c r="D8" s="251">
        <f>26612399/1000</f>
        <v>26612.399000000001</v>
      </c>
      <c r="E8" s="251">
        <f>25667565/1000</f>
        <v>25667.564999999999</v>
      </c>
      <c r="F8" s="251">
        <f>26271621/1000</f>
        <v>26271.620999999999</v>
      </c>
      <c r="G8" s="251">
        <v>26534</v>
      </c>
      <c r="H8" s="251">
        <f>28589806.62/1000</f>
        <v>28589.806619999999</v>
      </c>
      <c r="I8" s="252" t="s">
        <v>83</v>
      </c>
      <c r="J8" s="252"/>
      <c r="K8" s="252"/>
      <c r="L8" s="252"/>
      <c r="M8" s="252"/>
      <c r="N8" s="248"/>
    </row>
    <row r="9" spans="1:14" ht="15.75" x14ac:dyDescent="0.25">
      <c r="A9" s="256" t="s">
        <v>84</v>
      </c>
      <c r="B9" s="254">
        <v>3314.3870000000002</v>
      </c>
      <c r="C9" s="254">
        <v>3750.5839999999998</v>
      </c>
      <c r="D9" s="255">
        <f>3807099/1000</f>
        <v>3807.0990000000002</v>
      </c>
      <c r="E9" s="255">
        <f>3268026/1000</f>
        <v>3268.0259999999998</v>
      </c>
      <c r="F9" s="255">
        <f>3214758/1000</f>
        <v>3214.7579999999998</v>
      </c>
      <c r="G9" s="255">
        <v>3015</v>
      </c>
      <c r="H9" s="255">
        <f>3255670/1000</f>
        <v>3255.67</v>
      </c>
      <c r="I9" s="257" t="s">
        <v>85</v>
      </c>
      <c r="J9" s="257"/>
      <c r="K9" s="257"/>
      <c r="L9" s="257"/>
      <c r="M9" s="257"/>
      <c r="N9" s="248"/>
    </row>
    <row r="10" spans="1:14" s="248" customFormat="1" ht="15.75" x14ac:dyDescent="0.25">
      <c r="A10" s="244" t="s">
        <v>86</v>
      </c>
      <c r="B10" s="258">
        <v>100</v>
      </c>
      <c r="C10" s="258">
        <v>100</v>
      </c>
      <c r="D10" s="259">
        <f>D5/D5*100</f>
        <v>100</v>
      </c>
      <c r="E10" s="259">
        <f>E5/E5*100</f>
        <v>100</v>
      </c>
      <c r="F10" s="259">
        <f>F5/F5*100</f>
        <v>100</v>
      </c>
      <c r="G10" s="259">
        <f>G5/G5*100</f>
        <v>100</v>
      </c>
      <c r="H10" s="259">
        <f>H5/H5*100</f>
        <v>100</v>
      </c>
      <c r="I10" s="260" t="s">
        <v>0</v>
      </c>
      <c r="J10" s="247"/>
      <c r="K10" s="247"/>
      <c r="L10" s="247"/>
      <c r="M10" s="247"/>
    </row>
    <row r="11" spans="1:14" ht="15.75" x14ac:dyDescent="0.25">
      <c r="A11" s="249" t="s">
        <v>78</v>
      </c>
      <c r="B11" s="261">
        <v>47.536126104379548</v>
      </c>
      <c r="C11" s="261">
        <v>48.557969490670558</v>
      </c>
      <c r="D11" s="262">
        <f>D6/D5*100</f>
        <v>48.920027954027148</v>
      </c>
      <c r="E11" s="262">
        <f>E6/E5*100</f>
        <v>50.697415466605023</v>
      </c>
      <c r="F11" s="262">
        <f>F6/F5*100</f>
        <v>51.706614133112915</v>
      </c>
      <c r="G11" s="262">
        <f>G6/G5*100</f>
        <v>51.827312008767414</v>
      </c>
      <c r="H11" s="262">
        <f>H6/H5*100</f>
        <v>52.639119557060354</v>
      </c>
      <c r="I11" s="252" t="s">
        <v>79</v>
      </c>
      <c r="J11" s="252"/>
      <c r="K11" s="252"/>
      <c r="L11" s="252"/>
      <c r="M11" s="252"/>
      <c r="N11" s="248"/>
    </row>
    <row r="12" spans="1:14" ht="15.75" x14ac:dyDescent="0.25">
      <c r="A12" s="249" t="s">
        <v>80</v>
      </c>
      <c r="B12" s="263">
        <v>35.062751714542486</v>
      </c>
      <c r="C12" s="263">
        <v>36.481918451116904</v>
      </c>
      <c r="D12" s="264">
        <f>D7/D5*100</f>
        <v>36.723657629060291</v>
      </c>
      <c r="E12" s="264">
        <f>E7/E5*100</f>
        <v>36.129887345572328</v>
      </c>
      <c r="F12" s="265">
        <f>F7/F5*100</f>
        <v>35.585021099941507</v>
      </c>
      <c r="G12" s="265">
        <f>G7/G5*100</f>
        <v>35.812554639494365</v>
      </c>
      <c r="H12" s="265">
        <f>H7/H5*100</f>
        <v>35.133551774329689</v>
      </c>
      <c r="I12" s="252" t="s">
        <v>81</v>
      </c>
      <c r="J12" s="252"/>
      <c r="K12" s="252"/>
      <c r="L12" s="252"/>
      <c r="M12" s="252"/>
      <c r="N12" s="248"/>
    </row>
    <row r="13" spans="1:14" ht="15.75" x14ac:dyDescent="0.25">
      <c r="A13" s="249" t="s">
        <v>82</v>
      </c>
      <c r="B13" s="250">
        <v>15.629767209031709</v>
      </c>
      <c r="C13" s="250">
        <v>13.043836265414024</v>
      </c>
      <c r="D13" s="262">
        <f>D8/D5*100</f>
        <v>12.559575027580319</v>
      </c>
      <c r="E13" s="262">
        <f>E8/E5*100</f>
        <v>11.684954397294147</v>
      </c>
      <c r="F13" s="262">
        <f>F8/F5*100</f>
        <v>11.322832915053667</v>
      </c>
      <c r="G13" s="262">
        <f>G8/G5*100</f>
        <v>11.098980620495508</v>
      </c>
      <c r="H13" s="262">
        <f>H8/H5*100</f>
        <v>10.977287804045453</v>
      </c>
      <c r="I13" s="252" t="s">
        <v>83</v>
      </c>
      <c r="J13" s="252"/>
      <c r="K13" s="252"/>
      <c r="L13" s="252"/>
      <c r="M13" s="252"/>
      <c r="N13" s="248"/>
    </row>
    <row r="14" spans="1:14" ht="15.75" x14ac:dyDescent="0.25">
      <c r="A14" s="256" t="s">
        <v>84</v>
      </c>
      <c r="B14" s="266">
        <v>1.7713549720462696</v>
      </c>
      <c r="C14" s="266">
        <v>1.9162757927984977</v>
      </c>
      <c r="D14" s="267">
        <f>D9/D5*100</f>
        <v>1.7967393893322434</v>
      </c>
      <c r="E14" s="267">
        <f>E9/E5*100</f>
        <v>1.4877427905284977</v>
      </c>
      <c r="F14" s="268">
        <f>F9/F5*100</f>
        <v>1.3855318518918986</v>
      </c>
      <c r="G14" s="268">
        <f>G9/G5*100</f>
        <v>1.261152731242706</v>
      </c>
      <c r="H14" s="268">
        <f>H9/H5*100</f>
        <v>1.2500408645644998</v>
      </c>
      <c r="I14" s="269" t="s">
        <v>85</v>
      </c>
      <c r="J14" s="257"/>
      <c r="K14" s="257"/>
      <c r="L14" s="257"/>
      <c r="M14" s="257"/>
      <c r="N14" s="248"/>
    </row>
    <row r="15" spans="1:14" s="248" customFormat="1" ht="15.75" x14ac:dyDescent="0.25">
      <c r="A15" s="244" t="s">
        <v>1</v>
      </c>
      <c r="B15" s="270">
        <v>7.9248571813147315</v>
      </c>
      <c r="C15" s="270">
        <v>4.6027896726949482</v>
      </c>
      <c r="D15" s="271">
        <f t="shared" ref="D15:H19" si="0">(D5-C5)/C5*100</f>
        <v>8.2600437911709541</v>
      </c>
      <c r="E15" s="271">
        <f t="shared" si="0"/>
        <v>3.6689183122470457</v>
      </c>
      <c r="F15" s="271">
        <f t="shared" si="0"/>
        <v>5.6267999954613499</v>
      </c>
      <c r="G15" s="271">
        <f t="shared" si="0"/>
        <v>3.0357318455201181</v>
      </c>
      <c r="H15" s="271">
        <f>(H5-G5)/G5*100</f>
        <v>8.9422988618253463</v>
      </c>
      <c r="I15" s="247" t="s">
        <v>2</v>
      </c>
      <c r="J15" s="247"/>
      <c r="K15" s="247"/>
      <c r="L15" s="247"/>
      <c r="M15" s="247"/>
    </row>
    <row r="16" spans="1:14" ht="15.75" x14ac:dyDescent="0.25">
      <c r="A16" s="249" t="s">
        <v>78</v>
      </c>
      <c r="B16" s="261">
        <v>12.642419505982822</v>
      </c>
      <c r="C16" s="261">
        <v>6.8513462458563712</v>
      </c>
      <c r="D16" s="262">
        <f t="shared" si="0"/>
        <v>9.0672535140873958</v>
      </c>
      <c r="E16" s="262">
        <f t="shared" si="0"/>
        <v>7.4354705518287902</v>
      </c>
      <c r="F16" s="262">
        <f t="shared" si="0"/>
        <v>7.729440233071375</v>
      </c>
      <c r="G16" s="262">
        <f t="shared" si="0"/>
        <v>3.2762464133130331</v>
      </c>
      <c r="H16" s="262">
        <f>(H6-G6)/G6*100</f>
        <v>10.648738519152232</v>
      </c>
      <c r="I16" s="252" t="s">
        <v>79</v>
      </c>
      <c r="J16" s="252"/>
      <c r="K16" s="252"/>
      <c r="L16" s="252"/>
      <c r="M16" s="252"/>
      <c r="N16" s="248"/>
    </row>
    <row r="17" spans="1:40" ht="18.75" customHeight="1" x14ac:dyDescent="0.25">
      <c r="A17" s="249" t="s">
        <v>80</v>
      </c>
      <c r="B17" s="272">
        <v>6.9122912404791865</v>
      </c>
      <c r="C17" s="272">
        <v>8.8365931364090855</v>
      </c>
      <c r="D17" s="264">
        <f t="shared" si="0"/>
        <v>8.9774044756223201</v>
      </c>
      <c r="E17" s="264">
        <f t="shared" si="0"/>
        <v>1.9927366084278013</v>
      </c>
      <c r="F17" s="264">
        <f t="shared" si="0"/>
        <v>4.0338673244831247</v>
      </c>
      <c r="G17" s="264">
        <f t="shared" si="0"/>
        <v>3.6945507542229445</v>
      </c>
      <c r="H17" s="264">
        <f t="shared" si="0"/>
        <v>6.8767625210241032</v>
      </c>
      <c r="I17" s="252" t="s">
        <v>81</v>
      </c>
      <c r="J17" s="252"/>
      <c r="K17" s="252"/>
      <c r="L17" s="252"/>
      <c r="M17" s="252"/>
      <c r="N17" s="248"/>
    </row>
    <row r="18" spans="1:40" ht="18.75" customHeight="1" x14ac:dyDescent="0.25">
      <c r="A18" s="249" t="s">
        <v>82</v>
      </c>
      <c r="B18" s="261">
        <v>-2.0756976724640546</v>
      </c>
      <c r="C18" s="261">
        <v>-12.703647907965083</v>
      </c>
      <c r="D18" s="262">
        <f t="shared" si="0"/>
        <v>4.2408164912045754</v>
      </c>
      <c r="E18" s="262">
        <f t="shared" si="0"/>
        <v>-3.5503526006806165</v>
      </c>
      <c r="F18" s="262">
        <f t="shared" si="0"/>
        <v>2.3533825666751036</v>
      </c>
      <c r="G18" s="262">
        <f t="shared" si="0"/>
        <v>0.99871644768322754</v>
      </c>
      <c r="H18" s="262">
        <f t="shared" si="0"/>
        <v>7.7478202306474691</v>
      </c>
      <c r="I18" s="252" t="s">
        <v>83</v>
      </c>
      <c r="J18" s="252"/>
      <c r="K18" s="252"/>
      <c r="L18" s="252"/>
      <c r="M18" s="252"/>
      <c r="N18" s="248"/>
    </row>
    <row r="19" spans="1:40" ht="18.75" customHeight="1" x14ac:dyDescent="0.25">
      <c r="A19" s="273" t="s">
        <v>84</v>
      </c>
      <c r="B19" s="274">
        <v>4.2421343176365767</v>
      </c>
      <c r="C19" s="274">
        <v>13.160714183346714</v>
      </c>
      <c r="D19" s="275">
        <f t="shared" si="0"/>
        <v>1.5068320026961224</v>
      </c>
      <c r="E19" s="275">
        <f t="shared" si="0"/>
        <v>-14.159679062719416</v>
      </c>
      <c r="F19" s="275">
        <f t="shared" si="0"/>
        <v>-1.6299747921222179</v>
      </c>
      <c r="G19" s="275">
        <f t="shared" si="0"/>
        <v>-6.2137803218780334</v>
      </c>
      <c r="H19" s="275">
        <f t="shared" si="0"/>
        <v>7.9824212271973494</v>
      </c>
      <c r="I19" s="276" t="s">
        <v>85</v>
      </c>
      <c r="J19" s="257"/>
      <c r="K19" s="257"/>
      <c r="L19" s="257"/>
      <c r="M19" s="257"/>
      <c r="N19" s="248"/>
    </row>
    <row r="20" spans="1:40" ht="14.25" x14ac:dyDescent="0.35">
      <c r="A20" s="277" t="s">
        <v>87</v>
      </c>
      <c r="B20" s="278"/>
      <c r="C20" s="279"/>
      <c r="D20" s="279"/>
      <c r="E20" s="279"/>
      <c r="F20" s="279"/>
      <c r="G20" s="279"/>
      <c r="H20" s="279"/>
      <c r="I20" s="280" t="s">
        <v>88</v>
      </c>
      <c r="J20" s="280"/>
      <c r="K20" s="280"/>
      <c r="L20" s="280"/>
      <c r="M20" s="280"/>
    </row>
    <row r="21" spans="1:40" ht="15" x14ac:dyDescent="0.25">
      <c r="A21" s="281"/>
      <c r="B21" s="282"/>
      <c r="C21" s="283"/>
      <c r="D21" s="283"/>
      <c r="E21" s="283"/>
      <c r="F21" s="283"/>
      <c r="G21" s="283"/>
      <c r="H21" s="283"/>
    </row>
    <row r="22" spans="1:40" x14ac:dyDescent="0.25">
      <c r="N22" s="285"/>
    </row>
    <row r="23" spans="1:40" s="243" customFormat="1" ht="15" x14ac:dyDescent="0.25">
      <c r="A23" s="286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</row>
    <row r="24" spans="1:40" s="243" customFormat="1" ht="15" x14ac:dyDescent="0.25">
      <c r="A24" s="286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</row>
    <row r="25" spans="1:40" s="243" customFormat="1" ht="15" x14ac:dyDescent="0.25">
      <c r="A25" s="286"/>
      <c r="B25" s="287"/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90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</row>
    <row r="26" spans="1:40" s="243" customFormat="1" ht="15" x14ac:dyDescent="0.25">
      <c r="A26" s="286"/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</row>
    <row r="27" spans="1:40" s="243" customFormat="1" ht="15" x14ac:dyDescent="0.25">
      <c r="A27" s="286"/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</row>
    <row r="28" spans="1:40" s="243" customFormat="1" ht="15" x14ac:dyDescent="0.25">
      <c r="A28" s="286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</row>
    <row r="29" spans="1:40" s="243" customFormat="1" ht="15" x14ac:dyDescent="0.25">
      <c r="A29" s="286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O29" s="289"/>
      <c r="P29" s="289">
        <v>1998</v>
      </c>
      <c r="Q29" s="289">
        <v>1999</v>
      </c>
      <c r="R29" s="289">
        <v>2000</v>
      </c>
      <c r="S29" s="289">
        <v>2001</v>
      </c>
      <c r="T29" s="289">
        <v>2002</v>
      </c>
      <c r="U29" s="289">
        <v>2003</v>
      </c>
      <c r="V29" s="289">
        <v>2004</v>
      </c>
      <c r="W29" s="289">
        <v>2005</v>
      </c>
      <c r="X29" s="289">
        <v>2006</v>
      </c>
      <c r="Y29" s="289">
        <v>2007</v>
      </c>
      <c r="Z29" s="289">
        <v>2008</v>
      </c>
      <c r="AA29" s="243">
        <v>2009</v>
      </c>
      <c r="AB29" s="289">
        <v>2010</v>
      </c>
      <c r="AC29" s="243">
        <v>2011</v>
      </c>
      <c r="AD29" s="243">
        <v>2012</v>
      </c>
      <c r="AE29" s="243">
        <v>2013</v>
      </c>
      <c r="AF29" s="243">
        <v>2014</v>
      </c>
      <c r="AG29" s="243">
        <v>2015</v>
      </c>
    </row>
    <row r="30" spans="1:40" s="243" customFormat="1" ht="15" x14ac:dyDescent="0.25">
      <c r="A30" s="286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O30" s="243" t="s">
        <v>89</v>
      </c>
      <c r="P30" s="293">
        <v>68630</v>
      </c>
      <c r="Q30" s="293">
        <v>75677</v>
      </c>
      <c r="R30" s="293">
        <v>82688</v>
      </c>
      <c r="S30" s="293">
        <v>90645</v>
      </c>
      <c r="T30" s="293">
        <v>97480</v>
      </c>
      <c r="U30" s="293">
        <v>108190</v>
      </c>
      <c r="V30" s="293">
        <v>121395</v>
      </c>
      <c r="W30" s="293">
        <v>140065</v>
      </c>
      <c r="X30" s="293">
        <v>156108</v>
      </c>
      <c r="Y30" s="293">
        <v>159642.78099999999</v>
      </c>
      <c r="Z30" s="293">
        <v>173370.872</v>
      </c>
      <c r="AA30" s="293">
        <v>187110.266</v>
      </c>
      <c r="AB30" s="293">
        <v>195722.55800000002</v>
      </c>
      <c r="AC30" s="293">
        <v>211889.32699999999</v>
      </c>
      <c r="AD30" s="293">
        <v>219663.37332000001</v>
      </c>
      <c r="AE30" s="293">
        <v>232023.39200000002</v>
      </c>
      <c r="AF30" s="293">
        <v>239067</v>
      </c>
      <c r="AG30" s="246">
        <v>260445.08562</v>
      </c>
      <c r="AH30" s="289"/>
      <c r="AI30" s="289"/>
      <c r="AJ30" s="289"/>
      <c r="AK30" s="289"/>
      <c r="AL30" s="289"/>
      <c r="AM30" s="289"/>
      <c r="AN30" s="289"/>
    </row>
    <row r="31" spans="1:40" s="243" customFormat="1" ht="15" x14ac:dyDescent="0.25">
      <c r="A31" s="286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X31" s="294"/>
      <c r="Y31" s="294"/>
      <c r="Z31" s="294"/>
      <c r="AA31" s="294"/>
      <c r="AB31" s="294">
        <v>195722.55800000002</v>
      </c>
      <c r="AC31" s="295">
        <v>211889.32699999999</v>
      </c>
      <c r="AD31" s="295">
        <v>219663.37332000001</v>
      </c>
      <c r="AE31" s="295">
        <v>232023.39199999999</v>
      </c>
    </row>
    <row r="32" spans="1:40" s="243" customFormat="1" ht="15" x14ac:dyDescent="0.25">
      <c r="A32" s="286"/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</row>
    <row r="33" spans="1:31" s="243" customFormat="1" ht="15" x14ac:dyDescent="0.25">
      <c r="A33" s="286"/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AE33" s="296"/>
    </row>
    <row r="34" spans="1:31" s="243" customFormat="1" ht="15" x14ac:dyDescent="0.25">
      <c r="A34" s="286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</row>
    <row r="35" spans="1:31" s="243" customFormat="1" ht="15" x14ac:dyDescent="0.25">
      <c r="A35" s="286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</row>
    <row r="36" spans="1:31" s="243" customFormat="1" ht="15" x14ac:dyDescent="0.25">
      <c r="A36" s="297"/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</row>
    <row r="37" spans="1:31" s="243" customFormat="1" ht="15" x14ac:dyDescent="0.25">
      <c r="A37" s="297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</row>
    <row r="38" spans="1:31" s="243" customFormat="1" ht="15" x14ac:dyDescent="0.25">
      <c r="A38" s="286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</row>
    <row r="39" spans="1:31" s="243" customFormat="1" ht="15" x14ac:dyDescent="0.25">
      <c r="A39" s="286"/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</row>
    <row r="40" spans="1:31" s="243" customFormat="1" ht="12" x14ac:dyDescent="0.25">
      <c r="A40" s="286"/>
    </row>
    <row r="41" spans="1:31" s="243" customFormat="1" ht="12" x14ac:dyDescent="0.25">
      <c r="A41" s="286"/>
    </row>
    <row r="42" spans="1:31" s="243" customFormat="1" ht="12" x14ac:dyDescent="0.25">
      <c r="A42" s="286"/>
    </row>
    <row r="43" spans="1:31" s="243" customFormat="1" ht="12" x14ac:dyDescent="0.25">
      <c r="A43" s="286"/>
    </row>
    <row r="44" spans="1:31" s="243" customFormat="1" ht="15" x14ac:dyDescent="0.25">
      <c r="A44" s="297"/>
    </row>
    <row r="45" spans="1:31" s="243" customFormat="1" ht="12" x14ac:dyDescent="0.25">
      <c r="A45" s="286"/>
    </row>
    <row r="46" spans="1:31" s="243" customFormat="1" ht="12" x14ac:dyDescent="0.25">
      <c r="A46" s="286"/>
    </row>
    <row r="47" spans="1:31" s="243" customFormat="1" ht="12" x14ac:dyDescent="0.25">
      <c r="A47" s="286"/>
    </row>
    <row r="48" spans="1:31" s="243" customFormat="1" ht="12" x14ac:dyDescent="0.25">
      <c r="A48" s="286"/>
    </row>
    <row r="49" spans="1:1" s="243" customFormat="1" ht="12" x14ac:dyDescent="0.25">
      <c r="A49" s="286"/>
    </row>
    <row r="50" spans="1:1" s="243" customFormat="1" ht="12" x14ac:dyDescent="0.25">
      <c r="A50" s="286"/>
    </row>
    <row r="51" spans="1:1" s="243" customFormat="1" ht="12" x14ac:dyDescent="0.25">
      <c r="A51" s="286"/>
    </row>
    <row r="52" spans="1:1" s="243" customFormat="1" ht="12" x14ac:dyDescent="0.25">
      <c r="A52" s="286"/>
    </row>
    <row r="53" spans="1:1" s="243" customFormat="1" ht="12" x14ac:dyDescent="0.25">
      <c r="A53" s="286"/>
    </row>
    <row r="54" spans="1:1" s="243" customFormat="1" ht="12" x14ac:dyDescent="0.25">
      <c r="A54" s="286"/>
    </row>
    <row r="55" spans="1:1" s="243" customFormat="1" ht="12" x14ac:dyDescent="0.25">
      <c r="A55" s="286"/>
    </row>
    <row r="56" spans="1:1" s="243" customFormat="1" ht="12" x14ac:dyDescent="0.25">
      <c r="A56" s="286"/>
    </row>
    <row r="57" spans="1:1" s="243" customFormat="1" ht="12" x14ac:dyDescent="0.25">
      <c r="A57" s="286"/>
    </row>
    <row r="58" spans="1:1" s="243" customFormat="1" ht="12" x14ac:dyDescent="0.25">
      <c r="A58" s="286"/>
    </row>
    <row r="59" spans="1:1" s="243" customFormat="1" ht="12" x14ac:dyDescent="0.25">
      <c r="A59" s="286"/>
    </row>
    <row r="60" spans="1:1" s="243" customFormat="1" ht="12" x14ac:dyDescent="0.25">
      <c r="A60" s="286"/>
    </row>
  </sheetData>
  <mergeCells count="2">
    <mergeCell ref="A1:I1"/>
    <mergeCell ref="A2:I2"/>
  </mergeCells>
  <pageMargins left="0.7" right="0.7" top="0.75" bottom="0.75" header="0.3" footer="0.3"/>
  <pageSetup paperSize="9" scale="85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42"/>
  <sheetViews>
    <sheetView workbookViewId="0">
      <selection activeCell="Y21" sqref="Y21"/>
    </sheetView>
  </sheetViews>
  <sheetFormatPr defaultRowHeight="15" x14ac:dyDescent="0.25"/>
  <cols>
    <col min="1" max="1" width="16.140625" style="321" customWidth="1"/>
    <col min="2" max="2" width="11.28515625" style="1" bestFit="1" customWidth="1"/>
    <col min="3" max="3" width="11.42578125" style="1" customWidth="1"/>
    <col min="4" max="4" width="10.140625" style="1" customWidth="1"/>
    <col min="5" max="14" width="9" style="1" customWidth="1"/>
    <col min="15" max="15" width="13.28515625" style="1" customWidth="1"/>
    <col min="16" max="16" width="3.5703125" style="1" customWidth="1"/>
    <col min="17" max="16384" width="9.140625" style="1"/>
  </cols>
  <sheetData>
    <row r="1" spans="1:32" ht="16.5" x14ac:dyDescent="0.25">
      <c r="A1" s="489" t="s">
        <v>90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</row>
    <row r="2" spans="1:32" ht="15.75" x14ac:dyDescent="0.25">
      <c r="A2" s="490" t="s">
        <v>91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</row>
    <row r="3" spans="1:32" ht="17.25" x14ac:dyDescent="0.4">
      <c r="A3" s="491" t="s">
        <v>92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</row>
    <row r="4" spans="1:32" ht="17.25" x14ac:dyDescent="0.4">
      <c r="A4" s="492" t="s">
        <v>93</v>
      </c>
      <c r="B4" s="298" t="s">
        <v>3</v>
      </c>
      <c r="C4" s="298" t="s">
        <v>94</v>
      </c>
      <c r="D4" s="298" t="s">
        <v>95</v>
      </c>
      <c r="E4" s="298" t="s">
        <v>4</v>
      </c>
      <c r="F4" s="298" t="s">
        <v>96</v>
      </c>
      <c r="G4" s="298" t="s">
        <v>5</v>
      </c>
      <c r="H4" s="298" t="s">
        <v>6</v>
      </c>
      <c r="I4" s="298" t="s">
        <v>7</v>
      </c>
      <c r="J4" s="298" t="s">
        <v>97</v>
      </c>
      <c r="K4" s="298" t="s">
        <v>98</v>
      </c>
      <c r="L4" s="298" t="s">
        <v>99</v>
      </c>
      <c r="M4" s="298" t="s">
        <v>100</v>
      </c>
      <c r="N4" s="298" t="s">
        <v>101</v>
      </c>
      <c r="O4" s="494" t="s">
        <v>8</v>
      </c>
    </row>
    <row r="5" spans="1:32" x14ac:dyDescent="0.25">
      <c r="A5" s="493"/>
      <c r="B5" s="299" t="s">
        <v>102</v>
      </c>
      <c r="C5" s="299" t="s">
        <v>103</v>
      </c>
      <c r="D5" s="299" t="s">
        <v>104</v>
      </c>
      <c r="E5" s="299" t="s">
        <v>105</v>
      </c>
      <c r="F5" s="299" t="s">
        <v>106</v>
      </c>
      <c r="G5" s="299" t="s">
        <v>107</v>
      </c>
      <c r="H5" s="299" t="s">
        <v>108</v>
      </c>
      <c r="I5" s="299" t="s">
        <v>109</v>
      </c>
      <c r="J5" s="299" t="s">
        <v>110</v>
      </c>
      <c r="K5" s="299" t="s">
        <v>111</v>
      </c>
      <c r="L5" s="299" t="s">
        <v>112</v>
      </c>
      <c r="M5" s="299" t="s">
        <v>113</v>
      </c>
      <c r="N5" s="299" t="s">
        <v>114</v>
      </c>
      <c r="O5" s="495"/>
    </row>
    <row r="6" spans="1:32" s="303" customFormat="1" ht="15.75" x14ac:dyDescent="0.25">
      <c r="A6" s="300" t="s">
        <v>102</v>
      </c>
      <c r="B6" s="301">
        <f>SUM(C6:N6)</f>
        <v>386478.17099999997</v>
      </c>
      <c r="C6" s="301">
        <f>C10+C9+C8+C7</f>
        <v>30372.561999999998</v>
      </c>
      <c r="D6" s="301">
        <f t="shared" ref="D6:N6" si="0">D10+D9+D8+D7</f>
        <v>28664.18</v>
      </c>
      <c r="E6" s="301">
        <f t="shared" si="0"/>
        <v>33788.553999999996</v>
      </c>
      <c r="F6" s="301">
        <f t="shared" si="0"/>
        <v>34671.274000000005</v>
      </c>
      <c r="G6" s="301">
        <f t="shared" si="0"/>
        <v>34430.546999999999</v>
      </c>
      <c r="H6" s="301">
        <f t="shared" si="0"/>
        <v>32993.817999999999</v>
      </c>
      <c r="I6" s="301">
        <f t="shared" si="0"/>
        <v>32421.07</v>
      </c>
      <c r="J6" s="301">
        <f t="shared" si="0"/>
        <v>32571.427000000003</v>
      </c>
      <c r="K6" s="301">
        <f t="shared" si="0"/>
        <v>30029.365000000002</v>
      </c>
      <c r="L6" s="301">
        <f t="shared" si="0"/>
        <v>32374.839</v>
      </c>
      <c r="M6" s="301">
        <f t="shared" si="0"/>
        <v>32130.893</v>
      </c>
      <c r="N6" s="301">
        <f t="shared" si="0"/>
        <v>32029.642</v>
      </c>
      <c r="O6" s="302" t="s">
        <v>3</v>
      </c>
      <c r="Q6" s="440"/>
      <c r="R6" s="440"/>
      <c r="S6" s="440"/>
      <c r="T6" s="440"/>
      <c r="U6" s="440"/>
      <c r="V6" s="440"/>
      <c r="W6" s="440"/>
      <c r="X6" s="440"/>
    </row>
    <row r="7" spans="1:32" s="303" customFormat="1" ht="18.75" x14ac:dyDescent="0.25">
      <c r="A7" s="305" t="s">
        <v>115</v>
      </c>
      <c r="B7" s="306">
        <f>SUM(C7:N7)</f>
        <v>308896.36499999999</v>
      </c>
      <c r="C7" s="251">
        <f>24571</f>
        <v>24571</v>
      </c>
      <c r="D7" s="251">
        <v>22988.305</v>
      </c>
      <c r="E7" s="251">
        <v>27330.174999999999</v>
      </c>
      <c r="F7" s="251">
        <v>27862.008000000002</v>
      </c>
      <c r="G7" s="251">
        <v>27757.335999999999</v>
      </c>
      <c r="H7" s="251">
        <v>26443.007000000001</v>
      </c>
      <c r="I7" s="251">
        <v>25939.632000000001</v>
      </c>
      <c r="J7" s="251">
        <v>26020.025000000001</v>
      </c>
      <c r="K7" s="251">
        <v>23671.808000000001</v>
      </c>
      <c r="L7" s="251">
        <v>25772.968000000001</v>
      </c>
      <c r="M7" s="251">
        <v>25255.891</v>
      </c>
      <c r="N7" s="251">
        <v>25284.21</v>
      </c>
      <c r="O7" s="307" t="s">
        <v>116</v>
      </c>
      <c r="U7" s="308"/>
      <c r="V7" s="308"/>
      <c r="W7" s="308"/>
      <c r="X7" s="308"/>
      <c r="Y7" s="308"/>
      <c r="Z7" s="308"/>
      <c r="AA7" s="308"/>
      <c r="AB7" s="308"/>
      <c r="AC7" s="308"/>
      <c r="AD7" s="308"/>
      <c r="AE7" s="308"/>
      <c r="AF7" s="308"/>
    </row>
    <row r="8" spans="1:32" s="303" customFormat="1" ht="18.75" x14ac:dyDescent="0.25">
      <c r="A8" s="305" t="s">
        <v>117</v>
      </c>
      <c r="B8" s="306">
        <f>SUM(C8:N8)</f>
        <v>11481.522000000001</v>
      </c>
      <c r="C8" s="251">
        <v>917.14499999999998</v>
      </c>
      <c r="D8" s="251">
        <v>962.88499999999999</v>
      </c>
      <c r="E8" s="251">
        <v>921.61400000000003</v>
      </c>
      <c r="F8" s="251">
        <v>1008.313</v>
      </c>
      <c r="G8" s="251">
        <v>1058.433</v>
      </c>
      <c r="H8" s="251">
        <v>1044.201</v>
      </c>
      <c r="I8" s="251">
        <v>967.56600000000003</v>
      </c>
      <c r="J8" s="251">
        <v>977.50900000000001</v>
      </c>
      <c r="K8" s="251">
        <v>902.66399999999999</v>
      </c>
      <c r="L8" s="251">
        <v>913.15200000000004</v>
      </c>
      <c r="M8" s="251">
        <v>903.35199999999998</v>
      </c>
      <c r="N8" s="251">
        <v>904.68799999999999</v>
      </c>
      <c r="O8" s="307" t="s">
        <v>118</v>
      </c>
    </row>
    <row r="9" spans="1:32" s="303" customFormat="1" ht="18.75" x14ac:dyDescent="0.25">
      <c r="A9" s="305" t="s">
        <v>119</v>
      </c>
      <c r="B9" s="306">
        <f>SUM(C9:N9)</f>
        <v>30152.284</v>
      </c>
      <c r="C9" s="251">
        <v>2212.4169999999999</v>
      </c>
      <c r="D9" s="251">
        <v>2072.9899999999998</v>
      </c>
      <c r="E9" s="251">
        <v>2498.7649999999999</v>
      </c>
      <c r="F9" s="251">
        <v>2604.953</v>
      </c>
      <c r="G9" s="251">
        <v>2600.7779999999998</v>
      </c>
      <c r="H9" s="251">
        <v>2509.61</v>
      </c>
      <c r="I9" s="251">
        <v>2516.8719999999998</v>
      </c>
      <c r="J9" s="251">
        <v>2504.893</v>
      </c>
      <c r="K9" s="251">
        <v>2504.893</v>
      </c>
      <c r="L9" s="251">
        <v>2571.7190000000001</v>
      </c>
      <c r="M9" s="251">
        <v>2899.65</v>
      </c>
      <c r="N9" s="251">
        <v>2654.7440000000001</v>
      </c>
      <c r="O9" s="307" t="s">
        <v>120</v>
      </c>
      <c r="X9" s="304"/>
    </row>
    <row r="10" spans="1:32" s="304" customFormat="1" ht="18.75" x14ac:dyDescent="0.25">
      <c r="A10" s="300" t="s">
        <v>121</v>
      </c>
      <c r="B10" s="306">
        <f t="shared" ref="B10:N10" si="1">SUM(B11:B40)</f>
        <v>35948</v>
      </c>
      <c r="C10" s="306">
        <f t="shared" si="1"/>
        <v>2672</v>
      </c>
      <c r="D10" s="306">
        <f t="shared" si="1"/>
        <v>2640</v>
      </c>
      <c r="E10" s="306">
        <f t="shared" si="1"/>
        <v>3038</v>
      </c>
      <c r="F10" s="306">
        <f t="shared" si="1"/>
        <v>3196</v>
      </c>
      <c r="G10" s="306">
        <f t="shared" si="1"/>
        <v>3014</v>
      </c>
      <c r="H10" s="306">
        <f t="shared" si="1"/>
        <v>2997</v>
      </c>
      <c r="I10" s="306">
        <f t="shared" si="1"/>
        <v>2997</v>
      </c>
      <c r="J10" s="306">
        <f t="shared" si="1"/>
        <v>3069</v>
      </c>
      <c r="K10" s="306">
        <f t="shared" si="1"/>
        <v>2950</v>
      </c>
      <c r="L10" s="306">
        <f t="shared" si="1"/>
        <v>3117</v>
      </c>
      <c r="M10" s="306">
        <f t="shared" si="1"/>
        <v>3072</v>
      </c>
      <c r="N10" s="306">
        <f t="shared" si="1"/>
        <v>3186</v>
      </c>
      <c r="O10" s="309" t="s">
        <v>122</v>
      </c>
    </row>
    <row r="11" spans="1:32" s="303" customFormat="1" ht="18.75" x14ac:dyDescent="0.25">
      <c r="A11" s="305" t="s">
        <v>123</v>
      </c>
      <c r="B11" s="306">
        <f>SUM(C11:N11)</f>
        <v>1793</v>
      </c>
      <c r="C11" s="251">
        <v>137</v>
      </c>
      <c r="D11" s="251">
        <v>128</v>
      </c>
      <c r="E11" s="251">
        <v>150</v>
      </c>
      <c r="F11" s="251">
        <v>185</v>
      </c>
      <c r="G11" s="251">
        <v>151</v>
      </c>
      <c r="H11" s="251">
        <v>155</v>
      </c>
      <c r="I11" s="251">
        <v>158</v>
      </c>
      <c r="J11" s="251">
        <v>149</v>
      </c>
      <c r="K11" s="251">
        <v>140</v>
      </c>
      <c r="L11" s="251">
        <v>149</v>
      </c>
      <c r="M11" s="251">
        <v>144</v>
      </c>
      <c r="N11" s="251">
        <v>147</v>
      </c>
      <c r="O11" s="307" t="s">
        <v>124</v>
      </c>
    </row>
    <row r="12" spans="1:32" s="303" customFormat="1" ht="18.75" x14ac:dyDescent="0.25">
      <c r="A12" s="305" t="s">
        <v>125</v>
      </c>
      <c r="B12" s="306">
        <f t="shared" ref="B12:B40" si="2">SUM(C12:N12)</f>
        <v>1055</v>
      </c>
      <c r="C12" s="251">
        <v>81</v>
      </c>
      <c r="D12" s="251">
        <v>81</v>
      </c>
      <c r="E12" s="251">
        <v>85</v>
      </c>
      <c r="F12" s="251">
        <v>92</v>
      </c>
      <c r="G12" s="251">
        <v>87</v>
      </c>
      <c r="H12" s="251">
        <v>90</v>
      </c>
      <c r="I12" s="251">
        <v>96</v>
      </c>
      <c r="J12" s="251">
        <v>89</v>
      </c>
      <c r="K12" s="251">
        <v>85</v>
      </c>
      <c r="L12" s="251">
        <v>88</v>
      </c>
      <c r="M12" s="251">
        <v>91</v>
      </c>
      <c r="N12" s="251">
        <v>90</v>
      </c>
      <c r="O12" s="307" t="s">
        <v>126</v>
      </c>
    </row>
    <row r="13" spans="1:32" s="303" customFormat="1" ht="18.75" x14ac:dyDescent="0.25">
      <c r="A13" s="305" t="s">
        <v>127</v>
      </c>
      <c r="B13" s="306">
        <f t="shared" si="2"/>
        <v>1010</v>
      </c>
      <c r="C13" s="251">
        <v>72</v>
      </c>
      <c r="D13" s="251">
        <v>69</v>
      </c>
      <c r="E13" s="251">
        <v>85</v>
      </c>
      <c r="F13" s="251">
        <v>87</v>
      </c>
      <c r="G13" s="251">
        <v>85</v>
      </c>
      <c r="H13" s="251">
        <v>80</v>
      </c>
      <c r="I13" s="251">
        <v>89</v>
      </c>
      <c r="J13" s="251">
        <v>93</v>
      </c>
      <c r="K13" s="251">
        <v>81</v>
      </c>
      <c r="L13" s="251">
        <v>88</v>
      </c>
      <c r="M13" s="251">
        <v>88</v>
      </c>
      <c r="N13" s="251">
        <v>93</v>
      </c>
      <c r="O13" s="307" t="s">
        <v>128</v>
      </c>
    </row>
    <row r="14" spans="1:32" s="303" customFormat="1" ht="18.75" x14ac:dyDescent="0.25">
      <c r="A14" s="305" t="s">
        <v>129</v>
      </c>
      <c r="B14" s="306">
        <f t="shared" si="2"/>
        <v>2008</v>
      </c>
      <c r="C14" s="251">
        <v>147</v>
      </c>
      <c r="D14" s="251">
        <v>139</v>
      </c>
      <c r="E14" s="251">
        <v>175</v>
      </c>
      <c r="F14" s="251">
        <v>178</v>
      </c>
      <c r="G14" s="251">
        <v>170</v>
      </c>
      <c r="H14" s="251">
        <v>170</v>
      </c>
      <c r="I14" s="251">
        <v>176</v>
      </c>
      <c r="J14" s="251">
        <v>174</v>
      </c>
      <c r="K14" s="251">
        <v>165</v>
      </c>
      <c r="L14" s="251">
        <v>180</v>
      </c>
      <c r="M14" s="251">
        <v>165</v>
      </c>
      <c r="N14" s="251">
        <v>169</v>
      </c>
      <c r="O14" s="307" t="s">
        <v>130</v>
      </c>
    </row>
    <row r="15" spans="1:32" s="303" customFormat="1" ht="18.75" x14ac:dyDescent="0.25">
      <c r="A15" s="305" t="s">
        <v>131</v>
      </c>
      <c r="B15" s="306">
        <f t="shared" si="2"/>
        <v>2357</v>
      </c>
      <c r="C15" s="251">
        <v>177</v>
      </c>
      <c r="D15" s="251">
        <v>161</v>
      </c>
      <c r="E15" s="251">
        <v>196</v>
      </c>
      <c r="F15" s="251">
        <v>204</v>
      </c>
      <c r="G15" s="251">
        <v>204</v>
      </c>
      <c r="H15" s="251">
        <v>203</v>
      </c>
      <c r="I15" s="251">
        <v>202</v>
      </c>
      <c r="J15" s="251">
        <v>196</v>
      </c>
      <c r="K15" s="251">
        <v>192</v>
      </c>
      <c r="L15" s="251">
        <v>208</v>
      </c>
      <c r="M15" s="251">
        <v>203</v>
      </c>
      <c r="N15" s="251">
        <v>211</v>
      </c>
      <c r="O15" s="307" t="s">
        <v>132</v>
      </c>
    </row>
    <row r="16" spans="1:32" s="303" customFormat="1" ht="18.75" x14ac:dyDescent="0.25">
      <c r="A16" s="305" t="s">
        <v>133</v>
      </c>
      <c r="B16" s="306">
        <f t="shared" si="2"/>
        <v>3589</v>
      </c>
      <c r="C16" s="251">
        <v>274</v>
      </c>
      <c r="D16" s="251">
        <v>260</v>
      </c>
      <c r="E16" s="251">
        <v>304</v>
      </c>
      <c r="F16" s="251">
        <v>300</v>
      </c>
      <c r="G16" s="251">
        <v>304</v>
      </c>
      <c r="H16" s="251">
        <v>317</v>
      </c>
      <c r="I16" s="251">
        <v>288</v>
      </c>
      <c r="J16" s="251">
        <v>306</v>
      </c>
      <c r="K16" s="251">
        <v>290</v>
      </c>
      <c r="L16" s="251">
        <v>314</v>
      </c>
      <c r="M16" s="251">
        <v>321</v>
      </c>
      <c r="N16" s="251">
        <v>311</v>
      </c>
      <c r="O16" s="307" t="s">
        <v>134</v>
      </c>
    </row>
    <row r="17" spans="1:16" s="303" customFormat="1" ht="18.75" x14ac:dyDescent="0.25">
      <c r="A17" s="305" t="s">
        <v>135</v>
      </c>
      <c r="B17" s="306">
        <f t="shared" si="2"/>
        <v>113</v>
      </c>
      <c r="C17" s="251">
        <v>14</v>
      </c>
      <c r="D17" s="251">
        <v>12</v>
      </c>
      <c r="E17" s="251">
        <v>11</v>
      </c>
      <c r="F17" s="251">
        <v>10</v>
      </c>
      <c r="G17" s="251">
        <v>7</v>
      </c>
      <c r="H17" s="251">
        <v>7</v>
      </c>
      <c r="I17" s="251">
        <v>11</v>
      </c>
      <c r="J17" s="251">
        <v>10</v>
      </c>
      <c r="K17" s="251">
        <v>8</v>
      </c>
      <c r="L17" s="251">
        <v>9</v>
      </c>
      <c r="M17" s="251">
        <v>7</v>
      </c>
      <c r="N17" s="251">
        <v>7</v>
      </c>
      <c r="O17" s="307" t="s">
        <v>136</v>
      </c>
    </row>
    <row r="18" spans="1:16" s="303" customFormat="1" ht="18.75" x14ac:dyDescent="0.25">
      <c r="A18" s="305" t="s">
        <v>137</v>
      </c>
      <c r="B18" s="306">
        <f t="shared" si="2"/>
        <v>851</v>
      </c>
      <c r="C18" s="251">
        <v>63</v>
      </c>
      <c r="D18" s="251">
        <v>58</v>
      </c>
      <c r="E18" s="251">
        <v>72</v>
      </c>
      <c r="F18" s="251">
        <v>73</v>
      </c>
      <c r="G18" s="251">
        <v>70</v>
      </c>
      <c r="H18" s="251">
        <v>70</v>
      </c>
      <c r="I18" s="251">
        <v>75</v>
      </c>
      <c r="J18" s="251">
        <v>74</v>
      </c>
      <c r="K18" s="251">
        <v>74</v>
      </c>
      <c r="L18" s="251">
        <v>75</v>
      </c>
      <c r="M18" s="251">
        <v>72</v>
      </c>
      <c r="N18" s="251">
        <v>75</v>
      </c>
      <c r="O18" s="307" t="s">
        <v>138</v>
      </c>
    </row>
    <row r="19" spans="1:16" s="303" customFormat="1" ht="18.75" x14ac:dyDescent="0.25">
      <c r="A19" s="305" t="s">
        <v>139</v>
      </c>
      <c r="B19" s="306">
        <f t="shared" si="2"/>
        <v>5779</v>
      </c>
      <c r="C19" s="251">
        <v>446</v>
      </c>
      <c r="D19" s="251">
        <v>420</v>
      </c>
      <c r="E19" s="251">
        <v>516</v>
      </c>
      <c r="F19" s="251">
        <v>544</v>
      </c>
      <c r="G19" s="251">
        <v>489</v>
      </c>
      <c r="H19" s="251">
        <v>471</v>
      </c>
      <c r="I19" s="251">
        <v>489</v>
      </c>
      <c r="J19" s="251">
        <v>484</v>
      </c>
      <c r="K19" s="251">
        <v>453</v>
      </c>
      <c r="L19" s="251">
        <v>484</v>
      </c>
      <c r="M19" s="251">
        <v>482</v>
      </c>
      <c r="N19" s="251">
        <v>501</v>
      </c>
      <c r="O19" s="307" t="s">
        <v>140</v>
      </c>
      <c r="P19" s="310"/>
    </row>
    <row r="20" spans="1:16" s="303" customFormat="1" ht="18.75" x14ac:dyDescent="0.25">
      <c r="A20" s="305" t="s">
        <v>141</v>
      </c>
      <c r="B20" s="306">
        <f t="shared" si="2"/>
        <v>2129</v>
      </c>
      <c r="C20" s="251">
        <v>164</v>
      </c>
      <c r="D20" s="251">
        <v>150</v>
      </c>
      <c r="E20" s="251">
        <v>183</v>
      </c>
      <c r="F20" s="251">
        <v>195</v>
      </c>
      <c r="G20" s="251">
        <v>188</v>
      </c>
      <c r="H20" s="251">
        <v>188</v>
      </c>
      <c r="I20" s="251">
        <v>181</v>
      </c>
      <c r="J20" s="251">
        <v>178</v>
      </c>
      <c r="K20" s="251">
        <v>166</v>
      </c>
      <c r="L20" s="251">
        <v>181</v>
      </c>
      <c r="M20" s="251">
        <v>173</v>
      </c>
      <c r="N20" s="251">
        <v>182</v>
      </c>
      <c r="O20" s="307" t="s">
        <v>142</v>
      </c>
      <c r="P20" s="310"/>
    </row>
    <row r="21" spans="1:16" s="303" customFormat="1" ht="18.75" x14ac:dyDescent="0.25">
      <c r="A21" s="305" t="s">
        <v>143</v>
      </c>
      <c r="B21" s="306">
        <f t="shared" si="2"/>
        <v>1013</v>
      </c>
      <c r="C21" s="251">
        <v>67</v>
      </c>
      <c r="D21" s="251">
        <v>73</v>
      </c>
      <c r="E21" s="251">
        <v>83</v>
      </c>
      <c r="F21" s="251">
        <v>97</v>
      </c>
      <c r="G21" s="251">
        <v>87</v>
      </c>
      <c r="H21" s="251">
        <v>84</v>
      </c>
      <c r="I21" s="251">
        <v>97</v>
      </c>
      <c r="J21" s="251">
        <v>83</v>
      </c>
      <c r="K21" s="251">
        <v>87</v>
      </c>
      <c r="L21" s="251">
        <v>85</v>
      </c>
      <c r="M21" s="251">
        <v>88</v>
      </c>
      <c r="N21" s="251">
        <v>82</v>
      </c>
      <c r="O21" s="307" t="s">
        <v>144</v>
      </c>
      <c r="P21" s="310"/>
    </row>
    <row r="22" spans="1:16" s="303" customFormat="1" ht="18.75" x14ac:dyDescent="0.25">
      <c r="A22" s="305" t="s">
        <v>145</v>
      </c>
      <c r="B22" s="306">
        <f t="shared" si="2"/>
        <v>923</v>
      </c>
      <c r="C22" s="251">
        <v>70</v>
      </c>
      <c r="D22" s="251">
        <v>72</v>
      </c>
      <c r="E22" s="251">
        <v>77</v>
      </c>
      <c r="F22" s="251">
        <v>89</v>
      </c>
      <c r="G22" s="251">
        <v>78</v>
      </c>
      <c r="H22" s="251">
        <v>95</v>
      </c>
      <c r="I22" s="251">
        <v>76</v>
      </c>
      <c r="J22" s="251">
        <v>71</v>
      </c>
      <c r="K22" s="251">
        <v>71</v>
      </c>
      <c r="L22" s="251">
        <v>73</v>
      </c>
      <c r="M22" s="251">
        <v>75</v>
      </c>
      <c r="N22" s="251">
        <v>76</v>
      </c>
      <c r="O22" s="307" t="s">
        <v>146</v>
      </c>
      <c r="P22" s="310"/>
    </row>
    <row r="23" spans="1:16" s="303" customFormat="1" ht="18.75" x14ac:dyDescent="0.25">
      <c r="A23" s="305" t="s">
        <v>147</v>
      </c>
      <c r="B23" s="306">
        <f t="shared" si="2"/>
        <v>591</v>
      </c>
      <c r="C23" s="251">
        <v>43</v>
      </c>
      <c r="D23" s="251">
        <v>50</v>
      </c>
      <c r="E23" s="251">
        <v>46</v>
      </c>
      <c r="F23" s="251">
        <v>48</v>
      </c>
      <c r="G23" s="251">
        <v>51</v>
      </c>
      <c r="H23" s="251">
        <v>49</v>
      </c>
      <c r="I23" s="251">
        <v>54</v>
      </c>
      <c r="J23" s="251">
        <v>54</v>
      </c>
      <c r="K23" s="251">
        <v>45</v>
      </c>
      <c r="L23" s="251">
        <v>53</v>
      </c>
      <c r="M23" s="251">
        <v>47</v>
      </c>
      <c r="N23" s="251">
        <v>51</v>
      </c>
      <c r="O23" s="307" t="s">
        <v>148</v>
      </c>
      <c r="P23" s="310"/>
    </row>
    <row r="24" spans="1:16" s="303" customFormat="1" ht="18.75" x14ac:dyDescent="0.25">
      <c r="A24" s="305" t="s">
        <v>149</v>
      </c>
      <c r="B24" s="306">
        <f t="shared" si="2"/>
        <v>489</v>
      </c>
      <c r="C24" s="251">
        <v>41</v>
      </c>
      <c r="D24" s="251">
        <v>40</v>
      </c>
      <c r="E24" s="251">
        <v>39</v>
      </c>
      <c r="F24" s="251">
        <v>40</v>
      </c>
      <c r="G24" s="251">
        <v>39</v>
      </c>
      <c r="H24" s="251">
        <v>37</v>
      </c>
      <c r="I24" s="251">
        <v>43</v>
      </c>
      <c r="J24" s="251">
        <v>43</v>
      </c>
      <c r="K24" s="251">
        <v>38</v>
      </c>
      <c r="L24" s="251">
        <v>42</v>
      </c>
      <c r="M24" s="251">
        <v>40</v>
      </c>
      <c r="N24" s="251">
        <v>47</v>
      </c>
      <c r="O24" s="307" t="s">
        <v>150</v>
      </c>
      <c r="P24" s="310"/>
    </row>
    <row r="25" spans="1:16" s="303" customFormat="1" ht="18.75" x14ac:dyDescent="0.25">
      <c r="A25" s="305" t="s">
        <v>151</v>
      </c>
      <c r="B25" s="306">
        <f t="shared" si="2"/>
        <v>571</v>
      </c>
      <c r="C25" s="251">
        <v>40</v>
      </c>
      <c r="D25" s="251">
        <v>38</v>
      </c>
      <c r="E25" s="251">
        <v>47</v>
      </c>
      <c r="F25" s="251">
        <v>66</v>
      </c>
      <c r="G25" s="251">
        <v>45</v>
      </c>
      <c r="H25" s="251">
        <v>47</v>
      </c>
      <c r="I25" s="251">
        <v>47</v>
      </c>
      <c r="J25" s="251">
        <v>44</v>
      </c>
      <c r="K25" s="251">
        <v>45</v>
      </c>
      <c r="L25" s="251">
        <v>46</v>
      </c>
      <c r="M25" s="251">
        <v>49</v>
      </c>
      <c r="N25" s="251">
        <v>57</v>
      </c>
      <c r="O25" s="307" t="s">
        <v>152</v>
      </c>
      <c r="P25" s="310"/>
    </row>
    <row r="26" spans="1:16" s="303" customFormat="1" ht="18.75" x14ac:dyDescent="0.25">
      <c r="A26" s="305" t="s">
        <v>153</v>
      </c>
      <c r="B26" s="306">
        <f t="shared" si="2"/>
        <v>788</v>
      </c>
      <c r="C26" s="251">
        <v>69</v>
      </c>
      <c r="D26" s="251">
        <v>67</v>
      </c>
      <c r="E26" s="251">
        <v>78</v>
      </c>
      <c r="F26" s="251">
        <v>76</v>
      </c>
      <c r="G26" s="251">
        <v>70</v>
      </c>
      <c r="H26" s="251">
        <v>58</v>
      </c>
      <c r="I26" s="251">
        <v>60</v>
      </c>
      <c r="J26" s="251">
        <v>65</v>
      </c>
      <c r="K26" s="251">
        <v>57</v>
      </c>
      <c r="L26" s="251">
        <v>67</v>
      </c>
      <c r="M26" s="251">
        <v>59</v>
      </c>
      <c r="N26" s="251">
        <v>62</v>
      </c>
      <c r="O26" s="307" t="s">
        <v>154</v>
      </c>
      <c r="P26" s="310"/>
    </row>
    <row r="27" spans="1:16" s="312" customFormat="1" ht="18.75" x14ac:dyDescent="0.25">
      <c r="A27" s="305" t="s">
        <v>155</v>
      </c>
      <c r="B27" s="306">
        <f t="shared" si="2"/>
        <v>1928</v>
      </c>
      <c r="C27" s="251">
        <v>125</v>
      </c>
      <c r="D27" s="251">
        <v>159</v>
      </c>
      <c r="E27" s="251">
        <v>180</v>
      </c>
      <c r="F27" s="251">
        <v>180</v>
      </c>
      <c r="G27" s="251">
        <v>180</v>
      </c>
      <c r="H27" s="251">
        <v>173</v>
      </c>
      <c r="I27" s="251">
        <v>155</v>
      </c>
      <c r="J27" s="251">
        <v>161</v>
      </c>
      <c r="K27" s="251">
        <v>153</v>
      </c>
      <c r="L27" s="251">
        <v>153</v>
      </c>
      <c r="M27" s="251">
        <v>153</v>
      </c>
      <c r="N27" s="251">
        <v>156</v>
      </c>
      <c r="O27" s="307" t="s">
        <v>156</v>
      </c>
      <c r="P27" s="311"/>
    </row>
    <row r="28" spans="1:16" s="312" customFormat="1" ht="18.75" x14ac:dyDescent="0.25">
      <c r="A28" s="305" t="s">
        <v>157</v>
      </c>
      <c r="B28" s="306">
        <f t="shared" si="2"/>
        <v>584</v>
      </c>
      <c r="C28" s="251" t="s">
        <v>158</v>
      </c>
      <c r="D28" s="251" t="s">
        <v>158</v>
      </c>
      <c r="E28" s="251" t="s">
        <v>158</v>
      </c>
      <c r="F28" s="251" t="s">
        <v>158</v>
      </c>
      <c r="G28" s="251" t="s">
        <v>158</v>
      </c>
      <c r="H28" s="251" t="s">
        <v>158</v>
      </c>
      <c r="I28" s="251" t="s">
        <v>158</v>
      </c>
      <c r="J28" s="251">
        <v>72</v>
      </c>
      <c r="K28" s="251">
        <v>122</v>
      </c>
      <c r="L28" s="251">
        <v>130</v>
      </c>
      <c r="M28" s="251">
        <v>129</v>
      </c>
      <c r="N28" s="251">
        <v>131</v>
      </c>
      <c r="O28" s="307" t="s">
        <v>159</v>
      </c>
      <c r="P28" s="311"/>
    </row>
    <row r="29" spans="1:16" s="312" customFormat="1" ht="18.75" x14ac:dyDescent="0.25">
      <c r="A29" s="305" t="s">
        <v>160</v>
      </c>
      <c r="B29" s="306">
        <f t="shared" si="2"/>
        <v>669</v>
      </c>
      <c r="C29" s="251">
        <v>53</v>
      </c>
      <c r="D29" s="251">
        <v>54</v>
      </c>
      <c r="E29" s="251">
        <v>56</v>
      </c>
      <c r="F29" s="251">
        <v>61</v>
      </c>
      <c r="G29" s="251">
        <v>54</v>
      </c>
      <c r="H29" s="251">
        <v>55</v>
      </c>
      <c r="I29" s="251">
        <v>62</v>
      </c>
      <c r="J29" s="251">
        <v>56</v>
      </c>
      <c r="K29" s="251">
        <v>67</v>
      </c>
      <c r="L29" s="251">
        <v>49</v>
      </c>
      <c r="M29" s="251">
        <v>49</v>
      </c>
      <c r="N29" s="251">
        <v>53</v>
      </c>
      <c r="O29" s="307" t="s">
        <v>161</v>
      </c>
      <c r="P29" s="311"/>
    </row>
    <row r="30" spans="1:16" s="312" customFormat="1" ht="18.75" x14ac:dyDescent="0.25">
      <c r="A30" s="305" t="s">
        <v>162</v>
      </c>
      <c r="B30" s="306">
        <f t="shared" si="2"/>
        <v>411</v>
      </c>
      <c r="C30" s="251">
        <v>29</v>
      </c>
      <c r="D30" s="251">
        <v>31</v>
      </c>
      <c r="E30" s="251">
        <v>37</v>
      </c>
      <c r="F30" s="251">
        <v>32</v>
      </c>
      <c r="G30" s="251">
        <v>35</v>
      </c>
      <c r="H30" s="251">
        <v>35</v>
      </c>
      <c r="I30" s="251">
        <v>35</v>
      </c>
      <c r="J30" s="251">
        <v>36</v>
      </c>
      <c r="K30" s="251">
        <v>35</v>
      </c>
      <c r="L30" s="251">
        <v>36</v>
      </c>
      <c r="M30" s="251">
        <v>34</v>
      </c>
      <c r="N30" s="251">
        <v>36</v>
      </c>
      <c r="O30" s="307" t="s">
        <v>163</v>
      </c>
      <c r="P30" s="311"/>
    </row>
    <row r="31" spans="1:16" s="312" customFormat="1" ht="18.75" x14ac:dyDescent="0.25">
      <c r="A31" s="305" t="s">
        <v>164</v>
      </c>
      <c r="B31" s="306">
        <f t="shared" si="2"/>
        <v>768</v>
      </c>
      <c r="C31" s="251">
        <v>56</v>
      </c>
      <c r="D31" s="251">
        <v>62</v>
      </c>
      <c r="E31" s="251">
        <v>65</v>
      </c>
      <c r="F31" s="251">
        <v>67</v>
      </c>
      <c r="G31" s="251">
        <v>64</v>
      </c>
      <c r="H31" s="251">
        <v>66</v>
      </c>
      <c r="I31" s="251">
        <v>61</v>
      </c>
      <c r="J31" s="251">
        <v>67</v>
      </c>
      <c r="K31" s="251">
        <v>65</v>
      </c>
      <c r="L31" s="251">
        <v>67</v>
      </c>
      <c r="M31" s="251">
        <v>63</v>
      </c>
      <c r="N31" s="251">
        <v>65</v>
      </c>
      <c r="O31" s="307" t="s">
        <v>165</v>
      </c>
      <c r="P31" s="311"/>
    </row>
    <row r="32" spans="1:16" s="312" customFormat="1" ht="18.75" x14ac:dyDescent="0.25">
      <c r="A32" s="305" t="s">
        <v>166</v>
      </c>
      <c r="B32" s="306">
        <f t="shared" si="2"/>
        <v>870</v>
      </c>
      <c r="C32" s="251">
        <v>67</v>
      </c>
      <c r="D32" s="251">
        <v>70</v>
      </c>
      <c r="E32" s="251">
        <v>67</v>
      </c>
      <c r="F32" s="251">
        <v>77</v>
      </c>
      <c r="G32" s="251">
        <v>82</v>
      </c>
      <c r="H32" s="251">
        <v>74</v>
      </c>
      <c r="I32" s="251">
        <v>74</v>
      </c>
      <c r="J32" s="251">
        <v>69</v>
      </c>
      <c r="K32" s="251">
        <v>69</v>
      </c>
      <c r="L32" s="251">
        <v>73</v>
      </c>
      <c r="M32" s="251">
        <v>73</v>
      </c>
      <c r="N32" s="251">
        <v>75</v>
      </c>
      <c r="O32" s="307" t="s">
        <v>167</v>
      </c>
      <c r="P32" s="311"/>
    </row>
    <row r="33" spans="1:16" s="312" customFormat="1" ht="18.75" x14ac:dyDescent="0.25">
      <c r="A33" s="305" t="s">
        <v>168</v>
      </c>
      <c r="B33" s="306">
        <f t="shared" si="2"/>
        <v>2587</v>
      </c>
      <c r="C33" s="251">
        <v>193</v>
      </c>
      <c r="D33" s="251">
        <v>201</v>
      </c>
      <c r="E33" s="251">
        <v>219</v>
      </c>
      <c r="F33" s="251">
        <v>220</v>
      </c>
      <c r="G33" s="251">
        <v>214</v>
      </c>
      <c r="H33" s="251">
        <v>213</v>
      </c>
      <c r="I33" s="251">
        <v>224</v>
      </c>
      <c r="J33" s="251">
        <v>226</v>
      </c>
      <c r="K33" s="251">
        <v>198</v>
      </c>
      <c r="L33" s="251">
        <v>213</v>
      </c>
      <c r="M33" s="251">
        <v>221</v>
      </c>
      <c r="N33" s="251">
        <v>245</v>
      </c>
      <c r="O33" s="307" t="s">
        <v>169</v>
      </c>
      <c r="P33" s="311"/>
    </row>
    <row r="34" spans="1:16" s="312" customFormat="1" ht="18.75" x14ac:dyDescent="0.25">
      <c r="A34" s="305" t="s">
        <v>170</v>
      </c>
      <c r="B34" s="306">
        <f t="shared" si="2"/>
        <v>549</v>
      </c>
      <c r="C34" s="251">
        <v>42</v>
      </c>
      <c r="D34" s="251">
        <v>43</v>
      </c>
      <c r="E34" s="251">
        <v>41</v>
      </c>
      <c r="F34" s="251">
        <v>45</v>
      </c>
      <c r="G34" s="251">
        <v>45</v>
      </c>
      <c r="H34" s="251">
        <v>47</v>
      </c>
      <c r="I34" s="251">
        <v>51</v>
      </c>
      <c r="J34" s="251">
        <v>47</v>
      </c>
      <c r="K34" s="251">
        <v>46</v>
      </c>
      <c r="L34" s="251">
        <v>48</v>
      </c>
      <c r="M34" s="251">
        <v>47</v>
      </c>
      <c r="N34" s="251">
        <v>47</v>
      </c>
      <c r="O34" s="307" t="s">
        <v>171</v>
      </c>
      <c r="P34" s="311"/>
    </row>
    <row r="35" spans="1:16" s="312" customFormat="1" ht="18.75" x14ac:dyDescent="0.25">
      <c r="A35" s="305" t="s">
        <v>172</v>
      </c>
      <c r="B35" s="306">
        <f t="shared" si="2"/>
        <v>196</v>
      </c>
      <c r="C35" s="251">
        <v>17</v>
      </c>
      <c r="D35" s="251">
        <v>13</v>
      </c>
      <c r="E35" s="251">
        <v>15</v>
      </c>
      <c r="F35" s="251">
        <v>16</v>
      </c>
      <c r="G35" s="251">
        <v>15</v>
      </c>
      <c r="H35" s="251">
        <v>17</v>
      </c>
      <c r="I35" s="251">
        <v>18</v>
      </c>
      <c r="J35" s="251">
        <v>16</v>
      </c>
      <c r="K35" s="251">
        <v>15</v>
      </c>
      <c r="L35" s="251">
        <v>17</v>
      </c>
      <c r="M35" s="251">
        <v>17</v>
      </c>
      <c r="N35" s="251">
        <v>20</v>
      </c>
      <c r="O35" s="307" t="s">
        <v>173</v>
      </c>
      <c r="P35" s="311"/>
    </row>
    <row r="36" spans="1:16" s="312" customFormat="1" ht="18.75" x14ac:dyDescent="0.25">
      <c r="A36" s="305" t="s">
        <v>174</v>
      </c>
      <c r="B36" s="306">
        <f t="shared" si="2"/>
        <v>827</v>
      </c>
      <c r="C36" s="251">
        <v>68</v>
      </c>
      <c r="D36" s="251">
        <v>67</v>
      </c>
      <c r="E36" s="251">
        <v>88</v>
      </c>
      <c r="F36" s="251">
        <v>69</v>
      </c>
      <c r="G36" s="251">
        <v>75</v>
      </c>
      <c r="H36" s="251">
        <v>73</v>
      </c>
      <c r="I36" s="251">
        <v>61</v>
      </c>
      <c r="J36" s="251">
        <v>80</v>
      </c>
      <c r="K36" s="251">
        <v>63</v>
      </c>
      <c r="L36" s="251">
        <v>62</v>
      </c>
      <c r="M36" s="251">
        <v>59</v>
      </c>
      <c r="N36" s="251">
        <v>62</v>
      </c>
      <c r="O36" s="307" t="s">
        <v>175</v>
      </c>
      <c r="P36" s="311"/>
    </row>
    <row r="37" spans="1:16" s="312" customFormat="1" ht="18.75" x14ac:dyDescent="0.25">
      <c r="A37" s="305" t="s">
        <v>176</v>
      </c>
      <c r="B37" s="306">
        <f t="shared" si="2"/>
        <v>416</v>
      </c>
      <c r="C37" s="251">
        <v>36</v>
      </c>
      <c r="D37" s="251">
        <v>30</v>
      </c>
      <c r="E37" s="251">
        <v>38</v>
      </c>
      <c r="F37" s="251">
        <v>37</v>
      </c>
      <c r="G37" s="251">
        <v>36</v>
      </c>
      <c r="H37" s="251">
        <v>36</v>
      </c>
      <c r="I37" s="251">
        <v>33</v>
      </c>
      <c r="J37" s="251">
        <v>37</v>
      </c>
      <c r="K37" s="251">
        <v>33</v>
      </c>
      <c r="L37" s="251">
        <v>37</v>
      </c>
      <c r="M37" s="251">
        <v>30</v>
      </c>
      <c r="N37" s="251">
        <v>33</v>
      </c>
      <c r="O37" s="307" t="s">
        <v>177</v>
      </c>
      <c r="P37" s="311"/>
    </row>
    <row r="38" spans="1:16" s="312" customFormat="1" ht="18.75" x14ac:dyDescent="0.25">
      <c r="A38" s="305" t="s">
        <v>178</v>
      </c>
      <c r="B38" s="306">
        <f t="shared" si="2"/>
        <v>339</v>
      </c>
      <c r="C38" s="251">
        <v>25</v>
      </c>
      <c r="D38" s="251">
        <v>35</v>
      </c>
      <c r="E38" s="251">
        <v>30</v>
      </c>
      <c r="F38" s="251">
        <v>40</v>
      </c>
      <c r="G38" s="251">
        <v>25</v>
      </c>
      <c r="H38" s="251">
        <v>25</v>
      </c>
      <c r="I38" s="251">
        <v>18</v>
      </c>
      <c r="J38" s="251">
        <v>26</v>
      </c>
      <c r="K38" s="251">
        <v>27</v>
      </c>
      <c r="L38" s="251">
        <v>25</v>
      </c>
      <c r="M38" s="251">
        <v>29</v>
      </c>
      <c r="N38" s="251">
        <v>34</v>
      </c>
      <c r="O38" s="307" t="s">
        <v>179</v>
      </c>
      <c r="P38" s="311"/>
    </row>
    <row r="39" spans="1:16" s="303" customFormat="1" ht="18.75" x14ac:dyDescent="0.25">
      <c r="A39" s="305" t="s">
        <v>180</v>
      </c>
      <c r="B39" s="306">
        <f t="shared" si="2"/>
        <v>554</v>
      </c>
      <c r="C39" s="251">
        <v>43</v>
      </c>
      <c r="D39" s="251">
        <v>46</v>
      </c>
      <c r="E39" s="251">
        <v>40</v>
      </c>
      <c r="F39" s="251">
        <v>54</v>
      </c>
      <c r="G39" s="251">
        <v>47</v>
      </c>
      <c r="H39" s="251">
        <v>45</v>
      </c>
      <c r="I39" s="251">
        <v>45</v>
      </c>
      <c r="J39" s="251">
        <v>45</v>
      </c>
      <c r="K39" s="251">
        <v>44</v>
      </c>
      <c r="L39" s="251">
        <v>49</v>
      </c>
      <c r="M39" s="251">
        <v>48</v>
      </c>
      <c r="N39" s="251">
        <v>48</v>
      </c>
      <c r="O39" s="307" t="s">
        <v>181</v>
      </c>
      <c r="P39" s="310"/>
    </row>
    <row r="40" spans="1:16" s="303" customFormat="1" ht="18.75" x14ac:dyDescent="0.25">
      <c r="A40" s="313" t="s">
        <v>182</v>
      </c>
      <c r="B40" s="314">
        <f t="shared" si="2"/>
        <v>191</v>
      </c>
      <c r="C40" s="323">
        <v>13</v>
      </c>
      <c r="D40" s="323">
        <v>11</v>
      </c>
      <c r="E40" s="323">
        <v>15</v>
      </c>
      <c r="F40" s="323">
        <v>14</v>
      </c>
      <c r="G40" s="323">
        <v>17</v>
      </c>
      <c r="H40" s="323">
        <v>17</v>
      </c>
      <c r="I40" s="323">
        <v>18</v>
      </c>
      <c r="J40" s="323">
        <v>18</v>
      </c>
      <c r="K40" s="323">
        <v>16</v>
      </c>
      <c r="L40" s="323">
        <v>16</v>
      </c>
      <c r="M40" s="323">
        <v>16</v>
      </c>
      <c r="N40" s="323">
        <v>20</v>
      </c>
      <c r="O40" s="315" t="s">
        <v>183</v>
      </c>
      <c r="P40" s="310"/>
    </row>
    <row r="41" spans="1:16" s="320" customFormat="1" x14ac:dyDescent="0.35">
      <c r="A41" s="316" t="s">
        <v>87</v>
      </c>
      <c r="B41" s="317"/>
      <c r="C41" s="318"/>
      <c r="D41" s="319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280" t="s">
        <v>88</v>
      </c>
    </row>
    <row r="42" spans="1:16" x14ac:dyDescent="0.25">
      <c r="C42" s="322"/>
    </row>
  </sheetData>
  <mergeCells count="5">
    <mergeCell ref="A1:O1"/>
    <mergeCell ref="A2:O2"/>
    <mergeCell ref="A3:O3"/>
    <mergeCell ref="A4:A5"/>
    <mergeCell ref="O4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43"/>
  <sheetViews>
    <sheetView topLeftCell="A16" zoomScaleNormal="100" workbookViewId="0">
      <selection activeCell="A50" sqref="A50:XFD88"/>
    </sheetView>
  </sheetViews>
  <sheetFormatPr defaultColWidth="11.140625" defaultRowHeight="15" x14ac:dyDescent="0.25"/>
  <cols>
    <col min="1" max="1" width="16.7109375" style="324" customWidth="1"/>
    <col min="2" max="14" width="8.42578125" style="324" customWidth="1"/>
    <col min="15" max="15" width="13.5703125" style="324" bestFit="1" customWidth="1"/>
    <col min="16" max="16" width="1.85546875" style="324" customWidth="1"/>
    <col min="17" max="16384" width="11.140625" style="324"/>
  </cols>
  <sheetData>
    <row r="1" spans="1:30" ht="21.75" x14ac:dyDescent="0.25">
      <c r="A1" s="496" t="s">
        <v>184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8"/>
    </row>
    <row r="2" spans="1:30" s="325" customFormat="1" x14ac:dyDescent="0.25">
      <c r="A2" s="499" t="s">
        <v>185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1"/>
    </row>
    <row r="3" spans="1:30" s="1" customFormat="1" ht="17.25" x14ac:dyDescent="0.4">
      <c r="A3" s="491" t="s">
        <v>186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</row>
    <row r="4" spans="1:30" s="326" customFormat="1" ht="15.75" x14ac:dyDescent="0.25">
      <c r="A4" s="502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  <c r="O4" s="504"/>
    </row>
    <row r="5" spans="1:30" s="330" customFormat="1" ht="15.75" x14ac:dyDescent="0.25">
      <c r="A5" s="327" t="s">
        <v>93</v>
      </c>
      <c r="B5" s="328" t="s">
        <v>102</v>
      </c>
      <c r="C5" s="328" t="s">
        <v>103</v>
      </c>
      <c r="D5" s="328" t="s">
        <v>104</v>
      </c>
      <c r="E5" s="328" t="s">
        <v>105</v>
      </c>
      <c r="F5" s="328" t="s">
        <v>106</v>
      </c>
      <c r="G5" s="328" t="s">
        <v>107</v>
      </c>
      <c r="H5" s="328" t="s">
        <v>108</v>
      </c>
      <c r="I5" s="328" t="s">
        <v>109</v>
      </c>
      <c r="J5" s="328" t="s">
        <v>110</v>
      </c>
      <c r="K5" s="328" t="s">
        <v>111</v>
      </c>
      <c r="L5" s="328" t="s">
        <v>112</v>
      </c>
      <c r="M5" s="328" t="s">
        <v>113</v>
      </c>
      <c r="N5" s="328" t="s">
        <v>114</v>
      </c>
      <c r="O5" s="329" t="s">
        <v>8</v>
      </c>
    </row>
    <row r="6" spans="1:30" ht="15.75" x14ac:dyDescent="0.25">
      <c r="A6" s="300" t="s">
        <v>102</v>
      </c>
      <c r="B6" s="331">
        <f>SUM(C6:N6)</f>
        <v>101229</v>
      </c>
      <c r="C6" s="332">
        <f>C10+C9+C8+C7</f>
        <v>7865</v>
      </c>
      <c r="D6" s="332">
        <f t="shared" ref="D6:N6" si="0">D10+D9+D8+D7</f>
        <v>7394</v>
      </c>
      <c r="E6" s="332">
        <f t="shared" si="0"/>
        <v>8751</v>
      </c>
      <c r="F6" s="332">
        <f t="shared" si="0"/>
        <v>9062</v>
      </c>
      <c r="G6" s="332">
        <f t="shared" si="0"/>
        <v>9023</v>
      </c>
      <c r="H6" s="332">
        <f t="shared" si="0"/>
        <v>8707</v>
      </c>
      <c r="I6" s="332">
        <f t="shared" si="0"/>
        <v>8590</v>
      </c>
      <c r="J6" s="332">
        <f t="shared" si="0"/>
        <v>8590</v>
      </c>
      <c r="K6" s="332">
        <f t="shared" si="0"/>
        <v>7890</v>
      </c>
      <c r="L6" s="332">
        <f t="shared" si="0"/>
        <v>8548</v>
      </c>
      <c r="M6" s="332">
        <f t="shared" si="0"/>
        <v>8428</v>
      </c>
      <c r="N6" s="332">
        <f t="shared" si="0"/>
        <v>8381</v>
      </c>
      <c r="O6" s="333" t="s">
        <v>3</v>
      </c>
    </row>
    <row r="7" spans="1:30" ht="18.75" x14ac:dyDescent="0.25">
      <c r="A7" s="334" t="s">
        <v>115</v>
      </c>
      <c r="B7" s="331">
        <f>SUM(C7:N7)</f>
        <v>79509</v>
      </c>
      <c r="C7" s="356">
        <v>6225</v>
      </c>
      <c r="D7" s="356">
        <v>5860</v>
      </c>
      <c r="E7" s="356">
        <v>6942</v>
      </c>
      <c r="F7" s="356">
        <v>7169</v>
      </c>
      <c r="G7" s="356">
        <v>7148</v>
      </c>
      <c r="H7" s="356">
        <v>6841</v>
      </c>
      <c r="I7" s="356">
        <v>6720</v>
      </c>
      <c r="J7" s="356">
        <v>6744</v>
      </c>
      <c r="K7" s="356">
        <v>6139</v>
      </c>
      <c r="L7" s="356">
        <v>6677</v>
      </c>
      <c r="M7" s="356">
        <v>6568</v>
      </c>
      <c r="N7" s="356">
        <v>6476</v>
      </c>
      <c r="O7" s="335" t="s">
        <v>116</v>
      </c>
    </row>
    <row r="8" spans="1:30" ht="18.75" x14ac:dyDescent="0.25">
      <c r="A8" s="334" t="s">
        <v>117</v>
      </c>
      <c r="B8" s="331">
        <f>SUM(C8:N8)</f>
        <v>2994</v>
      </c>
      <c r="C8" s="356">
        <v>240</v>
      </c>
      <c r="D8" s="356">
        <v>220</v>
      </c>
      <c r="E8" s="356">
        <v>238</v>
      </c>
      <c r="F8" s="356">
        <v>262</v>
      </c>
      <c r="G8" s="356">
        <v>279</v>
      </c>
      <c r="H8" s="356">
        <v>278</v>
      </c>
      <c r="I8" s="356">
        <v>255</v>
      </c>
      <c r="J8" s="356">
        <v>256</v>
      </c>
      <c r="K8" s="356">
        <v>240</v>
      </c>
      <c r="L8" s="356">
        <v>243</v>
      </c>
      <c r="M8" s="356">
        <v>247</v>
      </c>
      <c r="N8" s="356">
        <v>236</v>
      </c>
      <c r="O8" s="335" t="s">
        <v>118</v>
      </c>
    </row>
    <row r="9" spans="1:30" ht="18.75" x14ac:dyDescent="0.25">
      <c r="A9" s="334" t="s">
        <v>119</v>
      </c>
      <c r="B9" s="331">
        <f>SUM(C9:N9)</f>
        <v>8234</v>
      </c>
      <c r="C9" s="356">
        <v>615</v>
      </c>
      <c r="D9" s="356">
        <v>581</v>
      </c>
      <c r="E9" s="356">
        <v>702</v>
      </c>
      <c r="F9" s="356">
        <v>723</v>
      </c>
      <c r="G9" s="356">
        <v>727</v>
      </c>
      <c r="H9" s="356">
        <v>718</v>
      </c>
      <c r="I9" s="356">
        <v>702</v>
      </c>
      <c r="J9" s="356">
        <v>688</v>
      </c>
      <c r="K9" s="356">
        <v>638</v>
      </c>
      <c r="L9" s="356">
        <v>702</v>
      </c>
      <c r="M9" s="356">
        <v>705</v>
      </c>
      <c r="N9" s="356">
        <v>733</v>
      </c>
      <c r="O9" s="335" t="s">
        <v>120</v>
      </c>
    </row>
    <row r="10" spans="1:30" s="304" customFormat="1" ht="18.75" x14ac:dyDescent="0.25">
      <c r="A10" s="300" t="s">
        <v>121</v>
      </c>
      <c r="B10" s="306">
        <f t="shared" ref="B10:N10" si="1">SUM(B11:B40)</f>
        <v>10492</v>
      </c>
      <c r="C10" s="306">
        <f t="shared" si="1"/>
        <v>785</v>
      </c>
      <c r="D10" s="306">
        <f t="shared" si="1"/>
        <v>733</v>
      </c>
      <c r="E10" s="306">
        <f t="shared" si="1"/>
        <v>869</v>
      </c>
      <c r="F10" s="306">
        <f t="shared" si="1"/>
        <v>908</v>
      </c>
      <c r="G10" s="306">
        <f t="shared" si="1"/>
        <v>869</v>
      </c>
      <c r="H10" s="306">
        <f t="shared" si="1"/>
        <v>870</v>
      </c>
      <c r="I10" s="306">
        <f t="shared" si="1"/>
        <v>913</v>
      </c>
      <c r="J10" s="306">
        <f t="shared" si="1"/>
        <v>902</v>
      </c>
      <c r="K10" s="306">
        <f t="shared" si="1"/>
        <v>873</v>
      </c>
      <c r="L10" s="306">
        <f t="shared" si="1"/>
        <v>926</v>
      </c>
      <c r="M10" s="306">
        <f t="shared" si="1"/>
        <v>908</v>
      </c>
      <c r="N10" s="306">
        <f t="shared" si="1"/>
        <v>936</v>
      </c>
      <c r="O10" s="309" t="s">
        <v>122</v>
      </c>
    </row>
    <row r="11" spans="1:30" ht="18.75" x14ac:dyDescent="0.25">
      <c r="A11" s="334" t="s">
        <v>123</v>
      </c>
      <c r="B11" s="331">
        <f t="shared" ref="B11:B40" si="2">SUM(C11:N11)</f>
        <v>500</v>
      </c>
      <c r="C11" s="356">
        <v>39</v>
      </c>
      <c r="D11" s="356">
        <v>36</v>
      </c>
      <c r="E11" s="356">
        <v>42</v>
      </c>
      <c r="F11" s="356">
        <v>44</v>
      </c>
      <c r="G11" s="356">
        <v>43</v>
      </c>
      <c r="H11" s="356">
        <v>42</v>
      </c>
      <c r="I11" s="356">
        <v>45</v>
      </c>
      <c r="J11" s="356">
        <v>43</v>
      </c>
      <c r="K11" s="356">
        <v>41</v>
      </c>
      <c r="L11" s="356">
        <v>43</v>
      </c>
      <c r="M11" s="356">
        <v>41</v>
      </c>
      <c r="N11" s="356">
        <v>41</v>
      </c>
      <c r="O11" s="335" t="s">
        <v>124</v>
      </c>
    </row>
    <row r="12" spans="1:30" ht="18.75" x14ac:dyDescent="0.25">
      <c r="A12" s="334" t="s">
        <v>125</v>
      </c>
      <c r="B12" s="331">
        <f t="shared" si="2"/>
        <v>377</v>
      </c>
      <c r="C12" s="356">
        <v>30</v>
      </c>
      <c r="D12" s="356">
        <v>28</v>
      </c>
      <c r="E12" s="356">
        <v>32</v>
      </c>
      <c r="F12" s="356">
        <v>36</v>
      </c>
      <c r="G12" s="356">
        <v>30</v>
      </c>
      <c r="H12" s="356">
        <v>30</v>
      </c>
      <c r="I12" s="356">
        <v>34</v>
      </c>
      <c r="J12" s="356">
        <v>29</v>
      </c>
      <c r="K12" s="356">
        <v>28</v>
      </c>
      <c r="L12" s="356">
        <v>34</v>
      </c>
      <c r="M12" s="356">
        <v>31</v>
      </c>
      <c r="N12" s="356">
        <v>35</v>
      </c>
      <c r="O12" s="335" t="s">
        <v>126</v>
      </c>
    </row>
    <row r="13" spans="1:30" ht="18.75" x14ac:dyDescent="0.25">
      <c r="A13" s="334" t="s">
        <v>127</v>
      </c>
      <c r="B13" s="331">
        <f t="shared" si="2"/>
        <v>320</v>
      </c>
      <c r="C13" s="356">
        <v>21</v>
      </c>
      <c r="D13" s="356">
        <v>21</v>
      </c>
      <c r="E13" s="356">
        <v>26</v>
      </c>
      <c r="F13" s="356">
        <v>26</v>
      </c>
      <c r="G13" s="356">
        <v>27</v>
      </c>
      <c r="H13" s="356">
        <v>27</v>
      </c>
      <c r="I13" s="356">
        <v>32</v>
      </c>
      <c r="J13" s="356">
        <v>29</v>
      </c>
      <c r="K13" s="356">
        <v>27</v>
      </c>
      <c r="L13" s="356">
        <v>28</v>
      </c>
      <c r="M13" s="356">
        <v>27</v>
      </c>
      <c r="N13" s="356">
        <v>29</v>
      </c>
      <c r="O13" s="335" t="s">
        <v>128</v>
      </c>
    </row>
    <row r="14" spans="1:30" ht="18.75" x14ac:dyDescent="0.25">
      <c r="A14" s="334" t="s">
        <v>129</v>
      </c>
      <c r="B14" s="331">
        <f t="shared" si="2"/>
        <v>545</v>
      </c>
      <c r="C14" s="356">
        <v>43</v>
      </c>
      <c r="D14" s="356">
        <v>40</v>
      </c>
      <c r="E14" s="356">
        <v>48</v>
      </c>
      <c r="F14" s="356">
        <v>49</v>
      </c>
      <c r="G14" s="356">
        <v>46</v>
      </c>
      <c r="H14" s="356">
        <v>46</v>
      </c>
      <c r="I14" s="356">
        <v>47</v>
      </c>
      <c r="J14" s="356">
        <v>47</v>
      </c>
      <c r="K14" s="356">
        <v>44</v>
      </c>
      <c r="L14" s="356">
        <v>47</v>
      </c>
      <c r="M14" s="356">
        <v>43</v>
      </c>
      <c r="N14" s="356">
        <v>45</v>
      </c>
      <c r="O14" s="335" t="s">
        <v>130</v>
      </c>
      <c r="S14" s="336"/>
      <c r="T14" s="336"/>
      <c r="U14" s="336"/>
      <c r="V14" s="336"/>
      <c r="W14" s="336"/>
      <c r="X14" s="336"/>
      <c r="Y14" s="336"/>
      <c r="Z14" s="336"/>
      <c r="AA14" s="336"/>
      <c r="AB14" s="336"/>
      <c r="AC14" s="336"/>
      <c r="AD14" s="336"/>
    </row>
    <row r="15" spans="1:30" ht="18.75" x14ac:dyDescent="0.25">
      <c r="A15" s="334" t="s">
        <v>131</v>
      </c>
      <c r="B15" s="331">
        <f t="shared" si="2"/>
        <v>634</v>
      </c>
      <c r="C15" s="356">
        <v>48</v>
      </c>
      <c r="D15" s="356">
        <v>43</v>
      </c>
      <c r="E15" s="356">
        <v>53</v>
      </c>
      <c r="F15" s="356">
        <v>55</v>
      </c>
      <c r="G15" s="356">
        <v>55</v>
      </c>
      <c r="H15" s="356">
        <v>55</v>
      </c>
      <c r="I15" s="356">
        <v>56</v>
      </c>
      <c r="J15" s="356">
        <v>52</v>
      </c>
      <c r="K15" s="356">
        <v>50</v>
      </c>
      <c r="L15" s="356">
        <v>55</v>
      </c>
      <c r="M15" s="356">
        <v>54</v>
      </c>
      <c r="N15" s="356">
        <v>58</v>
      </c>
      <c r="O15" s="335" t="s">
        <v>132</v>
      </c>
    </row>
    <row r="16" spans="1:30" ht="18.75" x14ac:dyDescent="0.25">
      <c r="A16" s="334" t="s">
        <v>133</v>
      </c>
      <c r="B16" s="331">
        <f t="shared" si="2"/>
        <v>1042</v>
      </c>
      <c r="C16" s="356">
        <v>80</v>
      </c>
      <c r="D16" s="356">
        <v>76</v>
      </c>
      <c r="E16" s="356">
        <v>88</v>
      </c>
      <c r="F16" s="356">
        <v>87</v>
      </c>
      <c r="G16" s="356">
        <v>85</v>
      </c>
      <c r="H16" s="356">
        <v>88</v>
      </c>
      <c r="I16" s="356">
        <v>86</v>
      </c>
      <c r="J16" s="356">
        <v>91</v>
      </c>
      <c r="K16" s="356">
        <v>84</v>
      </c>
      <c r="L16" s="356">
        <v>91</v>
      </c>
      <c r="M16" s="356">
        <v>94</v>
      </c>
      <c r="N16" s="356">
        <v>92</v>
      </c>
      <c r="O16" s="335" t="s">
        <v>134</v>
      </c>
    </row>
    <row r="17" spans="1:16" ht="18.75" x14ac:dyDescent="0.25">
      <c r="A17" s="334" t="s">
        <v>135</v>
      </c>
      <c r="B17" s="331">
        <f t="shared" si="2"/>
        <v>37</v>
      </c>
      <c r="C17" s="356">
        <v>3</v>
      </c>
      <c r="D17" s="356">
        <v>3</v>
      </c>
      <c r="E17" s="356">
        <v>4</v>
      </c>
      <c r="F17" s="356">
        <v>3</v>
      </c>
      <c r="G17" s="356">
        <v>3</v>
      </c>
      <c r="H17" s="356">
        <v>3</v>
      </c>
      <c r="I17" s="356">
        <v>3</v>
      </c>
      <c r="J17" s="356">
        <v>3</v>
      </c>
      <c r="K17" s="356">
        <v>3</v>
      </c>
      <c r="L17" s="356">
        <v>3</v>
      </c>
      <c r="M17" s="356">
        <v>3</v>
      </c>
      <c r="N17" s="356">
        <v>3</v>
      </c>
      <c r="O17" s="335" t="s">
        <v>136</v>
      </c>
    </row>
    <row r="18" spans="1:16" ht="18.75" x14ac:dyDescent="0.25">
      <c r="A18" s="334" t="s">
        <v>137</v>
      </c>
      <c r="B18" s="331">
        <f t="shared" si="2"/>
        <v>275</v>
      </c>
      <c r="C18" s="356">
        <v>20</v>
      </c>
      <c r="D18" s="356">
        <v>19</v>
      </c>
      <c r="E18" s="356">
        <v>24</v>
      </c>
      <c r="F18" s="356">
        <v>25</v>
      </c>
      <c r="G18" s="356">
        <v>21</v>
      </c>
      <c r="H18" s="356">
        <v>22</v>
      </c>
      <c r="I18" s="356">
        <v>23</v>
      </c>
      <c r="J18" s="356">
        <v>24</v>
      </c>
      <c r="K18" s="356">
        <v>23</v>
      </c>
      <c r="L18" s="356">
        <v>25</v>
      </c>
      <c r="M18" s="356">
        <v>24</v>
      </c>
      <c r="N18" s="356">
        <v>25</v>
      </c>
      <c r="O18" s="335" t="s">
        <v>138</v>
      </c>
    </row>
    <row r="19" spans="1:16" ht="18.75" x14ac:dyDescent="0.25">
      <c r="A19" s="334" t="s">
        <v>139</v>
      </c>
      <c r="B19" s="331">
        <f t="shared" si="2"/>
        <v>1573</v>
      </c>
      <c r="C19" s="356">
        <v>122</v>
      </c>
      <c r="D19" s="356">
        <v>113</v>
      </c>
      <c r="E19" s="356">
        <v>134</v>
      </c>
      <c r="F19" s="356">
        <v>143</v>
      </c>
      <c r="G19" s="356">
        <v>132</v>
      </c>
      <c r="H19" s="356">
        <v>129</v>
      </c>
      <c r="I19" s="356">
        <v>133</v>
      </c>
      <c r="J19" s="356">
        <v>134</v>
      </c>
      <c r="K19" s="356">
        <v>123</v>
      </c>
      <c r="L19" s="356">
        <v>132</v>
      </c>
      <c r="M19" s="356">
        <v>138</v>
      </c>
      <c r="N19" s="356">
        <v>140</v>
      </c>
      <c r="O19" s="335" t="s">
        <v>140</v>
      </c>
    </row>
    <row r="20" spans="1:16" ht="18.75" x14ac:dyDescent="0.25">
      <c r="A20" s="334" t="s">
        <v>141</v>
      </c>
      <c r="B20" s="331">
        <f t="shared" si="2"/>
        <v>575</v>
      </c>
      <c r="C20" s="356">
        <v>44</v>
      </c>
      <c r="D20" s="356">
        <v>40</v>
      </c>
      <c r="E20" s="356">
        <v>48</v>
      </c>
      <c r="F20" s="356">
        <v>52</v>
      </c>
      <c r="G20" s="356">
        <v>50</v>
      </c>
      <c r="H20" s="356">
        <v>51</v>
      </c>
      <c r="I20" s="356">
        <v>51</v>
      </c>
      <c r="J20" s="356">
        <v>48</v>
      </c>
      <c r="K20" s="356">
        <v>45</v>
      </c>
      <c r="L20" s="356">
        <v>48</v>
      </c>
      <c r="M20" s="356">
        <v>49</v>
      </c>
      <c r="N20" s="356">
        <v>49</v>
      </c>
      <c r="O20" s="335" t="s">
        <v>142</v>
      </c>
    </row>
    <row r="21" spans="1:16" ht="18.75" x14ac:dyDescent="0.25">
      <c r="A21" s="334" t="s">
        <v>143</v>
      </c>
      <c r="B21" s="331">
        <f t="shared" si="2"/>
        <v>289</v>
      </c>
      <c r="C21" s="356">
        <v>21</v>
      </c>
      <c r="D21" s="356">
        <v>20</v>
      </c>
      <c r="E21" s="356">
        <v>24</v>
      </c>
      <c r="F21" s="356">
        <v>28</v>
      </c>
      <c r="G21" s="356">
        <v>25</v>
      </c>
      <c r="H21" s="356">
        <v>25</v>
      </c>
      <c r="I21" s="356">
        <v>26</v>
      </c>
      <c r="J21" s="356">
        <v>24</v>
      </c>
      <c r="K21" s="356">
        <v>24</v>
      </c>
      <c r="L21" s="356">
        <v>25</v>
      </c>
      <c r="M21" s="356">
        <v>23</v>
      </c>
      <c r="N21" s="356">
        <v>24</v>
      </c>
      <c r="O21" s="335" t="s">
        <v>144</v>
      </c>
    </row>
    <row r="22" spans="1:16" ht="18.75" x14ac:dyDescent="0.25">
      <c r="A22" s="334" t="s">
        <v>145</v>
      </c>
      <c r="B22" s="331">
        <f t="shared" si="2"/>
        <v>281</v>
      </c>
      <c r="C22" s="356">
        <v>22</v>
      </c>
      <c r="D22" s="356">
        <v>20</v>
      </c>
      <c r="E22" s="356">
        <v>25</v>
      </c>
      <c r="F22" s="356">
        <v>26</v>
      </c>
      <c r="G22" s="356">
        <v>24</v>
      </c>
      <c r="H22" s="356">
        <v>22</v>
      </c>
      <c r="I22" s="356">
        <v>26</v>
      </c>
      <c r="J22" s="356">
        <v>22</v>
      </c>
      <c r="K22" s="356">
        <v>22</v>
      </c>
      <c r="L22" s="356">
        <v>24</v>
      </c>
      <c r="M22" s="356">
        <v>24</v>
      </c>
      <c r="N22" s="356">
        <v>24</v>
      </c>
      <c r="O22" s="335" t="s">
        <v>146</v>
      </c>
    </row>
    <row r="23" spans="1:16" ht="18.75" x14ac:dyDescent="0.25">
      <c r="A23" s="334" t="s">
        <v>147</v>
      </c>
      <c r="B23" s="331">
        <f t="shared" si="2"/>
        <v>203</v>
      </c>
      <c r="C23" s="356">
        <v>16</v>
      </c>
      <c r="D23" s="356">
        <v>15</v>
      </c>
      <c r="E23" s="356">
        <v>18</v>
      </c>
      <c r="F23" s="356">
        <v>18</v>
      </c>
      <c r="G23" s="356">
        <v>17</v>
      </c>
      <c r="H23" s="356">
        <v>18</v>
      </c>
      <c r="I23" s="356">
        <v>20</v>
      </c>
      <c r="J23" s="356">
        <v>18</v>
      </c>
      <c r="K23" s="356">
        <v>16</v>
      </c>
      <c r="L23" s="356">
        <v>16</v>
      </c>
      <c r="M23" s="356">
        <v>15</v>
      </c>
      <c r="N23" s="356">
        <v>16</v>
      </c>
      <c r="O23" s="335" t="s">
        <v>148</v>
      </c>
    </row>
    <row r="24" spans="1:16" ht="18.75" x14ac:dyDescent="0.25">
      <c r="A24" s="334" t="s">
        <v>149</v>
      </c>
      <c r="B24" s="331">
        <f t="shared" si="2"/>
        <v>148</v>
      </c>
      <c r="C24" s="356">
        <v>11</v>
      </c>
      <c r="D24" s="356">
        <v>10</v>
      </c>
      <c r="E24" s="356">
        <v>12</v>
      </c>
      <c r="F24" s="356">
        <v>13</v>
      </c>
      <c r="G24" s="356">
        <v>13</v>
      </c>
      <c r="H24" s="356">
        <v>12</v>
      </c>
      <c r="I24" s="356">
        <v>14</v>
      </c>
      <c r="J24" s="356">
        <v>13</v>
      </c>
      <c r="K24" s="356">
        <v>12</v>
      </c>
      <c r="L24" s="356">
        <v>12</v>
      </c>
      <c r="M24" s="356">
        <v>12</v>
      </c>
      <c r="N24" s="356">
        <v>14</v>
      </c>
      <c r="O24" s="335" t="s">
        <v>150</v>
      </c>
    </row>
    <row r="25" spans="1:16" ht="18.75" x14ac:dyDescent="0.25">
      <c r="A25" s="334" t="s">
        <v>151</v>
      </c>
      <c r="B25" s="331">
        <f t="shared" si="2"/>
        <v>164</v>
      </c>
      <c r="C25" s="356">
        <v>11</v>
      </c>
      <c r="D25" s="356">
        <v>10</v>
      </c>
      <c r="E25" s="356">
        <v>14</v>
      </c>
      <c r="F25" s="356">
        <v>16</v>
      </c>
      <c r="G25" s="356">
        <v>15</v>
      </c>
      <c r="H25" s="356">
        <v>14</v>
      </c>
      <c r="I25" s="356">
        <v>15</v>
      </c>
      <c r="J25" s="356">
        <v>14</v>
      </c>
      <c r="K25" s="356">
        <v>14</v>
      </c>
      <c r="L25" s="356">
        <v>13</v>
      </c>
      <c r="M25" s="356">
        <v>14</v>
      </c>
      <c r="N25" s="356">
        <v>14</v>
      </c>
      <c r="O25" s="335" t="s">
        <v>152</v>
      </c>
    </row>
    <row r="26" spans="1:16" s="337" customFormat="1" ht="18.75" x14ac:dyDescent="0.25">
      <c r="A26" s="305" t="s">
        <v>153</v>
      </c>
      <c r="B26" s="306">
        <f t="shared" si="2"/>
        <v>226</v>
      </c>
      <c r="C26" s="441">
        <v>17</v>
      </c>
      <c r="D26" s="441">
        <v>16</v>
      </c>
      <c r="E26" s="441">
        <v>19</v>
      </c>
      <c r="F26" s="441">
        <v>21</v>
      </c>
      <c r="G26" s="441">
        <v>19</v>
      </c>
      <c r="H26" s="441">
        <v>21</v>
      </c>
      <c r="I26" s="441">
        <v>19</v>
      </c>
      <c r="J26" s="441">
        <v>18</v>
      </c>
      <c r="K26" s="441">
        <v>18</v>
      </c>
      <c r="L26" s="441">
        <v>20</v>
      </c>
      <c r="M26" s="441">
        <v>19</v>
      </c>
      <c r="N26" s="441">
        <v>19</v>
      </c>
      <c r="O26" s="307" t="s">
        <v>154</v>
      </c>
    </row>
    <row r="27" spans="1:16" s="337" customFormat="1" ht="18.75" x14ac:dyDescent="0.25">
      <c r="A27" s="305" t="s">
        <v>155</v>
      </c>
      <c r="B27" s="306">
        <f t="shared" si="2"/>
        <v>574</v>
      </c>
      <c r="C27" s="441">
        <v>41</v>
      </c>
      <c r="D27" s="441">
        <v>39</v>
      </c>
      <c r="E27" s="441">
        <v>47</v>
      </c>
      <c r="F27" s="441">
        <v>47</v>
      </c>
      <c r="G27" s="441">
        <v>51</v>
      </c>
      <c r="H27" s="441">
        <v>51</v>
      </c>
      <c r="I27" s="441">
        <v>51</v>
      </c>
      <c r="J27" s="441">
        <v>51</v>
      </c>
      <c r="K27" s="441">
        <v>51</v>
      </c>
      <c r="L27" s="441">
        <v>51</v>
      </c>
      <c r="M27" s="441">
        <v>47</v>
      </c>
      <c r="N27" s="441">
        <v>47</v>
      </c>
      <c r="O27" s="307" t="s">
        <v>156</v>
      </c>
    </row>
    <row r="28" spans="1:16" s="337" customFormat="1" ht="18.75" x14ac:dyDescent="0.25">
      <c r="A28" s="305" t="s">
        <v>157</v>
      </c>
      <c r="B28" s="306">
        <f t="shared" si="2"/>
        <v>177</v>
      </c>
      <c r="C28" s="441" t="s">
        <v>158</v>
      </c>
      <c r="D28" s="441" t="s">
        <v>158</v>
      </c>
      <c r="E28" s="441" t="s">
        <v>158</v>
      </c>
      <c r="F28" s="441" t="s">
        <v>158</v>
      </c>
      <c r="G28" s="441" t="s">
        <v>158</v>
      </c>
      <c r="H28" s="441" t="s">
        <v>158</v>
      </c>
      <c r="I28" s="441" t="s">
        <v>158</v>
      </c>
      <c r="J28" s="441">
        <v>24</v>
      </c>
      <c r="K28" s="441">
        <v>39</v>
      </c>
      <c r="L28" s="441">
        <v>39</v>
      </c>
      <c r="M28" s="441">
        <v>37</v>
      </c>
      <c r="N28" s="441">
        <v>38</v>
      </c>
      <c r="O28" s="307" t="s">
        <v>159</v>
      </c>
    </row>
    <row r="29" spans="1:16" s="337" customFormat="1" ht="18.75" x14ac:dyDescent="0.25">
      <c r="A29" s="305" t="s">
        <v>160</v>
      </c>
      <c r="B29" s="306">
        <f t="shared" si="2"/>
        <v>208</v>
      </c>
      <c r="C29" s="441">
        <v>17</v>
      </c>
      <c r="D29" s="441">
        <v>15</v>
      </c>
      <c r="E29" s="441">
        <v>18</v>
      </c>
      <c r="F29" s="441">
        <v>18</v>
      </c>
      <c r="G29" s="441">
        <v>18</v>
      </c>
      <c r="H29" s="441">
        <v>18</v>
      </c>
      <c r="I29" s="441">
        <v>22</v>
      </c>
      <c r="J29" s="441">
        <v>17</v>
      </c>
      <c r="K29" s="441">
        <v>16</v>
      </c>
      <c r="L29" s="441">
        <v>16</v>
      </c>
      <c r="M29" s="441">
        <v>15</v>
      </c>
      <c r="N29" s="441">
        <v>18</v>
      </c>
      <c r="O29" s="307" t="s">
        <v>161</v>
      </c>
    </row>
    <row r="30" spans="1:16" s="337" customFormat="1" ht="18.75" x14ac:dyDescent="0.25">
      <c r="A30" s="305" t="s">
        <v>162</v>
      </c>
      <c r="B30" s="306">
        <f t="shared" si="2"/>
        <v>130</v>
      </c>
      <c r="C30" s="441">
        <v>8</v>
      </c>
      <c r="D30" s="441">
        <v>9</v>
      </c>
      <c r="E30" s="441">
        <v>10</v>
      </c>
      <c r="F30" s="441">
        <v>10</v>
      </c>
      <c r="G30" s="441">
        <v>12</v>
      </c>
      <c r="H30" s="441">
        <v>13</v>
      </c>
      <c r="I30" s="441">
        <v>13</v>
      </c>
      <c r="J30" s="441">
        <v>11</v>
      </c>
      <c r="K30" s="441">
        <v>11</v>
      </c>
      <c r="L30" s="441">
        <v>11</v>
      </c>
      <c r="M30" s="441">
        <v>11</v>
      </c>
      <c r="N30" s="441">
        <v>11</v>
      </c>
      <c r="O30" s="307" t="s">
        <v>163</v>
      </c>
      <c r="P30" s="338"/>
    </row>
    <row r="31" spans="1:16" s="337" customFormat="1" ht="18.75" x14ac:dyDescent="0.25">
      <c r="A31" s="305" t="s">
        <v>164</v>
      </c>
      <c r="B31" s="306">
        <f t="shared" si="2"/>
        <v>245</v>
      </c>
      <c r="C31" s="441">
        <v>18</v>
      </c>
      <c r="D31" s="441">
        <v>16</v>
      </c>
      <c r="E31" s="441">
        <v>16</v>
      </c>
      <c r="F31" s="441">
        <v>21</v>
      </c>
      <c r="G31" s="441">
        <v>20</v>
      </c>
      <c r="H31" s="441">
        <v>19</v>
      </c>
      <c r="I31" s="441">
        <v>24</v>
      </c>
      <c r="J31" s="441">
        <v>25</v>
      </c>
      <c r="K31" s="441">
        <v>21</v>
      </c>
      <c r="L31" s="441">
        <v>22</v>
      </c>
      <c r="M31" s="441">
        <v>22</v>
      </c>
      <c r="N31" s="441">
        <v>21</v>
      </c>
      <c r="O31" s="307" t="s">
        <v>165</v>
      </c>
      <c r="P31" s="338"/>
    </row>
    <row r="32" spans="1:16" s="337" customFormat="1" ht="18.75" x14ac:dyDescent="0.25">
      <c r="A32" s="305" t="s">
        <v>166</v>
      </c>
      <c r="B32" s="306">
        <f t="shared" si="2"/>
        <v>252</v>
      </c>
      <c r="C32" s="441">
        <v>19</v>
      </c>
      <c r="D32" s="441">
        <v>18</v>
      </c>
      <c r="E32" s="441">
        <v>22</v>
      </c>
      <c r="F32" s="441">
        <v>22</v>
      </c>
      <c r="G32" s="441">
        <v>23</v>
      </c>
      <c r="H32" s="441">
        <v>22</v>
      </c>
      <c r="I32" s="441">
        <v>22</v>
      </c>
      <c r="J32" s="441">
        <v>20</v>
      </c>
      <c r="K32" s="441">
        <v>20</v>
      </c>
      <c r="L32" s="441">
        <v>22</v>
      </c>
      <c r="M32" s="441">
        <v>20</v>
      </c>
      <c r="N32" s="441">
        <v>22</v>
      </c>
      <c r="O32" s="307" t="s">
        <v>167</v>
      </c>
      <c r="P32" s="338"/>
    </row>
    <row r="33" spans="1:17" s="337" customFormat="1" ht="18.75" x14ac:dyDescent="0.25">
      <c r="A33" s="305" t="s">
        <v>187</v>
      </c>
      <c r="B33" s="306">
        <f t="shared" si="2"/>
        <v>714</v>
      </c>
      <c r="C33" s="441">
        <v>57</v>
      </c>
      <c r="D33" s="441">
        <v>51</v>
      </c>
      <c r="E33" s="441">
        <v>60</v>
      </c>
      <c r="F33" s="441">
        <v>62</v>
      </c>
      <c r="G33" s="441">
        <v>60</v>
      </c>
      <c r="H33" s="441">
        <v>61</v>
      </c>
      <c r="I33" s="441">
        <v>62</v>
      </c>
      <c r="J33" s="441">
        <v>59</v>
      </c>
      <c r="K33" s="441">
        <v>57</v>
      </c>
      <c r="L33" s="441">
        <v>61</v>
      </c>
      <c r="M33" s="441">
        <v>60</v>
      </c>
      <c r="N33" s="441">
        <v>64</v>
      </c>
      <c r="O33" s="307" t="s">
        <v>169</v>
      </c>
      <c r="P33" s="338"/>
    </row>
    <row r="34" spans="1:17" s="337" customFormat="1" ht="18.75" x14ac:dyDescent="0.25">
      <c r="A34" s="305" t="s">
        <v>170</v>
      </c>
      <c r="B34" s="306">
        <f t="shared" si="2"/>
        <v>161</v>
      </c>
      <c r="C34" s="441">
        <v>13</v>
      </c>
      <c r="D34" s="441">
        <v>12</v>
      </c>
      <c r="E34" s="441">
        <v>13</v>
      </c>
      <c r="F34" s="441">
        <v>13</v>
      </c>
      <c r="G34" s="441">
        <v>13</v>
      </c>
      <c r="H34" s="441">
        <v>14</v>
      </c>
      <c r="I34" s="441">
        <v>15</v>
      </c>
      <c r="J34" s="441">
        <v>13</v>
      </c>
      <c r="K34" s="441">
        <v>13</v>
      </c>
      <c r="L34" s="441">
        <v>14</v>
      </c>
      <c r="M34" s="441">
        <v>14</v>
      </c>
      <c r="N34" s="441">
        <v>14</v>
      </c>
      <c r="O34" s="307" t="s">
        <v>171</v>
      </c>
      <c r="P34" s="338"/>
    </row>
    <row r="35" spans="1:17" s="337" customFormat="1" ht="18.75" x14ac:dyDescent="0.25">
      <c r="A35" s="305" t="s">
        <v>172</v>
      </c>
      <c r="B35" s="306">
        <f t="shared" si="2"/>
        <v>74</v>
      </c>
      <c r="C35" s="441">
        <v>5</v>
      </c>
      <c r="D35" s="441">
        <v>5</v>
      </c>
      <c r="E35" s="441">
        <v>6</v>
      </c>
      <c r="F35" s="441">
        <v>7</v>
      </c>
      <c r="G35" s="441">
        <v>6</v>
      </c>
      <c r="H35" s="441">
        <v>6</v>
      </c>
      <c r="I35" s="441">
        <v>7</v>
      </c>
      <c r="J35" s="441">
        <v>6</v>
      </c>
      <c r="K35" s="441">
        <v>6</v>
      </c>
      <c r="L35" s="441">
        <v>6</v>
      </c>
      <c r="M35" s="441">
        <v>6</v>
      </c>
      <c r="N35" s="441">
        <v>8</v>
      </c>
      <c r="O35" s="307" t="s">
        <v>173</v>
      </c>
      <c r="P35" s="338"/>
    </row>
    <row r="36" spans="1:17" s="337" customFormat="1" ht="18.75" x14ac:dyDescent="0.25">
      <c r="A36" s="305" t="s">
        <v>174</v>
      </c>
      <c r="B36" s="306">
        <f t="shared" si="2"/>
        <v>236</v>
      </c>
      <c r="C36" s="441">
        <v>18</v>
      </c>
      <c r="D36" s="441">
        <v>18</v>
      </c>
      <c r="E36" s="441">
        <v>21</v>
      </c>
      <c r="F36" s="441">
        <v>21</v>
      </c>
      <c r="G36" s="441">
        <v>20</v>
      </c>
      <c r="H36" s="441">
        <v>19</v>
      </c>
      <c r="I36" s="441">
        <v>21</v>
      </c>
      <c r="J36" s="441">
        <v>20</v>
      </c>
      <c r="K36" s="441">
        <v>19</v>
      </c>
      <c r="L36" s="441">
        <v>20</v>
      </c>
      <c r="M36" s="441">
        <v>19</v>
      </c>
      <c r="N36" s="441">
        <v>20</v>
      </c>
      <c r="O36" s="307" t="s">
        <v>175</v>
      </c>
      <c r="P36" s="338"/>
    </row>
    <row r="37" spans="1:17" ht="18.75" x14ac:dyDescent="0.25">
      <c r="A37" s="334" t="s">
        <v>176</v>
      </c>
      <c r="B37" s="331">
        <f t="shared" si="2"/>
        <v>161</v>
      </c>
      <c r="C37" s="356">
        <v>13</v>
      </c>
      <c r="D37" s="356">
        <v>12</v>
      </c>
      <c r="E37" s="356">
        <v>12</v>
      </c>
      <c r="F37" s="356">
        <v>13</v>
      </c>
      <c r="G37" s="356">
        <v>15</v>
      </c>
      <c r="H37" s="356">
        <v>14</v>
      </c>
      <c r="I37" s="356">
        <v>15</v>
      </c>
      <c r="J37" s="356">
        <v>15</v>
      </c>
      <c r="K37" s="356">
        <v>14</v>
      </c>
      <c r="L37" s="356">
        <v>15</v>
      </c>
      <c r="M37" s="356">
        <v>11</v>
      </c>
      <c r="N37" s="356">
        <v>12</v>
      </c>
      <c r="O37" s="335" t="s">
        <v>177</v>
      </c>
      <c r="P37" s="339"/>
    </row>
    <row r="38" spans="1:17" ht="18.75" x14ac:dyDescent="0.25">
      <c r="A38" s="334" t="s">
        <v>178</v>
      </c>
      <c r="B38" s="331">
        <f t="shared" si="2"/>
        <v>131</v>
      </c>
      <c r="C38" s="356">
        <v>10</v>
      </c>
      <c r="D38" s="356">
        <v>11</v>
      </c>
      <c r="E38" s="356">
        <v>13</v>
      </c>
      <c r="F38" s="356">
        <v>11</v>
      </c>
      <c r="G38" s="356">
        <v>7</v>
      </c>
      <c r="H38" s="356">
        <v>7</v>
      </c>
      <c r="I38" s="356">
        <v>10</v>
      </c>
      <c r="J38" s="356">
        <v>12</v>
      </c>
      <c r="K38" s="356">
        <v>12</v>
      </c>
      <c r="L38" s="356">
        <v>12</v>
      </c>
      <c r="M38" s="356">
        <v>14</v>
      </c>
      <c r="N38" s="356">
        <v>12</v>
      </c>
      <c r="O38" s="335" t="s">
        <v>179</v>
      </c>
      <c r="P38" s="339"/>
    </row>
    <row r="39" spans="1:17" ht="18.75" x14ac:dyDescent="0.25">
      <c r="A39" s="334" t="s">
        <v>180</v>
      </c>
      <c r="B39" s="331">
        <f t="shared" si="2"/>
        <v>182</v>
      </c>
      <c r="C39" s="356">
        <v>13</v>
      </c>
      <c r="D39" s="356">
        <v>13</v>
      </c>
      <c r="E39" s="356">
        <v>15</v>
      </c>
      <c r="F39" s="356">
        <v>16</v>
      </c>
      <c r="G39" s="356">
        <v>14</v>
      </c>
      <c r="H39" s="356">
        <v>16</v>
      </c>
      <c r="I39" s="356">
        <v>16</v>
      </c>
      <c r="J39" s="356">
        <v>16</v>
      </c>
      <c r="K39" s="356">
        <v>15</v>
      </c>
      <c r="L39" s="356">
        <v>16</v>
      </c>
      <c r="M39" s="356">
        <v>16</v>
      </c>
      <c r="N39" s="356">
        <v>16</v>
      </c>
      <c r="O39" s="335" t="s">
        <v>181</v>
      </c>
      <c r="P39" s="339"/>
    </row>
    <row r="40" spans="1:17" s="345" customFormat="1" ht="18.75" x14ac:dyDescent="0.25">
      <c r="A40" s="340" t="s">
        <v>182</v>
      </c>
      <c r="B40" s="341">
        <f t="shared" si="2"/>
        <v>58</v>
      </c>
      <c r="C40" s="357">
        <v>5</v>
      </c>
      <c r="D40" s="357">
        <v>4</v>
      </c>
      <c r="E40" s="357">
        <v>5</v>
      </c>
      <c r="F40" s="357">
        <v>5</v>
      </c>
      <c r="G40" s="357">
        <v>5</v>
      </c>
      <c r="H40" s="357">
        <v>5</v>
      </c>
      <c r="I40" s="357">
        <v>5</v>
      </c>
      <c r="J40" s="357">
        <v>4</v>
      </c>
      <c r="K40" s="357">
        <v>5</v>
      </c>
      <c r="L40" s="357">
        <v>5</v>
      </c>
      <c r="M40" s="357">
        <v>5</v>
      </c>
      <c r="N40" s="357">
        <v>5</v>
      </c>
      <c r="O40" s="342" t="s">
        <v>183</v>
      </c>
      <c r="P40" s="343"/>
      <c r="Q40" s="344"/>
    </row>
    <row r="41" spans="1:17" s="351" customFormat="1" ht="14.25" x14ac:dyDescent="0.25">
      <c r="A41" s="346" t="s">
        <v>87</v>
      </c>
      <c r="B41" s="347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9"/>
      <c r="O41" s="350" t="s">
        <v>88</v>
      </c>
    </row>
    <row r="42" spans="1:17" s="345" customFormat="1" x14ac:dyDescent="0.25">
      <c r="A42" s="352"/>
      <c r="B42" s="353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4"/>
      <c r="N42" s="343"/>
    </row>
    <row r="43" spans="1:17" s="355" customFormat="1" ht="12" x14ac:dyDescent="0.25"/>
  </sheetData>
  <mergeCells count="4">
    <mergeCell ref="A1:O1"/>
    <mergeCell ref="A2:O2"/>
    <mergeCell ref="A3:O3"/>
    <mergeCell ref="A4:O4"/>
  </mergeCells>
  <pageMargins left="0.7" right="0.7" top="0.75" bottom="0.75" header="0.3" footer="0.3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I38"/>
  <sheetViews>
    <sheetView zoomScaleNormal="100" workbookViewId="0">
      <selection activeCell="A36" sqref="A36:O36"/>
    </sheetView>
  </sheetViews>
  <sheetFormatPr defaultColWidth="9.140625" defaultRowHeight="15" x14ac:dyDescent="0.25"/>
  <cols>
    <col min="1" max="1" width="17.42578125" style="324" customWidth="1"/>
    <col min="2" max="14" width="9.42578125" style="324" customWidth="1"/>
    <col min="15" max="15" width="13.5703125" style="324" customWidth="1"/>
    <col min="16" max="16" width="3.5703125" style="324" customWidth="1"/>
    <col min="17" max="16384" width="9.140625" style="324"/>
  </cols>
  <sheetData>
    <row r="1" spans="1:243" ht="23.25" customHeight="1" x14ac:dyDescent="0.25">
      <c r="A1" s="496" t="s">
        <v>188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8"/>
    </row>
    <row r="2" spans="1:243" s="326" customFormat="1" ht="15.75" customHeight="1" x14ac:dyDescent="0.25">
      <c r="A2" s="505" t="s">
        <v>189</v>
      </c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7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</row>
    <row r="3" spans="1:243" s="326" customFormat="1" ht="15.75" customHeight="1" x14ac:dyDescent="0.25">
      <c r="A3" s="508" t="s">
        <v>190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10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</row>
    <row r="4" spans="1:243" s="362" customFormat="1" ht="15.75" customHeight="1" x14ac:dyDescent="0.25">
      <c r="A4" s="358" t="s">
        <v>93</v>
      </c>
      <c r="B4" s="359" t="s">
        <v>102</v>
      </c>
      <c r="C4" s="360" t="s">
        <v>103</v>
      </c>
      <c r="D4" s="360" t="s">
        <v>104</v>
      </c>
      <c r="E4" s="360" t="s">
        <v>105</v>
      </c>
      <c r="F4" s="360" t="s">
        <v>106</v>
      </c>
      <c r="G4" s="360" t="s">
        <v>107</v>
      </c>
      <c r="H4" s="360" t="s">
        <v>108</v>
      </c>
      <c r="I4" s="360" t="s">
        <v>109</v>
      </c>
      <c r="J4" s="360" t="s">
        <v>110</v>
      </c>
      <c r="K4" s="360" t="s">
        <v>111</v>
      </c>
      <c r="L4" s="360" t="s">
        <v>112</v>
      </c>
      <c r="M4" s="360" t="s">
        <v>113</v>
      </c>
      <c r="N4" s="360" t="s">
        <v>114</v>
      </c>
      <c r="O4" s="361"/>
    </row>
    <row r="5" spans="1:243" s="364" customFormat="1" ht="18" customHeight="1" x14ac:dyDescent="0.25">
      <c r="A5" s="300" t="s">
        <v>102</v>
      </c>
      <c r="B5" s="363">
        <f>SUM(C5:N5)</f>
        <v>364.16899999999998</v>
      </c>
      <c r="C5" s="363">
        <f>C6+C7+C8+C9</f>
        <v>23.24</v>
      </c>
      <c r="D5" s="363">
        <f t="shared" ref="D5:N5" si="0">D6+D7+D8+D9</f>
        <v>20.881</v>
      </c>
      <c r="E5" s="363">
        <f t="shared" si="0"/>
        <v>26.236999999999998</v>
      </c>
      <c r="F5" s="363">
        <f t="shared" si="0"/>
        <v>28.882000000000005</v>
      </c>
      <c r="G5" s="363">
        <f t="shared" si="0"/>
        <v>29.312999999999999</v>
      </c>
      <c r="H5" s="363">
        <f t="shared" si="0"/>
        <v>29.151</v>
      </c>
      <c r="I5" s="363">
        <f t="shared" si="0"/>
        <v>32.294000000000004</v>
      </c>
      <c r="J5" s="363">
        <f t="shared" si="0"/>
        <v>28.819000000000003</v>
      </c>
      <c r="K5" s="363">
        <f t="shared" si="0"/>
        <v>28.718000000000004</v>
      </c>
      <c r="L5" s="363">
        <f t="shared" si="0"/>
        <v>31.801000000000002</v>
      </c>
      <c r="M5" s="363">
        <f t="shared" si="0"/>
        <v>45.008000000000003</v>
      </c>
      <c r="N5" s="363">
        <f t="shared" si="0"/>
        <v>39.825000000000003</v>
      </c>
      <c r="O5" s="333" t="s">
        <v>3</v>
      </c>
    </row>
    <row r="6" spans="1:243" s="364" customFormat="1" ht="18" customHeight="1" x14ac:dyDescent="0.25">
      <c r="A6" s="334" t="s">
        <v>115</v>
      </c>
      <c r="B6" s="363">
        <f>SUM(C6:N6)</f>
        <v>283.90000000000003</v>
      </c>
      <c r="C6" s="373">
        <v>16.7</v>
      </c>
      <c r="D6" s="373">
        <v>15.3</v>
      </c>
      <c r="E6" s="373">
        <v>19.7</v>
      </c>
      <c r="F6" s="373">
        <v>22.1</v>
      </c>
      <c r="G6" s="373">
        <v>22.9</v>
      </c>
      <c r="H6" s="373">
        <v>21.9</v>
      </c>
      <c r="I6" s="373">
        <v>25.3</v>
      </c>
      <c r="J6" s="373">
        <v>22.3</v>
      </c>
      <c r="K6" s="373">
        <v>21.8</v>
      </c>
      <c r="L6" s="373">
        <v>24.8</v>
      </c>
      <c r="M6" s="373">
        <v>38.200000000000003</v>
      </c>
      <c r="N6" s="373">
        <v>32.9</v>
      </c>
      <c r="O6" s="335" t="s">
        <v>116</v>
      </c>
    </row>
    <row r="7" spans="1:243" s="364" customFormat="1" ht="18" customHeight="1" x14ac:dyDescent="0.25">
      <c r="A7" s="334" t="s">
        <v>117</v>
      </c>
      <c r="B7" s="363">
        <f>SUM(C7:N7)</f>
        <v>9.9999999999999982</v>
      </c>
      <c r="C7" s="373">
        <v>0.9</v>
      </c>
      <c r="D7" s="373">
        <v>0.5</v>
      </c>
      <c r="E7" s="373">
        <v>1</v>
      </c>
      <c r="F7" s="373">
        <v>1.1000000000000001</v>
      </c>
      <c r="G7" s="373">
        <v>0.6</v>
      </c>
      <c r="H7" s="373">
        <v>1.3</v>
      </c>
      <c r="I7" s="373">
        <v>0.5</v>
      </c>
      <c r="J7" s="373">
        <v>0.7</v>
      </c>
      <c r="K7" s="373">
        <v>0.9</v>
      </c>
      <c r="L7" s="373">
        <v>0.7</v>
      </c>
      <c r="M7" s="373">
        <v>1.1000000000000001</v>
      </c>
      <c r="N7" s="373">
        <v>0.7</v>
      </c>
      <c r="O7" s="335" t="s">
        <v>118</v>
      </c>
    </row>
    <row r="8" spans="1:243" s="364" customFormat="1" ht="18" customHeight="1" x14ac:dyDescent="0.25">
      <c r="A8" s="334" t="s">
        <v>119</v>
      </c>
      <c r="B8" s="363">
        <f>SUM(C8:N8)</f>
        <v>30.3</v>
      </c>
      <c r="C8" s="373">
        <v>1.9</v>
      </c>
      <c r="D8" s="373">
        <v>2</v>
      </c>
      <c r="E8" s="373">
        <v>2.2000000000000002</v>
      </c>
      <c r="F8" s="373">
        <v>2.5</v>
      </c>
      <c r="G8" s="373">
        <v>2.4</v>
      </c>
      <c r="H8" s="373">
        <v>2.9</v>
      </c>
      <c r="I8" s="373">
        <v>3.1</v>
      </c>
      <c r="J8" s="373">
        <v>2.5</v>
      </c>
      <c r="K8" s="373">
        <v>2.6</v>
      </c>
      <c r="L8" s="373">
        <v>2.7</v>
      </c>
      <c r="M8" s="373">
        <v>2.4</v>
      </c>
      <c r="N8" s="373">
        <v>3.1</v>
      </c>
      <c r="O8" s="335" t="s">
        <v>120</v>
      </c>
    </row>
    <row r="9" spans="1:243" s="304" customFormat="1" ht="18.75" x14ac:dyDescent="0.25">
      <c r="A9" s="300" t="s">
        <v>121</v>
      </c>
      <c r="B9" s="365">
        <f>SUM(B10:B36)</f>
        <v>39.969000000000008</v>
      </c>
      <c r="C9" s="365">
        <f>SUM(C10:C36)</f>
        <v>3.7400000000000011</v>
      </c>
      <c r="D9" s="365">
        <f>SUM(D10:D36)</f>
        <v>3.0810000000000013</v>
      </c>
      <c r="E9" s="365">
        <f>SUM(E10:E36)</f>
        <v>3.3370000000000011</v>
      </c>
      <c r="F9" s="365">
        <f>SUM(F10:F36)</f>
        <v>3.1820000000000008</v>
      </c>
      <c r="G9" s="365">
        <f>SUM(G10:G36)</f>
        <v>3.4130000000000016</v>
      </c>
      <c r="H9" s="365">
        <f>SUM(H10:H36)</f>
        <v>3.051000000000001</v>
      </c>
      <c r="I9" s="365">
        <f>SUM(I10:I36)</f>
        <v>3.3940000000000015</v>
      </c>
      <c r="J9" s="365">
        <f>SUM(J10:J36)</f>
        <v>3.3190000000000013</v>
      </c>
      <c r="K9" s="365">
        <f>SUM(K10:K36)</f>
        <v>3.4180000000000015</v>
      </c>
      <c r="L9" s="365">
        <f>SUM(L10:L36)</f>
        <v>3.6010000000000013</v>
      </c>
      <c r="M9" s="365">
        <f>SUM(M10:M36)</f>
        <v>3.3080000000000016</v>
      </c>
      <c r="N9" s="365">
        <f>SUM(N10:N36)</f>
        <v>3.1250000000000009</v>
      </c>
      <c r="O9" s="309" t="s">
        <v>122</v>
      </c>
    </row>
    <row r="10" spans="1:243" s="364" customFormat="1" ht="18" customHeight="1" x14ac:dyDescent="0.25">
      <c r="A10" s="334" t="s">
        <v>123</v>
      </c>
      <c r="B10" s="363">
        <f>SUM(C10:N10)</f>
        <v>3.1999999999999997</v>
      </c>
      <c r="C10" s="442">
        <v>0.3</v>
      </c>
      <c r="D10" s="442">
        <v>0.2</v>
      </c>
      <c r="E10" s="442">
        <v>0.3</v>
      </c>
      <c r="F10" s="442">
        <v>0.2</v>
      </c>
      <c r="G10" s="442">
        <v>0.3</v>
      </c>
      <c r="H10" s="442">
        <v>0.2</v>
      </c>
      <c r="I10" s="442">
        <v>0.2</v>
      </c>
      <c r="J10" s="442">
        <v>0.3</v>
      </c>
      <c r="K10" s="442">
        <v>0.3</v>
      </c>
      <c r="L10" s="442">
        <v>0.3</v>
      </c>
      <c r="M10" s="442">
        <v>0.4</v>
      </c>
      <c r="N10" s="442">
        <v>0.2</v>
      </c>
      <c r="O10" s="335" t="s">
        <v>124</v>
      </c>
    </row>
    <row r="11" spans="1:243" s="364" customFormat="1" ht="18" customHeight="1" x14ac:dyDescent="0.25">
      <c r="A11" s="334" t="s">
        <v>125</v>
      </c>
      <c r="B11" s="363">
        <f t="shared" ref="B11:B36" si="1">SUM(C11:N11)</f>
        <v>1.4000000000000001</v>
      </c>
      <c r="C11" s="442">
        <v>0.2</v>
      </c>
      <c r="D11" s="442">
        <v>0.1</v>
      </c>
      <c r="E11" s="442">
        <v>0.1</v>
      </c>
      <c r="F11" s="442">
        <v>0.1</v>
      </c>
      <c r="G11" s="442">
        <v>0.2</v>
      </c>
      <c r="H11" s="442">
        <v>0.1</v>
      </c>
      <c r="I11" s="442">
        <v>0.1</v>
      </c>
      <c r="J11" s="442">
        <v>0.1</v>
      </c>
      <c r="K11" s="442">
        <v>0.1</v>
      </c>
      <c r="L11" s="442">
        <v>0.1</v>
      </c>
      <c r="M11" s="442">
        <v>0.1</v>
      </c>
      <c r="N11" s="442">
        <v>0.1</v>
      </c>
      <c r="O11" s="335" t="s">
        <v>126</v>
      </c>
    </row>
    <row r="12" spans="1:243" s="364" customFormat="1" ht="18" customHeight="1" x14ac:dyDescent="0.25">
      <c r="A12" s="334" t="s">
        <v>127</v>
      </c>
      <c r="B12" s="363">
        <f t="shared" si="1"/>
        <v>1.3</v>
      </c>
      <c r="C12" s="442">
        <v>0.1</v>
      </c>
      <c r="D12" s="442">
        <v>0.1</v>
      </c>
      <c r="E12" s="442">
        <v>0.2</v>
      </c>
      <c r="F12" s="442">
        <v>0.1</v>
      </c>
      <c r="G12" s="442">
        <v>0.1</v>
      </c>
      <c r="H12" s="442">
        <v>0.1</v>
      </c>
      <c r="I12" s="442">
        <v>0.1</v>
      </c>
      <c r="J12" s="442">
        <v>0.1</v>
      </c>
      <c r="K12" s="442">
        <v>0.1</v>
      </c>
      <c r="L12" s="442">
        <v>0.1</v>
      </c>
      <c r="M12" s="442">
        <v>0.1</v>
      </c>
      <c r="N12" s="442">
        <v>0.1</v>
      </c>
      <c r="O12" s="335" t="s">
        <v>128</v>
      </c>
    </row>
    <row r="13" spans="1:243" s="364" customFormat="1" ht="18" customHeight="1" x14ac:dyDescent="0.25">
      <c r="A13" s="334" t="s">
        <v>129</v>
      </c>
      <c r="B13" s="363">
        <f t="shared" si="1"/>
        <v>1.4000000000000001</v>
      </c>
      <c r="C13" s="442">
        <v>0.2</v>
      </c>
      <c r="D13" s="442">
        <v>0.2</v>
      </c>
      <c r="E13" s="442">
        <v>0.1</v>
      </c>
      <c r="F13" s="442">
        <v>0.1</v>
      </c>
      <c r="G13" s="442">
        <v>0.1</v>
      </c>
      <c r="H13" s="442">
        <v>0.1</v>
      </c>
      <c r="I13" s="442">
        <v>0.1</v>
      </c>
      <c r="J13" s="442">
        <v>0.1</v>
      </c>
      <c r="K13" s="442">
        <v>0.1</v>
      </c>
      <c r="L13" s="442">
        <v>0.1</v>
      </c>
      <c r="M13" s="442">
        <v>0.1</v>
      </c>
      <c r="N13" s="442">
        <v>0.1</v>
      </c>
      <c r="O13" s="335" t="s">
        <v>130</v>
      </c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</row>
    <row r="14" spans="1:243" s="364" customFormat="1" ht="18" customHeight="1" x14ac:dyDescent="0.25">
      <c r="A14" s="334" t="s">
        <v>131</v>
      </c>
      <c r="B14" s="363">
        <f t="shared" si="1"/>
        <v>3.3000000000000003</v>
      </c>
      <c r="C14" s="442">
        <v>0.3</v>
      </c>
      <c r="D14" s="442">
        <v>0.3</v>
      </c>
      <c r="E14" s="442">
        <v>0.3</v>
      </c>
      <c r="F14" s="442">
        <v>0.3</v>
      </c>
      <c r="G14" s="442">
        <v>0.3</v>
      </c>
      <c r="H14" s="442">
        <v>0.3</v>
      </c>
      <c r="I14" s="442">
        <v>0.3</v>
      </c>
      <c r="J14" s="442">
        <v>0.3</v>
      </c>
      <c r="K14" s="442">
        <v>0.2</v>
      </c>
      <c r="L14" s="442">
        <v>0.3</v>
      </c>
      <c r="M14" s="442">
        <v>0.2</v>
      </c>
      <c r="N14" s="442">
        <v>0.2</v>
      </c>
      <c r="O14" s="335" t="s">
        <v>132</v>
      </c>
    </row>
    <row r="15" spans="1:243" s="364" customFormat="1" ht="18" customHeight="1" x14ac:dyDescent="0.25">
      <c r="A15" s="334" t="s">
        <v>133</v>
      </c>
      <c r="B15" s="363">
        <f t="shared" si="1"/>
        <v>2.3000000000000003</v>
      </c>
      <c r="C15" s="442">
        <v>0.2</v>
      </c>
      <c r="D15" s="442">
        <v>0.2</v>
      </c>
      <c r="E15" s="442">
        <v>0.3</v>
      </c>
      <c r="F15" s="442">
        <v>0.1</v>
      </c>
      <c r="G15" s="442">
        <v>0.2</v>
      </c>
      <c r="H15" s="442">
        <v>0.2</v>
      </c>
      <c r="I15" s="442">
        <v>0.2</v>
      </c>
      <c r="J15" s="442">
        <v>0.2</v>
      </c>
      <c r="K15" s="442">
        <v>0.1</v>
      </c>
      <c r="L15" s="442">
        <v>0.2</v>
      </c>
      <c r="M15" s="442">
        <v>0.2</v>
      </c>
      <c r="N15" s="442">
        <v>0.2</v>
      </c>
      <c r="O15" s="335" t="s">
        <v>134</v>
      </c>
    </row>
    <row r="16" spans="1:243" s="364" customFormat="1" ht="18.75" x14ac:dyDescent="0.25">
      <c r="A16" s="334" t="s">
        <v>137</v>
      </c>
      <c r="B16" s="363">
        <f t="shared" si="1"/>
        <v>1.276</v>
      </c>
      <c r="C16" s="442">
        <f>81/1000</f>
        <v>8.1000000000000003E-2</v>
      </c>
      <c r="D16" s="442">
        <f>81/1000</f>
        <v>8.1000000000000003E-2</v>
      </c>
      <c r="E16" s="442">
        <f>103/1000</f>
        <v>0.10299999999999999</v>
      </c>
      <c r="F16" s="442">
        <f>82/1000</f>
        <v>8.2000000000000003E-2</v>
      </c>
      <c r="G16" s="442">
        <f>113/1000</f>
        <v>0.113</v>
      </c>
      <c r="H16" s="442">
        <f>151/1000</f>
        <v>0.151</v>
      </c>
      <c r="I16" s="442">
        <f>94/1000</f>
        <v>9.4E-2</v>
      </c>
      <c r="J16" s="442">
        <f>119/1000</f>
        <v>0.11899999999999999</v>
      </c>
      <c r="K16" s="442">
        <f>118/1000</f>
        <v>0.11799999999999999</v>
      </c>
      <c r="L16" s="442">
        <f>101/1000</f>
        <v>0.10100000000000001</v>
      </c>
      <c r="M16" s="442">
        <f>108/1000</f>
        <v>0.108</v>
      </c>
      <c r="N16" s="442">
        <f>125/1000</f>
        <v>0.125</v>
      </c>
      <c r="O16" s="335" t="s">
        <v>138</v>
      </c>
    </row>
    <row r="17" spans="1:15" s="364" customFormat="1" ht="18.75" x14ac:dyDescent="0.25">
      <c r="A17" s="334" t="s">
        <v>139</v>
      </c>
      <c r="B17" s="363">
        <f t="shared" si="1"/>
        <v>5</v>
      </c>
      <c r="C17" s="442">
        <v>0.4</v>
      </c>
      <c r="D17" s="442">
        <v>0.4</v>
      </c>
      <c r="E17" s="442">
        <v>0.5</v>
      </c>
      <c r="F17" s="442">
        <v>0.5</v>
      </c>
      <c r="G17" s="442">
        <v>0.4</v>
      </c>
      <c r="H17" s="442">
        <v>0.4</v>
      </c>
      <c r="I17" s="442">
        <v>0.4</v>
      </c>
      <c r="J17" s="442">
        <v>0.5</v>
      </c>
      <c r="K17" s="442">
        <v>0.3</v>
      </c>
      <c r="L17" s="442">
        <v>0.5</v>
      </c>
      <c r="M17" s="442">
        <v>0.3</v>
      </c>
      <c r="N17" s="442">
        <v>0.4</v>
      </c>
      <c r="O17" s="335" t="s">
        <v>140</v>
      </c>
    </row>
    <row r="18" spans="1:15" s="364" customFormat="1" ht="18.75" x14ac:dyDescent="0.25">
      <c r="A18" s="334" t="s">
        <v>141</v>
      </c>
      <c r="B18" s="363">
        <f t="shared" si="1"/>
        <v>1.7000000000000002</v>
      </c>
      <c r="C18" s="442">
        <v>0.1</v>
      </c>
      <c r="D18" s="442">
        <v>0.1</v>
      </c>
      <c r="E18" s="442">
        <v>0.1</v>
      </c>
      <c r="F18" s="442">
        <v>0.2</v>
      </c>
      <c r="G18" s="442">
        <v>0.1</v>
      </c>
      <c r="H18" s="442">
        <v>0.2</v>
      </c>
      <c r="I18" s="442">
        <v>0.2</v>
      </c>
      <c r="J18" s="442">
        <v>0.1</v>
      </c>
      <c r="K18" s="442">
        <v>0.1</v>
      </c>
      <c r="L18" s="442">
        <v>0.2</v>
      </c>
      <c r="M18" s="442">
        <v>0.1</v>
      </c>
      <c r="N18" s="442">
        <v>0.2</v>
      </c>
      <c r="O18" s="335" t="s">
        <v>142</v>
      </c>
    </row>
    <row r="19" spans="1:15" s="364" customFormat="1" ht="18.75" x14ac:dyDescent="0.25">
      <c r="A19" s="334" t="s">
        <v>143</v>
      </c>
      <c r="B19" s="363">
        <f t="shared" si="1"/>
        <v>1.2</v>
      </c>
      <c r="C19" s="442">
        <v>0.1</v>
      </c>
      <c r="D19" s="442">
        <v>0.1</v>
      </c>
      <c r="E19" s="442">
        <v>0.1</v>
      </c>
      <c r="F19" s="442">
        <v>0.1</v>
      </c>
      <c r="G19" s="442">
        <v>0.1</v>
      </c>
      <c r="H19" s="442">
        <v>0.1</v>
      </c>
      <c r="I19" s="442">
        <v>0.1</v>
      </c>
      <c r="J19" s="442">
        <v>0.1</v>
      </c>
      <c r="K19" s="442">
        <v>0.1</v>
      </c>
      <c r="L19" s="442">
        <v>0.1</v>
      </c>
      <c r="M19" s="442">
        <v>0.1</v>
      </c>
      <c r="N19" s="442">
        <v>0.1</v>
      </c>
      <c r="O19" s="335" t="s">
        <v>144</v>
      </c>
    </row>
    <row r="20" spans="1:15" s="364" customFormat="1" ht="18.75" x14ac:dyDescent="0.25">
      <c r="A20" s="334" t="s">
        <v>145</v>
      </c>
      <c r="B20" s="363">
        <f t="shared" si="1"/>
        <v>1.3000000000000003</v>
      </c>
      <c r="C20" s="442">
        <v>0.1</v>
      </c>
      <c r="D20" s="442">
        <v>0.1</v>
      </c>
      <c r="E20" s="442">
        <v>0.1</v>
      </c>
      <c r="F20" s="442">
        <v>0.1</v>
      </c>
      <c r="G20" s="442">
        <v>0.1</v>
      </c>
      <c r="H20" s="442">
        <v>0.1</v>
      </c>
      <c r="I20" s="442">
        <v>0.2</v>
      </c>
      <c r="J20" s="442">
        <v>0.1</v>
      </c>
      <c r="K20" s="442">
        <v>0.1</v>
      </c>
      <c r="L20" s="442">
        <v>0.1</v>
      </c>
      <c r="M20" s="442">
        <v>0.1</v>
      </c>
      <c r="N20" s="442">
        <v>0.1</v>
      </c>
      <c r="O20" s="335" t="s">
        <v>146</v>
      </c>
    </row>
    <row r="21" spans="1:15" s="364" customFormat="1" ht="18.75" x14ac:dyDescent="0.25">
      <c r="A21" s="334" t="s">
        <v>147</v>
      </c>
      <c r="B21" s="363">
        <f t="shared" si="1"/>
        <v>0.99299999999999988</v>
      </c>
      <c r="C21" s="442">
        <f>59/1000</f>
        <v>5.8999999999999997E-2</v>
      </c>
      <c r="D21" s="442">
        <v>0.1</v>
      </c>
      <c r="E21" s="442">
        <f>34/1000</f>
        <v>3.4000000000000002E-2</v>
      </c>
      <c r="F21" s="442">
        <v>0.1</v>
      </c>
      <c r="G21" s="442">
        <v>0.1</v>
      </c>
      <c r="H21" s="442">
        <v>0</v>
      </c>
      <c r="I21" s="442">
        <v>0.1</v>
      </c>
      <c r="J21" s="442">
        <v>0.1</v>
      </c>
      <c r="K21" s="442">
        <v>0.1</v>
      </c>
      <c r="L21" s="442">
        <v>0.1</v>
      </c>
      <c r="M21" s="442">
        <v>0.1</v>
      </c>
      <c r="N21" s="442">
        <v>0.1</v>
      </c>
      <c r="O21" s="335" t="s">
        <v>148</v>
      </c>
    </row>
    <row r="22" spans="1:15" s="364" customFormat="1" ht="18.75" x14ac:dyDescent="0.25">
      <c r="A22" s="334" t="s">
        <v>149</v>
      </c>
      <c r="B22" s="363">
        <f t="shared" si="1"/>
        <v>0.6</v>
      </c>
      <c r="C22" s="442">
        <v>0</v>
      </c>
      <c r="D22" s="442">
        <v>0.1</v>
      </c>
      <c r="E22" s="442">
        <v>0</v>
      </c>
      <c r="F22" s="442">
        <v>0.1</v>
      </c>
      <c r="G22" s="442">
        <v>0</v>
      </c>
      <c r="H22" s="442">
        <v>0.1</v>
      </c>
      <c r="I22" s="442">
        <v>0</v>
      </c>
      <c r="J22" s="442">
        <v>0</v>
      </c>
      <c r="K22" s="442">
        <v>0.1</v>
      </c>
      <c r="L22" s="442">
        <v>0.1</v>
      </c>
      <c r="M22" s="442">
        <v>0.1</v>
      </c>
      <c r="N22" s="442">
        <v>0</v>
      </c>
      <c r="O22" s="335" t="s">
        <v>150</v>
      </c>
    </row>
    <row r="23" spans="1:15" s="368" customFormat="1" ht="18.75" x14ac:dyDescent="0.25">
      <c r="A23" s="305" t="s">
        <v>151</v>
      </c>
      <c r="B23" s="367">
        <f t="shared" si="1"/>
        <v>1.0999999999999999</v>
      </c>
      <c r="C23" s="443">
        <v>0.1</v>
      </c>
      <c r="D23" s="443">
        <v>0</v>
      </c>
      <c r="E23" s="443">
        <v>0.1</v>
      </c>
      <c r="F23" s="443">
        <v>0.1</v>
      </c>
      <c r="G23" s="443">
        <v>0.1</v>
      </c>
      <c r="H23" s="443">
        <v>0.1</v>
      </c>
      <c r="I23" s="443">
        <v>0.1</v>
      </c>
      <c r="J23" s="443">
        <v>0.1</v>
      </c>
      <c r="K23" s="443">
        <v>0.1</v>
      </c>
      <c r="L23" s="443">
        <v>0.1</v>
      </c>
      <c r="M23" s="443">
        <v>0.1</v>
      </c>
      <c r="N23" s="443">
        <v>0.1</v>
      </c>
      <c r="O23" s="307" t="s">
        <v>152</v>
      </c>
    </row>
    <row r="24" spans="1:15" s="368" customFormat="1" ht="18.75" x14ac:dyDescent="0.25">
      <c r="A24" s="305" t="s">
        <v>153</v>
      </c>
      <c r="B24" s="367">
        <f t="shared" si="1"/>
        <v>0.89999999999999991</v>
      </c>
      <c r="C24" s="443">
        <v>0.1</v>
      </c>
      <c r="D24" s="443">
        <v>0.1</v>
      </c>
      <c r="E24" s="443">
        <v>0.1</v>
      </c>
      <c r="F24" s="443">
        <v>0</v>
      </c>
      <c r="G24" s="443">
        <v>0</v>
      </c>
      <c r="H24" s="443">
        <v>0</v>
      </c>
      <c r="I24" s="443">
        <v>0.1</v>
      </c>
      <c r="J24" s="443">
        <v>0.1</v>
      </c>
      <c r="K24" s="443">
        <v>0.1</v>
      </c>
      <c r="L24" s="443">
        <v>0.1</v>
      </c>
      <c r="M24" s="443">
        <v>0.1</v>
      </c>
      <c r="N24" s="443">
        <v>0.1</v>
      </c>
      <c r="O24" s="307" t="s">
        <v>154</v>
      </c>
    </row>
    <row r="25" spans="1:15" s="368" customFormat="1" ht="18.75" x14ac:dyDescent="0.25">
      <c r="A25" s="305" t="s">
        <v>155</v>
      </c>
      <c r="B25" s="367">
        <f t="shared" si="1"/>
        <v>2.1999999999999997</v>
      </c>
      <c r="C25" s="443">
        <v>0.4</v>
      </c>
      <c r="D25" s="443">
        <v>0.1</v>
      </c>
      <c r="E25" s="443">
        <v>0.2</v>
      </c>
      <c r="F25" s="443">
        <v>0.1</v>
      </c>
      <c r="G25" s="443">
        <v>0.2</v>
      </c>
      <c r="H25" s="443">
        <v>0.2</v>
      </c>
      <c r="I25" s="443">
        <v>0.2</v>
      </c>
      <c r="J25" s="443">
        <v>0.2</v>
      </c>
      <c r="K25" s="443">
        <v>0.2</v>
      </c>
      <c r="L25" s="443">
        <v>0.2</v>
      </c>
      <c r="M25" s="443">
        <v>0.1</v>
      </c>
      <c r="N25" s="443">
        <v>0.1</v>
      </c>
      <c r="O25" s="307" t="s">
        <v>156</v>
      </c>
    </row>
    <row r="26" spans="1:15" s="368" customFormat="1" ht="18.75" x14ac:dyDescent="0.25">
      <c r="A26" s="305" t="s">
        <v>157</v>
      </c>
      <c r="B26" s="367">
        <f t="shared" si="1"/>
        <v>0.4</v>
      </c>
      <c r="C26" s="443" t="s">
        <v>158</v>
      </c>
      <c r="D26" s="443" t="s">
        <v>158</v>
      </c>
      <c r="E26" s="443" t="s">
        <v>158</v>
      </c>
      <c r="F26" s="443" t="s">
        <v>158</v>
      </c>
      <c r="G26" s="443" t="s">
        <v>158</v>
      </c>
      <c r="H26" s="443" t="s">
        <v>158</v>
      </c>
      <c r="I26" s="443" t="s">
        <v>158</v>
      </c>
      <c r="J26" s="443">
        <v>0.1</v>
      </c>
      <c r="K26" s="443">
        <v>0.2</v>
      </c>
      <c r="L26" s="443">
        <v>0.1</v>
      </c>
      <c r="M26" s="443">
        <v>0</v>
      </c>
      <c r="N26" s="443">
        <v>0</v>
      </c>
      <c r="O26" s="307" t="s">
        <v>159</v>
      </c>
    </row>
    <row r="27" spans="1:15" s="368" customFormat="1" ht="18.75" x14ac:dyDescent="0.25">
      <c r="A27" s="305" t="s">
        <v>160</v>
      </c>
      <c r="B27" s="367">
        <f t="shared" si="1"/>
        <v>1.2</v>
      </c>
      <c r="C27" s="443">
        <v>0.1</v>
      </c>
      <c r="D27" s="443">
        <v>0.1</v>
      </c>
      <c r="E27" s="443">
        <v>0.1</v>
      </c>
      <c r="F27" s="443">
        <v>0.1</v>
      </c>
      <c r="G27" s="443">
        <v>0.1</v>
      </c>
      <c r="H27" s="443">
        <v>0.1</v>
      </c>
      <c r="I27" s="443">
        <v>0.1</v>
      </c>
      <c r="J27" s="443">
        <v>0.1</v>
      </c>
      <c r="K27" s="443">
        <v>0.1</v>
      </c>
      <c r="L27" s="443">
        <v>0.1</v>
      </c>
      <c r="M27" s="443">
        <v>0.1</v>
      </c>
      <c r="N27" s="443">
        <v>0.1</v>
      </c>
      <c r="O27" s="307" t="s">
        <v>161</v>
      </c>
    </row>
    <row r="28" spans="1:15" s="368" customFormat="1" ht="18.75" x14ac:dyDescent="0.25">
      <c r="A28" s="305" t="s">
        <v>164</v>
      </c>
      <c r="B28" s="367">
        <f t="shared" si="1"/>
        <v>0.7</v>
      </c>
      <c r="C28" s="443">
        <v>0.1</v>
      </c>
      <c r="D28" s="443">
        <v>0</v>
      </c>
      <c r="E28" s="443">
        <v>0</v>
      </c>
      <c r="F28" s="443">
        <v>0.1</v>
      </c>
      <c r="G28" s="443">
        <v>0.1</v>
      </c>
      <c r="H28" s="443">
        <v>0.1</v>
      </c>
      <c r="I28" s="443">
        <v>0</v>
      </c>
      <c r="J28" s="443" t="s">
        <v>191</v>
      </c>
      <c r="K28" s="443">
        <v>0</v>
      </c>
      <c r="L28" s="443">
        <v>0.1</v>
      </c>
      <c r="M28" s="443">
        <v>0.1</v>
      </c>
      <c r="N28" s="443">
        <v>0.1</v>
      </c>
      <c r="O28" s="307" t="s">
        <v>165</v>
      </c>
    </row>
    <row r="29" spans="1:15" s="368" customFormat="1" ht="18.75" x14ac:dyDescent="0.25">
      <c r="A29" s="305" t="s">
        <v>166</v>
      </c>
      <c r="B29" s="367">
        <f t="shared" si="1"/>
        <v>1.0999999999999999</v>
      </c>
      <c r="C29" s="443">
        <v>0.1</v>
      </c>
      <c r="D29" s="443">
        <v>0</v>
      </c>
      <c r="E29" s="443">
        <v>0.1</v>
      </c>
      <c r="F29" s="443">
        <v>0.1</v>
      </c>
      <c r="G29" s="443">
        <v>0.1</v>
      </c>
      <c r="H29" s="443">
        <v>0.1</v>
      </c>
      <c r="I29" s="443">
        <v>0.1</v>
      </c>
      <c r="J29" s="443">
        <v>0.1</v>
      </c>
      <c r="K29" s="443">
        <v>0.1</v>
      </c>
      <c r="L29" s="443">
        <v>0.1</v>
      </c>
      <c r="M29" s="443">
        <v>0.1</v>
      </c>
      <c r="N29" s="443">
        <v>0.1</v>
      </c>
      <c r="O29" s="307" t="s">
        <v>167</v>
      </c>
    </row>
    <row r="30" spans="1:15" s="368" customFormat="1" ht="18.75" x14ac:dyDescent="0.25">
      <c r="A30" s="305" t="s">
        <v>168</v>
      </c>
      <c r="B30" s="367">
        <f t="shared" si="1"/>
        <v>2.2000000000000006</v>
      </c>
      <c r="C30" s="443">
        <v>0.2</v>
      </c>
      <c r="D30" s="443">
        <v>0.2</v>
      </c>
      <c r="E30" s="443">
        <v>0.2</v>
      </c>
      <c r="F30" s="443">
        <v>0.3</v>
      </c>
      <c r="G30" s="443">
        <v>0.2</v>
      </c>
      <c r="H30" s="443">
        <v>0.1</v>
      </c>
      <c r="I30" s="443">
        <v>0.2</v>
      </c>
      <c r="J30" s="443">
        <v>0.1</v>
      </c>
      <c r="K30" s="443">
        <v>0.3</v>
      </c>
      <c r="L30" s="443">
        <v>0.1</v>
      </c>
      <c r="M30" s="443">
        <v>0.2</v>
      </c>
      <c r="N30" s="443">
        <v>0.1</v>
      </c>
      <c r="O30" s="307" t="s">
        <v>169</v>
      </c>
    </row>
    <row r="31" spans="1:15" s="368" customFormat="1" ht="18.75" x14ac:dyDescent="0.25">
      <c r="A31" s="305" t="s">
        <v>170</v>
      </c>
      <c r="B31" s="367">
        <f t="shared" si="1"/>
        <v>1.0999999999999999</v>
      </c>
      <c r="C31" s="443">
        <v>0.1</v>
      </c>
      <c r="D31" s="443">
        <v>0.1</v>
      </c>
      <c r="E31" s="443">
        <v>0.1</v>
      </c>
      <c r="F31" s="443">
        <v>0</v>
      </c>
      <c r="G31" s="443">
        <v>0.1</v>
      </c>
      <c r="H31" s="443">
        <v>0.1</v>
      </c>
      <c r="I31" s="443">
        <v>0.1</v>
      </c>
      <c r="J31" s="443">
        <v>0.1</v>
      </c>
      <c r="K31" s="443">
        <v>0.1</v>
      </c>
      <c r="L31" s="443">
        <v>0.1</v>
      </c>
      <c r="M31" s="443">
        <v>0.1</v>
      </c>
      <c r="N31" s="443">
        <v>0.1</v>
      </c>
      <c r="O31" s="307" t="s">
        <v>171</v>
      </c>
    </row>
    <row r="32" spans="1:15" s="368" customFormat="1" ht="18.75" x14ac:dyDescent="0.25">
      <c r="A32" s="305" t="s">
        <v>172</v>
      </c>
      <c r="B32" s="367">
        <f t="shared" si="1"/>
        <v>0.1</v>
      </c>
      <c r="C32" s="443">
        <v>0</v>
      </c>
      <c r="D32" s="443">
        <v>0</v>
      </c>
      <c r="E32" s="443">
        <v>0</v>
      </c>
      <c r="F32" s="443">
        <v>0</v>
      </c>
      <c r="G32" s="443">
        <v>0</v>
      </c>
      <c r="H32" s="443">
        <v>0</v>
      </c>
      <c r="I32" s="443">
        <v>0.1</v>
      </c>
      <c r="J32" s="443">
        <v>0</v>
      </c>
      <c r="K32" s="443">
        <v>0</v>
      </c>
      <c r="L32" s="443">
        <v>0</v>
      </c>
      <c r="M32" s="443">
        <v>0</v>
      </c>
      <c r="N32" s="443">
        <v>0</v>
      </c>
      <c r="O32" s="307" t="s">
        <v>173</v>
      </c>
    </row>
    <row r="33" spans="1:18" s="368" customFormat="1" ht="18.75" x14ac:dyDescent="0.25">
      <c r="A33" s="305" t="s">
        <v>174</v>
      </c>
      <c r="B33" s="367">
        <f t="shared" si="1"/>
        <v>1.2</v>
      </c>
      <c r="C33" s="443">
        <v>0.1</v>
      </c>
      <c r="D33" s="443">
        <v>0.1</v>
      </c>
      <c r="E33" s="443">
        <v>0.1</v>
      </c>
      <c r="F33" s="443">
        <v>0.1</v>
      </c>
      <c r="G33" s="443">
        <v>0.1</v>
      </c>
      <c r="H33" s="443">
        <v>0.1</v>
      </c>
      <c r="I33" s="443">
        <v>0.1</v>
      </c>
      <c r="J33" s="443">
        <v>0.1</v>
      </c>
      <c r="K33" s="443">
        <v>0.1</v>
      </c>
      <c r="L33" s="443">
        <v>0.1</v>
      </c>
      <c r="M33" s="443">
        <v>0.1</v>
      </c>
      <c r="N33" s="443">
        <v>0.1</v>
      </c>
      <c r="O33" s="307" t="s">
        <v>175</v>
      </c>
    </row>
    <row r="34" spans="1:18" s="368" customFormat="1" ht="18.75" x14ac:dyDescent="0.25">
      <c r="A34" s="305" t="s">
        <v>176</v>
      </c>
      <c r="B34" s="367">
        <f t="shared" si="1"/>
        <v>1.5000000000000004</v>
      </c>
      <c r="C34" s="443">
        <v>0.3</v>
      </c>
      <c r="D34" s="443">
        <v>0.1</v>
      </c>
      <c r="E34" s="443">
        <v>0.1</v>
      </c>
      <c r="F34" s="443">
        <v>0.1</v>
      </c>
      <c r="G34" s="443">
        <v>0.2</v>
      </c>
      <c r="H34" s="443">
        <v>0.1</v>
      </c>
      <c r="I34" s="443">
        <v>0.1</v>
      </c>
      <c r="J34" s="443">
        <v>0.1</v>
      </c>
      <c r="K34" s="443">
        <v>0.1</v>
      </c>
      <c r="L34" s="443">
        <v>0.1</v>
      </c>
      <c r="M34" s="443">
        <v>0.1</v>
      </c>
      <c r="N34" s="443">
        <v>0.1</v>
      </c>
      <c r="O34" s="307" t="s">
        <v>177</v>
      </c>
    </row>
    <row r="35" spans="1:18" s="364" customFormat="1" ht="18.75" x14ac:dyDescent="0.25">
      <c r="A35" s="334" t="s">
        <v>178</v>
      </c>
      <c r="B35" s="363">
        <f t="shared" si="1"/>
        <v>0.7</v>
      </c>
      <c r="C35" s="442">
        <v>0</v>
      </c>
      <c r="D35" s="442">
        <v>0.1</v>
      </c>
      <c r="E35" s="442">
        <v>0</v>
      </c>
      <c r="F35" s="442">
        <v>0</v>
      </c>
      <c r="G35" s="442">
        <v>0</v>
      </c>
      <c r="H35" s="442">
        <v>0</v>
      </c>
      <c r="I35" s="442">
        <v>0.1</v>
      </c>
      <c r="J35" s="442">
        <v>0.1</v>
      </c>
      <c r="K35" s="442">
        <v>0.1</v>
      </c>
      <c r="L35" s="442">
        <v>0.1</v>
      </c>
      <c r="M35" s="442">
        <v>0.1</v>
      </c>
      <c r="N35" s="442">
        <v>0.1</v>
      </c>
      <c r="O35" s="335" t="s">
        <v>179</v>
      </c>
    </row>
    <row r="36" spans="1:18" s="369" customFormat="1" ht="18.75" x14ac:dyDescent="0.25">
      <c r="A36" s="340" t="s">
        <v>180</v>
      </c>
      <c r="B36" s="446">
        <f t="shared" si="1"/>
        <v>0.6</v>
      </c>
      <c r="C36" s="444">
        <v>0</v>
      </c>
      <c r="D36" s="444">
        <v>0.1</v>
      </c>
      <c r="E36" s="444">
        <v>0</v>
      </c>
      <c r="F36" s="444">
        <v>0.1</v>
      </c>
      <c r="G36" s="444">
        <v>0.1</v>
      </c>
      <c r="H36" s="444">
        <v>0</v>
      </c>
      <c r="I36" s="444">
        <v>0</v>
      </c>
      <c r="J36" s="444">
        <v>0</v>
      </c>
      <c r="K36" s="444">
        <v>0.1</v>
      </c>
      <c r="L36" s="444">
        <v>0</v>
      </c>
      <c r="M36" s="444">
        <v>0.1</v>
      </c>
      <c r="N36" s="444">
        <v>0.1</v>
      </c>
      <c r="O36" s="342" t="s">
        <v>181</v>
      </c>
      <c r="P36" s="364"/>
      <c r="R36" s="369" t="s">
        <v>192</v>
      </c>
    </row>
    <row r="37" spans="1:18" s="355" customFormat="1" ht="14.25" x14ac:dyDescent="0.25">
      <c r="A37" s="370" t="s">
        <v>87</v>
      </c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371" t="s">
        <v>88</v>
      </c>
    </row>
    <row r="38" spans="1:18" s="355" customFormat="1" ht="12" x14ac:dyDescent="0.25">
      <c r="O38" s="372"/>
    </row>
  </sheetData>
  <mergeCells count="3">
    <mergeCell ref="A1:O1"/>
    <mergeCell ref="A2:O2"/>
    <mergeCell ref="A3:O3"/>
  </mergeCells>
  <pageMargins left="0.7" right="0.7" top="0.75" bottom="0.75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9"/>
  <sheetViews>
    <sheetView tabSelected="1" workbookViewId="0">
      <selection activeCell="M17" sqref="M17"/>
    </sheetView>
  </sheetViews>
  <sheetFormatPr defaultColWidth="9.140625" defaultRowHeight="12.75" x14ac:dyDescent="0.2"/>
  <cols>
    <col min="1" max="1" width="15" style="376" bestFit="1" customWidth="1"/>
    <col min="2" max="2" width="12.85546875" style="376" customWidth="1"/>
    <col min="3" max="3" width="15.7109375" style="376" customWidth="1"/>
    <col min="4" max="4" width="16.5703125" style="376" customWidth="1"/>
    <col min="5" max="5" width="18.7109375" style="376" customWidth="1"/>
    <col min="6" max="6" width="18.5703125" style="376" customWidth="1"/>
    <col min="7" max="7" width="19.28515625" style="376" customWidth="1"/>
    <col min="8" max="8" width="2" style="376" customWidth="1"/>
    <col min="9" max="9" width="9.140625" style="376"/>
    <col min="10" max="10" width="12" style="376" bestFit="1" customWidth="1"/>
    <col min="11" max="12" width="9.140625" style="376"/>
    <col min="13" max="13" width="14.85546875" style="376" bestFit="1" customWidth="1"/>
    <col min="14" max="16384" width="9.140625" style="376"/>
  </cols>
  <sheetData>
    <row r="1" spans="1:10" s="375" customFormat="1" ht="18" x14ac:dyDescent="0.25">
      <c r="A1" s="511" t="s">
        <v>193</v>
      </c>
      <c r="B1" s="511"/>
      <c r="C1" s="511"/>
      <c r="D1" s="511"/>
      <c r="E1" s="511"/>
      <c r="F1" s="511"/>
      <c r="G1" s="511"/>
      <c r="H1" s="374"/>
    </row>
    <row r="2" spans="1:10" ht="15.75" x14ac:dyDescent="0.2">
      <c r="A2" s="512" t="s">
        <v>194</v>
      </c>
      <c r="B2" s="513"/>
      <c r="C2" s="513"/>
      <c r="D2" s="513"/>
      <c r="E2" s="513"/>
      <c r="F2" s="513"/>
      <c r="G2" s="514"/>
    </row>
    <row r="3" spans="1:10" ht="24.75" customHeight="1" x14ac:dyDescent="0.2">
      <c r="A3" s="515" t="s">
        <v>195</v>
      </c>
      <c r="B3" s="377" t="s">
        <v>196</v>
      </c>
      <c r="C3" s="378" t="s">
        <v>197</v>
      </c>
      <c r="D3" s="378" t="s">
        <v>198</v>
      </c>
      <c r="E3" s="379" t="s">
        <v>0</v>
      </c>
      <c r="F3" s="379" t="s">
        <v>0</v>
      </c>
      <c r="G3" s="517" t="s">
        <v>199</v>
      </c>
    </row>
    <row r="4" spans="1:10" ht="15" x14ac:dyDescent="0.2">
      <c r="A4" s="516"/>
      <c r="B4" s="380" t="s">
        <v>254</v>
      </c>
      <c r="C4" s="380" t="s">
        <v>200</v>
      </c>
      <c r="D4" s="380" t="s">
        <v>255</v>
      </c>
      <c r="E4" s="380" t="s">
        <v>201</v>
      </c>
      <c r="F4" s="380" t="s">
        <v>202</v>
      </c>
      <c r="G4" s="518"/>
    </row>
    <row r="5" spans="1:10" ht="21" x14ac:dyDescent="0.25">
      <c r="A5" s="381" t="s">
        <v>203</v>
      </c>
      <c r="B5" s="382"/>
      <c r="C5" s="383"/>
      <c r="D5" s="383"/>
      <c r="E5" s="384"/>
      <c r="F5" s="385"/>
      <c r="G5" s="386" t="s">
        <v>204</v>
      </c>
    </row>
    <row r="6" spans="1:10" ht="21" x14ac:dyDescent="0.2">
      <c r="A6" s="387" t="s">
        <v>205</v>
      </c>
      <c r="B6" s="388">
        <v>2.25</v>
      </c>
      <c r="C6" s="400">
        <v>30058987.73</v>
      </c>
      <c r="D6" s="400">
        <f>B6*C6</f>
        <v>67632722.392499998</v>
      </c>
      <c r="E6" s="389">
        <f>(C6/C11)*100</f>
        <v>21.925531503285253</v>
      </c>
      <c r="F6" s="389">
        <f>(D6/D11)*100</f>
        <v>17.537996870853696</v>
      </c>
      <c r="G6" s="390" t="s">
        <v>206</v>
      </c>
      <c r="H6" s="391"/>
      <c r="I6" s="392"/>
    </row>
    <row r="7" spans="1:10" ht="21" x14ac:dyDescent="0.2">
      <c r="A7" s="387" t="s">
        <v>207</v>
      </c>
      <c r="B7" s="388">
        <v>2.5</v>
      </c>
      <c r="C7" s="400">
        <v>49115127.270000003</v>
      </c>
      <c r="D7" s="400">
        <f t="shared" ref="D7:D10" si="0">B7*C7</f>
        <v>122787818.17500001</v>
      </c>
      <c r="E7" s="389">
        <f>(C7/C11)*100</f>
        <v>35.825400373396057</v>
      </c>
      <c r="F7" s="389">
        <f>(D7/D11)*100</f>
        <v>31.840391673645037</v>
      </c>
      <c r="G7" s="390" t="s">
        <v>208</v>
      </c>
      <c r="H7" s="393"/>
      <c r="I7" s="392"/>
    </row>
    <row r="8" spans="1:10" ht="21" x14ac:dyDescent="0.2">
      <c r="A8" s="387" t="s">
        <v>209</v>
      </c>
      <c r="B8" s="388">
        <v>2.95</v>
      </c>
      <c r="C8" s="400">
        <v>28072326.829999998</v>
      </c>
      <c r="D8" s="400">
        <f t="shared" si="0"/>
        <v>82813364.148499995</v>
      </c>
      <c r="E8" s="389">
        <f>(C8/C11)*100</f>
        <v>20.476427609948818</v>
      </c>
      <c r="F8" s="389">
        <f>(D8/D11)*100</f>
        <v>21.474524016237435</v>
      </c>
      <c r="G8" s="390" t="s">
        <v>210</v>
      </c>
      <c r="H8" s="393"/>
      <c r="I8" s="392"/>
    </row>
    <row r="9" spans="1:10" ht="21" x14ac:dyDescent="0.2">
      <c r="A9" s="387" t="s">
        <v>211</v>
      </c>
      <c r="B9" s="388">
        <v>3.55</v>
      </c>
      <c r="C9" s="400">
        <v>8395437.5700000003</v>
      </c>
      <c r="D9" s="400">
        <f t="shared" si="0"/>
        <v>29803803.373500001</v>
      </c>
      <c r="E9" s="389">
        <f>(C9/C11)*100</f>
        <v>6.1237734476729022</v>
      </c>
      <c r="F9" s="389">
        <f>(D9/D11)*100</f>
        <v>7.7284928332553058</v>
      </c>
      <c r="G9" s="390" t="s">
        <v>212</v>
      </c>
      <c r="H9" s="392"/>
    </row>
    <row r="10" spans="1:10" ht="21" x14ac:dyDescent="0.2">
      <c r="A10" s="387" t="s">
        <v>213</v>
      </c>
      <c r="B10" s="388">
        <v>3.85</v>
      </c>
      <c r="C10" s="400">
        <v>21453943</v>
      </c>
      <c r="D10" s="400">
        <f t="shared" si="0"/>
        <v>82597680.549999997</v>
      </c>
      <c r="E10" s="389">
        <f>(C10/C11)*100</f>
        <v>15.648867065696962</v>
      </c>
      <c r="F10" s="389">
        <f>(D10/D11)*100</f>
        <v>21.418594606008536</v>
      </c>
      <c r="G10" s="390" t="s">
        <v>214</v>
      </c>
      <c r="H10" s="392"/>
    </row>
    <row r="11" spans="1:10" ht="21" x14ac:dyDescent="0.2">
      <c r="A11" s="394" t="s">
        <v>215</v>
      </c>
      <c r="B11" s="395"/>
      <c r="C11" s="396">
        <f>SUM(C6:C10)</f>
        <v>137095822.40000001</v>
      </c>
      <c r="D11" s="396">
        <f>SUM(D6:D10)</f>
        <v>385635388.63949996</v>
      </c>
      <c r="E11" s="397">
        <f>(C11/C11)*100</f>
        <v>100</v>
      </c>
      <c r="F11" s="397">
        <f>(D11/D11)*100</f>
        <v>100</v>
      </c>
      <c r="G11" s="386" t="s">
        <v>216</v>
      </c>
      <c r="H11" s="392"/>
    </row>
    <row r="12" spans="1:10" ht="21" x14ac:dyDescent="0.2">
      <c r="A12" s="398" t="s">
        <v>217</v>
      </c>
      <c r="B12" s="399"/>
      <c r="C12" s="400"/>
      <c r="D12" s="400"/>
      <c r="E12" s="401"/>
      <c r="F12" s="402"/>
      <c r="G12" s="386" t="s">
        <v>218</v>
      </c>
      <c r="H12" s="392"/>
      <c r="J12" s="403"/>
    </row>
    <row r="13" spans="1:10" ht="21" x14ac:dyDescent="0.2">
      <c r="A13" s="387" t="s">
        <v>205</v>
      </c>
      <c r="B13" s="388">
        <v>3.3</v>
      </c>
      <c r="C13" s="400">
        <v>8245002.1500000004</v>
      </c>
      <c r="D13" s="400">
        <f>B13*C13</f>
        <v>27208507.094999999</v>
      </c>
      <c r="E13" s="389">
        <f>(C13/C18)*100</f>
        <v>6.6842831517981347</v>
      </c>
      <c r="F13" s="389">
        <f>(D13/D18)*100</f>
        <v>5.3785142352592974</v>
      </c>
      <c r="G13" s="390" t="s">
        <v>206</v>
      </c>
      <c r="H13" s="392"/>
    </row>
    <row r="14" spans="1:10" ht="21" x14ac:dyDescent="0.2">
      <c r="A14" s="387" t="s">
        <v>207</v>
      </c>
      <c r="B14" s="388">
        <v>3.35</v>
      </c>
      <c r="C14" s="400">
        <v>13379852.220000001</v>
      </c>
      <c r="D14" s="400">
        <f>B14*C14</f>
        <v>44822504.937000006</v>
      </c>
      <c r="E14" s="389">
        <f>(C14/C18)*100</f>
        <v>10.847143413746091</v>
      </c>
      <c r="F14" s="389">
        <f>(D14/D18)*100</f>
        <v>8.8604082547379708</v>
      </c>
      <c r="G14" s="390" t="s">
        <v>208</v>
      </c>
      <c r="H14" s="392"/>
    </row>
    <row r="15" spans="1:10" ht="21" x14ac:dyDescent="0.2">
      <c r="A15" s="387" t="s">
        <v>209</v>
      </c>
      <c r="B15" s="388">
        <v>3.65</v>
      </c>
      <c r="C15" s="400">
        <v>10268244.16</v>
      </c>
      <c r="D15" s="400">
        <f t="shared" ref="D15:D17" si="1">B15*C15</f>
        <v>37479091.184</v>
      </c>
      <c r="E15" s="389">
        <f>(C15/C18)*100</f>
        <v>8.3245401503306553</v>
      </c>
      <c r="F15" s="389">
        <f>(D15/D18)*100</f>
        <v>7.4087793480873891</v>
      </c>
      <c r="G15" s="390" t="s">
        <v>210</v>
      </c>
      <c r="H15" s="392"/>
    </row>
    <row r="16" spans="1:10" ht="21" x14ac:dyDescent="0.2">
      <c r="A16" s="387" t="s">
        <v>211</v>
      </c>
      <c r="B16" s="388">
        <v>4</v>
      </c>
      <c r="C16" s="400">
        <v>4198886.12</v>
      </c>
      <c r="D16" s="400">
        <f t="shared" si="1"/>
        <v>16795544.48</v>
      </c>
      <c r="E16" s="389">
        <f>(C16/C18)*100</f>
        <v>3.4040674868999323</v>
      </c>
      <c r="F16" s="389">
        <f>(D16/D18)*100</f>
        <v>3.3201040674227666</v>
      </c>
      <c r="G16" s="390" t="s">
        <v>212</v>
      </c>
      <c r="H16" s="392"/>
    </row>
    <row r="17" spans="1:13" ht="21.75" customHeight="1" x14ac:dyDescent="0.2">
      <c r="A17" s="387" t="s">
        <v>213</v>
      </c>
      <c r="B17" s="388">
        <v>4.3499999999999996</v>
      </c>
      <c r="C17" s="400">
        <v>87257101</v>
      </c>
      <c r="D17" s="400">
        <f t="shared" si="1"/>
        <v>379568389.34999996</v>
      </c>
      <c r="E17" s="389">
        <f>(C17/C18)*100</f>
        <v>70.739965797225182</v>
      </c>
      <c r="F17" s="389">
        <f>(D17/D18)*100</f>
        <v>75.032194094492567</v>
      </c>
      <c r="G17" s="390" t="s">
        <v>214</v>
      </c>
      <c r="H17" s="392"/>
    </row>
    <row r="18" spans="1:13" ht="21.75" customHeight="1" x14ac:dyDescent="0.2">
      <c r="A18" s="404" t="s">
        <v>215</v>
      </c>
      <c r="B18" s="405"/>
      <c r="C18" s="406">
        <f>SUM(C13:C17)</f>
        <v>123349085.65000001</v>
      </c>
      <c r="D18" s="406">
        <f>SUM(D13:D17)</f>
        <v>505874037.046</v>
      </c>
      <c r="E18" s="407">
        <f>(C18/C18)*100</f>
        <v>100</v>
      </c>
      <c r="F18" s="407">
        <f>(D18/D18)*100</f>
        <v>100</v>
      </c>
      <c r="G18" s="408" t="s">
        <v>216</v>
      </c>
    </row>
    <row r="19" spans="1:13" ht="21.75" customHeight="1" x14ac:dyDescent="0.25">
      <c r="A19" s="409" t="s">
        <v>87</v>
      </c>
      <c r="B19" s="410"/>
      <c r="C19" s="410"/>
      <c r="D19" s="410"/>
      <c r="E19" s="411"/>
      <c r="F19" s="411"/>
      <c r="G19" s="412" t="s">
        <v>219</v>
      </c>
      <c r="H19" s="413"/>
      <c r="M19" s="414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9"/>
  <sheetViews>
    <sheetView zoomScaleNormal="100" workbookViewId="0">
      <selection activeCell="M5" sqref="M5:M20"/>
    </sheetView>
  </sheetViews>
  <sheetFormatPr defaultRowHeight="12.75" x14ac:dyDescent="0.2"/>
  <cols>
    <col min="1" max="1" width="20" style="415" customWidth="1"/>
    <col min="2" max="2" width="5.28515625" style="415" customWidth="1"/>
    <col min="3" max="3" width="9.85546875" style="415" customWidth="1"/>
    <col min="4" max="4" width="4" style="415" customWidth="1"/>
    <col min="5" max="5" width="17.140625" style="415" customWidth="1"/>
    <col min="6" max="6" width="20.85546875" style="415" customWidth="1"/>
    <col min="7" max="7" width="25.140625" style="415" customWidth="1"/>
    <col min="8" max="8" width="18.28515625" style="415" customWidth="1"/>
    <col min="9" max="9" width="27.85546875" style="415" customWidth="1"/>
    <col min="10" max="10" width="1.7109375" style="415" customWidth="1"/>
    <col min="11" max="12" width="9.140625" style="415"/>
    <col min="13" max="13" width="15" style="415" customWidth="1"/>
    <col min="14" max="16384" width="9.140625" style="415"/>
  </cols>
  <sheetData>
    <row r="1" spans="1:13" ht="21.75" customHeight="1" x14ac:dyDescent="0.2">
      <c r="A1" s="519" t="s">
        <v>220</v>
      </c>
      <c r="B1" s="519"/>
      <c r="C1" s="519"/>
      <c r="D1" s="519"/>
      <c r="E1" s="519"/>
      <c r="F1" s="519"/>
      <c r="G1" s="519"/>
      <c r="H1" s="519"/>
      <c r="I1" s="520"/>
    </row>
    <row r="2" spans="1:13" ht="19.5" customHeight="1" x14ac:dyDescent="0.2">
      <c r="A2" s="521" t="s">
        <v>221</v>
      </c>
      <c r="B2" s="522"/>
      <c r="C2" s="522"/>
      <c r="D2" s="522"/>
      <c r="E2" s="522"/>
      <c r="F2" s="522"/>
      <c r="G2" s="522"/>
      <c r="H2" s="522"/>
      <c r="I2" s="523"/>
    </row>
    <row r="3" spans="1:13" s="417" customFormat="1" ht="51" customHeight="1" x14ac:dyDescent="0.2">
      <c r="A3" s="524" t="s">
        <v>9</v>
      </c>
      <c r="B3" s="526" t="s">
        <v>222</v>
      </c>
      <c r="C3" s="527"/>
      <c r="D3" s="526" t="s">
        <v>223</v>
      </c>
      <c r="E3" s="527"/>
      <c r="F3" s="484" t="s">
        <v>224</v>
      </c>
      <c r="G3" s="485" t="s">
        <v>294</v>
      </c>
      <c r="H3" s="484" t="s">
        <v>293</v>
      </c>
      <c r="I3" s="528" t="s">
        <v>10</v>
      </c>
      <c r="J3" s="416"/>
      <c r="K3" s="416"/>
      <c r="L3" s="416"/>
      <c r="M3" s="416"/>
    </row>
    <row r="4" spans="1:13" s="417" customFormat="1" ht="30.75" customHeight="1" x14ac:dyDescent="0.2">
      <c r="A4" s="525"/>
      <c r="B4" s="530" t="s">
        <v>225</v>
      </c>
      <c r="C4" s="530"/>
      <c r="D4" s="530" t="s">
        <v>226</v>
      </c>
      <c r="E4" s="530"/>
      <c r="F4" s="418" t="s">
        <v>227</v>
      </c>
      <c r="G4" s="478" t="s">
        <v>295</v>
      </c>
      <c r="H4" s="483" t="s">
        <v>292</v>
      </c>
      <c r="I4" s="529"/>
    </row>
    <row r="5" spans="1:13" s="422" customFormat="1" ht="35.25" customHeight="1" x14ac:dyDescent="0.2">
      <c r="A5" s="419" t="s">
        <v>228</v>
      </c>
      <c r="B5" s="536"/>
      <c r="C5" s="537"/>
      <c r="D5" s="536"/>
      <c r="E5" s="537"/>
      <c r="F5" s="420"/>
      <c r="G5" s="476"/>
      <c r="H5" s="476"/>
      <c r="I5" s="421" t="s">
        <v>229</v>
      </c>
    </row>
    <row r="6" spans="1:13" s="426" customFormat="1" ht="15" customHeight="1" x14ac:dyDescent="0.2">
      <c r="A6" s="423" t="s">
        <v>230</v>
      </c>
      <c r="B6" s="435"/>
      <c r="C6" s="482">
        <v>590</v>
      </c>
      <c r="D6" s="435"/>
      <c r="E6" s="482">
        <v>43257.25</v>
      </c>
      <c r="F6" s="435">
        <v>11489.279999999999</v>
      </c>
      <c r="G6" s="435">
        <v>13839.269999999982</v>
      </c>
      <c r="H6" s="435">
        <f>SUM(E6:G6)</f>
        <v>68585.799999999988</v>
      </c>
      <c r="I6" s="424" t="s">
        <v>231</v>
      </c>
      <c r="J6" s="425"/>
      <c r="M6" s="415"/>
    </row>
    <row r="7" spans="1:13" ht="18" customHeight="1" x14ac:dyDescent="0.2">
      <c r="A7" s="423" t="s">
        <v>232</v>
      </c>
      <c r="B7" s="435"/>
      <c r="C7" s="482">
        <v>1113</v>
      </c>
      <c r="D7" s="435"/>
      <c r="E7" s="482">
        <v>166724.49999999985</v>
      </c>
      <c r="F7" s="479">
        <v>58795.999999999993</v>
      </c>
      <c r="G7" s="479">
        <v>70345.64</v>
      </c>
      <c r="H7" s="435">
        <f t="shared" ref="H7:H17" si="0">SUM(E7:G7)</f>
        <v>295866.13999999984</v>
      </c>
      <c r="I7" s="427" t="s">
        <v>233</v>
      </c>
    </row>
    <row r="8" spans="1:13" ht="21" customHeight="1" x14ac:dyDescent="0.2">
      <c r="A8" s="423" t="s">
        <v>234</v>
      </c>
      <c r="B8" s="435"/>
      <c r="C8" s="482">
        <v>1419</v>
      </c>
      <c r="D8" s="435"/>
      <c r="E8" s="482">
        <v>359929.09000000078</v>
      </c>
      <c r="F8" s="479">
        <v>145702.39999999999</v>
      </c>
      <c r="G8" s="479">
        <v>171207.70999999976</v>
      </c>
      <c r="H8" s="435">
        <f t="shared" si="0"/>
        <v>676839.20000000054</v>
      </c>
      <c r="I8" s="427" t="s">
        <v>235</v>
      </c>
    </row>
    <row r="9" spans="1:13" ht="21" customHeight="1" x14ac:dyDescent="0.2">
      <c r="A9" s="423" t="s">
        <v>236</v>
      </c>
      <c r="B9" s="435"/>
      <c r="C9" s="482">
        <v>1734</v>
      </c>
      <c r="D9" s="435"/>
      <c r="E9" s="482">
        <v>606666.75999999919</v>
      </c>
      <c r="F9" s="479">
        <v>247735.22000000032</v>
      </c>
      <c r="G9" s="479">
        <v>294223.85999999894</v>
      </c>
      <c r="H9" s="435">
        <f t="shared" si="0"/>
        <v>1148625.8399999985</v>
      </c>
      <c r="I9" s="427" t="s">
        <v>237</v>
      </c>
    </row>
    <row r="10" spans="1:13" ht="21" customHeight="1" x14ac:dyDescent="0.2">
      <c r="A10" s="423" t="s">
        <v>238</v>
      </c>
      <c r="B10" s="435"/>
      <c r="C10" s="482">
        <v>1955</v>
      </c>
      <c r="D10" s="435"/>
      <c r="E10" s="482">
        <v>879018.85999999952</v>
      </c>
      <c r="F10" s="479">
        <v>320031.96999999991</v>
      </c>
      <c r="G10" s="479">
        <v>414913.68999999913</v>
      </c>
      <c r="H10" s="435">
        <f t="shared" si="0"/>
        <v>1613964.5199999986</v>
      </c>
      <c r="I10" s="427" t="s">
        <v>239</v>
      </c>
    </row>
    <row r="11" spans="1:13" ht="21" customHeight="1" x14ac:dyDescent="0.2">
      <c r="A11" s="423" t="s">
        <v>240</v>
      </c>
      <c r="B11" s="435"/>
      <c r="C11" s="482">
        <v>1869</v>
      </c>
      <c r="D11" s="435"/>
      <c r="E11" s="482">
        <v>1024455.2799999994</v>
      </c>
      <c r="F11" s="479">
        <v>330014.36999999953</v>
      </c>
      <c r="G11" s="479">
        <v>460668.36999999906</v>
      </c>
      <c r="H11" s="435">
        <f t="shared" si="0"/>
        <v>1815138.0199999982</v>
      </c>
      <c r="I11" s="427" t="s">
        <v>241</v>
      </c>
    </row>
    <row r="12" spans="1:13" ht="21" customHeight="1" x14ac:dyDescent="0.2">
      <c r="A12" s="423" t="s">
        <v>242</v>
      </c>
      <c r="B12" s="435"/>
      <c r="C12" s="482">
        <v>1582</v>
      </c>
      <c r="D12" s="435"/>
      <c r="E12" s="482">
        <v>1030743.1300000015</v>
      </c>
      <c r="F12" s="479">
        <v>296237.94000000029</v>
      </c>
      <c r="G12" s="479">
        <v>431970.12999999907</v>
      </c>
      <c r="H12" s="435">
        <f t="shared" si="0"/>
        <v>1758951.2000000007</v>
      </c>
      <c r="I12" s="427" t="s">
        <v>243</v>
      </c>
    </row>
    <row r="13" spans="1:13" ht="21" customHeight="1" x14ac:dyDescent="0.2">
      <c r="A13" s="423" t="s">
        <v>244</v>
      </c>
      <c r="B13" s="435"/>
      <c r="C13" s="482">
        <v>1483</v>
      </c>
      <c r="D13" s="435"/>
      <c r="E13" s="482">
        <v>1111916.3100000003</v>
      </c>
      <c r="F13" s="479">
        <v>304615.37000000017</v>
      </c>
      <c r="G13" s="479">
        <v>456694.60999999946</v>
      </c>
      <c r="H13" s="435">
        <f t="shared" si="0"/>
        <v>1873226.2899999998</v>
      </c>
      <c r="I13" s="427" t="s">
        <v>245</v>
      </c>
    </row>
    <row r="14" spans="1:13" ht="21" customHeight="1" x14ac:dyDescent="0.2">
      <c r="A14" s="423" t="s">
        <v>246</v>
      </c>
      <c r="B14" s="435"/>
      <c r="C14" s="482">
        <v>1344</v>
      </c>
      <c r="D14" s="435"/>
      <c r="E14" s="482">
        <v>1138022.069999998</v>
      </c>
      <c r="F14" s="479">
        <v>278603.2300000008</v>
      </c>
      <c r="G14" s="479">
        <v>431382.76999999891</v>
      </c>
      <c r="H14" s="435">
        <f t="shared" si="0"/>
        <v>1848008.0699999977</v>
      </c>
      <c r="I14" s="427" t="s">
        <v>247</v>
      </c>
    </row>
    <row r="15" spans="1:13" ht="21" customHeight="1" x14ac:dyDescent="0.2">
      <c r="A15" s="423" t="s">
        <v>248</v>
      </c>
      <c r="B15" s="435"/>
      <c r="C15" s="482">
        <v>1176</v>
      </c>
      <c r="D15" s="435"/>
      <c r="E15" s="482">
        <v>1115757.1300000004</v>
      </c>
      <c r="F15" s="479">
        <v>250306.64000000161</v>
      </c>
      <c r="G15" s="479">
        <v>415989.3899999999</v>
      </c>
      <c r="H15" s="435">
        <f t="shared" si="0"/>
        <v>1782053.1600000018</v>
      </c>
      <c r="I15" s="427" t="s">
        <v>249</v>
      </c>
    </row>
    <row r="16" spans="1:13" ht="21" customHeight="1" x14ac:dyDescent="0.2">
      <c r="A16" s="423" t="s">
        <v>250</v>
      </c>
      <c r="B16" s="435"/>
      <c r="C16" s="482">
        <v>11336</v>
      </c>
      <c r="D16" s="435"/>
      <c r="E16" s="482">
        <v>26075625.540000103</v>
      </c>
      <c r="F16" s="479">
        <v>2313081.4999999036</v>
      </c>
      <c r="G16" s="479">
        <v>6728355.549999984</v>
      </c>
      <c r="H16" s="435">
        <f t="shared" si="0"/>
        <v>35117062.589999989</v>
      </c>
      <c r="I16" s="424" t="s">
        <v>251</v>
      </c>
    </row>
    <row r="17" spans="1:10" ht="21" customHeight="1" x14ac:dyDescent="0.2">
      <c r="A17" s="428" t="s">
        <v>102</v>
      </c>
      <c r="B17" s="538">
        <f>SUM(B6:C16)</f>
        <v>25601</v>
      </c>
      <c r="C17" s="538"/>
      <c r="D17" s="538">
        <f>SUM(D6:E16)</f>
        <v>33552115.920000102</v>
      </c>
      <c r="E17" s="538"/>
      <c r="F17" s="480">
        <f>SUM(F6:F16)</f>
        <v>4556613.9199999068</v>
      </c>
      <c r="G17" s="481">
        <f>SUM(G6:G16)</f>
        <v>9889590.9899999779</v>
      </c>
      <c r="H17" s="435">
        <f t="shared" si="0"/>
        <v>14446204.909999885</v>
      </c>
      <c r="I17" s="429" t="s">
        <v>197</v>
      </c>
    </row>
    <row r="18" spans="1:10" ht="28.5" customHeight="1" x14ac:dyDescent="0.2">
      <c r="A18" s="531" t="s">
        <v>252</v>
      </c>
      <c r="B18" s="532"/>
      <c r="C18" s="532"/>
      <c r="D18" s="532"/>
      <c r="E18" s="533"/>
      <c r="F18" s="534" t="s">
        <v>253</v>
      </c>
      <c r="G18" s="535"/>
      <c r="H18" s="535"/>
      <c r="I18" s="535"/>
      <c r="J18" s="430"/>
    </row>
    <row r="19" spans="1:10" ht="15" x14ac:dyDescent="0.2">
      <c r="A19" s="431" t="s">
        <v>87</v>
      </c>
      <c r="B19" s="432"/>
      <c r="C19" s="432"/>
      <c r="D19" s="432"/>
      <c r="E19" s="432"/>
      <c r="F19" s="433"/>
      <c r="G19" s="477"/>
      <c r="H19" s="477"/>
      <c r="I19" s="434" t="s">
        <v>219</v>
      </c>
    </row>
  </sheetData>
  <mergeCells count="14">
    <mergeCell ref="A18:E18"/>
    <mergeCell ref="F18:I18"/>
    <mergeCell ref="B5:C5"/>
    <mergeCell ref="D5:E5"/>
    <mergeCell ref="B17:C17"/>
    <mergeCell ref="D17:E17"/>
    <mergeCell ref="A1:I1"/>
    <mergeCell ref="A2:I2"/>
    <mergeCell ref="A3:A4"/>
    <mergeCell ref="B3:C3"/>
    <mergeCell ref="D3:E3"/>
    <mergeCell ref="I3:I4"/>
    <mergeCell ref="B4:C4"/>
    <mergeCell ref="D4:E4"/>
  </mergeCells>
  <pageMargins left="0.7" right="0.7" top="0.75" bottom="0.75" header="0.3" footer="0.3"/>
  <pageSetup paperSize="9" scale="8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Z35"/>
  <sheetViews>
    <sheetView zoomScaleNormal="100" workbookViewId="0">
      <selection activeCell="R10" sqref="R10"/>
    </sheetView>
  </sheetViews>
  <sheetFormatPr defaultColWidth="9.140625" defaultRowHeight="15" x14ac:dyDescent="0.25"/>
  <cols>
    <col min="1" max="1" width="23.140625" style="2" customWidth="1"/>
    <col min="2" max="2" width="8.28515625" style="2" hidden="1" customWidth="1"/>
    <col min="3" max="8" width="8.28515625" style="2" customWidth="1"/>
    <col min="9" max="9" width="9.140625" style="2" customWidth="1"/>
    <col min="10" max="10" width="26.42578125" style="2" customWidth="1"/>
    <col min="11" max="11" width="2.42578125" style="2" customWidth="1"/>
    <col min="12" max="16384" width="9.140625" style="2"/>
  </cols>
  <sheetData>
    <row r="2" spans="1:15" ht="19.5" x14ac:dyDescent="0.25">
      <c r="A2" s="539" t="s">
        <v>54</v>
      </c>
      <c r="B2" s="539"/>
      <c r="C2" s="539"/>
      <c r="D2" s="539"/>
      <c r="E2" s="539"/>
      <c r="F2" s="539"/>
      <c r="G2" s="539"/>
      <c r="H2" s="539"/>
      <c r="I2" s="539"/>
      <c r="J2" s="539"/>
    </row>
    <row r="3" spans="1:15" x14ac:dyDescent="0.25">
      <c r="A3" s="540" t="s">
        <v>55</v>
      </c>
      <c r="B3" s="540"/>
      <c r="C3" s="540"/>
      <c r="D3" s="540"/>
      <c r="E3" s="540"/>
      <c r="F3" s="540"/>
      <c r="G3" s="540"/>
      <c r="H3" s="540"/>
      <c r="I3" s="540"/>
      <c r="J3" s="540"/>
    </row>
    <row r="4" spans="1:15" s="4" customFormat="1" ht="15.75" customHeight="1" x14ac:dyDescent="0.2">
      <c r="A4" s="541" t="s">
        <v>11</v>
      </c>
      <c r="B4" s="541"/>
      <c r="C4" s="541"/>
      <c r="D4" s="541"/>
      <c r="E4" s="541"/>
      <c r="F4" s="541"/>
      <c r="G4" s="542" t="s">
        <v>12</v>
      </c>
      <c r="H4" s="542"/>
      <c r="I4" s="542"/>
      <c r="J4" s="542"/>
      <c r="K4" s="208"/>
      <c r="L4" s="208"/>
      <c r="M4" s="208"/>
      <c r="N4" s="208"/>
      <c r="O4" s="3"/>
    </row>
    <row r="5" spans="1:15" s="8" customFormat="1" ht="18" customHeight="1" x14ac:dyDescent="0.2">
      <c r="A5" s="5" t="s">
        <v>13</v>
      </c>
      <c r="B5" s="6">
        <v>2008</v>
      </c>
      <c r="C5" s="6">
        <v>2009</v>
      </c>
      <c r="D5" s="6">
        <v>2010</v>
      </c>
      <c r="E5" s="6">
        <v>2011</v>
      </c>
      <c r="F5" s="6">
        <v>2012</v>
      </c>
      <c r="G5" s="6">
        <v>2013</v>
      </c>
      <c r="H5" s="6">
        <v>2014</v>
      </c>
      <c r="I5" s="6">
        <v>2015</v>
      </c>
      <c r="J5" s="7" t="s">
        <v>8</v>
      </c>
    </row>
    <row r="6" spans="1:15" s="8" customFormat="1" ht="20.25" customHeight="1" x14ac:dyDescent="0.4">
      <c r="A6" s="9" t="s">
        <v>14</v>
      </c>
      <c r="B6" s="10">
        <f t="shared" ref="B6:C6" si="0">SUM(B7:B10)</f>
        <v>2753.7502068822714</v>
      </c>
      <c r="C6" s="10">
        <f t="shared" si="0"/>
        <v>3122.326</v>
      </c>
      <c r="D6" s="10">
        <f t="shared" ref="D6:I6" si="1">SUM(D7:D10)</f>
        <v>3466.9183800000001</v>
      </c>
      <c r="E6" s="10">
        <f t="shared" si="1"/>
        <v>3852.5548200000003</v>
      </c>
      <c r="F6" s="10">
        <f t="shared" si="1"/>
        <v>4240.0155199999999</v>
      </c>
      <c r="G6" s="10">
        <f t="shared" si="1"/>
        <v>4509.2316299999993</v>
      </c>
      <c r="H6" s="10">
        <f t="shared" si="1"/>
        <v>4914.9541300000001</v>
      </c>
      <c r="I6" s="10">
        <f t="shared" si="1"/>
        <v>5700.0994599999995</v>
      </c>
      <c r="J6" s="11" t="s">
        <v>15</v>
      </c>
    </row>
    <row r="7" spans="1:15" s="15" customFormat="1" ht="20.25" customHeight="1" x14ac:dyDescent="0.4">
      <c r="A7" s="12" t="s">
        <v>16</v>
      </c>
      <c r="B7" s="13">
        <f>2149319.989999/1000</f>
        <v>2149.319989999</v>
      </c>
      <c r="C7" s="13">
        <v>2463.373</v>
      </c>
      <c r="D7" s="13">
        <v>2785.8859500000003</v>
      </c>
      <c r="E7" s="13">
        <v>3078.5709700000002</v>
      </c>
      <c r="F7" s="13">
        <v>3458.8018999999999</v>
      </c>
      <c r="G7" s="13">
        <f>3672075.98/1000</f>
        <v>3672.0759800000001</v>
      </c>
      <c r="H7" s="13">
        <v>4011.6961699999997</v>
      </c>
      <c r="I7" s="13">
        <v>4586.0499199999995</v>
      </c>
      <c r="J7" s="14" t="s">
        <v>17</v>
      </c>
      <c r="M7" s="16"/>
    </row>
    <row r="8" spans="1:15" s="15" customFormat="1" ht="20.25" customHeight="1" x14ac:dyDescent="0.4">
      <c r="A8" s="12" t="s">
        <v>18</v>
      </c>
      <c r="B8" s="13">
        <f>311353.83/1000</f>
        <v>311.35383000000002</v>
      </c>
      <c r="C8" s="13">
        <v>325.00799999999998</v>
      </c>
      <c r="D8" s="13">
        <v>332.86784</v>
      </c>
      <c r="E8" s="13">
        <v>318.73822999999999</v>
      </c>
      <c r="F8" s="13">
        <v>367.12387999999999</v>
      </c>
      <c r="G8" s="13">
        <f>388293.65/1000</f>
        <v>388.29365000000001</v>
      </c>
      <c r="H8" s="13">
        <v>391.51188999999999</v>
      </c>
      <c r="I8" s="13">
        <v>511.57016000000004</v>
      </c>
      <c r="J8" s="14" t="s">
        <v>19</v>
      </c>
      <c r="M8" s="16"/>
    </row>
    <row r="9" spans="1:15" s="15" customFormat="1" ht="20.25" customHeight="1" x14ac:dyDescent="0.4">
      <c r="A9" s="12" t="s">
        <v>20</v>
      </c>
      <c r="B9" s="13">
        <f>257761.626883271/1000</f>
        <v>257.76162688327099</v>
      </c>
      <c r="C9" s="13">
        <v>294.50900000000001</v>
      </c>
      <c r="D9" s="13">
        <v>332.63451000000003</v>
      </c>
      <c r="E9" s="13">
        <f>383.40205+67.17179</f>
        <v>450.57383999999996</v>
      </c>
      <c r="F9" s="13">
        <v>412.77303000000001</v>
      </c>
      <c r="G9" s="13">
        <f>446466.21/1000</f>
        <v>446.46621000000005</v>
      </c>
      <c r="H9" s="13">
        <v>508.53606999999994</v>
      </c>
      <c r="I9" s="13">
        <v>602.47937999999999</v>
      </c>
      <c r="J9" s="14" t="s">
        <v>21</v>
      </c>
      <c r="M9" s="16"/>
    </row>
    <row r="10" spans="1:15" s="15" customFormat="1" ht="20.25" customHeight="1" x14ac:dyDescent="0.4">
      <c r="A10" s="17" t="s">
        <v>22</v>
      </c>
      <c r="B10" s="18">
        <f>35314.76/1000</f>
        <v>35.31476</v>
      </c>
      <c r="C10" s="18">
        <v>39.436</v>
      </c>
      <c r="D10" s="18">
        <v>15.53008</v>
      </c>
      <c r="E10" s="18">
        <f>4.67178</f>
        <v>4.67178</v>
      </c>
      <c r="F10" s="18">
        <v>1.31671</v>
      </c>
      <c r="G10" s="18">
        <f>2395.79/1000</f>
        <v>2.3957899999999999</v>
      </c>
      <c r="H10" s="218">
        <v>3.21</v>
      </c>
      <c r="I10" s="218">
        <v>0</v>
      </c>
      <c r="J10" s="19" t="s">
        <v>23</v>
      </c>
      <c r="M10" s="16"/>
    </row>
    <row r="11" spans="1:15" s="23" customFormat="1" ht="20.25" customHeight="1" x14ac:dyDescent="0.2">
      <c r="A11" s="20" t="s">
        <v>24</v>
      </c>
      <c r="B11" s="21">
        <f t="shared" ref="B11:C11" si="2">SUM(B12:B15)</f>
        <v>99.999999999999986</v>
      </c>
      <c r="C11" s="21">
        <f t="shared" si="2"/>
        <v>100</v>
      </c>
      <c r="D11" s="21">
        <f t="shared" ref="D11:I11" si="3">SUM(D12:D15)</f>
        <v>100</v>
      </c>
      <c r="E11" s="21">
        <f t="shared" si="3"/>
        <v>100</v>
      </c>
      <c r="F11" s="21">
        <f t="shared" si="3"/>
        <v>99.999999999999986</v>
      </c>
      <c r="G11" s="21">
        <f t="shared" si="3"/>
        <v>100</v>
      </c>
      <c r="H11" s="21">
        <f t="shared" si="3"/>
        <v>99.999999999999986</v>
      </c>
      <c r="I11" s="21">
        <f t="shared" si="3"/>
        <v>100</v>
      </c>
      <c r="J11" s="22" t="s">
        <v>0</v>
      </c>
      <c r="M11" s="16"/>
    </row>
    <row r="12" spans="1:15" s="15" customFormat="1" ht="20.25" customHeight="1" x14ac:dyDescent="0.4">
      <c r="A12" s="12" t="s">
        <v>16</v>
      </c>
      <c r="B12" s="24">
        <f t="shared" ref="B12:F12" si="4">B7/B6*100</f>
        <v>78.050651966447148</v>
      </c>
      <c r="C12" s="24">
        <f t="shared" si="4"/>
        <v>78.895445254595458</v>
      </c>
      <c r="D12" s="24">
        <f t="shared" si="4"/>
        <v>80.356260074400723</v>
      </c>
      <c r="E12" s="24">
        <f t="shared" si="4"/>
        <v>79.909854988124479</v>
      </c>
      <c r="F12" s="24">
        <f t="shared" si="4"/>
        <v>81.575217913353299</v>
      </c>
      <c r="G12" s="24">
        <f>G7/G6*100</f>
        <v>81.434627477763883</v>
      </c>
      <c r="H12" s="24">
        <f>H7/H6*100</f>
        <v>81.622250460351694</v>
      </c>
      <c r="I12" s="24">
        <f>I7/I6*100</f>
        <v>80.455612260492032</v>
      </c>
      <c r="J12" s="14" t="s">
        <v>17</v>
      </c>
      <c r="M12" s="16"/>
    </row>
    <row r="13" spans="1:15" s="15" customFormat="1" ht="20.25" customHeight="1" x14ac:dyDescent="0.4">
      <c r="A13" s="12" t="s">
        <v>18</v>
      </c>
      <c r="B13" s="24">
        <f t="shared" ref="B13:F13" si="5">B8/B6*100</f>
        <v>11.306538596778072</v>
      </c>
      <c r="C13" s="24">
        <f t="shared" si="5"/>
        <v>10.409162912520985</v>
      </c>
      <c r="D13" s="24">
        <f t="shared" si="5"/>
        <v>9.6012597792971395</v>
      </c>
      <c r="E13" s="24">
        <f t="shared" si="5"/>
        <v>8.2734249061250207</v>
      </c>
      <c r="F13" s="24">
        <f t="shared" si="5"/>
        <v>8.6585503819099223</v>
      </c>
      <c r="G13" s="24">
        <f>G8/G6*100</f>
        <v>8.6110823719206468</v>
      </c>
      <c r="H13" s="24">
        <f>H8/H6*100</f>
        <v>7.9657282579766413</v>
      </c>
      <c r="I13" s="24">
        <f>I8/I6*100</f>
        <v>8.9747584860563148</v>
      </c>
      <c r="J13" s="14" t="s">
        <v>19</v>
      </c>
      <c r="M13" s="16"/>
    </row>
    <row r="14" spans="1:15" s="15" customFormat="1" ht="20.25" customHeight="1" x14ac:dyDescent="0.4">
      <c r="A14" s="12" t="s">
        <v>20</v>
      </c>
      <c r="B14" s="24">
        <f t="shared" ref="B14" si="6">B9/B6*100</f>
        <v>9.3603852026615879</v>
      </c>
      <c r="C14" s="24">
        <f t="shared" ref="C14:H14" si="7">C9/C6*100</f>
        <v>9.4323590810184452</v>
      </c>
      <c r="D14" s="24">
        <f t="shared" si="7"/>
        <v>9.5945295948963185</v>
      </c>
      <c r="E14" s="24">
        <f t="shared" si="7"/>
        <v>11.695455640524797</v>
      </c>
      <c r="F14" s="24">
        <f t="shared" si="7"/>
        <v>9.735177337275406</v>
      </c>
      <c r="G14" s="24">
        <f t="shared" si="7"/>
        <v>9.9011593689189166</v>
      </c>
      <c r="H14" s="24">
        <f t="shared" si="7"/>
        <v>10.346710397478317</v>
      </c>
      <c r="I14" s="24">
        <f>I9/I6*100</f>
        <v>10.569629253451659</v>
      </c>
      <c r="J14" s="14" t="s">
        <v>21</v>
      </c>
      <c r="M14" s="16"/>
    </row>
    <row r="15" spans="1:15" s="15" customFormat="1" ht="20.25" customHeight="1" x14ac:dyDescent="0.4">
      <c r="A15" s="17" t="s">
        <v>22</v>
      </c>
      <c r="B15" s="25">
        <f t="shared" ref="B15" si="8">B10/B6*100</f>
        <v>1.2824242341131771</v>
      </c>
      <c r="C15" s="25">
        <f t="shared" ref="C15:I15" si="9">C10/C6*100</f>
        <v>1.2630327518651159</v>
      </c>
      <c r="D15" s="25">
        <f t="shared" si="9"/>
        <v>0.44795055140582801</v>
      </c>
      <c r="E15" s="25">
        <f t="shared" si="9"/>
        <v>0.12126446522570183</v>
      </c>
      <c r="F15" s="25">
        <f t="shared" si="9"/>
        <v>3.1054367461371937E-2</v>
      </c>
      <c r="G15" s="25">
        <f t="shared" si="9"/>
        <v>5.3130781396563576E-2</v>
      </c>
      <c r="H15" s="25">
        <f t="shared" si="9"/>
        <v>6.5310884193338331E-2</v>
      </c>
      <c r="I15" s="230">
        <f t="shared" si="9"/>
        <v>0</v>
      </c>
      <c r="J15" s="19" t="s">
        <v>23</v>
      </c>
      <c r="M15" s="16"/>
    </row>
    <row r="16" spans="1:15" s="23" customFormat="1" ht="20.25" customHeight="1" x14ac:dyDescent="0.2">
      <c r="A16" s="26" t="s">
        <v>1</v>
      </c>
      <c r="B16" s="27" t="e">
        <f>(B6-#REF!)/#REF!*100</f>
        <v>#REF!</v>
      </c>
      <c r="C16" s="27">
        <f>(C6-B6)/B6*100</f>
        <v>13.384503510760371</v>
      </c>
      <c r="D16" s="27">
        <f t="shared" ref="D16:F20" si="10">(D6-C6)/C6*100</f>
        <v>11.036399786569373</v>
      </c>
      <c r="E16" s="27">
        <f t="shared" si="10"/>
        <v>11.123320416905811</v>
      </c>
      <c r="F16" s="27">
        <f t="shared" si="10"/>
        <v>10.057240405472013</v>
      </c>
      <c r="G16" s="27">
        <f t="shared" ref="G16:I20" si="11">(G6-F6)/F6*100</f>
        <v>6.3494133153550196</v>
      </c>
      <c r="H16" s="27">
        <f t="shared" si="11"/>
        <v>8.9975972247848528</v>
      </c>
      <c r="I16" s="27">
        <f t="shared" si="11"/>
        <v>15.974621720426907</v>
      </c>
      <c r="J16" s="22" t="s">
        <v>2</v>
      </c>
      <c r="M16" s="16"/>
    </row>
    <row r="17" spans="1:26" s="15" customFormat="1" ht="20.25" customHeight="1" x14ac:dyDescent="0.4">
      <c r="A17" s="12" t="s">
        <v>16</v>
      </c>
      <c r="B17" s="28" t="e">
        <f>(B7-#REF!)/#REF!*100</f>
        <v>#REF!</v>
      </c>
      <c r="C17" s="28">
        <f>(C7-B7)/B7*100</f>
        <v>14.611738199166249</v>
      </c>
      <c r="D17" s="28">
        <f t="shared" si="10"/>
        <v>13.092331124843874</v>
      </c>
      <c r="E17" s="28">
        <f>(E7-D7)/D7*100</f>
        <v>10.50599433189287</v>
      </c>
      <c r="F17" s="28">
        <f t="shared" si="10"/>
        <v>12.350890517232406</v>
      </c>
      <c r="G17" s="28">
        <f t="shared" si="11"/>
        <v>6.1661259061989115</v>
      </c>
      <c r="H17" s="28">
        <f t="shared" si="11"/>
        <v>9.2487244776454656</v>
      </c>
      <c r="I17" s="28">
        <f t="shared" si="11"/>
        <v>14.316980291156989</v>
      </c>
      <c r="J17" s="14" t="s">
        <v>17</v>
      </c>
      <c r="M17" s="16"/>
    </row>
    <row r="18" spans="1:26" s="15" customFormat="1" ht="20.25" customHeight="1" x14ac:dyDescent="0.4">
      <c r="A18" s="12" t="s">
        <v>18</v>
      </c>
      <c r="B18" s="28" t="e">
        <f>(B8-#REF!)/#REF!*100</f>
        <v>#REF!</v>
      </c>
      <c r="C18" s="28">
        <f>(C8-B8)/B8*100</f>
        <v>4.3854189942034649</v>
      </c>
      <c r="D18" s="28">
        <f t="shared" si="10"/>
        <v>2.4183527790085231</v>
      </c>
      <c r="E18" s="28">
        <f t="shared" si="10"/>
        <v>-4.2448107933767387</v>
      </c>
      <c r="F18" s="28">
        <f>(F8-E8)/E8*100</f>
        <v>15.180372307394691</v>
      </c>
      <c r="G18" s="28">
        <f t="shared" si="11"/>
        <v>5.7663832709547602</v>
      </c>
      <c r="H18" s="28">
        <f t="shared" si="11"/>
        <v>0.82881602622138684</v>
      </c>
      <c r="I18" s="28">
        <f t="shared" si="11"/>
        <v>30.665293460180749</v>
      </c>
      <c r="J18" s="14" t="s">
        <v>19</v>
      </c>
    </row>
    <row r="19" spans="1:26" s="15" customFormat="1" ht="20.25" customHeight="1" x14ac:dyDescent="0.4">
      <c r="A19" s="12" t="s">
        <v>25</v>
      </c>
      <c r="B19" s="28" t="e">
        <f>(B9-#REF!)/#REF!*100</f>
        <v>#REF!</v>
      </c>
      <c r="C19" s="28">
        <f>(C9-B9)/B9*100</f>
        <v>14.256339689138564</v>
      </c>
      <c r="D19" s="28">
        <f t="shared" si="10"/>
        <v>12.945448186642858</v>
      </c>
      <c r="E19" s="28">
        <f t="shared" si="10"/>
        <v>35.456131716459581</v>
      </c>
      <c r="F19" s="28">
        <f t="shared" si="10"/>
        <v>-8.389481732894204</v>
      </c>
      <c r="G19" s="28">
        <f t="shared" si="11"/>
        <v>8.1626408585851742</v>
      </c>
      <c r="H19" s="28">
        <f t="shared" si="11"/>
        <v>13.902476516643866</v>
      </c>
      <c r="I19" s="28">
        <f t="shared" si="11"/>
        <v>18.473283517529065</v>
      </c>
      <c r="J19" s="14" t="s">
        <v>21</v>
      </c>
    </row>
    <row r="20" spans="1:26" s="15" customFormat="1" ht="20.25" customHeight="1" x14ac:dyDescent="0.4">
      <c r="A20" s="29" t="s">
        <v>22</v>
      </c>
      <c r="B20" s="30" t="e">
        <f>(B10-#REF!)/#REF!*100</f>
        <v>#REF!</v>
      </c>
      <c r="C20" s="30">
        <f>(C10-B10)/B10*100</f>
        <v>11.670021260232266</v>
      </c>
      <c r="D20" s="30">
        <f t="shared" si="10"/>
        <v>-60.619535449842786</v>
      </c>
      <c r="E20" s="30">
        <f t="shared" si="10"/>
        <v>-69.917862625305219</v>
      </c>
      <c r="F20" s="30">
        <f t="shared" si="10"/>
        <v>-71.815667689831287</v>
      </c>
      <c r="G20" s="30">
        <f t="shared" si="11"/>
        <v>81.952745858997034</v>
      </c>
      <c r="H20" s="30">
        <f t="shared" si="11"/>
        <v>33.98503207710192</v>
      </c>
      <c r="I20" s="230">
        <f t="shared" ref="I20" si="12">I15/I11*100</f>
        <v>0</v>
      </c>
      <c r="J20" s="31" t="s">
        <v>23</v>
      </c>
    </row>
    <row r="21" spans="1:26" s="15" customFormat="1" ht="15.75" x14ac:dyDescent="0.4">
      <c r="A21" s="209" t="s">
        <v>26</v>
      </c>
      <c r="B21" s="12"/>
      <c r="C21" s="12"/>
      <c r="D21" s="12"/>
      <c r="E21" s="12"/>
      <c r="F21" s="12"/>
      <c r="G21" s="12"/>
      <c r="H21" s="12"/>
      <c r="I21" s="12"/>
      <c r="J21" s="32" t="s">
        <v>27</v>
      </c>
    </row>
    <row r="22" spans="1:26" s="33" customFormat="1" ht="12.75" x14ac:dyDescent="0.2">
      <c r="K22" s="34"/>
      <c r="L22" s="15"/>
      <c r="M22" s="15"/>
      <c r="N22" s="15"/>
      <c r="O22" s="15"/>
      <c r="P22" s="15"/>
      <c r="Q22" s="15"/>
      <c r="R22" s="15"/>
      <c r="U22" s="15"/>
      <c r="V22" s="15"/>
      <c r="W22" s="15"/>
      <c r="X22" s="15"/>
      <c r="Y22" s="15"/>
      <c r="Z22" s="15"/>
    </row>
    <row r="23" spans="1:26" s="33" customFormat="1" x14ac:dyDescent="0.25">
      <c r="K23" s="2"/>
      <c r="L23" s="15"/>
      <c r="M23" s="15"/>
      <c r="N23" s="15"/>
      <c r="O23" s="15"/>
      <c r="P23" s="15"/>
      <c r="Q23" s="15"/>
      <c r="R23" s="15"/>
      <c r="U23" s="15"/>
      <c r="V23" s="15"/>
      <c r="W23" s="15"/>
      <c r="X23" s="15"/>
      <c r="Y23" s="15"/>
      <c r="Z23" s="15"/>
    </row>
    <row r="24" spans="1:26" s="33" customFormat="1" x14ac:dyDescent="0.25">
      <c r="K24" s="2"/>
      <c r="L24" s="15"/>
      <c r="M24" s="15"/>
      <c r="N24" s="15"/>
      <c r="O24" s="15"/>
      <c r="P24" s="15"/>
      <c r="Q24" s="15"/>
      <c r="R24" s="15"/>
      <c r="U24" s="15"/>
      <c r="V24" s="15"/>
      <c r="W24" s="15"/>
      <c r="X24" s="15"/>
      <c r="Y24" s="15"/>
      <c r="Z24" s="15"/>
    </row>
    <row r="25" spans="1:26" x14ac:dyDescent="0.25">
      <c r="J25" s="33"/>
      <c r="L25" s="15"/>
      <c r="M25" s="15"/>
      <c r="N25" s="15"/>
      <c r="O25" s="15"/>
      <c r="P25" s="15"/>
      <c r="Q25" s="15"/>
      <c r="R25" s="15"/>
      <c r="U25" s="15"/>
      <c r="V25" s="15"/>
      <c r="W25" s="15"/>
      <c r="X25" s="15"/>
      <c r="Y25" s="15"/>
      <c r="Z25" s="15"/>
    </row>
    <row r="26" spans="1:26" x14ac:dyDescent="0.25">
      <c r="J26" s="33"/>
      <c r="L26" s="15"/>
      <c r="M26" s="15"/>
      <c r="N26" s="15"/>
      <c r="O26" s="15"/>
      <c r="P26" s="15"/>
      <c r="Q26" s="15"/>
      <c r="R26" s="15"/>
    </row>
    <row r="27" spans="1:26" x14ac:dyDescent="0.25">
      <c r="J27" s="33"/>
      <c r="L27" s="15"/>
      <c r="M27" s="15"/>
      <c r="N27" s="15"/>
      <c r="O27" s="15"/>
      <c r="P27" s="15"/>
      <c r="Q27" s="15"/>
      <c r="R27" s="15"/>
    </row>
    <row r="28" spans="1:26" x14ac:dyDescent="0.25">
      <c r="J28" s="33"/>
      <c r="L28" s="15"/>
      <c r="M28" s="15"/>
      <c r="N28" s="15"/>
      <c r="O28" s="15"/>
      <c r="P28" s="15"/>
      <c r="Q28" s="15"/>
      <c r="R28" s="15"/>
      <c r="V28" s="35"/>
    </row>
    <row r="29" spans="1:26" x14ac:dyDescent="0.25">
      <c r="J29" s="33"/>
      <c r="L29" s="15"/>
      <c r="M29" s="15"/>
      <c r="N29" s="15"/>
      <c r="O29" s="15"/>
      <c r="P29" s="15"/>
      <c r="Q29" s="15"/>
      <c r="R29" s="15"/>
      <c r="V29" s="35"/>
    </row>
    <row r="30" spans="1:26" x14ac:dyDescent="0.25">
      <c r="J30" s="33"/>
      <c r="L30" s="15"/>
      <c r="V30" s="35"/>
    </row>
    <row r="31" spans="1:26" x14ac:dyDescent="0.25">
      <c r="V31" s="35"/>
    </row>
    <row r="35" spans="2:9" x14ac:dyDescent="0.25">
      <c r="B35" s="36"/>
      <c r="C35" s="36"/>
      <c r="D35" s="36"/>
      <c r="E35" s="36"/>
      <c r="F35" s="36"/>
      <c r="G35" s="36"/>
      <c r="H35" s="36"/>
      <c r="I35" s="36"/>
    </row>
  </sheetData>
  <mergeCells count="4">
    <mergeCell ref="A2:J2"/>
    <mergeCell ref="A3:J3"/>
    <mergeCell ref="A4:F4"/>
    <mergeCell ref="G4:J4"/>
  </mergeCells>
  <pageMargins left="0.7" right="0.7" top="0.44" bottom="0.75" header="0.3" footer="0.3"/>
  <pageSetup paperSize="9" scale="7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8"/>
  <sheetViews>
    <sheetView workbookViewId="0">
      <selection activeCell="O17" sqref="O17"/>
    </sheetView>
  </sheetViews>
  <sheetFormatPr defaultColWidth="9.140625" defaultRowHeight="12.75" x14ac:dyDescent="0.2"/>
  <cols>
    <col min="1" max="1" width="24.5703125" style="38" customWidth="1"/>
    <col min="2" max="2" width="0" style="38" hidden="1" customWidth="1"/>
    <col min="3" max="9" width="9.140625" style="38"/>
    <col min="10" max="10" width="31.28515625" style="38" customWidth="1"/>
    <col min="11" max="11" width="2.28515625" style="38" customWidth="1"/>
    <col min="12" max="16384" width="9.140625" style="38"/>
  </cols>
  <sheetData>
    <row r="1" spans="1:20" ht="21" x14ac:dyDescent="0.2">
      <c r="A1" s="543" t="s">
        <v>56</v>
      </c>
      <c r="B1" s="543"/>
      <c r="C1" s="543"/>
      <c r="D1" s="543"/>
      <c r="E1" s="543"/>
      <c r="F1" s="543"/>
      <c r="G1" s="543"/>
      <c r="H1" s="543"/>
      <c r="I1" s="543"/>
      <c r="J1" s="543"/>
      <c r="K1" s="37"/>
      <c r="L1" s="37"/>
      <c r="M1" s="37"/>
      <c r="N1" s="37"/>
      <c r="O1" s="37"/>
    </row>
    <row r="2" spans="1:20" ht="15" x14ac:dyDescent="0.2">
      <c r="A2" s="544" t="s">
        <v>57</v>
      </c>
      <c r="B2" s="544"/>
      <c r="C2" s="544"/>
      <c r="D2" s="544"/>
      <c r="E2" s="544"/>
      <c r="F2" s="544"/>
      <c r="G2" s="544"/>
      <c r="H2" s="544"/>
      <c r="I2" s="544"/>
      <c r="J2" s="544"/>
    </row>
    <row r="3" spans="1:20" s="4" customFormat="1" ht="15.75" customHeight="1" x14ac:dyDescent="0.25">
      <c r="B3" s="220"/>
      <c r="C3" s="220"/>
      <c r="D3" s="545" t="s">
        <v>11</v>
      </c>
      <c r="E3" s="545"/>
      <c r="F3" s="545"/>
      <c r="G3" s="542" t="s">
        <v>12</v>
      </c>
      <c r="H3" s="542"/>
      <c r="I3" s="227"/>
      <c r="J3" s="219"/>
      <c r="K3" s="1"/>
      <c r="L3" s="208"/>
      <c r="M3" s="208"/>
      <c r="N3" s="208"/>
      <c r="O3" s="208"/>
      <c r="P3" s="208"/>
      <c r="Q3" s="208"/>
      <c r="R3" s="208"/>
      <c r="S3" s="208"/>
      <c r="T3" s="3"/>
    </row>
    <row r="4" spans="1:20" ht="20.25" customHeight="1" x14ac:dyDescent="0.2">
      <c r="A4" s="221" t="s">
        <v>13</v>
      </c>
      <c r="B4" s="226">
        <v>2008</v>
      </c>
      <c r="C4" s="39">
        <v>2009</v>
      </c>
      <c r="D4" s="39">
        <v>2010</v>
      </c>
      <c r="E4" s="39">
        <v>2011</v>
      </c>
      <c r="F4" s="39">
        <v>2012</v>
      </c>
      <c r="G4" s="39">
        <v>2013</v>
      </c>
      <c r="H4" s="39">
        <v>2014</v>
      </c>
      <c r="I4" s="39">
        <v>2015</v>
      </c>
      <c r="J4" s="40" t="s">
        <v>8</v>
      </c>
    </row>
    <row r="5" spans="1:20" ht="21.75" customHeight="1" x14ac:dyDescent="0.4">
      <c r="A5" s="41" t="s">
        <v>14</v>
      </c>
      <c r="B5" s="42">
        <f t="shared" ref="B5:G5" si="0">SUM(B6:B8)</f>
        <v>106.88800000000001</v>
      </c>
      <c r="C5" s="42">
        <f t="shared" si="0"/>
        <v>124.364</v>
      </c>
      <c r="D5" s="42">
        <f t="shared" si="0"/>
        <v>128.46899999999999</v>
      </c>
      <c r="E5" s="42">
        <f t="shared" si="0"/>
        <v>141.505</v>
      </c>
      <c r="F5" s="42">
        <f t="shared" si="0"/>
        <v>172.8</v>
      </c>
      <c r="G5" s="50">
        <f t="shared" si="0"/>
        <v>191.95517000000004</v>
      </c>
      <c r="H5" s="50">
        <f t="shared" ref="H5:I5" si="1">SUM(H6:H8)</f>
        <v>191.79549</v>
      </c>
      <c r="I5" s="50">
        <f t="shared" si="1"/>
        <v>207.66131999999999</v>
      </c>
      <c r="J5" s="43" t="s">
        <v>15</v>
      </c>
    </row>
    <row r="6" spans="1:20" ht="21.75" customHeight="1" x14ac:dyDescent="0.4">
      <c r="A6" s="44" t="s">
        <v>16</v>
      </c>
      <c r="B6" s="45">
        <v>80.188000000000002</v>
      </c>
      <c r="C6" s="45">
        <v>96.51</v>
      </c>
      <c r="D6" s="45">
        <f>103588/1000</f>
        <v>103.58799999999999</v>
      </c>
      <c r="E6" s="45">
        <v>120.59399999999999</v>
      </c>
      <c r="F6" s="45">
        <v>147</v>
      </c>
      <c r="G6" s="45">
        <v>158.71820000000002</v>
      </c>
      <c r="H6" s="45">
        <v>162.911</v>
      </c>
      <c r="I6" s="45">
        <v>175.81640999999999</v>
      </c>
      <c r="J6" s="46" t="s">
        <v>17</v>
      </c>
    </row>
    <row r="7" spans="1:20" ht="21.75" customHeight="1" x14ac:dyDescent="0.4">
      <c r="A7" s="44" t="s">
        <v>18</v>
      </c>
      <c r="B7" s="45">
        <v>20.242000000000001</v>
      </c>
      <c r="C7" s="45">
        <v>20.561</v>
      </c>
      <c r="D7" s="45">
        <f>18390/1000</f>
        <v>18.39</v>
      </c>
      <c r="E7" s="45">
        <v>14.449</v>
      </c>
      <c r="F7" s="45">
        <v>19</v>
      </c>
      <c r="G7" s="45">
        <v>23.310820000000003</v>
      </c>
      <c r="H7" s="45">
        <v>16.90738</v>
      </c>
      <c r="I7" s="45">
        <v>18.244800000000001</v>
      </c>
      <c r="J7" s="46" t="s">
        <v>19</v>
      </c>
    </row>
    <row r="8" spans="1:20" ht="21.75" customHeight="1" x14ac:dyDescent="0.4">
      <c r="A8" s="47" t="s">
        <v>20</v>
      </c>
      <c r="B8" s="48">
        <v>6.4580000000000002</v>
      </c>
      <c r="C8" s="48">
        <v>7.2930000000000001</v>
      </c>
      <c r="D8" s="48">
        <f>6491/1000</f>
        <v>6.4909999999999997</v>
      </c>
      <c r="E8" s="48">
        <v>6.4619999999999997</v>
      </c>
      <c r="F8" s="48">
        <v>6.8</v>
      </c>
      <c r="G8" s="48">
        <v>9.9261499999999998</v>
      </c>
      <c r="H8" s="48">
        <v>11.97711</v>
      </c>
      <c r="I8" s="48">
        <v>13.600110000000003</v>
      </c>
      <c r="J8" s="49" t="s">
        <v>21</v>
      </c>
    </row>
    <row r="9" spans="1:20" ht="21.75" customHeight="1" x14ac:dyDescent="0.2">
      <c r="A9" s="41" t="s">
        <v>24</v>
      </c>
      <c r="B9" s="50">
        <f t="shared" ref="B9:G9" si="2">SUM(B10:B12)</f>
        <v>100</v>
      </c>
      <c r="C9" s="50">
        <f t="shared" si="2"/>
        <v>100</v>
      </c>
      <c r="D9" s="50">
        <f t="shared" si="2"/>
        <v>99.999999999999986</v>
      </c>
      <c r="E9" s="50">
        <f t="shared" si="2"/>
        <v>100</v>
      </c>
      <c r="F9" s="50">
        <f t="shared" si="2"/>
        <v>100</v>
      </c>
      <c r="G9" s="50">
        <f t="shared" si="2"/>
        <v>100</v>
      </c>
      <c r="H9" s="50">
        <f t="shared" ref="H9:I9" si="3">SUM(H10:H12)</f>
        <v>100</v>
      </c>
      <c r="I9" s="50">
        <f t="shared" si="3"/>
        <v>100</v>
      </c>
      <c r="J9" s="51" t="s">
        <v>0</v>
      </c>
    </row>
    <row r="10" spans="1:20" ht="21.75" customHeight="1" x14ac:dyDescent="0.4">
      <c r="A10" s="44" t="s">
        <v>16</v>
      </c>
      <c r="B10" s="45">
        <f t="shared" ref="B10:F10" si="4">B6/B5*100</f>
        <v>75.020582291744631</v>
      </c>
      <c r="C10" s="45">
        <f t="shared" si="4"/>
        <v>77.602843266540162</v>
      </c>
      <c r="D10" s="45">
        <f t="shared" si="4"/>
        <v>80.632681814289825</v>
      </c>
      <c r="E10" s="45">
        <f t="shared" si="4"/>
        <v>85.22243030281615</v>
      </c>
      <c r="F10" s="45">
        <f t="shared" si="4"/>
        <v>85.069444444444443</v>
      </c>
      <c r="G10" s="45">
        <f>G6/G5*100</f>
        <v>82.685035261097681</v>
      </c>
      <c r="H10" s="45">
        <f>H6/H5*100</f>
        <v>84.939953489000189</v>
      </c>
      <c r="I10" s="45">
        <f>I6/I5*100</f>
        <v>84.664977570209032</v>
      </c>
      <c r="J10" s="46" t="s">
        <v>17</v>
      </c>
      <c r="N10" s="52"/>
    </row>
    <row r="11" spans="1:20" ht="21.75" customHeight="1" x14ac:dyDescent="0.4">
      <c r="A11" s="44" t="s">
        <v>18</v>
      </c>
      <c r="B11" s="45">
        <f t="shared" ref="B11:F11" si="5">B7/B5*100</f>
        <v>18.937579522490832</v>
      </c>
      <c r="C11" s="45">
        <f t="shared" si="5"/>
        <v>16.532919494387443</v>
      </c>
      <c r="D11" s="45">
        <f t="shared" si="5"/>
        <v>14.31473740746795</v>
      </c>
      <c r="E11" s="45">
        <f t="shared" si="5"/>
        <v>10.210946609660436</v>
      </c>
      <c r="F11" s="45">
        <f t="shared" si="5"/>
        <v>10.995370370370368</v>
      </c>
      <c r="G11" s="45">
        <f>G7/G5*100</f>
        <v>12.143887554578498</v>
      </c>
      <c r="H11" s="45">
        <f>H7/H5*100</f>
        <v>8.8153167730899185</v>
      </c>
      <c r="I11" s="45">
        <f>I7/I5*100</f>
        <v>8.7858441812851815</v>
      </c>
      <c r="J11" s="46" t="s">
        <v>19</v>
      </c>
    </row>
    <row r="12" spans="1:20" ht="21.75" customHeight="1" x14ac:dyDescent="0.4">
      <c r="A12" s="47" t="s">
        <v>20</v>
      </c>
      <c r="B12" s="48">
        <f t="shared" ref="B12:F12" si="6">B8/B5*100</f>
        <v>6.0418381857645382</v>
      </c>
      <c r="C12" s="48">
        <f t="shared" si="6"/>
        <v>5.8642372390724002</v>
      </c>
      <c r="D12" s="48">
        <f t="shared" si="6"/>
        <v>5.0525807782422216</v>
      </c>
      <c r="E12" s="48">
        <f t="shared" si="6"/>
        <v>4.5666230875234088</v>
      </c>
      <c r="F12" s="48">
        <f t="shared" si="6"/>
        <v>3.9351851851851847</v>
      </c>
      <c r="G12" s="48">
        <f>G8/G5*100</f>
        <v>5.1710771843238179</v>
      </c>
      <c r="H12" s="48">
        <f>H8/H5*100</f>
        <v>6.2447297379098954</v>
      </c>
      <c r="I12" s="48">
        <f>I8/I5*100</f>
        <v>6.5491782485057897</v>
      </c>
      <c r="J12" s="49" t="s">
        <v>21</v>
      </c>
    </row>
    <row r="13" spans="1:20" ht="21.75" customHeight="1" x14ac:dyDescent="0.2">
      <c r="A13" s="41" t="s">
        <v>1</v>
      </c>
      <c r="B13" s="42" t="e">
        <f>(B5-#REF!)/#REF!*100</f>
        <v>#REF!</v>
      </c>
      <c r="C13" s="42">
        <f t="shared" ref="C13:I13" si="7">(C5-B5)/B5*100</f>
        <v>16.349824114961454</v>
      </c>
      <c r="D13" s="42">
        <f t="shared" si="7"/>
        <v>3.3007944421215059</v>
      </c>
      <c r="E13" s="42">
        <f t="shared" si="7"/>
        <v>10.147195043162165</v>
      </c>
      <c r="F13" s="53">
        <f t="shared" si="7"/>
        <v>22.115826295890617</v>
      </c>
      <c r="G13" s="53">
        <f t="shared" si="7"/>
        <v>11.085167824074089</v>
      </c>
      <c r="H13" s="53">
        <f t="shared" si="7"/>
        <v>-8.3186089752121342E-2</v>
      </c>
      <c r="I13" s="53">
        <f t="shared" si="7"/>
        <v>8.2722643791050494</v>
      </c>
      <c r="J13" s="51" t="s">
        <v>2</v>
      </c>
    </row>
    <row r="14" spans="1:20" ht="21.75" customHeight="1" x14ac:dyDescent="0.4">
      <c r="A14" s="44" t="s">
        <v>16</v>
      </c>
      <c r="B14" s="45" t="e">
        <f>(B6-#REF!)/#REF!*100</f>
        <v>#REF!</v>
      </c>
      <c r="C14" s="45">
        <f>(C6-B6)/B6*100</f>
        <v>20.354666533645936</v>
      </c>
      <c r="D14" s="45">
        <f t="shared" ref="D14:E16" si="8">(D6-C6)/C6*100</f>
        <v>7.3339550305667691</v>
      </c>
      <c r="E14" s="45">
        <f>(E6-D6)/D6*100</f>
        <v>16.416959493377611</v>
      </c>
      <c r="F14" s="54">
        <f>(F6-E6)/E6*100</f>
        <v>21.896611771729944</v>
      </c>
      <c r="G14" s="54">
        <f>(G6-F6)/F6*100</f>
        <v>7.9715646258503563</v>
      </c>
      <c r="H14" s="54">
        <f>(H6-G6)/G6*100</f>
        <v>2.6416630228921298</v>
      </c>
      <c r="I14" s="54">
        <f>(I6-H6)/H6*100</f>
        <v>7.9217548231856592</v>
      </c>
      <c r="J14" s="46" t="s">
        <v>17</v>
      </c>
    </row>
    <row r="15" spans="1:20" ht="21.75" customHeight="1" x14ac:dyDescent="0.4">
      <c r="A15" s="44" t="s">
        <v>18</v>
      </c>
      <c r="B15" s="45" t="e">
        <f>(B7-#REF!)/#REF!*100</f>
        <v>#REF!</v>
      </c>
      <c r="C15" s="45">
        <f>(C7-B7)/B7*100</f>
        <v>1.5759312320916861</v>
      </c>
      <c r="D15" s="55">
        <f t="shared" si="8"/>
        <v>-10.558824959875489</v>
      </c>
      <c r="E15" s="55">
        <f t="shared" si="8"/>
        <v>-21.43012506797173</v>
      </c>
      <c r="F15" s="55">
        <f t="shared" ref="F15:I16" si="9">(F7-E7)/E7*100</f>
        <v>31.496989411031905</v>
      </c>
      <c r="G15" s="55">
        <f t="shared" si="9"/>
        <v>22.688526315789488</v>
      </c>
      <c r="H15" s="55">
        <f t="shared" si="9"/>
        <v>-27.469818736535235</v>
      </c>
      <c r="I15" s="55">
        <f t="shared" si="9"/>
        <v>7.9102735018672421</v>
      </c>
      <c r="J15" s="46" t="s">
        <v>19</v>
      </c>
    </row>
    <row r="16" spans="1:20" ht="21.75" customHeight="1" x14ac:dyDescent="0.4">
      <c r="A16" s="56" t="s">
        <v>20</v>
      </c>
      <c r="B16" s="58" t="e">
        <f>(B8-#REF!)/#REF!*100</f>
        <v>#REF!</v>
      </c>
      <c r="C16" s="59">
        <f>(C8-B8)/B8*100</f>
        <v>12.929699597398574</v>
      </c>
      <c r="D16" s="59">
        <f t="shared" si="8"/>
        <v>-10.996846290963944</v>
      </c>
      <c r="E16" s="59">
        <f t="shared" si="8"/>
        <v>-0.44677245416730726</v>
      </c>
      <c r="F16" s="59">
        <f t="shared" si="9"/>
        <v>5.2305787681832268</v>
      </c>
      <c r="G16" s="59">
        <f t="shared" si="9"/>
        <v>45.972794117647062</v>
      </c>
      <c r="H16" s="59">
        <f t="shared" si="9"/>
        <v>20.662190275182223</v>
      </c>
      <c r="I16" s="59">
        <f t="shared" si="9"/>
        <v>13.550848243023591</v>
      </c>
      <c r="J16" s="60" t="s">
        <v>21</v>
      </c>
      <c r="O16" s="38">
        <f>900*12</f>
        <v>10800</v>
      </c>
    </row>
    <row r="17" spans="1:10" ht="15.75" x14ac:dyDescent="0.4">
      <c r="A17" s="61" t="s">
        <v>28</v>
      </c>
      <c r="D17" s="63"/>
      <c r="E17" s="63"/>
      <c r="F17" s="63"/>
      <c r="G17" s="63"/>
      <c r="H17" s="63"/>
      <c r="I17" s="63"/>
      <c r="J17" s="32" t="s">
        <v>27</v>
      </c>
    </row>
    <row r="18" spans="1:10" ht="15.75" x14ac:dyDescent="0.4">
      <c r="F18" s="32"/>
      <c r="G18" s="32"/>
      <c r="H18" s="32"/>
      <c r="I18" s="32"/>
    </row>
  </sheetData>
  <mergeCells count="4">
    <mergeCell ref="A1:J1"/>
    <mergeCell ref="A2:J2"/>
    <mergeCell ref="D3:F3"/>
    <mergeCell ref="G3:H3"/>
  </mergeCells>
  <pageMargins left="0.7" right="0.35" top="0.75" bottom="0.75" header="0.3" footer="0.3"/>
  <pageSetup paperSize="9" scale="1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5"/>
  <sheetViews>
    <sheetView workbookViewId="0">
      <selection activeCell="E30" sqref="E30"/>
    </sheetView>
  </sheetViews>
  <sheetFormatPr defaultColWidth="9.140625" defaultRowHeight="15" x14ac:dyDescent="0.25"/>
  <cols>
    <col min="1" max="1" width="22" style="4" customWidth="1"/>
    <col min="2" max="2" width="6.7109375" style="4" hidden="1" customWidth="1"/>
    <col min="3" max="3" width="0" style="4" hidden="1" customWidth="1"/>
    <col min="4" max="10" width="9.140625" style="4"/>
    <col min="11" max="11" width="32.140625" style="4" customWidth="1"/>
    <col min="12" max="12" width="9.140625" style="1"/>
    <col min="13" max="16384" width="9.140625" style="4"/>
  </cols>
  <sheetData>
    <row r="1" spans="1:21" ht="21" x14ac:dyDescent="0.2">
      <c r="A1" s="543" t="s">
        <v>58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37"/>
      <c r="M1" s="37"/>
      <c r="N1" s="37"/>
      <c r="O1" s="37"/>
      <c r="P1" s="37"/>
    </row>
    <row r="2" spans="1:21" ht="15.75" customHeight="1" x14ac:dyDescent="0.25">
      <c r="A2" s="546" t="s">
        <v>59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64"/>
      <c r="M2" s="208"/>
      <c r="N2" s="208"/>
      <c r="O2" s="208"/>
      <c r="P2" s="208"/>
      <c r="Q2" s="208"/>
      <c r="R2" s="208"/>
      <c r="S2" s="208"/>
      <c r="T2" s="208"/>
      <c r="U2" s="3"/>
    </row>
    <row r="3" spans="1:21" ht="15.75" customHeight="1" x14ac:dyDescent="0.25">
      <c r="B3" s="222"/>
      <c r="C3" s="222"/>
      <c r="D3" s="222"/>
      <c r="E3" s="545" t="s">
        <v>11</v>
      </c>
      <c r="F3" s="545"/>
      <c r="G3" s="545"/>
      <c r="H3" s="542" t="s">
        <v>12</v>
      </c>
      <c r="I3" s="542"/>
      <c r="J3" s="227"/>
      <c r="K3" s="219"/>
      <c r="M3" s="208"/>
      <c r="N3" s="208"/>
      <c r="O3" s="208"/>
      <c r="P3" s="208"/>
      <c r="Q3" s="208"/>
      <c r="R3" s="208"/>
      <c r="S3" s="208"/>
      <c r="T3" s="208"/>
      <c r="U3" s="3"/>
    </row>
    <row r="4" spans="1:21" ht="19.5" customHeight="1" x14ac:dyDescent="0.25">
      <c r="A4" s="65" t="s">
        <v>13</v>
      </c>
      <c r="B4" s="65">
        <v>2007</v>
      </c>
      <c r="C4" s="65">
        <v>2008</v>
      </c>
      <c r="D4" s="65">
        <v>2009</v>
      </c>
      <c r="E4" s="65">
        <v>2010</v>
      </c>
      <c r="F4" s="65">
        <v>2011</v>
      </c>
      <c r="G4" s="65">
        <v>2012</v>
      </c>
      <c r="H4" s="65">
        <v>2013</v>
      </c>
      <c r="I4" s="65">
        <v>2014</v>
      </c>
      <c r="J4" s="65">
        <v>2015</v>
      </c>
      <c r="K4" s="40" t="s">
        <v>8</v>
      </c>
    </row>
    <row r="5" spans="1:21" ht="21.75" customHeight="1" x14ac:dyDescent="0.25">
      <c r="A5" s="66" t="s">
        <v>14</v>
      </c>
      <c r="B5" s="67">
        <f t="shared" ref="B5:F5" si="0">SUM(B6:B8)</f>
        <v>72.960000000000008</v>
      </c>
      <c r="C5" s="67">
        <f t="shared" si="0"/>
        <v>107.78069000000001</v>
      </c>
      <c r="D5" s="67">
        <f t="shared" si="0"/>
        <v>122.2706</v>
      </c>
      <c r="E5" s="67">
        <f>SUM(E6:E8)</f>
        <v>188.84636</v>
      </c>
      <c r="F5" s="67">
        <f t="shared" si="0"/>
        <v>251.88413</v>
      </c>
      <c r="G5" s="67">
        <f>SUM(G6:G8)</f>
        <v>377.17785000000003</v>
      </c>
      <c r="H5" s="67">
        <f>SUM(H6:H8)</f>
        <v>354.32618999999988</v>
      </c>
      <c r="I5" s="67">
        <f>SUM(I6:I8)</f>
        <v>523.57118000000003</v>
      </c>
      <c r="J5" s="67">
        <f>SUM(J6:J8)</f>
        <v>680.81331999999998</v>
      </c>
      <c r="K5" s="51" t="s">
        <v>15</v>
      </c>
    </row>
    <row r="6" spans="1:21" ht="21.75" customHeight="1" x14ac:dyDescent="0.25">
      <c r="A6" s="203" t="s">
        <v>16</v>
      </c>
      <c r="B6" s="68">
        <v>50.837000000000003</v>
      </c>
      <c r="C6" s="68">
        <f>67273.08/1000</f>
        <v>67.273080000000007</v>
      </c>
      <c r="D6" s="68">
        <f>97095.04/1000</f>
        <v>97.095039999999997</v>
      </c>
      <c r="E6" s="68">
        <f>158773.64/1000</f>
        <v>158.77364</v>
      </c>
      <c r="F6" s="68">
        <v>184.73041000000001</v>
      </c>
      <c r="G6" s="68">
        <v>240.75651000000002</v>
      </c>
      <c r="H6" s="68">
        <v>285.77676999999994</v>
      </c>
      <c r="I6" s="68">
        <v>424.86273</v>
      </c>
      <c r="J6" s="68">
        <v>525.21663999999998</v>
      </c>
      <c r="K6" s="69" t="s">
        <v>17</v>
      </c>
    </row>
    <row r="7" spans="1:21" ht="21.75" customHeight="1" x14ac:dyDescent="0.25">
      <c r="A7" s="203" t="s">
        <v>18</v>
      </c>
      <c r="B7" s="68">
        <v>12.263</v>
      </c>
      <c r="C7" s="68">
        <f>9060.07/1000</f>
        <v>9.0600699999999996</v>
      </c>
      <c r="D7" s="68">
        <f>8291.15/1000</f>
        <v>8.29115</v>
      </c>
      <c r="E7" s="68">
        <f>9923.29/1000</f>
        <v>9.9232900000000015</v>
      </c>
      <c r="F7" s="68">
        <v>14.06274</v>
      </c>
      <c r="G7" s="68">
        <v>8.3097900000000013</v>
      </c>
      <c r="H7" s="68">
        <v>11.965609999999998</v>
      </c>
      <c r="I7" s="68">
        <v>20.232129999999998</v>
      </c>
      <c r="J7" s="68">
        <v>35.181170000000009</v>
      </c>
      <c r="K7" s="69" t="s">
        <v>19</v>
      </c>
    </row>
    <row r="8" spans="1:21" ht="21.75" customHeight="1" x14ac:dyDescent="0.2">
      <c r="A8" s="210" t="s">
        <v>20</v>
      </c>
      <c r="B8" s="70">
        <v>9.86</v>
      </c>
      <c r="C8" s="70">
        <f>31447.54/1000</f>
        <v>31.44754</v>
      </c>
      <c r="D8" s="70">
        <f>16884.41/1000</f>
        <v>16.884409999999999</v>
      </c>
      <c r="E8" s="70">
        <f>20149.43/1000</f>
        <v>20.149429999999999</v>
      </c>
      <c r="F8" s="70">
        <v>53.090980000000002</v>
      </c>
      <c r="G8" s="70">
        <v>128.11154999999999</v>
      </c>
      <c r="H8" s="70">
        <v>56.58381</v>
      </c>
      <c r="I8" s="70">
        <v>78.476320000000001</v>
      </c>
      <c r="J8" s="70">
        <v>120.41551</v>
      </c>
      <c r="K8" s="71" t="s">
        <v>21</v>
      </c>
      <c r="L8" s="4"/>
    </row>
    <row r="9" spans="1:21" ht="21.75" customHeight="1" x14ac:dyDescent="0.25">
      <c r="A9" s="72" t="s">
        <v>24</v>
      </c>
      <c r="B9" s="211"/>
      <c r="C9" s="73"/>
      <c r="D9" s="73"/>
      <c r="E9" s="73"/>
      <c r="F9" s="73"/>
      <c r="G9" s="73"/>
      <c r="H9" s="73"/>
      <c r="I9" s="73"/>
      <c r="J9" s="73"/>
      <c r="K9" s="212"/>
      <c r="L9" s="4"/>
      <c r="M9" s="74"/>
      <c r="N9" s="74"/>
      <c r="O9" s="74"/>
      <c r="P9" s="74"/>
      <c r="Q9" s="74"/>
      <c r="R9" s="74"/>
      <c r="S9" s="74"/>
      <c r="T9" s="74"/>
      <c r="U9" s="74"/>
    </row>
    <row r="10" spans="1:21" ht="21.75" customHeight="1" x14ac:dyDescent="0.25">
      <c r="A10" s="213" t="s">
        <v>29</v>
      </c>
      <c r="B10" s="67">
        <f t="shared" ref="B10:G10" si="1">SUM(B11:B13)</f>
        <v>100</v>
      </c>
      <c r="C10" s="67">
        <f t="shared" si="1"/>
        <v>100</v>
      </c>
      <c r="D10" s="67">
        <f t="shared" si="1"/>
        <v>100</v>
      </c>
      <c r="E10" s="67">
        <f t="shared" si="1"/>
        <v>100</v>
      </c>
      <c r="F10" s="67">
        <f t="shared" si="1"/>
        <v>100.00000000000001</v>
      </c>
      <c r="G10" s="67">
        <f t="shared" si="1"/>
        <v>100</v>
      </c>
      <c r="H10" s="67">
        <f>SUM(H11:H13)</f>
        <v>100.00000000000003</v>
      </c>
      <c r="I10" s="67">
        <f>SUM(I11:I13)</f>
        <v>100</v>
      </c>
      <c r="J10" s="67">
        <f>SUM(J11:J13)</f>
        <v>100</v>
      </c>
      <c r="K10" s="51" t="s">
        <v>0</v>
      </c>
      <c r="L10" s="4"/>
      <c r="M10" s="74"/>
      <c r="N10" s="74"/>
      <c r="O10" s="74"/>
      <c r="P10" s="74"/>
      <c r="Q10" s="74"/>
      <c r="R10" s="74"/>
      <c r="S10" s="74"/>
      <c r="T10" s="74"/>
      <c r="U10" s="74"/>
    </row>
    <row r="11" spans="1:21" ht="21.75" customHeight="1" x14ac:dyDescent="0.25">
      <c r="A11" s="203" t="s">
        <v>16</v>
      </c>
      <c r="B11" s="68">
        <f t="shared" ref="B11:G11" si="2">B6/B5*100</f>
        <v>69.677905701754383</v>
      </c>
      <c r="C11" s="68">
        <f t="shared" si="2"/>
        <v>62.416635113395543</v>
      </c>
      <c r="D11" s="68">
        <f t="shared" si="2"/>
        <v>79.409964455887177</v>
      </c>
      <c r="E11" s="68">
        <f t="shared" si="2"/>
        <v>84.075562801422279</v>
      </c>
      <c r="F11" s="68">
        <f t="shared" si="2"/>
        <v>73.339439844820717</v>
      </c>
      <c r="G11" s="68">
        <f t="shared" si="2"/>
        <v>63.831030904916609</v>
      </c>
      <c r="H11" s="68">
        <f>H6/H5*100</f>
        <v>80.653583637156501</v>
      </c>
      <c r="I11" s="68">
        <f>I6/I5*100</f>
        <v>81.147081090292247</v>
      </c>
      <c r="J11" s="68">
        <f>J6/J5*100</f>
        <v>77.145470655597634</v>
      </c>
      <c r="K11" s="69" t="s">
        <v>17</v>
      </c>
      <c r="L11" s="4"/>
      <c r="M11" s="74"/>
      <c r="N11" s="74"/>
      <c r="O11" s="74"/>
      <c r="P11" s="74"/>
      <c r="Q11" s="74"/>
      <c r="R11" s="74"/>
      <c r="S11" s="74"/>
      <c r="T11" s="74"/>
      <c r="U11" s="74"/>
    </row>
    <row r="12" spans="1:21" ht="21.75" customHeight="1" x14ac:dyDescent="0.25">
      <c r="A12" s="203" t="s">
        <v>18</v>
      </c>
      <c r="B12" s="68">
        <f t="shared" ref="B12:G12" si="3">B7/B5*100</f>
        <v>16.807839912280702</v>
      </c>
      <c r="C12" s="68">
        <f t="shared" si="3"/>
        <v>8.4060233795126003</v>
      </c>
      <c r="D12" s="68">
        <f t="shared" si="3"/>
        <v>6.7809841450029689</v>
      </c>
      <c r="E12" s="68">
        <f t="shared" si="3"/>
        <v>5.2546895794020072</v>
      </c>
      <c r="F12" s="68">
        <f t="shared" si="3"/>
        <v>5.5830194621630191</v>
      </c>
      <c r="G12" s="68">
        <f t="shared" si="3"/>
        <v>2.2031489919145568</v>
      </c>
      <c r="H12" s="68">
        <f>H7/H5*100</f>
        <v>3.3770041102521948</v>
      </c>
      <c r="I12" s="68">
        <f>I7/I5*100</f>
        <v>3.8642558591555778</v>
      </c>
      <c r="J12" s="68">
        <f>J7/J5*100</f>
        <v>5.1675208117256002</v>
      </c>
      <c r="K12" s="69" t="s">
        <v>19</v>
      </c>
      <c r="L12" s="4"/>
      <c r="M12" s="74"/>
      <c r="N12" s="74"/>
      <c r="O12" s="74"/>
      <c r="P12" s="74"/>
      <c r="Q12" s="74"/>
      <c r="R12" s="74"/>
      <c r="S12" s="74"/>
      <c r="T12" s="74"/>
      <c r="U12" s="74"/>
    </row>
    <row r="13" spans="1:21" ht="21.75" customHeight="1" x14ac:dyDescent="0.25">
      <c r="A13" s="210" t="s">
        <v>20</v>
      </c>
      <c r="B13" s="70">
        <f t="shared" ref="B13:G13" si="4">B8/B5*100</f>
        <v>13.514254385964911</v>
      </c>
      <c r="C13" s="70">
        <f t="shared" si="4"/>
        <v>29.177341507091853</v>
      </c>
      <c r="D13" s="70">
        <f t="shared" si="4"/>
        <v>13.809051399109842</v>
      </c>
      <c r="E13" s="70">
        <f t="shared" si="4"/>
        <v>10.669747619175714</v>
      </c>
      <c r="F13" s="70">
        <f t="shared" si="4"/>
        <v>21.077540693016271</v>
      </c>
      <c r="G13" s="70">
        <f t="shared" si="4"/>
        <v>33.965820103168831</v>
      </c>
      <c r="H13" s="70">
        <f>H8/H5*100</f>
        <v>15.969412252591326</v>
      </c>
      <c r="I13" s="70">
        <f>I8/I5*100</f>
        <v>14.988663050552169</v>
      </c>
      <c r="J13" s="70">
        <f>J8/J5*100</f>
        <v>17.687008532676771</v>
      </c>
      <c r="K13" s="71" t="s">
        <v>21</v>
      </c>
      <c r="L13" s="4"/>
      <c r="M13" s="74"/>
      <c r="N13" s="74"/>
      <c r="O13" s="74"/>
      <c r="P13" s="74"/>
      <c r="Q13" s="74"/>
      <c r="R13" s="74"/>
      <c r="S13" s="74"/>
      <c r="T13" s="74"/>
      <c r="U13" s="74"/>
    </row>
    <row r="14" spans="1:21" ht="21.75" customHeight="1" x14ac:dyDescent="0.25">
      <c r="A14" s="75" t="s">
        <v>1</v>
      </c>
      <c r="B14" s="68"/>
      <c r="C14" s="211"/>
      <c r="D14" s="73"/>
      <c r="E14" s="73"/>
      <c r="F14" s="73"/>
      <c r="G14" s="73"/>
      <c r="H14" s="73"/>
      <c r="I14" s="73"/>
      <c r="J14" s="73"/>
      <c r="K14" s="212"/>
      <c r="L14" s="4"/>
      <c r="M14" s="74"/>
      <c r="N14" s="74"/>
      <c r="O14" s="74"/>
      <c r="P14" s="74"/>
      <c r="Q14" s="74"/>
      <c r="R14" s="74"/>
      <c r="S14" s="74"/>
      <c r="T14" s="74"/>
      <c r="U14" s="74"/>
    </row>
    <row r="15" spans="1:21" ht="21.75" customHeight="1" x14ac:dyDescent="0.25">
      <c r="A15" s="213" t="s">
        <v>29</v>
      </c>
      <c r="B15" s="68"/>
      <c r="C15" s="67">
        <f t="shared" ref="C15:G18" si="5">(C5-B5)/B5*100</f>
        <v>47.725726425438594</v>
      </c>
      <c r="D15" s="67">
        <f t="shared" si="5"/>
        <v>13.443883129714603</v>
      </c>
      <c r="E15" s="67">
        <f t="shared" si="5"/>
        <v>54.449524251946087</v>
      </c>
      <c r="F15" s="67">
        <f t="shared" si="5"/>
        <v>33.380452765941584</v>
      </c>
      <c r="G15" s="67">
        <f t="shared" ref="G15:J16" si="6">(G5-F5)/F5*100</f>
        <v>49.742601886033881</v>
      </c>
      <c r="H15" s="67">
        <f t="shared" si="6"/>
        <v>-6.0585901319497291</v>
      </c>
      <c r="I15" s="67">
        <f t="shared" si="6"/>
        <v>47.765306312807468</v>
      </c>
      <c r="J15" s="67">
        <f t="shared" si="6"/>
        <v>30.032619442498714</v>
      </c>
      <c r="K15" s="51" t="s">
        <v>2</v>
      </c>
      <c r="L15" s="4"/>
      <c r="M15" s="74"/>
      <c r="N15" s="74"/>
      <c r="O15" s="74"/>
      <c r="P15" s="74"/>
      <c r="Q15" s="74"/>
      <c r="R15" s="74"/>
      <c r="S15" s="74"/>
      <c r="T15" s="74"/>
      <c r="U15" s="74"/>
    </row>
    <row r="16" spans="1:21" ht="21.75" customHeight="1" x14ac:dyDescent="0.25">
      <c r="A16" s="203" t="s">
        <v>16</v>
      </c>
      <c r="B16" s="68"/>
      <c r="C16" s="68">
        <f>(C6-B6)/B6*100</f>
        <v>32.330940063339696</v>
      </c>
      <c r="D16" s="68">
        <f>(D6-C6)/C6*100</f>
        <v>44.329708109098007</v>
      </c>
      <c r="E16" s="68">
        <f t="shared" si="5"/>
        <v>63.523945198436508</v>
      </c>
      <c r="F16" s="68">
        <f>(F6-E6)/E6*100</f>
        <v>16.348286781105482</v>
      </c>
      <c r="G16" s="68">
        <f t="shared" si="6"/>
        <v>30.32857448862914</v>
      </c>
      <c r="H16" s="68">
        <f t="shared" si="6"/>
        <v>18.699498509926034</v>
      </c>
      <c r="I16" s="68">
        <f t="shared" si="6"/>
        <v>48.669442236330156</v>
      </c>
      <c r="J16" s="68">
        <f t="shared" si="6"/>
        <v>23.620313789350263</v>
      </c>
      <c r="K16" s="69" t="s">
        <v>17</v>
      </c>
      <c r="L16" s="4"/>
      <c r="M16" s="74"/>
      <c r="N16" s="74"/>
      <c r="O16" s="74"/>
      <c r="P16" s="74"/>
      <c r="Q16" s="74"/>
      <c r="R16" s="74"/>
      <c r="S16" s="74"/>
      <c r="T16" s="74"/>
      <c r="U16" s="74"/>
    </row>
    <row r="17" spans="1:21" ht="21.75" customHeight="1" x14ac:dyDescent="0.25">
      <c r="A17" s="203" t="s">
        <v>18</v>
      </c>
      <c r="B17" s="68"/>
      <c r="C17" s="68">
        <f>(C7-B7)/B7*100</f>
        <v>-26.118649596346739</v>
      </c>
      <c r="D17" s="68">
        <f t="shared" si="5"/>
        <v>-8.4869101452858491</v>
      </c>
      <c r="E17" s="68">
        <f t="shared" si="5"/>
        <v>19.685327125911382</v>
      </c>
      <c r="F17" s="68">
        <f t="shared" si="5"/>
        <v>41.714491867112599</v>
      </c>
      <c r="G17" s="68">
        <f t="shared" si="5"/>
        <v>-40.909168483524539</v>
      </c>
      <c r="H17" s="68">
        <f t="shared" ref="H17:J18" si="7">(H7-G7)/G7*100</f>
        <v>43.994132222354551</v>
      </c>
      <c r="I17" s="68">
        <f t="shared" si="7"/>
        <v>69.085654638585098</v>
      </c>
      <c r="J17" s="68">
        <f t="shared" si="7"/>
        <v>73.887623300166666</v>
      </c>
      <c r="K17" s="69" t="s">
        <v>19</v>
      </c>
      <c r="L17" s="4"/>
      <c r="M17" s="74"/>
      <c r="N17" s="74"/>
      <c r="O17" s="74"/>
      <c r="P17" s="74"/>
      <c r="Q17" s="74"/>
      <c r="R17" s="74"/>
      <c r="S17" s="74"/>
      <c r="T17" s="74"/>
      <c r="U17" s="74"/>
    </row>
    <row r="18" spans="1:21" ht="21.75" customHeight="1" x14ac:dyDescent="0.25">
      <c r="A18" s="204" t="s">
        <v>20</v>
      </c>
      <c r="B18" s="76"/>
      <c r="C18" s="76">
        <f>(C8-B8)/B8*100</f>
        <v>218.94056795131846</v>
      </c>
      <c r="D18" s="76">
        <f t="shared" si="5"/>
        <v>-46.30928206149035</v>
      </c>
      <c r="E18" s="76">
        <f t="shared" si="5"/>
        <v>19.3374835128974</v>
      </c>
      <c r="F18" s="76">
        <f>(F8-E8)/E8*100</f>
        <v>163.48626239054906</v>
      </c>
      <c r="G18" s="76">
        <f>(G8-F8)/F8*100</f>
        <v>141.30567942049666</v>
      </c>
      <c r="H18" s="76">
        <f t="shared" si="7"/>
        <v>-55.832389819653258</v>
      </c>
      <c r="I18" s="76">
        <f t="shared" si="7"/>
        <v>38.690413388564679</v>
      </c>
      <c r="J18" s="76">
        <f t="shared" si="7"/>
        <v>53.441840799874406</v>
      </c>
      <c r="K18" s="77" t="s">
        <v>21</v>
      </c>
      <c r="L18" s="4"/>
      <c r="M18" s="74"/>
      <c r="N18" s="74"/>
      <c r="O18" s="74"/>
      <c r="P18" s="74"/>
      <c r="Q18" s="74"/>
      <c r="R18" s="74"/>
      <c r="S18" s="74"/>
      <c r="T18" s="74"/>
      <c r="U18" s="74"/>
    </row>
    <row r="19" spans="1:21" ht="17.25" x14ac:dyDescent="0.4">
      <c r="A19" s="215" t="s">
        <v>28</v>
      </c>
      <c r="B19" s="214"/>
      <c r="C19" s="74"/>
      <c r="D19" s="74"/>
      <c r="E19" s="74"/>
      <c r="F19" s="74"/>
      <c r="G19" s="74"/>
      <c r="H19" s="74"/>
      <c r="I19" s="74"/>
      <c r="J19" s="74"/>
      <c r="K19" s="32" t="s">
        <v>27</v>
      </c>
      <c r="L19" s="4"/>
      <c r="M19" s="74"/>
      <c r="N19" s="74"/>
      <c r="O19" s="74"/>
      <c r="P19" s="74"/>
      <c r="Q19" s="74"/>
      <c r="R19" s="74"/>
      <c r="S19" s="74"/>
      <c r="T19" s="74"/>
      <c r="U19" s="74"/>
    </row>
    <row r="20" spans="1:21" x14ac:dyDescent="0.25">
      <c r="A20" s="152"/>
      <c r="B20" s="214"/>
      <c r="C20" s="74"/>
      <c r="D20" s="74"/>
      <c r="E20" s="74"/>
      <c r="F20" s="74"/>
      <c r="G20" s="74"/>
      <c r="H20" s="74"/>
      <c r="I20" s="74"/>
      <c r="J20" s="74"/>
      <c r="L20" s="4"/>
      <c r="M20" s="74"/>
      <c r="N20" s="74"/>
      <c r="O20" s="74"/>
      <c r="P20" s="74"/>
      <c r="Q20" s="74"/>
      <c r="R20" s="74"/>
      <c r="S20" s="74"/>
      <c r="T20" s="74"/>
      <c r="U20" s="74"/>
    </row>
    <row r="21" spans="1:21" x14ac:dyDescent="0.25">
      <c r="A21" s="152"/>
      <c r="B21" s="214"/>
      <c r="C21" s="74"/>
      <c r="D21" s="74"/>
      <c r="E21" s="74"/>
      <c r="F21" s="74"/>
      <c r="G21" s="74"/>
      <c r="H21" s="74"/>
      <c r="I21" s="74"/>
      <c r="J21" s="74"/>
      <c r="K21" s="74"/>
      <c r="L21" s="4"/>
      <c r="M21" s="74"/>
      <c r="N21" s="74"/>
      <c r="O21" s="74"/>
      <c r="P21" s="74"/>
      <c r="Q21" s="74"/>
      <c r="R21" s="74"/>
      <c r="S21" s="74"/>
      <c r="T21" s="74"/>
      <c r="U21" s="74"/>
    </row>
    <row r="22" spans="1:21" x14ac:dyDescent="0.25">
      <c r="A22" s="152"/>
      <c r="B22" s="214"/>
      <c r="C22" s="74"/>
      <c r="D22" s="74"/>
      <c r="E22" s="74"/>
      <c r="F22" s="74"/>
      <c r="G22" s="74"/>
      <c r="H22" s="74"/>
      <c r="I22" s="74"/>
      <c r="J22" s="74"/>
      <c r="K22" s="74"/>
      <c r="L22" s="4"/>
      <c r="M22" s="74"/>
      <c r="N22" s="74"/>
      <c r="O22" s="74"/>
      <c r="P22" s="74"/>
      <c r="Q22" s="74"/>
      <c r="R22" s="74"/>
      <c r="S22" s="74"/>
      <c r="T22" s="74"/>
      <c r="U22" s="74"/>
    </row>
    <row r="23" spans="1:21" ht="12.75" x14ac:dyDescent="0.2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4"/>
      <c r="M23" s="63"/>
      <c r="N23" s="63"/>
      <c r="O23" s="63"/>
      <c r="P23" s="63"/>
      <c r="Q23" s="63"/>
      <c r="R23" s="63"/>
      <c r="S23" s="63"/>
      <c r="T23" s="63"/>
      <c r="U23" s="63"/>
    </row>
    <row r="24" spans="1:21" ht="12.75" x14ac:dyDescent="0.2">
      <c r="L24" s="4"/>
    </row>
    <row r="25" spans="1:21" ht="12.75" x14ac:dyDescent="0.2">
      <c r="L25" s="4"/>
    </row>
  </sheetData>
  <mergeCells count="4">
    <mergeCell ref="A1:K1"/>
    <mergeCell ref="A2:K2"/>
    <mergeCell ref="E3:G3"/>
    <mergeCell ref="H3:I3"/>
  </mergeCells>
  <pageMargins left="0.7" right="0.7" top="0.75" bottom="0.75" header="0.3" footer="0.3"/>
  <pageSetup paperSize="9" scale="10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49"/>
  <sheetViews>
    <sheetView zoomScaleNormal="100" workbookViewId="0">
      <selection activeCell="R28" sqref="R28"/>
    </sheetView>
  </sheetViews>
  <sheetFormatPr defaultColWidth="9.140625" defaultRowHeight="12.75" x14ac:dyDescent="0.2"/>
  <cols>
    <col min="1" max="1" width="13.28515625" style="79" customWidth="1"/>
    <col min="2" max="6" width="0" style="79" hidden="1" customWidth="1"/>
    <col min="7" max="7" width="11.5703125" style="79" hidden="1" customWidth="1"/>
    <col min="8" max="14" width="11.5703125" style="79" customWidth="1"/>
    <col min="15" max="15" width="13.5703125" style="79" customWidth="1"/>
    <col min="16" max="16384" width="9.140625" style="79"/>
  </cols>
  <sheetData>
    <row r="1" spans="1:18" ht="21.75" x14ac:dyDescent="0.2">
      <c r="A1" s="547" t="s">
        <v>60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78"/>
      <c r="Q1" s="78"/>
      <c r="R1" s="78"/>
    </row>
    <row r="2" spans="1:18" x14ac:dyDescent="0.2">
      <c r="A2" s="548" t="s">
        <v>61</v>
      </c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80"/>
      <c r="Q2" s="80"/>
      <c r="R2" s="80"/>
    </row>
    <row r="3" spans="1:18" s="38" customFormat="1" ht="15" x14ac:dyDescent="0.2">
      <c r="A3" s="549" t="s">
        <v>30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  <c r="O3" s="549"/>
    </row>
    <row r="4" spans="1:18" s="83" customFormat="1" ht="12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2"/>
      <c r="Q4" s="82"/>
      <c r="R4" s="82"/>
    </row>
    <row r="5" spans="1:18" s="83" customFormat="1" ht="17.25" x14ac:dyDescent="0.4">
      <c r="A5" s="84" t="s">
        <v>9</v>
      </c>
      <c r="B5" s="85">
        <v>2001</v>
      </c>
      <c r="C5" s="85">
        <v>2002</v>
      </c>
      <c r="D5" s="85">
        <v>2005</v>
      </c>
      <c r="E5" s="85">
        <v>2006</v>
      </c>
      <c r="F5" s="85">
        <v>2007</v>
      </c>
      <c r="G5" s="85">
        <v>2008</v>
      </c>
      <c r="H5" s="85">
        <v>2009</v>
      </c>
      <c r="I5" s="85">
        <v>2010</v>
      </c>
      <c r="J5" s="85">
        <v>2011</v>
      </c>
      <c r="K5" s="85">
        <v>2012</v>
      </c>
      <c r="L5" s="85">
        <v>2013</v>
      </c>
      <c r="M5" s="85">
        <v>2014</v>
      </c>
      <c r="N5" s="85">
        <v>2015</v>
      </c>
      <c r="O5" s="86" t="s">
        <v>10</v>
      </c>
      <c r="P5" s="82"/>
      <c r="Q5" s="82"/>
      <c r="R5" s="82"/>
    </row>
    <row r="6" spans="1:18" s="83" customFormat="1" ht="21" customHeight="1" x14ac:dyDescent="0.4">
      <c r="A6" s="87" t="s">
        <v>31</v>
      </c>
      <c r="B6" s="88">
        <f>SUM(B7:B18)</f>
        <v>1206.8999999999999</v>
      </c>
      <c r="C6" s="88">
        <f>SUM(C7:C18)</f>
        <v>1352.8</v>
      </c>
      <c r="D6" s="88">
        <f t="shared" ref="D6:I6" si="0">SUM(D7:D18)</f>
        <v>1969.3999999999999</v>
      </c>
      <c r="E6" s="88">
        <f t="shared" si="0"/>
        <v>2147.41</v>
      </c>
      <c r="F6" s="88">
        <f t="shared" si="0"/>
        <v>2444.4589999999998</v>
      </c>
      <c r="G6" s="88">
        <f t="shared" si="0"/>
        <v>2880.63</v>
      </c>
      <c r="H6" s="88">
        <f t="shared" si="0"/>
        <v>3275.12</v>
      </c>
      <c r="I6" s="88">
        <f t="shared" si="0"/>
        <v>3649.7796999999996</v>
      </c>
      <c r="J6" s="88">
        <f>SUM(J7:J18)</f>
        <v>3997.5260000000007</v>
      </c>
      <c r="K6" s="88">
        <f>SUM(K7:K18)</f>
        <v>4414.3680000000004</v>
      </c>
      <c r="L6" s="88">
        <f>SUM(L7:L18)</f>
        <v>4668.1615999999995</v>
      </c>
      <c r="M6" s="88">
        <f>SUM(M7:M18)</f>
        <v>4977.1473999999998</v>
      </c>
      <c r="N6" s="88">
        <f>SUM(N7:N18)</f>
        <v>5529.7883000000002</v>
      </c>
      <c r="O6" s="89" t="s">
        <v>3</v>
      </c>
      <c r="P6" s="82"/>
      <c r="Q6" s="82"/>
      <c r="R6" s="82"/>
    </row>
    <row r="7" spans="1:18" s="83" customFormat="1" ht="21" customHeight="1" x14ac:dyDescent="0.4">
      <c r="A7" s="90" t="s">
        <v>32</v>
      </c>
      <c r="B7" s="91">
        <v>97.8</v>
      </c>
      <c r="C7" s="91">
        <v>107.4</v>
      </c>
      <c r="D7" s="91">
        <v>154.6</v>
      </c>
      <c r="E7" s="91">
        <v>165.52</v>
      </c>
      <c r="F7" s="91">
        <f>181364/1000</f>
        <v>181.364</v>
      </c>
      <c r="G7" s="91">
        <v>219.124</v>
      </c>
      <c r="H7" s="91">
        <v>260.2</v>
      </c>
      <c r="I7" s="91">
        <f>295741/1000</f>
        <v>295.74099999999999</v>
      </c>
      <c r="J7" s="91">
        <v>320.04599999999999</v>
      </c>
      <c r="K7" s="91">
        <v>353.44220000000001</v>
      </c>
      <c r="L7" s="91">
        <v>382.14709999999991</v>
      </c>
      <c r="M7" s="225">
        <v>410.22749999999991</v>
      </c>
      <c r="N7" s="225">
        <v>438.81546999999995</v>
      </c>
      <c r="O7" s="92" t="s">
        <v>33</v>
      </c>
      <c r="P7" s="82"/>
      <c r="Q7" s="82"/>
      <c r="R7" s="82"/>
    </row>
    <row r="8" spans="1:18" s="83" customFormat="1" ht="21" customHeight="1" x14ac:dyDescent="0.4">
      <c r="A8" s="90" t="s">
        <v>34</v>
      </c>
      <c r="B8" s="91">
        <v>93.1</v>
      </c>
      <c r="C8" s="91">
        <v>97.3</v>
      </c>
      <c r="D8" s="91">
        <v>160.19999999999999</v>
      </c>
      <c r="E8" s="91">
        <v>166</v>
      </c>
      <c r="F8" s="91">
        <f>181386/1000</f>
        <v>181.386</v>
      </c>
      <c r="G8" s="91">
        <v>223.71199999999999</v>
      </c>
      <c r="H8" s="91">
        <v>247.34700000000001</v>
      </c>
      <c r="I8" s="91">
        <f>274551/1000</f>
        <v>274.55099999999999</v>
      </c>
      <c r="J8" s="91">
        <v>297.03500000000003</v>
      </c>
      <c r="K8" s="91">
        <v>339.09740000000005</v>
      </c>
      <c r="L8" s="91">
        <v>355.79900000000004</v>
      </c>
      <c r="M8" s="225">
        <v>386.56700000000006</v>
      </c>
      <c r="N8" s="225">
        <v>408.92599999999999</v>
      </c>
      <c r="O8" s="92" t="s">
        <v>35</v>
      </c>
      <c r="P8" s="82"/>
      <c r="Q8" s="82"/>
      <c r="R8" s="82"/>
    </row>
    <row r="9" spans="1:18" s="83" customFormat="1" ht="21" customHeight="1" x14ac:dyDescent="0.4">
      <c r="A9" s="90" t="s">
        <v>36</v>
      </c>
      <c r="B9" s="91">
        <v>106.7</v>
      </c>
      <c r="C9" s="91">
        <v>114</v>
      </c>
      <c r="D9" s="91">
        <v>185.2</v>
      </c>
      <c r="E9" s="91">
        <v>188.21</v>
      </c>
      <c r="F9" s="91">
        <f>211312/1000</f>
        <v>211.31200000000001</v>
      </c>
      <c r="G9" s="91">
        <v>237.709</v>
      </c>
      <c r="H9" s="91">
        <v>293.916</v>
      </c>
      <c r="I9" s="91">
        <f>313092/1000</f>
        <v>313.09199999999998</v>
      </c>
      <c r="J9" s="91">
        <v>343.32100000000003</v>
      </c>
      <c r="K9" s="91">
        <v>376.41240000000005</v>
      </c>
      <c r="L9" s="91">
        <v>398.83529999999996</v>
      </c>
      <c r="M9" s="225">
        <v>425.46</v>
      </c>
      <c r="N9" s="225">
        <v>461.67419999999998</v>
      </c>
      <c r="O9" s="92" t="s">
        <v>4</v>
      </c>
      <c r="P9" s="82"/>
      <c r="Q9" s="82"/>
      <c r="R9" s="82"/>
    </row>
    <row r="10" spans="1:18" s="83" customFormat="1" ht="21" customHeight="1" x14ac:dyDescent="0.4">
      <c r="A10" s="90" t="s">
        <v>37</v>
      </c>
      <c r="B10" s="91">
        <v>104.7</v>
      </c>
      <c r="C10" s="91">
        <v>113.3</v>
      </c>
      <c r="D10" s="91">
        <v>184.6</v>
      </c>
      <c r="E10" s="91">
        <v>186.82</v>
      </c>
      <c r="F10" s="91">
        <f>203846/1000</f>
        <v>203.846</v>
      </c>
      <c r="G10" s="91">
        <v>236.82400000000001</v>
      </c>
      <c r="H10" s="91">
        <v>279.74200000000002</v>
      </c>
      <c r="I10" s="91">
        <f>312807/1000</f>
        <v>312.80700000000002</v>
      </c>
      <c r="J10" s="91">
        <v>335.017</v>
      </c>
      <c r="K10" s="91">
        <v>369.5412</v>
      </c>
      <c r="L10" s="91">
        <v>392.56910000000005</v>
      </c>
      <c r="M10" s="225">
        <v>421.60380000000004</v>
      </c>
      <c r="N10" s="225">
        <v>456.21935999999999</v>
      </c>
      <c r="O10" s="92" t="s">
        <v>38</v>
      </c>
      <c r="P10" s="82"/>
      <c r="Q10" s="82"/>
      <c r="R10" s="82"/>
    </row>
    <row r="11" spans="1:18" s="83" customFormat="1" ht="21" customHeight="1" x14ac:dyDescent="0.4">
      <c r="A11" s="90" t="s">
        <v>39</v>
      </c>
      <c r="B11" s="91">
        <v>101.8</v>
      </c>
      <c r="C11" s="91">
        <v>119</v>
      </c>
      <c r="D11" s="91">
        <v>177.9</v>
      </c>
      <c r="E11" s="91">
        <v>191.31</v>
      </c>
      <c r="F11" s="91">
        <f>206556/1000</f>
        <v>206.55600000000001</v>
      </c>
      <c r="G11" s="91">
        <v>242.27</v>
      </c>
      <c r="H11" s="91">
        <v>282.65800000000002</v>
      </c>
      <c r="I11" s="91">
        <f>310407/1000</f>
        <v>310.40699999999998</v>
      </c>
      <c r="J11" s="91">
        <v>335.98899999999998</v>
      </c>
      <c r="K11" s="91">
        <v>379.00309999999996</v>
      </c>
      <c r="L11" s="91">
        <v>389.09369999999996</v>
      </c>
      <c r="M11" s="225">
        <v>424.59939999999995</v>
      </c>
      <c r="N11" s="225">
        <v>467.64302000000004</v>
      </c>
      <c r="O11" s="92" t="s">
        <v>5</v>
      </c>
      <c r="P11" s="82"/>
      <c r="Q11" s="93"/>
      <c r="R11" s="93"/>
    </row>
    <row r="12" spans="1:18" s="83" customFormat="1" ht="21" customHeight="1" x14ac:dyDescent="0.4">
      <c r="A12" s="90" t="s">
        <v>40</v>
      </c>
      <c r="B12" s="91">
        <v>101.5</v>
      </c>
      <c r="C12" s="94">
        <v>113.8</v>
      </c>
      <c r="D12" s="91">
        <v>159.1</v>
      </c>
      <c r="E12" s="91">
        <v>183.01</v>
      </c>
      <c r="F12" s="91">
        <f>202094/1000</f>
        <v>202.09399999999999</v>
      </c>
      <c r="G12" s="91">
        <v>233.53</v>
      </c>
      <c r="H12" s="91">
        <v>269.745</v>
      </c>
      <c r="I12" s="91">
        <f>294377/1000</f>
        <v>294.37700000000001</v>
      </c>
      <c r="J12" s="91">
        <v>334.27</v>
      </c>
      <c r="K12" s="91">
        <v>369.7373</v>
      </c>
      <c r="L12" s="91">
        <v>382.38879999999995</v>
      </c>
      <c r="M12" s="225">
        <v>420.19830000000007</v>
      </c>
      <c r="N12" s="225">
        <v>466.07403999999997</v>
      </c>
      <c r="O12" s="92" t="s">
        <v>6</v>
      </c>
      <c r="P12" s="82"/>
      <c r="Q12" s="95"/>
      <c r="R12" s="95"/>
    </row>
    <row r="13" spans="1:18" s="83" customFormat="1" ht="21" customHeight="1" x14ac:dyDescent="0.4">
      <c r="A13" s="90" t="s">
        <v>41</v>
      </c>
      <c r="B13" s="91">
        <v>100.4</v>
      </c>
      <c r="C13" s="91">
        <v>121.5</v>
      </c>
      <c r="D13" s="91">
        <v>158.1</v>
      </c>
      <c r="E13" s="91">
        <v>188.97</v>
      </c>
      <c r="F13" s="91">
        <f>205875/1000</f>
        <v>205.875</v>
      </c>
      <c r="G13" s="91">
        <v>247.09399999999999</v>
      </c>
      <c r="H13" s="91">
        <v>276.39100000000002</v>
      </c>
      <c r="I13" s="91">
        <f>303286/1000</f>
        <v>303.286</v>
      </c>
      <c r="J13" s="91">
        <v>351.95</v>
      </c>
      <c r="K13" s="91">
        <v>390.94749999999999</v>
      </c>
      <c r="L13" s="91">
        <v>413.60250000000013</v>
      </c>
      <c r="M13" s="225">
        <v>435.791</v>
      </c>
      <c r="N13" s="225">
        <v>474.80604000000005</v>
      </c>
      <c r="O13" s="92" t="s">
        <v>7</v>
      </c>
      <c r="P13" s="82"/>
      <c r="Q13" s="95"/>
      <c r="R13" s="95"/>
    </row>
    <row r="14" spans="1:18" s="83" customFormat="1" ht="21" customHeight="1" x14ac:dyDescent="0.4">
      <c r="A14" s="90" t="s">
        <v>42</v>
      </c>
      <c r="B14" s="91">
        <v>107.7</v>
      </c>
      <c r="C14" s="91">
        <v>116.2</v>
      </c>
      <c r="D14" s="91">
        <v>159.80000000000001</v>
      </c>
      <c r="E14" s="91">
        <v>187.66</v>
      </c>
      <c r="F14" s="91">
        <f>217567/1000</f>
        <v>217.56700000000001</v>
      </c>
      <c r="G14" s="91">
        <v>256.178</v>
      </c>
      <c r="H14" s="91">
        <v>277.029</v>
      </c>
      <c r="I14" s="91">
        <f>322184/1000</f>
        <v>322.18400000000003</v>
      </c>
      <c r="J14" s="91">
        <v>349.80599999999998</v>
      </c>
      <c r="K14" s="91">
        <v>383.09249999999997</v>
      </c>
      <c r="L14" s="91">
        <v>398.67930000000001</v>
      </c>
      <c r="M14" s="225">
        <v>439.0453</v>
      </c>
      <c r="N14" s="225">
        <v>485.10301999999996</v>
      </c>
      <c r="O14" s="92" t="s">
        <v>43</v>
      </c>
      <c r="P14" s="82"/>
      <c r="Q14" s="95"/>
      <c r="R14" s="95"/>
    </row>
    <row r="15" spans="1:18" s="83" customFormat="1" ht="21" customHeight="1" x14ac:dyDescent="0.4">
      <c r="A15" s="90" t="s">
        <v>44</v>
      </c>
      <c r="B15" s="91">
        <v>96</v>
      </c>
      <c r="C15" s="91">
        <v>117.4</v>
      </c>
      <c r="D15" s="91">
        <v>154.9</v>
      </c>
      <c r="E15" s="91">
        <v>175.29</v>
      </c>
      <c r="F15" s="91">
        <f>207674/1000</f>
        <v>207.67400000000001</v>
      </c>
      <c r="G15" s="91">
        <v>257.17</v>
      </c>
      <c r="H15" s="91">
        <v>273.44600000000003</v>
      </c>
      <c r="I15" s="91">
        <f>306307/1000</f>
        <v>306.30700000000002</v>
      </c>
      <c r="J15" s="91">
        <v>334.33600000000001</v>
      </c>
      <c r="K15" s="91">
        <v>370.42849999999999</v>
      </c>
      <c r="L15" s="91">
        <v>389.27629999999994</v>
      </c>
      <c r="M15" s="225">
        <v>427.08330000000001</v>
      </c>
      <c r="N15" s="225">
        <v>449.75137000000001</v>
      </c>
      <c r="O15" s="92" t="s">
        <v>45</v>
      </c>
      <c r="P15" s="82"/>
      <c r="Q15" s="95"/>
      <c r="R15" s="95"/>
    </row>
    <row r="16" spans="1:18" s="83" customFormat="1" ht="21" customHeight="1" x14ac:dyDescent="0.4">
      <c r="A16" s="90" t="s">
        <v>46</v>
      </c>
      <c r="B16" s="91">
        <v>99</v>
      </c>
      <c r="C16" s="91">
        <v>118.6</v>
      </c>
      <c r="D16" s="91">
        <v>159.30000000000001</v>
      </c>
      <c r="E16" s="91">
        <v>190.22</v>
      </c>
      <c r="F16" s="91">
        <f>211456/1000</f>
        <v>211.45599999999999</v>
      </c>
      <c r="G16" s="91">
        <v>251.91200000000001</v>
      </c>
      <c r="H16" s="91">
        <v>293.12799999999999</v>
      </c>
      <c r="I16" s="91">
        <f>328865/1000</f>
        <v>328.86500000000001</v>
      </c>
      <c r="J16" s="91">
        <v>349.01900000000001</v>
      </c>
      <c r="K16" s="91">
        <v>370.55220000000003</v>
      </c>
      <c r="L16" s="91">
        <v>392.36540000000008</v>
      </c>
      <c r="M16" s="225">
        <v>425.14700000000011</v>
      </c>
      <c r="N16" s="225">
        <v>487.41096000000005</v>
      </c>
      <c r="O16" s="92" t="s">
        <v>47</v>
      </c>
      <c r="P16" s="82"/>
      <c r="Q16" s="95"/>
      <c r="R16" s="95"/>
    </row>
    <row r="17" spans="1:18" s="83" customFormat="1" ht="21" customHeight="1" x14ac:dyDescent="0.4">
      <c r="A17" s="90" t="s">
        <v>48</v>
      </c>
      <c r="B17" s="91">
        <v>103</v>
      </c>
      <c r="C17" s="91">
        <v>112.6</v>
      </c>
      <c r="D17" s="91">
        <v>153.9</v>
      </c>
      <c r="E17" s="91">
        <v>167.42</v>
      </c>
      <c r="F17" s="91">
        <f>216417/1000</f>
        <v>216.417</v>
      </c>
      <c r="G17" s="91">
        <v>245.80699999999999</v>
      </c>
      <c r="H17" s="91">
        <v>253.59700000000001</v>
      </c>
      <c r="I17" s="91">
        <f>289327/1000</f>
        <v>289.327</v>
      </c>
      <c r="J17" s="91">
        <v>314.78800000000001</v>
      </c>
      <c r="K17" s="91">
        <v>360.53520000000003</v>
      </c>
      <c r="L17" s="91">
        <v>387.43509999999998</v>
      </c>
      <c r="M17" s="225">
        <v>415.57319999999999</v>
      </c>
      <c r="N17" s="225">
        <v>472.73138</v>
      </c>
      <c r="O17" s="92" t="s">
        <v>49</v>
      </c>
      <c r="P17" s="82"/>
      <c r="Q17" s="95"/>
      <c r="R17" s="95"/>
    </row>
    <row r="18" spans="1:18" s="83" customFormat="1" ht="21" customHeight="1" x14ac:dyDescent="0.4">
      <c r="A18" s="231" t="s">
        <v>50</v>
      </c>
      <c r="B18" s="232">
        <v>95.2</v>
      </c>
      <c r="C18" s="232">
        <v>101.7</v>
      </c>
      <c r="D18" s="232">
        <v>161.80000000000001</v>
      </c>
      <c r="E18" s="232">
        <v>156.97999999999999</v>
      </c>
      <c r="F18" s="232">
        <f>198912/1000</f>
        <v>198.91200000000001</v>
      </c>
      <c r="G18" s="232">
        <v>229.3</v>
      </c>
      <c r="H18" s="232">
        <v>267.92099999999999</v>
      </c>
      <c r="I18" s="232">
        <f>298835.7/1000</f>
        <v>298.83570000000003</v>
      </c>
      <c r="J18" s="232">
        <v>331.94900000000001</v>
      </c>
      <c r="K18" s="232">
        <v>351.57850000000002</v>
      </c>
      <c r="L18" s="232">
        <v>385.97000000000008</v>
      </c>
      <c r="M18" s="233">
        <v>345.85159999999996</v>
      </c>
      <c r="N18" s="233">
        <v>460.63344000000001</v>
      </c>
      <c r="O18" s="234" t="s">
        <v>51</v>
      </c>
      <c r="P18" s="82"/>
      <c r="Q18" s="95"/>
      <c r="R18" s="95"/>
    </row>
    <row r="19" spans="1:18" s="83" customFormat="1" ht="15" x14ac:dyDescent="0.4">
      <c r="A19" s="61" t="s">
        <v>52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229" t="s">
        <v>27</v>
      </c>
      <c r="P19" s="82"/>
      <c r="Q19" s="95"/>
      <c r="R19" s="95"/>
    </row>
    <row r="20" spans="1:18" s="83" customFormat="1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P20" s="98"/>
      <c r="Q20" s="98"/>
      <c r="R20" s="98"/>
    </row>
    <row r="21" spans="1:18" s="83" customFormat="1" x14ac:dyDescent="0.2">
      <c r="A21" s="99"/>
      <c r="B21" s="99"/>
      <c r="C21" s="99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8"/>
    </row>
    <row r="22" spans="1:18" s="83" customFormat="1" x14ac:dyDescent="0.2">
      <c r="A22" s="99"/>
      <c r="B22" s="99"/>
      <c r="C22" s="99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98"/>
    </row>
    <row r="23" spans="1:18" s="83" customFormat="1" x14ac:dyDescent="0.2">
      <c r="A23" s="98"/>
      <c r="C23" s="99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00"/>
    </row>
    <row r="24" spans="1:18" s="83" customFormat="1" x14ac:dyDescent="0.2">
      <c r="A24" s="98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101"/>
    </row>
    <row r="25" spans="1:18" s="83" customFormat="1" x14ac:dyDescent="0.2">
      <c r="A25" s="98"/>
      <c r="R25" s="101"/>
    </row>
    <row r="26" spans="1:18" s="83" customFormat="1" x14ac:dyDescent="0.2">
      <c r="A26" s="98"/>
      <c r="R26" s="101"/>
    </row>
    <row r="27" spans="1:18" s="83" customFormat="1" x14ac:dyDescent="0.2">
      <c r="A27" s="9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101"/>
    </row>
    <row r="28" spans="1:18" x14ac:dyDescent="0.2">
      <c r="A28" s="98"/>
      <c r="R28" s="101"/>
    </row>
    <row r="29" spans="1:18" x14ac:dyDescent="0.2">
      <c r="A29" s="98"/>
      <c r="R29" s="101"/>
    </row>
    <row r="30" spans="1:18" x14ac:dyDescent="0.2">
      <c r="A30" s="98"/>
      <c r="R30" s="101"/>
    </row>
    <row r="31" spans="1:18" x14ac:dyDescent="0.2">
      <c r="A31" s="98"/>
      <c r="R31" s="101"/>
    </row>
    <row r="32" spans="1:18" x14ac:dyDescent="0.2">
      <c r="A32" s="98"/>
      <c r="R32" s="101"/>
    </row>
    <row r="33" spans="1:18" x14ac:dyDescent="0.2">
      <c r="A33" s="98"/>
      <c r="R33" s="101"/>
    </row>
    <row r="34" spans="1:18" x14ac:dyDescent="0.2">
      <c r="A34" s="98"/>
      <c r="R34" s="101"/>
    </row>
    <row r="35" spans="1:18" x14ac:dyDescent="0.2">
      <c r="A35" s="98"/>
      <c r="C35" s="80"/>
      <c r="R35" s="101"/>
    </row>
    <row r="36" spans="1:18" x14ac:dyDescent="0.2">
      <c r="A36" s="98"/>
    </row>
    <row r="49" spans="3:18" ht="15.75" x14ac:dyDescent="0.4"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50"/>
      <c r="P49" s="550"/>
      <c r="Q49" s="550"/>
      <c r="R49" s="550"/>
    </row>
  </sheetData>
  <mergeCells count="4">
    <mergeCell ref="A1:O1"/>
    <mergeCell ref="A2:O2"/>
    <mergeCell ref="A3:O3"/>
    <mergeCell ref="C49:R49"/>
  </mergeCells>
  <pageMargins left="0.21" right="0.7" top="0.75" bottom="0.75" header="0.3" footer="0.3"/>
  <pageSetup scale="8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1"/>
  <sheetViews>
    <sheetView zoomScaleNormal="100" workbookViewId="0">
      <selection activeCell="B6" sqref="B6"/>
    </sheetView>
  </sheetViews>
  <sheetFormatPr defaultColWidth="11.28515625" defaultRowHeight="12.75" x14ac:dyDescent="0.2"/>
  <cols>
    <col min="1" max="16384" width="11.28515625" style="38"/>
  </cols>
  <sheetData>
    <row r="1" spans="1:12" ht="18.75" x14ac:dyDescent="0.2">
      <c r="A1" s="547" t="s">
        <v>62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</row>
    <row r="2" spans="1:12" x14ac:dyDescent="0.2">
      <c r="A2" s="551" t="s">
        <v>63</v>
      </c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</row>
    <row r="3" spans="1:12" ht="15" x14ac:dyDescent="0.2">
      <c r="A3" s="552" t="s">
        <v>30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</row>
    <row r="4" spans="1:12" ht="15.75" x14ac:dyDescent="0.4">
      <c r="A4" s="102" t="s">
        <v>9</v>
      </c>
      <c r="B4" s="103">
        <v>2006</v>
      </c>
      <c r="C4" s="103">
        <v>2007</v>
      </c>
      <c r="D4" s="103">
        <v>2008</v>
      </c>
      <c r="E4" s="103">
        <v>2009</v>
      </c>
      <c r="F4" s="103">
        <v>2010</v>
      </c>
      <c r="G4" s="103">
        <v>2011</v>
      </c>
      <c r="H4" s="103">
        <v>2012</v>
      </c>
      <c r="I4" s="103">
        <v>2013</v>
      </c>
      <c r="J4" s="103">
        <v>2014</v>
      </c>
      <c r="K4" s="103">
        <v>2015</v>
      </c>
      <c r="L4" s="86" t="s">
        <v>10</v>
      </c>
    </row>
    <row r="5" spans="1:12" ht="21.75" customHeight="1" x14ac:dyDescent="0.4">
      <c r="A5" s="104" t="s">
        <v>31</v>
      </c>
      <c r="B5" s="105">
        <v>87.61</v>
      </c>
      <c r="C5" s="105">
        <v>94.46</v>
      </c>
      <c r="D5" s="105">
        <f t="shared" ref="D5:H5" si="0">SUM(D6:D17)</f>
        <v>132.75242999999998</v>
      </c>
      <c r="E5" s="105">
        <f t="shared" si="0"/>
        <v>153.44110999999998</v>
      </c>
      <c r="F5" s="105">
        <f t="shared" si="0"/>
        <v>149.21519999999998</v>
      </c>
      <c r="G5" s="105">
        <f t="shared" si="0"/>
        <v>162.01300000000001</v>
      </c>
      <c r="H5" s="105">
        <f t="shared" si="0"/>
        <v>200.73650000000004</v>
      </c>
      <c r="I5" s="105">
        <f>SUM(I6:I17)</f>
        <v>199.63330000000002</v>
      </c>
      <c r="J5" s="105">
        <f>SUM(J6:J17)</f>
        <v>200.12200000000001</v>
      </c>
      <c r="K5" s="105">
        <f>SUM(K6:K17)</f>
        <v>220.3561</v>
      </c>
      <c r="L5" s="89" t="s">
        <v>3</v>
      </c>
    </row>
    <row r="6" spans="1:12" ht="21.75" customHeight="1" x14ac:dyDescent="0.4">
      <c r="A6" s="106" t="s">
        <v>32</v>
      </c>
      <c r="B6" s="107">
        <v>6.71</v>
      </c>
      <c r="C6" s="107">
        <v>6.7370000000000001</v>
      </c>
      <c r="D6" s="107">
        <v>8.5228099999999998</v>
      </c>
      <c r="E6" s="107">
        <f>13824.72/1000</f>
        <v>13.824719999999999</v>
      </c>
      <c r="F6" s="107">
        <f>12006/1000</f>
        <v>12.006</v>
      </c>
      <c r="G6" s="107">
        <v>12.16</v>
      </c>
      <c r="H6" s="108">
        <v>14.749700000000001</v>
      </c>
      <c r="I6" s="108">
        <v>17.236099999999997</v>
      </c>
      <c r="J6" s="223">
        <v>15.821999999999999</v>
      </c>
      <c r="K6" s="223">
        <v>17.667999999999999</v>
      </c>
      <c r="L6" s="92" t="s">
        <v>33</v>
      </c>
    </row>
    <row r="7" spans="1:12" ht="21.75" customHeight="1" x14ac:dyDescent="0.4">
      <c r="A7" s="106" t="s">
        <v>34</v>
      </c>
      <c r="B7" s="107">
        <v>6.8</v>
      </c>
      <c r="C7" s="107">
        <v>6.7859999999999996</v>
      </c>
      <c r="D7" s="107">
        <v>9.0252599999999994</v>
      </c>
      <c r="E7" s="107">
        <f>13500.1/1000</f>
        <v>13.5001</v>
      </c>
      <c r="F7" s="107">
        <f>11311.6/1000</f>
        <v>11.3116</v>
      </c>
      <c r="G7" s="107">
        <v>11.271000000000001</v>
      </c>
      <c r="H7" s="108">
        <v>14.404999999999999</v>
      </c>
      <c r="I7" s="108">
        <v>15.426200000000001</v>
      </c>
      <c r="J7" s="223">
        <v>15.07</v>
      </c>
      <c r="K7" s="223">
        <v>16.524000000000001</v>
      </c>
      <c r="L7" s="92" t="s">
        <v>35</v>
      </c>
    </row>
    <row r="8" spans="1:12" ht="21.75" customHeight="1" x14ac:dyDescent="0.4">
      <c r="A8" s="106" t="s">
        <v>36</v>
      </c>
      <c r="B8" s="107">
        <v>8.01</v>
      </c>
      <c r="C8" s="107">
        <v>8.09</v>
      </c>
      <c r="D8" s="107">
        <v>10.10816</v>
      </c>
      <c r="E8" s="107">
        <f>14762.62/1000</f>
        <v>14.76262</v>
      </c>
      <c r="F8" s="107">
        <f>13626.5/1000</f>
        <v>13.6265</v>
      </c>
      <c r="G8" s="107">
        <v>13.747</v>
      </c>
      <c r="H8" s="108">
        <v>17.776900000000001</v>
      </c>
      <c r="I8" s="108">
        <v>18.164000000000001</v>
      </c>
      <c r="J8" s="223">
        <v>16.978999999999999</v>
      </c>
      <c r="K8" s="223">
        <v>18.923999999999999</v>
      </c>
      <c r="L8" s="92" t="s">
        <v>4</v>
      </c>
    </row>
    <row r="9" spans="1:12" ht="21.75" customHeight="1" x14ac:dyDescent="0.4">
      <c r="A9" s="106" t="s">
        <v>37</v>
      </c>
      <c r="B9" s="107">
        <v>7.92</v>
      </c>
      <c r="C9" s="107">
        <v>8.1809999999999992</v>
      </c>
      <c r="D9" s="107">
        <v>9.9809400000000004</v>
      </c>
      <c r="E9" s="107">
        <f>12907.64/1000</f>
        <v>12.907639999999999</v>
      </c>
      <c r="F9" s="107">
        <f>13789.6/1000</f>
        <v>13.7896</v>
      </c>
      <c r="G9" s="107">
        <v>13.391</v>
      </c>
      <c r="H9" s="108">
        <v>17.472999999999999</v>
      </c>
      <c r="I9" s="108">
        <v>18.198</v>
      </c>
      <c r="J9" s="223">
        <v>17.344999999999999</v>
      </c>
      <c r="K9" s="223">
        <v>19.065999999999999</v>
      </c>
      <c r="L9" s="92" t="s">
        <v>38</v>
      </c>
    </row>
    <row r="10" spans="1:12" ht="21.75" customHeight="1" x14ac:dyDescent="0.4">
      <c r="A10" s="106" t="s">
        <v>39</v>
      </c>
      <c r="B10" s="107">
        <v>8.1199999999999992</v>
      </c>
      <c r="C10" s="107">
        <v>7.9779999999999998</v>
      </c>
      <c r="D10" s="107">
        <v>10.215209999999999</v>
      </c>
      <c r="E10" s="107">
        <f>13803.1/1000</f>
        <v>13.803100000000001</v>
      </c>
      <c r="F10" s="107">
        <f>13121.2/1000</f>
        <v>13.1212</v>
      </c>
      <c r="G10" s="107">
        <v>13.359</v>
      </c>
      <c r="H10" s="108">
        <v>18.638200000000001</v>
      </c>
      <c r="I10" s="108">
        <v>17.337</v>
      </c>
      <c r="J10" s="223">
        <v>17.195</v>
      </c>
      <c r="K10" s="223">
        <v>19.175999999999998</v>
      </c>
      <c r="L10" s="92" t="s">
        <v>5</v>
      </c>
    </row>
    <row r="11" spans="1:12" ht="21.75" customHeight="1" x14ac:dyDescent="0.4">
      <c r="A11" s="106" t="s">
        <v>40</v>
      </c>
      <c r="B11" s="107">
        <v>7.65</v>
      </c>
      <c r="C11" s="107">
        <v>7.6760000000000002</v>
      </c>
      <c r="D11" s="107">
        <v>9.6870700000000003</v>
      </c>
      <c r="E11" s="107">
        <f>12592.47/1000</f>
        <v>12.592469999999999</v>
      </c>
      <c r="F11" s="107">
        <f>13092.5/1000</f>
        <v>13.092499999999999</v>
      </c>
      <c r="G11" s="107">
        <v>14.221</v>
      </c>
      <c r="H11" s="108">
        <v>18.327999999999999</v>
      </c>
      <c r="I11" s="108">
        <v>16.536999999999999</v>
      </c>
      <c r="J11" s="223">
        <v>17.471</v>
      </c>
      <c r="K11" s="223">
        <v>19.530999999999999</v>
      </c>
      <c r="L11" s="92" t="s">
        <v>6</v>
      </c>
    </row>
    <row r="12" spans="1:12" ht="21.75" customHeight="1" x14ac:dyDescent="0.4">
      <c r="A12" s="106" t="s">
        <v>41</v>
      </c>
      <c r="B12" s="107">
        <v>7.9</v>
      </c>
      <c r="C12" s="107">
        <v>7.85</v>
      </c>
      <c r="D12" s="107">
        <v>10.169180000000001</v>
      </c>
      <c r="E12" s="107">
        <f>13764.36/1000</f>
        <v>13.76436</v>
      </c>
      <c r="F12" s="107">
        <f>12070.9/1000</f>
        <v>12.0709</v>
      </c>
      <c r="G12" s="107">
        <v>14.153</v>
      </c>
      <c r="H12" s="108">
        <v>19.847000000000001</v>
      </c>
      <c r="I12" s="108">
        <v>18.916</v>
      </c>
      <c r="J12" s="223">
        <v>17.753</v>
      </c>
      <c r="K12" s="223">
        <v>19.111999999999998</v>
      </c>
      <c r="L12" s="92" t="s">
        <v>7</v>
      </c>
    </row>
    <row r="13" spans="1:12" ht="21.75" customHeight="1" x14ac:dyDescent="0.4">
      <c r="A13" s="106" t="s">
        <v>42</v>
      </c>
      <c r="B13" s="107">
        <v>7.66</v>
      </c>
      <c r="C13" s="107">
        <v>8.452</v>
      </c>
      <c r="D13" s="107">
        <v>12.06822</v>
      </c>
      <c r="E13" s="107">
        <f>12202.4/1000</f>
        <v>12.202399999999999</v>
      </c>
      <c r="F13" s="107">
        <f>13026/1000</f>
        <v>13.026</v>
      </c>
      <c r="G13" s="107">
        <v>14.708</v>
      </c>
      <c r="H13" s="108">
        <v>17.097999999999999</v>
      </c>
      <c r="I13" s="108">
        <v>16.727</v>
      </c>
      <c r="J13" s="223">
        <v>16.989999999999998</v>
      </c>
      <c r="K13" s="223">
        <v>19.004000000000001</v>
      </c>
      <c r="L13" s="92" t="s">
        <v>43</v>
      </c>
    </row>
    <row r="14" spans="1:12" ht="21.75" customHeight="1" x14ac:dyDescent="0.4">
      <c r="A14" s="106" t="s">
        <v>44</v>
      </c>
      <c r="B14" s="107">
        <v>7.06</v>
      </c>
      <c r="C14" s="107">
        <v>8.1349999999999998</v>
      </c>
      <c r="D14" s="107">
        <v>14.287600000000001</v>
      </c>
      <c r="E14" s="107">
        <f>12123.8/1000</f>
        <v>12.123799999999999</v>
      </c>
      <c r="F14" s="107">
        <f>12008.3/1000</f>
        <v>12.008299999999998</v>
      </c>
      <c r="G14" s="107">
        <v>13.673999999999999</v>
      </c>
      <c r="H14" s="108">
        <v>15.651999999999999</v>
      </c>
      <c r="I14" s="108">
        <v>15.872999999999999</v>
      </c>
      <c r="J14" s="223">
        <v>16.288</v>
      </c>
      <c r="K14" s="223">
        <v>17.05</v>
      </c>
      <c r="L14" s="92" t="s">
        <v>45</v>
      </c>
    </row>
    <row r="15" spans="1:12" ht="21.75" customHeight="1" x14ac:dyDescent="0.4">
      <c r="A15" s="106" t="s">
        <v>46</v>
      </c>
      <c r="B15" s="107">
        <v>7.59</v>
      </c>
      <c r="C15" s="107">
        <v>8.34</v>
      </c>
      <c r="D15" s="107">
        <v>13.223739999999999</v>
      </c>
      <c r="E15" s="107">
        <f>13207/1000</f>
        <v>13.207000000000001</v>
      </c>
      <c r="F15" s="107">
        <f>12610/1000</f>
        <v>12.61</v>
      </c>
      <c r="G15" s="107">
        <v>14.371</v>
      </c>
      <c r="H15" s="108">
        <v>15.882999999999999</v>
      </c>
      <c r="I15" s="108">
        <v>15.507999999999999</v>
      </c>
      <c r="J15" s="223">
        <v>16.818999999999999</v>
      </c>
      <c r="K15" s="223">
        <v>18.559999999999999</v>
      </c>
      <c r="L15" s="92" t="s">
        <v>47</v>
      </c>
    </row>
    <row r="16" spans="1:12" ht="21.75" customHeight="1" x14ac:dyDescent="0.4">
      <c r="A16" s="106" t="s">
        <v>48</v>
      </c>
      <c r="B16" s="107">
        <v>6.28</v>
      </c>
      <c r="C16" s="107">
        <v>8.6669999999999998</v>
      </c>
      <c r="D16" s="107">
        <v>13.751749999999999</v>
      </c>
      <c r="E16" s="107">
        <f>10242.9/1000</f>
        <v>10.242899999999999</v>
      </c>
      <c r="F16" s="107">
        <f>11198.2/1000</f>
        <v>11.1982</v>
      </c>
      <c r="G16" s="107">
        <v>13.012</v>
      </c>
      <c r="H16" s="108">
        <v>15.821999999999999</v>
      </c>
      <c r="I16" s="108">
        <v>15.173</v>
      </c>
      <c r="J16" s="223">
        <v>16.071999999999999</v>
      </c>
      <c r="K16" s="223">
        <v>17.791</v>
      </c>
      <c r="L16" s="92" t="s">
        <v>49</v>
      </c>
    </row>
    <row r="17" spans="1:18" ht="21.75" customHeight="1" x14ac:dyDescent="0.4">
      <c r="A17" s="109" t="s">
        <v>50</v>
      </c>
      <c r="B17" s="110">
        <v>5.91</v>
      </c>
      <c r="C17" s="110">
        <v>7.5679999999999996</v>
      </c>
      <c r="D17" s="110">
        <v>11.712489999999999</v>
      </c>
      <c r="E17" s="110">
        <f>10510/1000</f>
        <v>10.51</v>
      </c>
      <c r="F17" s="110">
        <f>11354.4/1000</f>
        <v>11.3544</v>
      </c>
      <c r="G17" s="110">
        <v>13.946</v>
      </c>
      <c r="H17" s="111">
        <v>15.063700000000001</v>
      </c>
      <c r="I17" s="111">
        <v>14.538</v>
      </c>
      <c r="J17" s="224">
        <v>16.318000000000001</v>
      </c>
      <c r="K17" s="224">
        <v>17.950099999999999</v>
      </c>
      <c r="L17" s="96" t="s">
        <v>51</v>
      </c>
    </row>
    <row r="18" spans="1:18" ht="15.75" x14ac:dyDescent="0.4">
      <c r="A18" s="61" t="s">
        <v>28</v>
      </c>
      <c r="L18" s="229" t="s">
        <v>27</v>
      </c>
    </row>
    <row r="19" spans="1:18" x14ac:dyDescent="0.2">
      <c r="B19" s="112"/>
      <c r="C19" s="112"/>
      <c r="D19" s="112"/>
      <c r="E19" s="112"/>
    </row>
    <row r="21" spans="1:18" s="79" customFormat="1" ht="21.75" x14ac:dyDescent="0.2">
      <c r="L21" s="113"/>
      <c r="M21" s="113"/>
      <c r="N21" s="113"/>
      <c r="O21" s="113"/>
      <c r="P21" s="78"/>
      <c r="Q21" s="78"/>
      <c r="R21" s="78"/>
    </row>
  </sheetData>
  <mergeCells count="3">
    <mergeCell ref="A1:L1"/>
    <mergeCell ref="A2:L2"/>
    <mergeCell ref="A3:L3"/>
  </mergeCells>
  <pageMargins left="0.7" right="0.7" top="0.75" bottom="0.75" header="0.3" footer="0.3"/>
  <pageSetup paperSize="9" scale="9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1"/>
  <sheetViews>
    <sheetView zoomScaleNormal="100" workbookViewId="0">
      <selection activeCell="F30" sqref="F30"/>
    </sheetView>
  </sheetViews>
  <sheetFormatPr defaultColWidth="9.140625" defaultRowHeight="12.75" x14ac:dyDescent="0.2"/>
  <cols>
    <col min="1" max="1" width="11.42578125" style="38" customWidth="1"/>
    <col min="2" max="8" width="12.42578125" style="38" customWidth="1"/>
    <col min="9" max="9" width="15.28515625" style="38" customWidth="1"/>
    <col min="10" max="16384" width="9.140625" style="38"/>
  </cols>
  <sheetData>
    <row r="1" spans="1:21" ht="18.75" x14ac:dyDescent="0.2">
      <c r="A1" s="547" t="s">
        <v>64</v>
      </c>
      <c r="B1" s="547"/>
      <c r="C1" s="547"/>
      <c r="D1" s="547"/>
      <c r="E1" s="547"/>
      <c r="F1" s="547"/>
      <c r="G1" s="547"/>
      <c r="H1" s="547"/>
      <c r="I1" s="547"/>
    </row>
    <row r="2" spans="1:21" s="114" customFormat="1" ht="11.25" customHeight="1" x14ac:dyDescent="0.2">
      <c r="A2" s="553" t="s">
        <v>65</v>
      </c>
      <c r="B2" s="553"/>
      <c r="C2" s="553"/>
      <c r="D2" s="553"/>
      <c r="E2" s="553"/>
      <c r="F2" s="553"/>
      <c r="G2" s="553"/>
      <c r="H2" s="553"/>
      <c r="I2" s="553"/>
    </row>
    <row r="3" spans="1:21" s="4" customFormat="1" ht="15.75" customHeight="1" x14ac:dyDescent="0.2">
      <c r="A3" s="549" t="s">
        <v>30</v>
      </c>
      <c r="B3" s="549"/>
      <c r="C3" s="549"/>
      <c r="D3" s="549"/>
      <c r="E3" s="549"/>
      <c r="F3" s="549"/>
      <c r="G3" s="549"/>
      <c r="H3" s="549"/>
      <c r="I3" s="549"/>
      <c r="J3" s="115"/>
      <c r="K3" s="115"/>
      <c r="L3" s="216"/>
      <c r="M3" s="216"/>
      <c r="N3" s="216"/>
      <c r="O3" s="216"/>
      <c r="P3" s="216"/>
      <c r="Q3" s="208"/>
      <c r="R3" s="208"/>
      <c r="S3" s="208"/>
      <c r="T3" s="208"/>
      <c r="U3" s="3"/>
    </row>
    <row r="4" spans="1:21" s="4" customFormat="1" ht="15.75" customHeight="1" x14ac:dyDescent="0.2">
      <c r="A4" s="228"/>
      <c r="B4" s="228"/>
      <c r="C4" s="228"/>
      <c r="D4" s="228"/>
      <c r="E4" s="228"/>
      <c r="F4" s="228"/>
      <c r="G4" s="228"/>
      <c r="H4" s="228"/>
      <c r="I4" s="228"/>
      <c r="J4" s="115"/>
      <c r="K4" s="115"/>
      <c r="L4" s="216"/>
      <c r="M4" s="216"/>
      <c r="N4" s="216"/>
      <c r="O4" s="216"/>
      <c r="P4" s="216"/>
      <c r="Q4" s="208"/>
      <c r="R4" s="208"/>
      <c r="S4" s="208"/>
      <c r="T4" s="208"/>
      <c r="U4" s="3"/>
    </row>
    <row r="5" spans="1:21" s="44" customFormat="1" ht="15.75" x14ac:dyDescent="0.4">
      <c r="A5" s="116" t="s">
        <v>9</v>
      </c>
      <c r="B5" s="117">
        <v>2009</v>
      </c>
      <c r="C5" s="117">
        <v>2010</v>
      </c>
      <c r="D5" s="117">
        <v>2011</v>
      </c>
      <c r="E5" s="117">
        <v>2012</v>
      </c>
      <c r="F5" s="117">
        <v>2013</v>
      </c>
      <c r="G5" s="117">
        <v>2014</v>
      </c>
      <c r="H5" s="117">
        <v>2015</v>
      </c>
      <c r="I5" s="86" t="s">
        <v>10</v>
      </c>
    </row>
    <row r="6" spans="1:21" ht="21.75" customHeight="1" x14ac:dyDescent="0.4">
      <c r="A6" s="118" t="s">
        <v>31</v>
      </c>
      <c r="B6" s="119">
        <f t="shared" ref="B6:G6" si="0">SUM(B7:B18)</f>
        <v>138.17469999999997</v>
      </c>
      <c r="C6" s="119">
        <f t="shared" si="0"/>
        <v>195.63159999999999</v>
      </c>
      <c r="D6" s="119">
        <f t="shared" si="0"/>
        <v>260.71799999999996</v>
      </c>
      <c r="E6" s="120">
        <f t="shared" si="0"/>
        <v>398.70199999999994</v>
      </c>
      <c r="F6" s="120">
        <f t="shared" si="0"/>
        <v>422.67500000000001</v>
      </c>
      <c r="G6" s="120">
        <f t="shared" si="0"/>
        <v>622.2589999999999</v>
      </c>
      <c r="H6" s="120">
        <f t="shared" ref="H6" si="1">SUM(H7:H18)</f>
        <v>771.779</v>
      </c>
      <c r="I6" s="89" t="s">
        <v>3</v>
      </c>
    </row>
    <row r="7" spans="1:21" ht="21.75" customHeight="1" x14ac:dyDescent="0.4">
      <c r="A7" s="121" t="s">
        <v>32</v>
      </c>
      <c r="B7" s="122">
        <v>9.6440999999999999</v>
      </c>
      <c r="C7" s="122">
        <f>16473.3/1000</f>
        <v>16.473299999999998</v>
      </c>
      <c r="D7" s="122">
        <v>16.818999999999999</v>
      </c>
      <c r="E7" s="123">
        <v>28.876000000000001</v>
      </c>
      <c r="F7" s="123">
        <v>35.198999999999998</v>
      </c>
      <c r="G7" s="123">
        <v>49.603999999999999</v>
      </c>
      <c r="H7" s="123">
        <v>60.088000000000001</v>
      </c>
      <c r="I7" s="92" t="s">
        <v>33</v>
      </c>
    </row>
    <row r="8" spans="1:21" ht="21.75" customHeight="1" x14ac:dyDescent="0.4">
      <c r="A8" s="121" t="s">
        <v>34</v>
      </c>
      <c r="B8" s="122">
        <v>9.4510000000000005</v>
      </c>
      <c r="C8" s="122">
        <f>15613.3/1000</f>
        <v>15.613299999999999</v>
      </c>
      <c r="D8" s="122">
        <v>15.41</v>
      </c>
      <c r="E8" s="123">
        <v>27.745999999999999</v>
      </c>
      <c r="F8" s="123">
        <v>32.840000000000003</v>
      </c>
      <c r="G8" s="123">
        <v>45.359000000000002</v>
      </c>
      <c r="H8" s="123">
        <v>56.396000000000001</v>
      </c>
      <c r="I8" s="92" t="s">
        <v>35</v>
      </c>
    </row>
    <row r="9" spans="1:21" ht="21.75" customHeight="1" x14ac:dyDescent="0.4">
      <c r="A9" s="121" t="s">
        <v>36</v>
      </c>
      <c r="B9" s="122">
        <v>11.5985</v>
      </c>
      <c r="C9" s="122">
        <f>17038.5/1000</f>
        <v>17.038499999999999</v>
      </c>
      <c r="D9" s="122">
        <v>19.492999999999999</v>
      </c>
      <c r="E9" s="123">
        <v>30.925999999999998</v>
      </c>
      <c r="F9" s="123">
        <v>35.325000000000003</v>
      </c>
      <c r="G9" s="123">
        <v>49.375</v>
      </c>
      <c r="H9" s="123">
        <v>64.724999999999994</v>
      </c>
      <c r="I9" s="92" t="s">
        <v>4</v>
      </c>
    </row>
    <row r="10" spans="1:21" ht="21.75" customHeight="1" x14ac:dyDescent="0.4">
      <c r="A10" s="121" t="s">
        <v>37</v>
      </c>
      <c r="B10" s="122">
        <v>11.151399999999999</v>
      </c>
      <c r="C10" s="122">
        <f>16484.3/1000</f>
        <v>16.484299999999998</v>
      </c>
      <c r="D10" s="122">
        <v>19.390999999999998</v>
      </c>
      <c r="E10" s="123">
        <v>32.526000000000003</v>
      </c>
      <c r="F10" s="123">
        <v>32.479999999999997</v>
      </c>
      <c r="G10" s="123">
        <v>50.628999999999998</v>
      </c>
      <c r="H10" s="123">
        <v>64.364000000000004</v>
      </c>
      <c r="I10" s="92" t="s">
        <v>38</v>
      </c>
    </row>
    <row r="11" spans="1:21" ht="21.75" customHeight="1" x14ac:dyDescent="0.4">
      <c r="A11" s="121" t="s">
        <v>39</v>
      </c>
      <c r="B11" s="122">
        <v>10.584700000000002</v>
      </c>
      <c r="C11" s="122">
        <f>15456.1/1000</f>
        <v>15.456100000000001</v>
      </c>
      <c r="D11" s="122">
        <v>21.202000000000002</v>
      </c>
      <c r="E11" s="123">
        <v>35.826000000000001</v>
      </c>
      <c r="F11" s="123">
        <v>31.451000000000001</v>
      </c>
      <c r="G11" s="123">
        <v>51.429000000000002</v>
      </c>
      <c r="H11" s="123">
        <v>66.656999999999996</v>
      </c>
      <c r="I11" s="92" t="s">
        <v>5</v>
      </c>
    </row>
    <row r="12" spans="1:21" ht="21.75" customHeight="1" x14ac:dyDescent="0.4">
      <c r="A12" s="121" t="s">
        <v>40</v>
      </c>
      <c r="B12" s="122">
        <v>10.6518</v>
      </c>
      <c r="C12" s="122">
        <f>15278.5/1000</f>
        <v>15.278499999999999</v>
      </c>
      <c r="D12" s="122">
        <v>20.731999999999999</v>
      </c>
      <c r="E12" s="123">
        <v>36.28</v>
      </c>
      <c r="F12" s="123">
        <v>31.388999999999999</v>
      </c>
      <c r="G12" s="123">
        <v>52.448999999999998</v>
      </c>
      <c r="H12" s="123">
        <v>67.182000000000002</v>
      </c>
      <c r="I12" s="92" t="s">
        <v>6</v>
      </c>
    </row>
    <row r="13" spans="1:21" ht="21.75" customHeight="1" x14ac:dyDescent="0.4">
      <c r="A13" s="121" t="s">
        <v>41</v>
      </c>
      <c r="B13" s="122">
        <v>11.2951</v>
      </c>
      <c r="C13" s="122">
        <f>15662.1/1000</f>
        <v>15.662100000000001</v>
      </c>
      <c r="D13" s="122">
        <v>22.3</v>
      </c>
      <c r="E13" s="123">
        <v>39.279000000000003</v>
      </c>
      <c r="F13" s="123">
        <v>34.36</v>
      </c>
      <c r="G13" s="123">
        <v>52.813000000000002</v>
      </c>
      <c r="H13" s="123">
        <v>64.546000000000006</v>
      </c>
      <c r="I13" s="92" t="s">
        <v>7</v>
      </c>
    </row>
    <row r="14" spans="1:21" ht="21.75" customHeight="1" x14ac:dyDescent="0.4">
      <c r="A14" s="121" t="s">
        <v>42</v>
      </c>
      <c r="B14" s="122">
        <v>12.038500000000001</v>
      </c>
      <c r="C14" s="122">
        <f>16729/1000</f>
        <v>16.728999999999999</v>
      </c>
      <c r="D14" s="122">
        <v>24.875</v>
      </c>
      <c r="E14" s="123">
        <v>37.287999999999997</v>
      </c>
      <c r="F14" s="123">
        <v>33.33</v>
      </c>
      <c r="G14" s="123">
        <v>53.771999999999998</v>
      </c>
      <c r="H14" s="123">
        <v>67.123999999999995</v>
      </c>
      <c r="I14" s="92" t="s">
        <v>43</v>
      </c>
    </row>
    <row r="15" spans="1:21" ht="21.75" customHeight="1" x14ac:dyDescent="0.4">
      <c r="A15" s="121" t="s">
        <v>44</v>
      </c>
      <c r="B15" s="122">
        <v>12.564</v>
      </c>
      <c r="C15" s="122">
        <f>16091.8/1000</f>
        <v>16.091799999999999</v>
      </c>
      <c r="D15" s="122">
        <v>23.678000000000001</v>
      </c>
      <c r="E15" s="123">
        <v>34.450000000000003</v>
      </c>
      <c r="F15" s="123">
        <v>35.142000000000003</v>
      </c>
      <c r="G15" s="123">
        <v>51.92</v>
      </c>
      <c r="H15" s="123">
        <v>60.133000000000003</v>
      </c>
      <c r="I15" s="92" t="s">
        <v>45</v>
      </c>
    </row>
    <row r="16" spans="1:21" ht="21.75" customHeight="1" x14ac:dyDescent="0.4">
      <c r="A16" s="121" t="s">
        <v>46</v>
      </c>
      <c r="B16" s="122">
        <v>13.288799999999998</v>
      </c>
      <c r="C16" s="122">
        <f>18183/1000</f>
        <v>18.183</v>
      </c>
      <c r="D16" s="122">
        <v>26.515999999999998</v>
      </c>
      <c r="E16" s="123">
        <v>32.64</v>
      </c>
      <c r="F16" s="123">
        <v>38.256999999999998</v>
      </c>
      <c r="G16" s="123">
        <v>52.387</v>
      </c>
      <c r="H16" s="123">
        <v>66.266000000000005</v>
      </c>
      <c r="I16" s="92" t="s">
        <v>47</v>
      </c>
    </row>
    <row r="17" spans="1:12" ht="21.75" customHeight="1" x14ac:dyDescent="0.4">
      <c r="A17" s="121" t="s">
        <v>48</v>
      </c>
      <c r="B17" s="122">
        <v>12.004200000000001</v>
      </c>
      <c r="C17" s="122">
        <f>16258.8/1000</f>
        <v>16.258800000000001</v>
      </c>
      <c r="D17" s="122">
        <v>23.587</v>
      </c>
      <c r="E17" s="123">
        <v>31.102</v>
      </c>
      <c r="F17" s="123">
        <v>39.124000000000002</v>
      </c>
      <c r="G17" s="123">
        <v>52.207999999999998</v>
      </c>
      <c r="H17" s="123">
        <v>65.510000000000005</v>
      </c>
      <c r="I17" s="92" t="s">
        <v>49</v>
      </c>
    </row>
    <row r="18" spans="1:12" ht="21.75" customHeight="1" x14ac:dyDescent="0.4">
      <c r="A18" s="124" t="s">
        <v>50</v>
      </c>
      <c r="B18" s="125">
        <v>13.9026</v>
      </c>
      <c r="C18" s="125">
        <f>16362.9/1000</f>
        <v>16.3629</v>
      </c>
      <c r="D18" s="125">
        <v>26.715</v>
      </c>
      <c r="E18" s="126">
        <v>31.763000000000002</v>
      </c>
      <c r="F18" s="126">
        <v>43.777999999999999</v>
      </c>
      <c r="G18" s="126">
        <v>60.314</v>
      </c>
      <c r="H18" s="126">
        <v>68.787999999999997</v>
      </c>
      <c r="I18" s="96" t="s">
        <v>51</v>
      </c>
    </row>
    <row r="19" spans="1:12" ht="15.75" x14ac:dyDescent="0.4">
      <c r="A19" s="61" t="s">
        <v>28</v>
      </c>
      <c r="I19" s="229" t="s">
        <v>27</v>
      </c>
    </row>
    <row r="21" spans="1:12" ht="15.75" x14ac:dyDescent="0.2"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</row>
  </sheetData>
  <mergeCells count="3">
    <mergeCell ref="A1:I1"/>
    <mergeCell ref="A2:I2"/>
    <mergeCell ref="A3:I3"/>
  </mergeCells>
  <pageMargins left="0.7" right="0.7" top="0.75" bottom="0.75" header="0.3" footer="0.3"/>
  <pageSetup paperSize="9" scale="10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35"/>
  <sheetViews>
    <sheetView zoomScaleNormal="100" workbookViewId="0">
      <selection activeCell="S14" sqref="S14"/>
    </sheetView>
  </sheetViews>
  <sheetFormatPr defaultColWidth="21.5703125" defaultRowHeight="12.75" x14ac:dyDescent="0.2"/>
  <cols>
    <col min="1" max="1" width="26.42578125" style="38" customWidth="1"/>
    <col min="2" max="4" width="8.140625" style="38" hidden="1" customWidth="1"/>
    <col min="5" max="8" width="10.28515625" style="38" hidden="1" customWidth="1"/>
    <col min="9" max="15" width="10.28515625" style="38" customWidth="1"/>
    <col min="16" max="16" width="31.140625" style="38" customWidth="1"/>
    <col min="17" max="16384" width="21.5703125" style="38"/>
  </cols>
  <sheetData>
    <row r="1" spans="1:16" ht="21" x14ac:dyDescent="0.2">
      <c r="A1" s="554" t="s">
        <v>66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</row>
    <row r="2" spans="1:16" ht="17.25" customHeight="1" x14ac:dyDescent="0.2">
      <c r="A2" s="544" t="s">
        <v>67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</row>
    <row r="3" spans="1:16" s="63" customFormat="1" x14ac:dyDescent="0.2">
      <c r="A3" s="127"/>
      <c r="B3" s="127"/>
      <c r="C3" s="127"/>
      <c r="D3" s="127"/>
      <c r="E3" s="127"/>
      <c r="F3" s="127"/>
      <c r="G3" s="127"/>
      <c r="H3" s="127"/>
      <c r="I3" s="128"/>
      <c r="J3" s="128"/>
      <c r="K3" s="128"/>
      <c r="L3" s="128"/>
      <c r="M3" s="128"/>
      <c r="N3" s="128"/>
      <c r="O3" s="128"/>
    </row>
    <row r="4" spans="1:16" s="130" customFormat="1" ht="19.5" customHeight="1" x14ac:dyDescent="0.25">
      <c r="A4" s="65" t="s">
        <v>13</v>
      </c>
      <c r="B4" s="65">
        <v>1999</v>
      </c>
      <c r="C4" s="65">
        <v>2000</v>
      </c>
      <c r="D4" s="65">
        <v>2004</v>
      </c>
      <c r="E4" s="65">
        <v>2005</v>
      </c>
      <c r="F4" s="65">
        <v>2006</v>
      </c>
      <c r="G4" s="65">
        <v>2007</v>
      </c>
      <c r="H4" s="65">
        <v>2008</v>
      </c>
      <c r="I4" s="65">
        <v>2009</v>
      </c>
      <c r="J4" s="65">
        <v>2010</v>
      </c>
      <c r="K4" s="65">
        <v>2011</v>
      </c>
      <c r="L4" s="65">
        <v>2012</v>
      </c>
      <c r="M4" s="65">
        <v>2013</v>
      </c>
      <c r="N4" s="65">
        <v>2014</v>
      </c>
      <c r="O4" s="65">
        <v>2015</v>
      </c>
      <c r="P4" s="129" t="s">
        <v>8</v>
      </c>
    </row>
    <row r="5" spans="1:16" s="130" customFormat="1" ht="21" customHeight="1" x14ac:dyDescent="0.4">
      <c r="A5" s="131" t="s">
        <v>53</v>
      </c>
      <c r="B5" s="132">
        <v>10412</v>
      </c>
      <c r="C5" s="132">
        <v>11144</v>
      </c>
      <c r="D5" s="132">
        <v>15059</v>
      </c>
      <c r="E5" s="133">
        <v>16425</v>
      </c>
      <c r="F5" s="133">
        <v>18071</v>
      </c>
      <c r="G5" s="133">
        <v>19886</v>
      </c>
      <c r="H5" s="133">
        <f t="shared" ref="H5:M5" si="0">SUM(H6:H9)</f>
        <v>21574</v>
      </c>
      <c r="I5" s="133">
        <f t="shared" si="0"/>
        <v>24513</v>
      </c>
      <c r="J5" s="133">
        <f t="shared" si="0"/>
        <v>24965</v>
      </c>
      <c r="K5" s="133">
        <f t="shared" si="0"/>
        <v>26527</v>
      </c>
      <c r="L5" s="133">
        <f t="shared" si="0"/>
        <v>27867</v>
      </c>
      <c r="M5" s="133">
        <f t="shared" si="0"/>
        <v>29287</v>
      </c>
      <c r="N5" s="133">
        <f t="shared" ref="N5:O5" si="1">SUM(N6:N9)</f>
        <v>30918</v>
      </c>
      <c r="O5" s="133">
        <f t="shared" si="1"/>
        <v>32272</v>
      </c>
      <c r="P5" s="134" t="s">
        <v>15</v>
      </c>
    </row>
    <row r="6" spans="1:16" s="130" customFormat="1" ht="21" customHeight="1" x14ac:dyDescent="0.4">
      <c r="A6" s="130" t="s">
        <v>16</v>
      </c>
      <c r="B6" s="135">
        <v>9461</v>
      </c>
      <c r="C6" s="135">
        <v>10044</v>
      </c>
      <c r="D6" s="135">
        <v>13257</v>
      </c>
      <c r="E6" s="136">
        <v>14601</v>
      </c>
      <c r="F6" s="136">
        <v>16175</v>
      </c>
      <c r="G6" s="136">
        <v>17856</v>
      </c>
      <c r="H6" s="136">
        <v>19438</v>
      </c>
      <c r="I6" s="136">
        <v>22130</v>
      </c>
      <c r="J6" s="136">
        <v>22389</v>
      </c>
      <c r="K6" s="136">
        <v>23755</v>
      </c>
      <c r="L6" s="136">
        <v>24955</v>
      </c>
      <c r="M6" s="136">
        <v>26121</v>
      </c>
      <c r="N6" s="136">
        <v>27536</v>
      </c>
      <c r="O6" s="136">
        <v>28660</v>
      </c>
      <c r="P6" s="137" t="s">
        <v>17</v>
      </c>
    </row>
    <row r="7" spans="1:16" s="130" customFormat="1" ht="21" customHeight="1" x14ac:dyDescent="0.4">
      <c r="A7" s="130" t="s">
        <v>18</v>
      </c>
      <c r="B7" s="135">
        <v>296</v>
      </c>
      <c r="C7" s="135">
        <v>330</v>
      </c>
      <c r="D7" s="135">
        <v>410</v>
      </c>
      <c r="E7" s="136">
        <v>438</v>
      </c>
      <c r="F7" s="136">
        <v>451</v>
      </c>
      <c r="G7" s="136">
        <v>487</v>
      </c>
      <c r="H7" s="136">
        <v>513</v>
      </c>
      <c r="I7" s="136">
        <v>543</v>
      </c>
      <c r="J7" s="136">
        <v>544</v>
      </c>
      <c r="K7" s="136">
        <v>553</v>
      </c>
      <c r="L7" s="136">
        <v>559</v>
      </c>
      <c r="M7" s="136">
        <v>579</v>
      </c>
      <c r="N7" s="136">
        <v>580</v>
      </c>
      <c r="O7" s="136">
        <v>614</v>
      </c>
      <c r="P7" s="137" t="s">
        <v>19</v>
      </c>
    </row>
    <row r="8" spans="1:16" s="130" customFormat="1" ht="21" customHeight="1" x14ac:dyDescent="0.4">
      <c r="A8" s="130" t="s">
        <v>20</v>
      </c>
      <c r="B8" s="135">
        <v>640</v>
      </c>
      <c r="C8" s="135">
        <v>755</v>
      </c>
      <c r="D8" s="135">
        <v>1377</v>
      </c>
      <c r="E8" s="136">
        <v>1371</v>
      </c>
      <c r="F8" s="136">
        <v>1430</v>
      </c>
      <c r="G8" s="136">
        <v>1530</v>
      </c>
      <c r="H8" s="136">
        <v>1610</v>
      </c>
      <c r="I8" s="136">
        <v>1827</v>
      </c>
      <c r="J8" s="136">
        <v>2027</v>
      </c>
      <c r="K8" s="136">
        <v>2214</v>
      </c>
      <c r="L8" s="136">
        <v>2351</v>
      </c>
      <c r="M8" s="136">
        <v>2585</v>
      </c>
      <c r="N8" s="136">
        <v>2802</v>
      </c>
      <c r="O8" s="136">
        <v>2997</v>
      </c>
      <c r="P8" s="137" t="s">
        <v>21</v>
      </c>
    </row>
    <row r="9" spans="1:16" s="130" customFormat="1" ht="21" customHeight="1" x14ac:dyDescent="0.4">
      <c r="A9" s="138" t="s">
        <v>22</v>
      </c>
      <c r="B9" s="139">
        <v>15</v>
      </c>
      <c r="C9" s="139">
        <v>15</v>
      </c>
      <c r="D9" s="139">
        <v>15</v>
      </c>
      <c r="E9" s="140">
        <v>15</v>
      </c>
      <c r="F9" s="140">
        <v>15</v>
      </c>
      <c r="G9" s="140">
        <v>13</v>
      </c>
      <c r="H9" s="140">
        <v>13</v>
      </c>
      <c r="I9" s="140">
        <v>13</v>
      </c>
      <c r="J9" s="140">
        <v>5</v>
      </c>
      <c r="K9" s="140">
        <v>5</v>
      </c>
      <c r="L9" s="140">
        <v>2</v>
      </c>
      <c r="M9" s="140">
        <v>2</v>
      </c>
      <c r="N9" s="140">
        <v>0</v>
      </c>
      <c r="O9" s="140">
        <v>1</v>
      </c>
      <c r="P9" s="141" t="s">
        <v>23</v>
      </c>
    </row>
    <row r="10" spans="1:16" s="130" customFormat="1" ht="21" customHeight="1" x14ac:dyDescent="0.25">
      <c r="A10" s="142" t="s">
        <v>24</v>
      </c>
      <c r="B10" s="143">
        <v>100</v>
      </c>
      <c r="C10" s="132">
        <v>100</v>
      </c>
      <c r="D10" s="144">
        <v>100</v>
      </c>
      <c r="E10" s="133">
        <v>100</v>
      </c>
      <c r="F10" s="133">
        <v>100</v>
      </c>
      <c r="G10" s="133">
        <v>100</v>
      </c>
      <c r="H10" s="133">
        <f t="shared" ref="H10:M10" si="2">SUM(H11:H14)</f>
        <v>100</v>
      </c>
      <c r="I10" s="133">
        <f t="shared" si="2"/>
        <v>100.00000000000001</v>
      </c>
      <c r="J10" s="133">
        <f t="shared" si="2"/>
        <v>100</v>
      </c>
      <c r="K10" s="133">
        <f t="shared" si="2"/>
        <v>100</v>
      </c>
      <c r="L10" s="133">
        <f t="shared" si="2"/>
        <v>100</v>
      </c>
      <c r="M10" s="133">
        <f t="shared" si="2"/>
        <v>100.00000000000001</v>
      </c>
      <c r="N10" s="133">
        <f t="shared" ref="N10:O10" si="3">SUM(N11:N14)</f>
        <v>100</v>
      </c>
      <c r="O10" s="133">
        <f t="shared" si="3"/>
        <v>100</v>
      </c>
      <c r="P10" s="145" t="s">
        <v>0</v>
      </c>
    </row>
    <row r="11" spans="1:16" s="130" customFormat="1" ht="21" customHeight="1" x14ac:dyDescent="0.4">
      <c r="A11" s="130" t="s">
        <v>16</v>
      </c>
      <c r="B11" s="146">
        <v>90.866308106031497</v>
      </c>
      <c r="C11" s="146">
        <v>90.129217516152195</v>
      </c>
      <c r="D11" s="147">
        <v>88.033733979679923</v>
      </c>
      <c r="E11" s="136">
        <v>88.894977168949779</v>
      </c>
      <c r="F11" s="136">
        <v>89.508051574345643</v>
      </c>
      <c r="G11" s="136">
        <v>89.791813336015295</v>
      </c>
      <c r="H11" s="136">
        <f t="shared" ref="H11:L11" si="4">H6/H5*100</f>
        <v>90.099193473625661</v>
      </c>
      <c r="I11" s="136">
        <f t="shared" si="4"/>
        <v>90.278627666952232</v>
      </c>
      <c r="J11" s="136">
        <f t="shared" si="4"/>
        <v>89.681554175846188</v>
      </c>
      <c r="K11" s="136">
        <f t="shared" si="4"/>
        <v>89.550269536698451</v>
      </c>
      <c r="L11" s="136">
        <f t="shared" si="4"/>
        <v>89.550364230092939</v>
      </c>
      <c r="M11" s="136">
        <f>M6/M5*100</f>
        <v>89.189742889336571</v>
      </c>
      <c r="N11" s="136">
        <f>N6/N5*100</f>
        <v>89.061388188110485</v>
      </c>
      <c r="O11" s="136">
        <f>O6/O5*100</f>
        <v>88.807635101636095</v>
      </c>
      <c r="P11" s="137" t="s">
        <v>17</v>
      </c>
    </row>
    <row r="12" spans="1:16" s="130" customFormat="1" ht="21" customHeight="1" x14ac:dyDescent="0.4">
      <c r="A12" s="130" t="s">
        <v>18</v>
      </c>
      <c r="B12" s="146">
        <v>2.8428736073761045</v>
      </c>
      <c r="C12" s="146">
        <v>2.9612347451543433</v>
      </c>
      <c r="D12" s="147">
        <v>2.7226243442459661</v>
      </c>
      <c r="E12" s="136">
        <v>2.666666666666667</v>
      </c>
      <c r="F12" s="136">
        <v>2.4957113607437331</v>
      </c>
      <c r="G12" s="136">
        <v>2.4489590666800765</v>
      </c>
      <c r="H12" s="136">
        <f t="shared" ref="H12:L12" si="5">H7/H5*100</f>
        <v>2.3778622415870956</v>
      </c>
      <c r="I12" s="136">
        <f t="shared" si="5"/>
        <v>2.2151511442907843</v>
      </c>
      <c r="J12" s="136">
        <f t="shared" si="5"/>
        <v>2.1790506709393149</v>
      </c>
      <c r="K12" s="136">
        <f t="shared" si="5"/>
        <v>2.0846684510121762</v>
      </c>
      <c r="L12" s="136">
        <f t="shared" si="5"/>
        <v>2.0059568665446585</v>
      </c>
      <c r="M12" s="136">
        <f>M7/M5*100</f>
        <v>1.9769863762078739</v>
      </c>
      <c r="N12" s="136">
        <f>N7/N5*100</f>
        <v>1.8759298790348666</v>
      </c>
      <c r="O12" s="136">
        <f>O7/O5*100</f>
        <v>1.902578086266733</v>
      </c>
      <c r="P12" s="137" t="s">
        <v>19</v>
      </c>
    </row>
    <row r="13" spans="1:16" s="130" customFormat="1" ht="21" customHeight="1" x14ac:dyDescent="0.4">
      <c r="A13" s="130" t="s">
        <v>20</v>
      </c>
      <c r="B13" s="146">
        <v>6.1467537456780637</v>
      </c>
      <c r="C13" s="146">
        <v>6.7749461593682696</v>
      </c>
      <c r="D13" s="147">
        <v>9.1440334683577937</v>
      </c>
      <c r="E13" s="136">
        <v>8.3470319634703198</v>
      </c>
      <c r="F13" s="136">
        <v>7.9132311438215934</v>
      </c>
      <c r="G13" s="136">
        <v>7.6938549733480839</v>
      </c>
      <c r="H13" s="136">
        <f t="shared" ref="H13:M13" si="6">H8/H5*100</f>
        <v>7.4626865671641784</v>
      </c>
      <c r="I13" s="136">
        <f t="shared" si="6"/>
        <v>7.453188104271204</v>
      </c>
      <c r="J13" s="136">
        <f t="shared" si="6"/>
        <v>8.1193671139595427</v>
      </c>
      <c r="K13" s="136">
        <f t="shared" si="6"/>
        <v>8.346213292117465</v>
      </c>
      <c r="L13" s="136">
        <f t="shared" si="6"/>
        <v>8.4365019557182332</v>
      </c>
      <c r="M13" s="136">
        <f t="shared" si="6"/>
        <v>8.82644176597125</v>
      </c>
      <c r="N13" s="136">
        <f t="shared" ref="N13:O13" si="7">N8/N5*100</f>
        <v>9.0626819328546482</v>
      </c>
      <c r="O13" s="136">
        <f t="shared" si="7"/>
        <v>9.2866881507188896</v>
      </c>
      <c r="P13" s="137" t="s">
        <v>21</v>
      </c>
    </row>
    <row r="14" spans="1:16" s="130" customFormat="1" ht="21" customHeight="1" x14ac:dyDescent="0.4">
      <c r="A14" s="138" t="s">
        <v>22</v>
      </c>
      <c r="B14" s="148">
        <v>0.14406454091432963</v>
      </c>
      <c r="C14" s="148">
        <v>0.13460157932519742</v>
      </c>
      <c r="D14" s="149">
        <v>9.9608207716315816E-2</v>
      </c>
      <c r="E14" s="140">
        <v>9.1324200913242004E-2</v>
      </c>
      <c r="F14" s="140">
        <v>8.300592108903769E-2</v>
      </c>
      <c r="G14" s="140">
        <v>6.5372623956552342E-2</v>
      </c>
      <c r="H14" s="140">
        <f t="shared" ref="H14:L14" si="8">H9/H5*100</f>
        <v>6.0257717623064797E-2</v>
      </c>
      <c r="I14" s="140">
        <f t="shared" si="8"/>
        <v>5.3033084485783061E-2</v>
      </c>
      <c r="J14" s="140">
        <f t="shared" si="8"/>
        <v>2.0028039254956942E-2</v>
      </c>
      <c r="K14" s="140">
        <f t="shared" si="8"/>
        <v>1.8848720171900327E-2</v>
      </c>
      <c r="L14" s="140">
        <f t="shared" si="8"/>
        <v>7.1769476441669354E-3</v>
      </c>
      <c r="M14" s="140">
        <f>M9/M5*100</f>
        <v>6.8289684843104454E-3</v>
      </c>
      <c r="N14" s="140">
        <f>N9/N5*100</f>
        <v>0</v>
      </c>
      <c r="O14" s="140">
        <f>O9/O5*100</f>
        <v>3.0986613782845807E-3</v>
      </c>
      <c r="P14" s="141" t="s">
        <v>23</v>
      </c>
    </row>
    <row r="15" spans="1:16" s="130" customFormat="1" ht="21" customHeight="1" x14ac:dyDescent="0.25">
      <c r="A15" s="150" t="s">
        <v>1</v>
      </c>
      <c r="B15" s="143">
        <v>4.9914288595341336</v>
      </c>
      <c r="C15" s="143">
        <v>7.0303495966192857</v>
      </c>
      <c r="D15" s="151">
        <v>7.433830348862096</v>
      </c>
      <c r="E15" s="133">
        <v>9.0709874493658269</v>
      </c>
      <c r="F15" s="133">
        <v>10.021308980213089</v>
      </c>
      <c r="G15" s="133">
        <v>10.043716451773561</v>
      </c>
      <c r="H15" s="133">
        <f t="shared" ref="H15:L18" si="9">(H5-G5)/G5*100</f>
        <v>8.4883837875892585</v>
      </c>
      <c r="I15" s="133">
        <f t="shared" si="9"/>
        <v>13.622879391860574</v>
      </c>
      <c r="J15" s="133">
        <f t="shared" si="9"/>
        <v>1.8439195528903032</v>
      </c>
      <c r="K15" s="133">
        <f t="shared" si="9"/>
        <v>6.2567594632485486</v>
      </c>
      <c r="L15" s="133">
        <f t="shared" si="9"/>
        <v>5.0514570060692874</v>
      </c>
      <c r="M15" s="133">
        <f t="shared" ref="M15:O19" si="10">(M5-L5)/L5*100</f>
        <v>5.095632827358525</v>
      </c>
      <c r="N15" s="133">
        <f t="shared" si="10"/>
        <v>5.5690237989551683</v>
      </c>
      <c r="O15" s="133">
        <f t="shared" si="10"/>
        <v>4.3793259589882911</v>
      </c>
      <c r="P15" s="145" t="s">
        <v>2</v>
      </c>
    </row>
    <row r="16" spans="1:16" s="130" customFormat="1" ht="21" customHeight="1" x14ac:dyDescent="0.4">
      <c r="A16" s="130" t="s">
        <v>16</v>
      </c>
      <c r="B16" s="146">
        <v>3.6254107338444688</v>
      </c>
      <c r="C16" s="146">
        <v>6.162139308741148</v>
      </c>
      <c r="D16" s="147">
        <v>6.5589582830962136</v>
      </c>
      <c r="E16" s="136">
        <v>10.138040280606472</v>
      </c>
      <c r="F16" s="136">
        <v>10.780083555920827</v>
      </c>
      <c r="G16" s="136">
        <v>10.39258114374034</v>
      </c>
      <c r="H16" s="136">
        <f t="shared" si="9"/>
        <v>8.8597670250896066</v>
      </c>
      <c r="I16" s="136">
        <f t="shared" si="9"/>
        <v>13.849161436361765</v>
      </c>
      <c r="J16" s="136">
        <f>(J5-I5)/I5*100</f>
        <v>1.8439195528903032</v>
      </c>
      <c r="K16" s="136">
        <f>(K5-J5)/J5*100</f>
        <v>6.2567594632485486</v>
      </c>
      <c r="L16" s="136">
        <f>(L5-K5)/K5*100</f>
        <v>5.0514570060692874</v>
      </c>
      <c r="M16" s="136">
        <f t="shared" si="10"/>
        <v>4.6724103386094971</v>
      </c>
      <c r="N16" s="136">
        <f t="shared" si="10"/>
        <v>5.417097354618889</v>
      </c>
      <c r="O16" s="136">
        <f t="shared" si="10"/>
        <v>4.0819291109819869</v>
      </c>
      <c r="P16" s="137" t="s">
        <v>17</v>
      </c>
    </row>
    <row r="17" spans="1:16" s="130" customFormat="1" ht="21" customHeight="1" x14ac:dyDescent="0.4">
      <c r="A17" s="130" t="s">
        <v>18</v>
      </c>
      <c r="B17" s="146">
        <v>12.121212121212121</v>
      </c>
      <c r="C17" s="146">
        <v>11.486486486486488</v>
      </c>
      <c r="D17" s="147">
        <v>6.2176165803108807</v>
      </c>
      <c r="E17" s="136">
        <v>6.8292682926829276</v>
      </c>
      <c r="F17" s="136">
        <v>2.968036529680365</v>
      </c>
      <c r="G17" s="136">
        <v>7.9822616407982254</v>
      </c>
      <c r="H17" s="136">
        <f t="shared" si="9"/>
        <v>5.3388090349075972</v>
      </c>
      <c r="I17" s="136">
        <f t="shared" si="9"/>
        <v>5.8479532163742682</v>
      </c>
      <c r="J17" s="136">
        <f t="shared" si="9"/>
        <v>0.18416206261510129</v>
      </c>
      <c r="K17" s="136">
        <f t="shared" si="9"/>
        <v>1.6544117647058825</v>
      </c>
      <c r="L17" s="136">
        <f t="shared" si="9"/>
        <v>1.0849909584086799</v>
      </c>
      <c r="M17" s="136">
        <f t="shared" si="10"/>
        <v>3.5778175313059033</v>
      </c>
      <c r="N17" s="136">
        <f t="shared" si="10"/>
        <v>0.17271157167530224</v>
      </c>
      <c r="O17" s="136">
        <f t="shared" si="10"/>
        <v>5.8620689655172411</v>
      </c>
      <c r="P17" s="137" t="s">
        <v>19</v>
      </c>
    </row>
    <row r="18" spans="1:16" s="130" customFormat="1" ht="21" customHeight="1" x14ac:dyDescent="0.4">
      <c r="A18" s="152" t="s">
        <v>20</v>
      </c>
      <c r="B18" s="153">
        <v>25.984251968503933</v>
      </c>
      <c r="C18" s="153">
        <v>17.96875</v>
      </c>
      <c r="D18" s="154">
        <v>17.191489361702128</v>
      </c>
      <c r="E18" s="155">
        <v>-0.4357298474945534</v>
      </c>
      <c r="F18" s="155">
        <v>4.3034281546316597</v>
      </c>
      <c r="G18" s="155">
        <v>6.9930069930069934</v>
      </c>
      <c r="H18" s="155">
        <f t="shared" si="9"/>
        <v>5.2287581699346406</v>
      </c>
      <c r="I18" s="155">
        <f t="shared" si="9"/>
        <v>13.478260869565217</v>
      </c>
      <c r="J18" s="155">
        <f t="shared" si="9"/>
        <v>10.946907498631637</v>
      </c>
      <c r="K18" s="155">
        <f t="shared" si="9"/>
        <v>9.2254563394178586</v>
      </c>
      <c r="L18" s="155">
        <f t="shared" si="9"/>
        <v>6.187895212285456</v>
      </c>
      <c r="M18" s="136">
        <f t="shared" si="10"/>
        <v>9.9532113994045091</v>
      </c>
      <c r="N18" s="136">
        <f t="shared" si="10"/>
        <v>8.3945841392649907</v>
      </c>
      <c r="O18" s="136">
        <f t="shared" si="10"/>
        <v>6.9593147751605997</v>
      </c>
      <c r="P18" s="137" t="s">
        <v>21</v>
      </c>
    </row>
    <row r="19" spans="1:16" s="130" customFormat="1" ht="21" customHeight="1" x14ac:dyDescent="0.4">
      <c r="A19" s="156" t="s">
        <v>22</v>
      </c>
      <c r="B19" s="157"/>
      <c r="C19" s="157"/>
      <c r="D19" s="158">
        <f t="shared" ref="D19:K19" si="11">((D9/C9)-1)*100</f>
        <v>0</v>
      </c>
      <c r="E19" s="159">
        <f t="shared" si="11"/>
        <v>0</v>
      </c>
      <c r="F19" s="159">
        <f t="shared" si="11"/>
        <v>0</v>
      </c>
      <c r="G19" s="159">
        <f t="shared" si="11"/>
        <v>-13.33333333333333</v>
      </c>
      <c r="H19" s="159">
        <f t="shared" si="11"/>
        <v>0</v>
      </c>
      <c r="I19" s="159">
        <f t="shared" si="11"/>
        <v>0</v>
      </c>
      <c r="J19" s="159">
        <f>((J9/I9)-1)*100</f>
        <v>-61.53846153846154</v>
      </c>
      <c r="K19" s="159">
        <f t="shared" si="11"/>
        <v>0</v>
      </c>
      <c r="L19" s="159">
        <f>((L9/K9)-1)*100</f>
        <v>-60</v>
      </c>
      <c r="M19" s="159">
        <f t="shared" si="10"/>
        <v>0</v>
      </c>
      <c r="N19" s="159">
        <f>(N9-M9)/M9*100</f>
        <v>-100</v>
      </c>
      <c r="O19" s="159">
        <v>0</v>
      </c>
      <c r="P19" s="160" t="s">
        <v>23</v>
      </c>
    </row>
    <row r="20" spans="1:16" ht="15.75" x14ac:dyDescent="0.4">
      <c r="A20" s="61" t="s">
        <v>28</v>
      </c>
      <c r="I20" s="161"/>
      <c r="P20" s="162" t="s">
        <v>27</v>
      </c>
    </row>
    <row r="21" spans="1:16" x14ac:dyDescent="0.2">
      <c r="F21" s="163"/>
      <c r="G21" s="163"/>
      <c r="H21" s="163"/>
      <c r="I21" s="163"/>
      <c r="J21" s="163"/>
      <c r="K21" s="163"/>
      <c r="L21" s="163"/>
      <c r="M21" s="163"/>
      <c r="N21" s="163"/>
      <c r="O21" s="163"/>
    </row>
    <row r="22" spans="1:16" x14ac:dyDescent="0.2">
      <c r="F22" s="163"/>
      <c r="G22" s="163"/>
      <c r="H22" s="163"/>
      <c r="I22" s="163"/>
      <c r="J22" s="163"/>
      <c r="K22" s="163"/>
      <c r="L22" s="163"/>
      <c r="M22" s="163"/>
      <c r="N22" s="163"/>
      <c r="O22" s="163"/>
    </row>
    <row r="23" spans="1:16" x14ac:dyDescent="0.2">
      <c r="F23" s="163"/>
      <c r="G23" s="163"/>
      <c r="H23" s="163"/>
      <c r="I23" s="163"/>
      <c r="J23" s="163"/>
      <c r="K23" s="163"/>
      <c r="L23" s="163"/>
      <c r="M23" s="163"/>
      <c r="N23" s="163"/>
      <c r="O23" s="163"/>
    </row>
    <row r="24" spans="1:16" x14ac:dyDescent="0.2">
      <c r="F24" s="163"/>
      <c r="G24" s="163"/>
      <c r="H24" s="163"/>
      <c r="I24" s="163"/>
      <c r="J24" s="163"/>
      <c r="K24" s="163"/>
      <c r="L24" s="163"/>
      <c r="M24" s="163"/>
      <c r="N24" s="163"/>
      <c r="O24" s="163"/>
    </row>
    <row r="25" spans="1:16" x14ac:dyDescent="0.2">
      <c r="F25" s="163"/>
      <c r="G25" s="163"/>
      <c r="H25" s="163"/>
      <c r="I25" s="163"/>
      <c r="J25" s="163"/>
      <c r="K25" s="163"/>
      <c r="L25" s="163"/>
      <c r="M25" s="163"/>
      <c r="N25" s="163"/>
      <c r="O25" s="163"/>
    </row>
    <row r="26" spans="1:16" x14ac:dyDescent="0.2">
      <c r="F26" s="163"/>
      <c r="G26" s="163"/>
      <c r="H26" s="163"/>
      <c r="I26" s="163"/>
      <c r="J26" s="163"/>
      <c r="K26" s="163"/>
      <c r="L26" s="163"/>
      <c r="M26" s="163"/>
      <c r="N26" s="163"/>
      <c r="O26" s="163"/>
    </row>
    <row r="27" spans="1:16" x14ac:dyDescent="0.2">
      <c r="F27" s="163"/>
      <c r="G27" s="163"/>
      <c r="H27" s="163"/>
      <c r="I27" s="163"/>
      <c r="J27" s="163"/>
      <c r="K27" s="163"/>
      <c r="L27" s="163"/>
      <c r="M27" s="163"/>
      <c r="N27" s="163"/>
      <c r="O27" s="163"/>
    </row>
    <row r="35" spans="8:16" s="164" customFormat="1" x14ac:dyDescent="0.2">
      <c r="H35" s="62"/>
      <c r="I35" s="62"/>
      <c r="J35" s="62"/>
      <c r="K35" s="62"/>
      <c r="L35" s="62"/>
      <c r="M35" s="62"/>
      <c r="N35" s="62"/>
      <c r="O35" s="62"/>
      <c r="P35" s="38"/>
    </row>
  </sheetData>
  <mergeCells count="2">
    <mergeCell ref="A1:P1"/>
    <mergeCell ref="A2:P2"/>
  </mergeCells>
  <pageMargins left="0.17" right="0.16" top="0.75" bottom="0.75" header="0.3" footer="0.3"/>
  <pageSetup paperSize="9" scale="9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2"/>
  <sheetViews>
    <sheetView zoomScaleNormal="100" workbookViewId="0">
      <selection activeCell="I36" sqref="I36"/>
    </sheetView>
  </sheetViews>
  <sheetFormatPr defaultColWidth="9.140625" defaultRowHeight="12.75" x14ac:dyDescent="0.2"/>
  <cols>
    <col min="1" max="1" width="19.5703125" style="98" customWidth="1"/>
    <col min="2" max="4" width="9.28515625" style="98" bestFit="1" customWidth="1"/>
    <col min="5" max="5" width="9.42578125" style="98" bestFit="1" customWidth="1"/>
    <col min="6" max="6" width="9.28515625" style="98" bestFit="1" customWidth="1"/>
    <col min="7" max="7" width="9.85546875" style="98" bestFit="1" customWidth="1"/>
    <col min="8" max="11" width="9.7109375" style="98" bestFit="1" customWidth="1"/>
    <col min="12" max="12" width="27.85546875" style="98" customWidth="1"/>
    <col min="13" max="13" width="4.5703125" style="98" customWidth="1"/>
    <col min="14" max="16384" width="9.140625" style="98"/>
  </cols>
  <sheetData>
    <row r="1" spans="1:16" ht="21" x14ac:dyDescent="0.2">
      <c r="A1" s="554" t="s">
        <v>68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165"/>
      <c r="N1" s="165"/>
      <c r="O1" s="165"/>
      <c r="P1" s="165"/>
    </row>
    <row r="2" spans="1:16" s="166" customFormat="1" ht="18.75" customHeight="1" x14ac:dyDescent="0.25">
      <c r="A2" s="556" t="s">
        <v>69</v>
      </c>
      <c r="B2" s="556"/>
      <c r="C2" s="556"/>
      <c r="D2" s="556"/>
      <c r="E2" s="556"/>
      <c r="F2" s="556"/>
      <c r="G2" s="556"/>
      <c r="H2" s="556"/>
      <c r="I2" s="556"/>
      <c r="J2" s="556"/>
      <c r="K2" s="556"/>
      <c r="L2" s="556"/>
    </row>
    <row r="3" spans="1:16" ht="15.75" x14ac:dyDescent="0.2">
      <c r="A3" s="167" t="s">
        <v>13</v>
      </c>
      <c r="B3" s="39">
        <v>2006</v>
      </c>
      <c r="C3" s="39">
        <v>2007</v>
      </c>
      <c r="D3" s="39">
        <v>2008</v>
      </c>
      <c r="E3" s="39">
        <v>2009</v>
      </c>
      <c r="F3" s="39">
        <v>2010</v>
      </c>
      <c r="G3" s="39">
        <v>2011</v>
      </c>
      <c r="H3" s="39">
        <v>2012</v>
      </c>
      <c r="I3" s="39">
        <v>2013</v>
      </c>
      <c r="J3" s="39">
        <v>2014</v>
      </c>
      <c r="K3" s="39">
        <v>2015</v>
      </c>
      <c r="L3" s="40" t="s">
        <v>8</v>
      </c>
    </row>
    <row r="4" spans="1:16" ht="24.75" customHeight="1" x14ac:dyDescent="0.2">
      <c r="A4" s="168" t="s">
        <v>29</v>
      </c>
      <c r="B4" s="50">
        <v>902</v>
      </c>
      <c r="C4" s="50">
        <v>979</v>
      </c>
      <c r="D4" s="50">
        <f t="shared" ref="D4:I4" si="0">SUM(D5:D7)</f>
        <v>1040</v>
      </c>
      <c r="E4" s="169">
        <f t="shared" si="0"/>
        <v>1139</v>
      </c>
      <c r="F4" s="169">
        <f t="shared" si="0"/>
        <v>1197</v>
      </c>
      <c r="G4" s="169">
        <f t="shared" si="0"/>
        <v>1300</v>
      </c>
      <c r="H4" s="169">
        <f t="shared" si="0"/>
        <v>1365</v>
      </c>
      <c r="I4" s="169">
        <f t="shared" si="0"/>
        <v>1432</v>
      </c>
      <c r="J4" s="169">
        <f t="shared" ref="J4:K4" si="1">SUM(J5:J7)</f>
        <v>1475</v>
      </c>
      <c r="K4" s="169">
        <f t="shared" si="1"/>
        <v>1547</v>
      </c>
      <c r="L4" s="51" t="s">
        <v>15</v>
      </c>
    </row>
    <row r="5" spans="1:16" ht="24.75" customHeight="1" x14ac:dyDescent="0.2">
      <c r="A5" s="170" t="s">
        <v>16</v>
      </c>
      <c r="B5" s="171">
        <v>818</v>
      </c>
      <c r="C5" s="44">
        <v>885</v>
      </c>
      <c r="D5" s="172">
        <v>943</v>
      </c>
      <c r="E5" s="172">
        <v>1037</v>
      </c>
      <c r="F5" s="172">
        <v>1103</v>
      </c>
      <c r="G5" s="172">
        <v>1185</v>
      </c>
      <c r="H5" s="172">
        <v>1241</v>
      </c>
      <c r="I5" s="172">
        <v>1297</v>
      </c>
      <c r="J5" s="172">
        <v>1339</v>
      </c>
      <c r="K5" s="172">
        <v>1396</v>
      </c>
      <c r="L5" s="69" t="s">
        <v>17</v>
      </c>
    </row>
    <row r="6" spans="1:16" ht="24.75" customHeight="1" x14ac:dyDescent="0.2">
      <c r="A6" s="170" t="s">
        <v>18</v>
      </c>
      <c r="B6" s="171">
        <v>62</v>
      </c>
      <c r="C6" s="173">
        <v>65</v>
      </c>
      <c r="D6" s="171">
        <v>66</v>
      </c>
      <c r="E6" s="173">
        <v>68</v>
      </c>
      <c r="F6" s="173">
        <v>57</v>
      </c>
      <c r="G6" s="173">
        <v>73</v>
      </c>
      <c r="H6" s="173">
        <v>72</v>
      </c>
      <c r="I6" s="173">
        <v>70</v>
      </c>
      <c r="J6" s="173">
        <v>68</v>
      </c>
      <c r="K6" s="173">
        <v>69</v>
      </c>
      <c r="L6" s="69" t="s">
        <v>19</v>
      </c>
    </row>
    <row r="7" spans="1:16" ht="24.75" customHeight="1" x14ac:dyDescent="0.2">
      <c r="A7" s="174" t="s">
        <v>20</v>
      </c>
      <c r="B7" s="175">
        <v>22</v>
      </c>
      <c r="C7" s="176">
        <v>29</v>
      </c>
      <c r="D7" s="175">
        <v>31</v>
      </c>
      <c r="E7" s="176">
        <v>34</v>
      </c>
      <c r="F7" s="176">
        <v>37</v>
      </c>
      <c r="G7" s="176">
        <v>42</v>
      </c>
      <c r="H7" s="176">
        <v>52</v>
      </c>
      <c r="I7" s="176">
        <v>65</v>
      </c>
      <c r="J7" s="176">
        <v>68</v>
      </c>
      <c r="K7" s="176">
        <v>82</v>
      </c>
      <c r="L7" s="177" t="s">
        <v>21</v>
      </c>
    </row>
    <row r="8" spans="1:16" ht="24.75" customHeight="1" x14ac:dyDescent="0.2">
      <c r="A8" s="168" t="s">
        <v>24</v>
      </c>
      <c r="B8" s="50">
        <v>100</v>
      </c>
      <c r="C8" s="50">
        <v>100</v>
      </c>
      <c r="D8" s="50">
        <f t="shared" ref="D8:I8" si="2">SUM(D9:D11)</f>
        <v>99.999999999999986</v>
      </c>
      <c r="E8" s="178">
        <f t="shared" si="2"/>
        <v>100</v>
      </c>
      <c r="F8" s="50">
        <f t="shared" si="2"/>
        <v>100</v>
      </c>
      <c r="G8" s="50">
        <f t="shared" si="2"/>
        <v>99.999999999999986</v>
      </c>
      <c r="H8" s="50">
        <f t="shared" si="2"/>
        <v>100</v>
      </c>
      <c r="I8" s="50">
        <f t="shared" si="2"/>
        <v>100.00000000000001</v>
      </c>
      <c r="J8" s="50">
        <f t="shared" ref="J8:K8" si="3">SUM(J9:J11)</f>
        <v>100</v>
      </c>
      <c r="K8" s="50">
        <f t="shared" si="3"/>
        <v>100</v>
      </c>
      <c r="L8" s="51" t="s">
        <v>0</v>
      </c>
    </row>
    <row r="9" spans="1:16" ht="24.75" customHeight="1" x14ac:dyDescent="0.2">
      <c r="A9" s="170" t="s">
        <v>16</v>
      </c>
      <c r="B9" s="171">
        <v>90.687361419068736</v>
      </c>
      <c r="C9" s="171">
        <v>90.398365679264558</v>
      </c>
      <c r="D9" s="171">
        <f t="shared" ref="D9:H9" si="4">D5/D4*100</f>
        <v>90.67307692307692</v>
      </c>
      <c r="E9" s="171">
        <f t="shared" si="4"/>
        <v>91.044776119402982</v>
      </c>
      <c r="F9" s="171">
        <f t="shared" si="4"/>
        <v>92.147034252297416</v>
      </c>
      <c r="G9" s="171">
        <f t="shared" si="4"/>
        <v>91.153846153846146</v>
      </c>
      <c r="H9" s="171">
        <f t="shared" si="4"/>
        <v>90.91575091575092</v>
      </c>
      <c r="I9" s="180">
        <f>I5/I4*100</f>
        <v>90.572625698324032</v>
      </c>
      <c r="J9" s="180">
        <f>J5/J4*100</f>
        <v>90.779661016949149</v>
      </c>
      <c r="K9" s="180">
        <f>K5/K4*100</f>
        <v>90.239172592113775</v>
      </c>
      <c r="L9" s="69" t="s">
        <v>17</v>
      </c>
    </row>
    <row r="10" spans="1:16" ht="24.75" customHeight="1" x14ac:dyDescent="0.2">
      <c r="A10" s="170" t="s">
        <v>18</v>
      </c>
      <c r="B10" s="171">
        <v>6.8736141906873618</v>
      </c>
      <c r="C10" s="171">
        <v>6.6394279877425948</v>
      </c>
      <c r="D10" s="171">
        <f t="shared" ref="D10:H10" si="5">D6/D4*100</f>
        <v>6.3461538461538458</v>
      </c>
      <c r="E10" s="171">
        <f t="shared" si="5"/>
        <v>5.9701492537313428</v>
      </c>
      <c r="F10" s="171">
        <f t="shared" si="5"/>
        <v>4.7619047619047619</v>
      </c>
      <c r="G10" s="171">
        <f t="shared" si="5"/>
        <v>5.615384615384615</v>
      </c>
      <c r="H10" s="171">
        <f t="shared" si="5"/>
        <v>5.2747252747252746</v>
      </c>
      <c r="I10" s="180">
        <f>I6/I4*100</f>
        <v>4.8882681564245809</v>
      </c>
      <c r="J10" s="180">
        <f>J6/J4*100</f>
        <v>4.6101694915254239</v>
      </c>
      <c r="K10" s="180">
        <f>K6/K4*100</f>
        <v>4.4602456367162251</v>
      </c>
      <c r="L10" s="69" t="s">
        <v>19</v>
      </c>
    </row>
    <row r="11" spans="1:16" ht="24.75" customHeight="1" x14ac:dyDescent="0.2">
      <c r="A11" s="174" t="s">
        <v>20</v>
      </c>
      <c r="B11" s="175">
        <v>2.4390243902439024</v>
      </c>
      <c r="C11" s="175">
        <v>2.9622063329928499</v>
      </c>
      <c r="D11" s="175">
        <f t="shared" ref="D11:I11" si="6">D7/D4*100</f>
        <v>2.9807692307692308</v>
      </c>
      <c r="E11" s="175">
        <f t="shared" si="6"/>
        <v>2.9850746268656714</v>
      </c>
      <c r="F11" s="175">
        <f t="shared" si="6"/>
        <v>3.091060985797828</v>
      </c>
      <c r="G11" s="175">
        <f t="shared" si="6"/>
        <v>3.2307692307692308</v>
      </c>
      <c r="H11" s="175">
        <f t="shared" si="6"/>
        <v>3.8095238095238098</v>
      </c>
      <c r="I11" s="175">
        <f t="shared" si="6"/>
        <v>4.539106145251397</v>
      </c>
      <c r="J11" s="175">
        <f t="shared" ref="J11:K11" si="7">J7/J4*100</f>
        <v>4.6101694915254239</v>
      </c>
      <c r="K11" s="175">
        <f t="shared" si="7"/>
        <v>5.3005817711700063</v>
      </c>
      <c r="L11" s="71" t="s">
        <v>21</v>
      </c>
    </row>
    <row r="12" spans="1:16" ht="24.75" customHeight="1" x14ac:dyDescent="0.2">
      <c r="A12" s="168" t="s">
        <v>1</v>
      </c>
      <c r="B12" s="179">
        <v>9.4660194174757279</v>
      </c>
      <c r="C12" s="50">
        <v>8.536585365853659</v>
      </c>
      <c r="D12" s="180">
        <f t="shared" ref="D12:H15" si="8">(D4-C4)/C4*100</f>
        <v>6.2308478038815114</v>
      </c>
      <c r="E12" s="179">
        <f t="shared" si="8"/>
        <v>9.5192307692307683</v>
      </c>
      <c r="F12" s="179">
        <f t="shared" si="8"/>
        <v>5.0921861281826164</v>
      </c>
      <c r="G12" s="179">
        <f t="shared" si="8"/>
        <v>8.6048454469507103</v>
      </c>
      <c r="H12" s="179">
        <f t="shared" si="8"/>
        <v>5</v>
      </c>
      <c r="I12" s="179">
        <f t="shared" ref="I12:K15" si="9">(I4-H4)/H4*100</f>
        <v>4.9084249084249088</v>
      </c>
      <c r="J12" s="179">
        <f t="shared" si="9"/>
        <v>3.0027932960893855</v>
      </c>
      <c r="K12" s="179">
        <f t="shared" si="9"/>
        <v>4.8813559322033901</v>
      </c>
      <c r="L12" s="51" t="s">
        <v>2</v>
      </c>
    </row>
    <row r="13" spans="1:16" ht="24.75" customHeight="1" x14ac:dyDescent="0.2">
      <c r="A13" s="181" t="s">
        <v>16</v>
      </c>
      <c r="B13" s="180">
        <v>10.242587601078167</v>
      </c>
      <c r="C13" s="171">
        <v>8.1907090464547672</v>
      </c>
      <c r="D13" s="180">
        <f t="shared" si="8"/>
        <v>6.5536723163841808</v>
      </c>
      <c r="E13" s="180">
        <f t="shared" si="8"/>
        <v>9.9681866383881221</v>
      </c>
      <c r="F13" s="180">
        <f t="shared" si="8"/>
        <v>6.3645130183220839</v>
      </c>
      <c r="G13" s="180">
        <f t="shared" si="8"/>
        <v>7.43427017225748</v>
      </c>
      <c r="H13" s="180">
        <f t="shared" si="8"/>
        <v>4.7257383966244726</v>
      </c>
      <c r="I13" s="180">
        <f t="shared" si="9"/>
        <v>4.5124899274778407</v>
      </c>
      <c r="J13" s="180">
        <f t="shared" si="9"/>
        <v>3.2382420971472627</v>
      </c>
      <c r="K13" s="180">
        <f t="shared" si="9"/>
        <v>4.2569081404032856</v>
      </c>
      <c r="L13" s="69" t="s">
        <v>17</v>
      </c>
    </row>
    <row r="14" spans="1:16" ht="24.75" customHeight="1" x14ac:dyDescent="0.2">
      <c r="A14" s="181" t="s">
        <v>18</v>
      </c>
      <c r="B14" s="180">
        <v>3.3333333333333335</v>
      </c>
      <c r="C14" s="171">
        <v>4.838709677419355</v>
      </c>
      <c r="D14" s="180">
        <f t="shared" si="8"/>
        <v>1.5384615384615385</v>
      </c>
      <c r="E14" s="180">
        <f t="shared" si="8"/>
        <v>3.0303030303030303</v>
      </c>
      <c r="F14" s="180">
        <f t="shared" si="8"/>
        <v>-16.176470588235293</v>
      </c>
      <c r="G14" s="180">
        <f t="shared" si="8"/>
        <v>28.07017543859649</v>
      </c>
      <c r="H14" s="180">
        <f t="shared" si="8"/>
        <v>-1.3698630136986301</v>
      </c>
      <c r="I14" s="180">
        <f t="shared" si="9"/>
        <v>-2.7777777777777777</v>
      </c>
      <c r="J14" s="180">
        <f t="shared" si="9"/>
        <v>-2.8571428571428572</v>
      </c>
      <c r="K14" s="180">
        <f t="shared" si="9"/>
        <v>1.4705882352941175</v>
      </c>
      <c r="L14" s="69" t="s">
        <v>19</v>
      </c>
    </row>
    <row r="15" spans="1:16" ht="24.75" customHeight="1" x14ac:dyDescent="0.2">
      <c r="A15" s="182" t="s">
        <v>20</v>
      </c>
      <c r="B15" s="57">
        <v>0</v>
      </c>
      <c r="C15" s="57">
        <v>31.818181818181817</v>
      </c>
      <c r="D15" s="57">
        <f t="shared" si="8"/>
        <v>6.8965517241379306</v>
      </c>
      <c r="E15" s="57">
        <f t="shared" si="8"/>
        <v>9.67741935483871</v>
      </c>
      <c r="F15" s="57">
        <f t="shared" si="8"/>
        <v>8.8235294117647065</v>
      </c>
      <c r="G15" s="57">
        <f t="shared" si="8"/>
        <v>13.513513513513514</v>
      </c>
      <c r="H15" s="57">
        <f t="shared" si="8"/>
        <v>23.809523809523807</v>
      </c>
      <c r="I15" s="57">
        <f t="shared" si="9"/>
        <v>25</v>
      </c>
      <c r="J15" s="57">
        <f t="shared" si="9"/>
        <v>4.6153846153846159</v>
      </c>
      <c r="K15" s="57">
        <f t="shared" si="9"/>
        <v>20.588235294117645</v>
      </c>
      <c r="L15" s="77" t="s">
        <v>21</v>
      </c>
    </row>
    <row r="16" spans="1:16" ht="15.75" x14ac:dyDescent="0.4">
      <c r="A16" s="61" t="s">
        <v>28</v>
      </c>
      <c r="B16" s="38"/>
      <c r="C16" s="38"/>
      <c r="D16" s="38"/>
      <c r="E16" s="38"/>
      <c r="F16" s="38"/>
      <c r="G16" s="38"/>
      <c r="H16" s="217"/>
      <c r="I16" s="217"/>
      <c r="J16" s="217"/>
      <c r="K16" s="229"/>
      <c r="L16" s="183" t="s">
        <v>27</v>
      </c>
    </row>
    <row r="18" spans="3:11" x14ac:dyDescent="0.2">
      <c r="C18" s="184"/>
      <c r="D18" s="184"/>
      <c r="E18" s="184"/>
      <c r="F18" s="184"/>
      <c r="G18" s="184"/>
      <c r="H18" s="184"/>
      <c r="I18" s="184"/>
      <c r="J18" s="184"/>
      <c r="K18" s="184"/>
    </row>
    <row r="19" spans="3:11" x14ac:dyDescent="0.2">
      <c r="C19" s="184"/>
      <c r="D19" s="184"/>
      <c r="E19" s="184"/>
      <c r="F19" s="184"/>
      <c r="G19" s="184"/>
      <c r="H19" s="184"/>
      <c r="I19" s="184"/>
      <c r="J19" s="184"/>
      <c r="K19" s="184"/>
    </row>
    <row r="20" spans="3:11" x14ac:dyDescent="0.2">
      <c r="C20" s="184"/>
      <c r="D20" s="184"/>
      <c r="E20" s="184"/>
      <c r="F20" s="184"/>
      <c r="G20" s="184"/>
      <c r="H20" s="184"/>
      <c r="I20" s="184"/>
      <c r="J20" s="184"/>
      <c r="K20" s="184"/>
    </row>
    <row r="21" spans="3:11" x14ac:dyDescent="0.2">
      <c r="C21" s="184"/>
      <c r="D21" s="184"/>
      <c r="E21" s="184"/>
      <c r="F21" s="184"/>
      <c r="G21" s="184"/>
      <c r="H21" s="184"/>
      <c r="I21" s="184"/>
      <c r="J21" s="184"/>
      <c r="K21" s="184"/>
    </row>
    <row r="22" spans="3:11" x14ac:dyDescent="0.2">
      <c r="C22" s="184"/>
      <c r="D22" s="184"/>
      <c r="E22" s="184"/>
      <c r="F22" s="184"/>
      <c r="G22" s="184"/>
      <c r="H22" s="184"/>
      <c r="I22" s="184"/>
      <c r="J22" s="184"/>
      <c r="K22" s="184"/>
    </row>
  </sheetData>
  <mergeCells count="2">
    <mergeCell ref="A1:L1"/>
    <mergeCell ref="A2:L2"/>
  </mergeCells>
  <pageMargins left="0.17" right="0.27" top="0.75" bottom="0.75" header="0.3" footer="0.3"/>
  <pageSetup paperSize="9" scale="9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6"/>
  <sheetViews>
    <sheetView zoomScaleNormal="100" workbookViewId="0">
      <selection activeCell="Q22" sqref="Q22"/>
    </sheetView>
  </sheetViews>
  <sheetFormatPr defaultColWidth="9.140625" defaultRowHeight="12.75" x14ac:dyDescent="0.2"/>
  <cols>
    <col min="1" max="1" width="26.7109375" style="38" customWidth="1"/>
    <col min="2" max="2" width="0" style="38" hidden="1" customWidth="1"/>
    <col min="3" max="10" width="11.140625" style="38" customWidth="1"/>
    <col min="11" max="11" width="30.85546875" style="38" customWidth="1"/>
    <col min="12" max="16384" width="9.140625" style="38"/>
  </cols>
  <sheetData>
    <row r="1" spans="1:11" s="98" customFormat="1" ht="21" x14ac:dyDescent="0.2">
      <c r="A1" s="554" t="s">
        <v>70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</row>
    <row r="2" spans="1:11" s="63" customFormat="1" ht="21" customHeight="1" x14ac:dyDescent="0.2">
      <c r="A2" s="557" t="s">
        <v>71</v>
      </c>
      <c r="B2" s="557"/>
      <c r="C2" s="557"/>
      <c r="D2" s="557"/>
      <c r="E2" s="557"/>
      <c r="F2" s="557"/>
      <c r="G2" s="557"/>
      <c r="H2" s="557"/>
      <c r="I2" s="557"/>
      <c r="J2" s="557"/>
      <c r="K2" s="557"/>
    </row>
    <row r="3" spans="1:11" s="63" customFormat="1" ht="18.75" customHeight="1" x14ac:dyDescent="0.2">
      <c r="A3" s="65" t="s">
        <v>13</v>
      </c>
      <c r="B3" s="65">
        <v>2007</v>
      </c>
      <c r="C3" s="65">
        <v>2008</v>
      </c>
      <c r="D3" s="65">
        <v>2009</v>
      </c>
      <c r="E3" s="65">
        <v>2010</v>
      </c>
      <c r="F3" s="65">
        <v>2011</v>
      </c>
      <c r="G3" s="65">
        <v>2012</v>
      </c>
      <c r="H3" s="65">
        <v>2013</v>
      </c>
      <c r="I3" s="65">
        <v>2014</v>
      </c>
      <c r="J3" s="65">
        <v>2015</v>
      </c>
      <c r="K3" s="185" t="s">
        <v>8</v>
      </c>
    </row>
    <row r="4" spans="1:11" s="63" customFormat="1" ht="18.75" customHeight="1" x14ac:dyDescent="0.2">
      <c r="A4" s="186" t="s">
        <v>29</v>
      </c>
      <c r="B4" s="187">
        <v>758</v>
      </c>
      <c r="C4" s="188">
        <f t="shared" ref="C4:F4" si="0">SUM(C5:C7)</f>
        <v>836</v>
      </c>
      <c r="D4" s="188">
        <f t="shared" si="0"/>
        <v>1509</v>
      </c>
      <c r="E4" s="188">
        <f>SUM(E5:E7)</f>
        <v>1632</v>
      </c>
      <c r="F4" s="188">
        <f t="shared" si="0"/>
        <v>1915</v>
      </c>
      <c r="G4" s="188">
        <f>SUM(G5:G7)</f>
        <v>2258</v>
      </c>
      <c r="H4" s="188">
        <f>SUM(H5:H7)</f>
        <v>3537</v>
      </c>
      <c r="I4" s="188">
        <f>SUM(I5:I7)</f>
        <v>4049</v>
      </c>
      <c r="J4" s="188">
        <f>SUM(J5:J7)</f>
        <v>4449</v>
      </c>
      <c r="K4" s="189" t="s">
        <v>15</v>
      </c>
    </row>
    <row r="5" spans="1:11" s="63" customFormat="1" ht="18.75" customHeight="1" x14ac:dyDescent="0.2">
      <c r="A5" s="190" t="s">
        <v>16</v>
      </c>
      <c r="B5" s="191">
        <v>662</v>
      </c>
      <c r="C5" s="192">
        <v>735</v>
      </c>
      <c r="D5" s="192">
        <v>1396</v>
      </c>
      <c r="E5" s="192">
        <v>1501</v>
      </c>
      <c r="F5" s="192">
        <v>1761</v>
      </c>
      <c r="G5" s="192">
        <v>2072</v>
      </c>
      <c r="H5" s="192">
        <v>3280</v>
      </c>
      <c r="I5" s="192">
        <v>3732</v>
      </c>
      <c r="J5" s="192">
        <v>3980</v>
      </c>
      <c r="K5" s="193" t="s">
        <v>17</v>
      </c>
    </row>
    <row r="6" spans="1:11" s="63" customFormat="1" ht="18.75" customHeight="1" x14ac:dyDescent="0.2">
      <c r="A6" s="190" t="s">
        <v>18</v>
      </c>
      <c r="B6" s="194">
        <v>23</v>
      </c>
      <c r="C6" s="192">
        <v>24</v>
      </c>
      <c r="D6" s="192">
        <v>24</v>
      </c>
      <c r="E6" s="192">
        <v>22</v>
      </c>
      <c r="F6" s="192">
        <v>21</v>
      </c>
      <c r="G6" s="192">
        <v>22</v>
      </c>
      <c r="H6" s="192">
        <v>26</v>
      </c>
      <c r="I6" s="192">
        <v>26</v>
      </c>
      <c r="J6" s="192">
        <v>38</v>
      </c>
      <c r="K6" s="193" t="s">
        <v>19</v>
      </c>
    </row>
    <row r="7" spans="1:11" s="63" customFormat="1" ht="18.75" customHeight="1" x14ac:dyDescent="0.2">
      <c r="A7" s="195" t="s">
        <v>20</v>
      </c>
      <c r="B7" s="194">
        <v>73</v>
      </c>
      <c r="C7" s="192">
        <v>77</v>
      </c>
      <c r="D7" s="192">
        <v>89</v>
      </c>
      <c r="E7" s="192">
        <v>109</v>
      </c>
      <c r="F7" s="192">
        <v>133</v>
      </c>
      <c r="G7" s="192">
        <v>164</v>
      </c>
      <c r="H7" s="192">
        <v>231</v>
      </c>
      <c r="I7" s="192">
        <v>291</v>
      </c>
      <c r="J7" s="192">
        <v>431</v>
      </c>
      <c r="K7" s="196" t="s">
        <v>21</v>
      </c>
    </row>
    <row r="8" spans="1:11" s="63" customFormat="1" ht="19.5" customHeight="1" x14ac:dyDescent="0.25">
      <c r="A8" s="186" t="s">
        <v>24</v>
      </c>
      <c r="B8" s="197">
        <f t="shared" ref="B8:G8" si="1">SUM(B9:B11)</f>
        <v>100</v>
      </c>
      <c r="C8" s="198">
        <f t="shared" si="1"/>
        <v>100</v>
      </c>
      <c r="D8" s="198">
        <f t="shared" si="1"/>
        <v>100.00000000000001</v>
      </c>
      <c r="E8" s="198">
        <f t="shared" si="1"/>
        <v>99.999999999999986</v>
      </c>
      <c r="F8" s="198">
        <f t="shared" si="1"/>
        <v>99.999999999999986</v>
      </c>
      <c r="G8" s="198">
        <f t="shared" si="1"/>
        <v>100</v>
      </c>
      <c r="H8" s="198">
        <f>SUM(H9:H11)</f>
        <v>100</v>
      </c>
      <c r="I8" s="198">
        <f>SUM(I9:I11)</f>
        <v>100</v>
      </c>
      <c r="J8" s="198">
        <f>SUM(J9:J11)</f>
        <v>100</v>
      </c>
      <c r="K8" s="189" t="s">
        <v>0</v>
      </c>
    </row>
    <row r="9" spans="1:11" ht="19.5" customHeight="1" x14ac:dyDescent="0.25">
      <c r="A9" s="190" t="s">
        <v>16</v>
      </c>
      <c r="B9" s="194">
        <f t="shared" ref="B9:F9" si="2">B5/B4*100</f>
        <v>87.335092348284959</v>
      </c>
      <c r="C9" s="74">
        <f t="shared" si="2"/>
        <v>87.918660287081337</v>
      </c>
      <c r="D9" s="74">
        <f t="shared" si="2"/>
        <v>92.511597084161707</v>
      </c>
      <c r="E9" s="74">
        <f t="shared" si="2"/>
        <v>91.973039215686271</v>
      </c>
      <c r="F9" s="74">
        <f t="shared" si="2"/>
        <v>91.958224543080931</v>
      </c>
      <c r="G9" s="74">
        <f>G5/G4*100</f>
        <v>91.762621789193972</v>
      </c>
      <c r="H9" s="74">
        <f>H5/H4*100</f>
        <v>92.733955329375178</v>
      </c>
      <c r="I9" s="74">
        <f>I5/I4*100</f>
        <v>92.170906396641143</v>
      </c>
      <c r="J9" s="74">
        <f>J5/J4*100</f>
        <v>89.458305237131938</v>
      </c>
      <c r="K9" s="193" t="s">
        <v>17</v>
      </c>
    </row>
    <row r="10" spans="1:11" ht="19.5" customHeight="1" x14ac:dyDescent="0.25">
      <c r="A10" s="190" t="s">
        <v>18</v>
      </c>
      <c r="B10" s="194">
        <f t="shared" ref="B10:F10" si="3">B6/B4*100</f>
        <v>3.0343007915567282</v>
      </c>
      <c r="C10" s="74">
        <f t="shared" si="3"/>
        <v>2.8708133971291865</v>
      </c>
      <c r="D10" s="74">
        <f t="shared" si="3"/>
        <v>1.5904572564612325</v>
      </c>
      <c r="E10" s="74">
        <f t="shared" si="3"/>
        <v>1.3480392156862746</v>
      </c>
      <c r="F10" s="74">
        <f t="shared" si="3"/>
        <v>1.0966057441253265</v>
      </c>
      <c r="G10" s="74">
        <f>G6/G4*100</f>
        <v>0.97431355181576607</v>
      </c>
      <c r="H10" s="74">
        <f>H6/H4*100</f>
        <v>0.7350862312694374</v>
      </c>
      <c r="I10" s="74">
        <f>I6/I4*100</f>
        <v>0.64213386021239816</v>
      </c>
      <c r="J10" s="74">
        <f>J6/J4*100</f>
        <v>0.85412452236457626</v>
      </c>
      <c r="K10" s="193" t="s">
        <v>19</v>
      </c>
    </row>
    <row r="11" spans="1:11" ht="19.5" customHeight="1" x14ac:dyDescent="0.25">
      <c r="A11" s="195" t="s">
        <v>20</v>
      </c>
      <c r="B11" s="199">
        <f t="shared" ref="B11:G11" si="4">B7/B4*100</f>
        <v>9.630606860158311</v>
      </c>
      <c r="C11" s="200">
        <f t="shared" si="4"/>
        <v>9.2105263157894726</v>
      </c>
      <c r="D11" s="200">
        <f t="shared" si="4"/>
        <v>5.8979456593770703</v>
      </c>
      <c r="E11" s="200">
        <f t="shared" si="4"/>
        <v>6.6789215686274508</v>
      </c>
      <c r="F11" s="200">
        <f t="shared" si="4"/>
        <v>6.9451697127937333</v>
      </c>
      <c r="G11" s="200">
        <f t="shared" si="4"/>
        <v>7.2630646589902561</v>
      </c>
      <c r="H11" s="200">
        <f>H7/H4*100</f>
        <v>6.5309584393553859</v>
      </c>
      <c r="I11" s="200">
        <f>I7/I4*100</f>
        <v>7.1869597431464562</v>
      </c>
      <c r="J11" s="200">
        <f>J7/J4*100</f>
        <v>9.6875702405034829</v>
      </c>
      <c r="K11" s="201" t="s">
        <v>21</v>
      </c>
    </row>
    <row r="12" spans="1:11" ht="19.5" customHeight="1" x14ac:dyDescent="0.25">
      <c r="A12" s="186" t="s">
        <v>1</v>
      </c>
      <c r="C12" s="202">
        <f t="shared" ref="C12:G15" si="5">(C4-B4)/B4*100</f>
        <v>10.29023746701847</v>
      </c>
      <c r="D12" s="202">
        <f t="shared" si="5"/>
        <v>80.502392344497608</v>
      </c>
      <c r="E12" s="202">
        <f t="shared" si="5"/>
        <v>8.1510934393638177</v>
      </c>
      <c r="F12" s="202">
        <f t="shared" si="5"/>
        <v>17.340686274509803</v>
      </c>
      <c r="G12" s="202">
        <f t="shared" si="5"/>
        <v>17.911227154046998</v>
      </c>
      <c r="H12" s="202">
        <f t="shared" ref="H12:J15" si="6">(H4-G4)/G4*100</f>
        <v>56.643046944198403</v>
      </c>
      <c r="I12" s="202">
        <f t="shared" si="6"/>
        <v>14.475544246536613</v>
      </c>
      <c r="J12" s="202">
        <f t="shared" si="6"/>
        <v>9.8789824648061249</v>
      </c>
      <c r="K12" s="189" t="s">
        <v>2</v>
      </c>
    </row>
    <row r="13" spans="1:11" ht="19.5" customHeight="1" x14ac:dyDescent="0.25">
      <c r="A13" s="203" t="s">
        <v>16</v>
      </c>
      <c r="C13" s="74">
        <f t="shared" si="5"/>
        <v>11.027190332326283</v>
      </c>
      <c r="D13" s="74">
        <f t="shared" si="5"/>
        <v>89.931972789115648</v>
      </c>
      <c r="E13" s="74">
        <f t="shared" si="5"/>
        <v>7.5214899713467052</v>
      </c>
      <c r="F13" s="74">
        <f t="shared" si="5"/>
        <v>17.321785476349099</v>
      </c>
      <c r="G13" s="74">
        <f>(G5-F5)/F5*100</f>
        <v>17.660420215786484</v>
      </c>
      <c r="H13" s="74">
        <f t="shared" si="6"/>
        <v>58.301158301158296</v>
      </c>
      <c r="I13" s="74">
        <f t="shared" si="6"/>
        <v>13.780487804878049</v>
      </c>
      <c r="J13" s="74">
        <f t="shared" si="6"/>
        <v>6.645230439442658</v>
      </c>
      <c r="K13" s="193" t="s">
        <v>17</v>
      </c>
    </row>
    <row r="14" spans="1:11" ht="19.5" customHeight="1" x14ac:dyDescent="0.25">
      <c r="A14" s="203" t="s">
        <v>18</v>
      </c>
      <c r="C14" s="74">
        <f t="shared" si="5"/>
        <v>4.3478260869565215</v>
      </c>
      <c r="D14" s="74">
        <f t="shared" si="5"/>
        <v>0</v>
      </c>
      <c r="E14" s="74">
        <f t="shared" si="5"/>
        <v>-8.3333333333333321</v>
      </c>
      <c r="F14" s="74">
        <f t="shared" si="5"/>
        <v>-4.5454545454545459</v>
      </c>
      <c r="G14" s="74">
        <f>(G6-F6)/F6*100</f>
        <v>4.7619047619047619</v>
      </c>
      <c r="H14" s="74">
        <f t="shared" si="6"/>
        <v>18.181818181818183</v>
      </c>
      <c r="I14" s="74">
        <f t="shared" si="6"/>
        <v>0</v>
      </c>
      <c r="J14" s="74">
        <f t="shared" si="6"/>
        <v>46.153846153846153</v>
      </c>
      <c r="K14" s="193" t="s">
        <v>19</v>
      </c>
    </row>
    <row r="15" spans="1:11" ht="19.5" customHeight="1" x14ac:dyDescent="0.25">
      <c r="A15" s="204" t="s">
        <v>20</v>
      </c>
      <c r="B15" s="205"/>
      <c r="C15" s="206">
        <f t="shared" si="5"/>
        <v>5.4794520547945202</v>
      </c>
      <c r="D15" s="206">
        <f t="shared" si="5"/>
        <v>15.584415584415584</v>
      </c>
      <c r="E15" s="206">
        <f t="shared" si="5"/>
        <v>22.471910112359549</v>
      </c>
      <c r="F15" s="206">
        <f t="shared" si="5"/>
        <v>22.018348623853214</v>
      </c>
      <c r="G15" s="206">
        <f>(G7-F7)/F7*100</f>
        <v>23.308270676691727</v>
      </c>
      <c r="H15" s="206">
        <f t="shared" si="6"/>
        <v>40.853658536585364</v>
      </c>
      <c r="I15" s="206">
        <f t="shared" si="6"/>
        <v>25.97402597402597</v>
      </c>
      <c r="J15" s="206">
        <f t="shared" si="6"/>
        <v>48.109965635738831</v>
      </c>
      <c r="K15" s="207" t="s">
        <v>21</v>
      </c>
    </row>
    <row r="16" spans="1:11" ht="15" x14ac:dyDescent="0.2">
      <c r="A16" s="61" t="s">
        <v>28</v>
      </c>
      <c r="K16" s="183" t="s">
        <v>27</v>
      </c>
    </row>
  </sheetData>
  <mergeCells count="2">
    <mergeCell ref="A1:K1"/>
    <mergeCell ref="A2:K2"/>
  </mergeCells>
  <pageMargins left="0.24" right="0.16" top="0.75" bottom="0.75" header="0.3" footer="0.3"/>
  <pageSetup paperSize="9" scale="9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0"/>
  <sheetViews>
    <sheetView workbookViewId="0">
      <selection activeCell="E26" sqref="E26"/>
    </sheetView>
  </sheetViews>
  <sheetFormatPr defaultColWidth="13.7109375" defaultRowHeight="15" x14ac:dyDescent="0.25"/>
  <cols>
    <col min="1" max="1" width="13.7109375" style="447"/>
    <col min="2" max="3" width="31.42578125" style="447" customWidth="1"/>
    <col min="4" max="16384" width="13.7109375" style="447"/>
  </cols>
  <sheetData>
    <row r="1" spans="1:9" ht="21" x14ac:dyDescent="0.25">
      <c r="A1" s="559" t="s">
        <v>256</v>
      </c>
      <c r="B1" s="559"/>
      <c r="C1" s="559"/>
      <c r="D1" s="452"/>
      <c r="E1" s="452"/>
      <c r="F1" s="452"/>
      <c r="G1" s="452"/>
      <c r="H1" s="452"/>
      <c r="I1" s="452"/>
    </row>
    <row r="2" spans="1:9" ht="21" customHeight="1" x14ac:dyDescent="0.25">
      <c r="A2" s="558" t="s">
        <v>257</v>
      </c>
      <c r="B2" s="558"/>
      <c r="C2" s="558"/>
    </row>
    <row r="3" spans="1:9" ht="24.75" customHeight="1" x14ac:dyDescent="0.25">
      <c r="A3" s="449" t="s">
        <v>258</v>
      </c>
      <c r="B3" s="460" t="s">
        <v>259</v>
      </c>
      <c r="C3" s="460" t="s">
        <v>260</v>
      </c>
    </row>
    <row r="4" spans="1:9" ht="35.25" customHeight="1" x14ac:dyDescent="0.25">
      <c r="A4" s="450">
        <v>2010</v>
      </c>
      <c r="B4" s="470">
        <v>2009557.9999999998</v>
      </c>
      <c r="C4" s="471">
        <v>13173088.289999999</v>
      </c>
    </row>
    <row r="5" spans="1:9" ht="35.25" customHeight="1" x14ac:dyDescent="0.25">
      <c r="A5" s="450">
        <v>2011</v>
      </c>
      <c r="B5" s="470">
        <v>2081223.12</v>
      </c>
      <c r="C5" s="471">
        <v>14666868.949999999</v>
      </c>
    </row>
    <row r="6" spans="1:9" ht="35.25" customHeight="1" x14ac:dyDescent="0.25">
      <c r="A6" s="451">
        <v>2012</v>
      </c>
      <c r="B6" s="471">
        <v>1715208.1800000002</v>
      </c>
      <c r="C6" s="471">
        <v>15798746.620000003</v>
      </c>
      <c r="D6" s="448"/>
      <c r="E6" s="448"/>
      <c r="F6" s="448"/>
      <c r="G6" s="448"/>
      <c r="H6" s="448"/>
      <c r="I6" s="448"/>
    </row>
    <row r="7" spans="1:9" ht="35.25" customHeight="1" x14ac:dyDescent="0.25">
      <c r="A7" s="451">
        <v>2013</v>
      </c>
      <c r="B7" s="471">
        <v>1259761.45</v>
      </c>
      <c r="C7" s="471">
        <v>15845468.489999998</v>
      </c>
      <c r="D7" s="448"/>
      <c r="E7" s="448"/>
      <c r="F7" s="448"/>
      <c r="G7" s="448"/>
      <c r="H7" s="448"/>
      <c r="I7" s="448"/>
    </row>
    <row r="8" spans="1:9" ht="35.25" customHeight="1" x14ac:dyDescent="0.25">
      <c r="A8" s="451">
        <v>2014</v>
      </c>
      <c r="B8" s="471">
        <v>4845905.5</v>
      </c>
      <c r="C8" s="471">
        <v>20187763.300000001</v>
      </c>
      <c r="D8" s="457"/>
      <c r="E8" s="457"/>
      <c r="F8" s="448"/>
      <c r="G8" s="448"/>
      <c r="H8" s="448"/>
      <c r="I8" s="448"/>
    </row>
    <row r="9" spans="1:9" ht="35.25" customHeight="1" x14ac:dyDescent="0.25">
      <c r="A9" s="458">
        <v>2015</v>
      </c>
      <c r="B9" s="472">
        <v>1401265.89</v>
      </c>
      <c r="C9" s="472">
        <v>17605233.93</v>
      </c>
      <c r="D9" s="457"/>
      <c r="E9" s="457"/>
      <c r="F9" s="448"/>
      <c r="G9" s="448"/>
      <c r="H9" s="448"/>
      <c r="I9" s="448"/>
    </row>
    <row r="10" spans="1:9" ht="18" x14ac:dyDescent="0.45">
      <c r="A10" s="453" t="s">
        <v>261</v>
      </c>
      <c r="B10" s="454"/>
      <c r="C10" s="455" t="s">
        <v>262</v>
      </c>
      <c r="D10" s="456"/>
      <c r="E10" s="456"/>
      <c r="F10" s="456"/>
      <c r="G10" s="456"/>
      <c r="H10" s="456"/>
      <c r="I10" s="456"/>
    </row>
  </sheetData>
  <mergeCells count="2">
    <mergeCell ref="A2:C2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29"/>
  <sheetViews>
    <sheetView workbookViewId="0">
      <selection activeCell="E26" sqref="E26"/>
    </sheetView>
  </sheetViews>
  <sheetFormatPr defaultRowHeight="15" x14ac:dyDescent="0.25"/>
  <cols>
    <col min="1" max="1" width="21.85546875" style="459" customWidth="1"/>
    <col min="2" max="3" width="24" style="459" customWidth="1"/>
    <col min="4" max="16384" width="9.140625" style="459"/>
  </cols>
  <sheetData>
    <row r="1" spans="1:3" ht="21" x14ac:dyDescent="0.25">
      <c r="A1" s="554" t="s">
        <v>263</v>
      </c>
      <c r="B1" s="554"/>
      <c r="C1" s="554"/>
    </row>
    <row r="2" spans="1:3" ht="15.75" x14ac:dyDescent="0.25">
      <c r="A2" s="560" t="s">
        <v>264</v>
      </c>
      <c r="B2" s="560"/>
      <c r="C2" s="560"/>
    </row>
    <row r="3" spans="1:3" x14ac:dyDescent="0.25">
      <c r="A3" s="462"/>
      <c r="B3" s="463"/>
      <c r="C3" s="463"/>
    </row>
    <row r="4" spans="1:3" ht="25.5" customHeight="1" x14ac:dyDescent="0.25">
      <c r="A4" s="5" t="s">
        <v>265</v>
      </c>
      <c r="B4" s="468" t="s">
        <v>266</v>
      </c>
      <c r="C4" s="468" t="s">
        <v>267</v>
      </c>
    </row>
    <row r="5" spans="1:3" x14ac:dyDescent="0.25">
      <c r="A5" s="465" t="s">
        <v>268</v>
      </c>
      <c r="B5" s="473">
        <v>1401265.8900000001</v>
      </c>
      <c r="C5" s="473">
        <v>17605233.929999996</v>
      </c>
    </row>
    <row r="6" spans="1:3" x14ac:dyDescent="0.25">
      <c r="A6" s="466" t="s">
        <v>269</v>
      </c>
      <c r="B6" s="474">
        <v>14660.93</v>
      </c>
      <c r="C6" s="474">
        <v>652092.75</v>
      </c>
    </row>
    <row r="7" spans="1:3" x14ac:dyDescent="0.25">
      <c r="A7" s="466" t="s">
        <v>270</v>
      </c>
      <c r="B7" s="474">
        <v>34296</v>
      </c>
      <c r="C7" s="474">
        <v>364613.94</v>
      </c>
    </row>
    <row r="8" spans="1:3" x14ac:dyDescent="0.25">
      <c r="A8" s="466" t="s">
        <v>271</v>
      </c>
      <c r="B8" s="474">
        <v>3700.61</v>
      </c>
      <c r="C8" s="474">
        <v>61233.64</v>
      </c>
    </row>
    <row r="9" spans="1:3" x14ac:dyDescent="0.25">
      <c r="A9" s="466" t="s">
        <v>272</v>
      </c>
      <c r="B9" s="474">
        <v>18626.88</v>
      </c>
      <c r="C9" s="474">
        <v>168302.27</v>
      </c>
    </row>
    <row r="10" spans="1:3" x14ac:dyDescent="0.25">
      <c r="A10" s="466" t="s">
        <v>273</v>
      </c>
      <c r="B10" s="474">
        <v>332787.12</v>
      </c>
      <c r="C10" s="474">
        <v>3284219.89</v>
      </c>
    </row>
    <row r="11" spans="1:3" x14ac:dyDescent="0.25">
      <c r="A11" s="466" t="s">
        <v>274</v>
      </c>
      <c r="B11" s="474">
        <v>580.25</v>
      </c>
      <c r="C11" s="474">
        <v>15437.37</v>
      </c>
    </row>
    <row r="12" spans="1:3" x14ac:dyDescent="0.25">
      <c r="A12" s="466" t="s">
        <v>275</v>
      </c>
      <c r="B12" s="474">
        <v>32169.88</v>
      </c>
      <c r="C12" s="474">
        <v>539696.93000000005</v>
      </c>
    </row>
    <row r="13" spans="1:3" x14ac:dyDescent="0.25">
      <c r="A13" s="466" t="s">
        <v>276</v>
      </c>
      <c r="B13" s="474">
        <v>548</v>
      </c>
      <c r="C13" s="474">
        <v>5292.66</v>
      </c>
    </row>
    <row r="14" spans="1:3" x14ac:dyDescent="0.25">
      <c r="A14" s="466" t="s">
        <v>277</v>
      </c>
      <c r="B14" s="474">
        <v>10</v>
      </c>
      <c r="C14" s="474">
        <v>49.1</v>
      </c>
    </row>
    <row r="15" spans="1:3" x14ac:dyDescent="0.25">
      <c r="A15" s="466" t="s">
        <v>278</v>
      </c>
      <c r="B15" s="474">
        <v>285939.59999999998</v>
      </c>
      <c r="C15" s="474">
        <v>3503702.55</v>
      </c>
    </row>
    <row r="16" spans="1:3" x14ac:dyDescent="0.25">
      <c r="A16" s="466" t="s">
        <v>279</v>
      </c>
      <c r="B16" s="474">
        <v>1168.5</v>
      </c>
      <c r="C16" s="474">
        <v>8497.1</v>
      </c>
    </row>
    <row r="17" spans="1:4" x14ac:dyDescent="0.25">
      <c r="A17" s="466" t="s">
        <v>280</v>
      </c>
      <c r="B17" s="474">
        <v>2874</v>
      </c>
      <c r="C17" s="474">
        <v>41809.449999999997</v>
      </c>
    </row>
    <row r="18" spans="1:4" x14ac:dyDescent="0.25">
      <c r="A18" s="466" t="s">
        <v>281</v>
      </c>
      <c r="B18" s="474">
        <v>12480</v>
      </c>
      <c r="C18" s="474">
        <v>361160.68</v>
      </c>
    </row>
    <row r="19" spans="1:4" x14ac:dyDescent="0.25">
      <c r="A19" s="466" t="s">
        <v>282</v>
      </c>
      <c r="B19" s="474">
        <v>192</v>
      </c>
      <c r="C19" s="474">
        <v>1474.32</v>
      </c>
    </row>
    <row r="20" spans="1:4" x14ac:dyDescent="0.25">
      <c r="A20" s="466" t="s">
        <v>283</v>
      </c>
      <c r="B20" s="474">
        <v>4856.49</v>
      </c>
      <c r="C20" s="474">
        <v>249110.27</v>
      </c>
    </row>
    <row r="21" spans="1:4" x14ac:dyDescent="0.25">
      <c r="A21" s="466" t="s">
        <v>284</v>
      </c>
      <c r="B21" s="474">
        <v>403.2</v>
      </c>
      <c r="C21" s="474">
        <v>26932.77</v>
      </c>
    </row>
    <row r="22" spans="1:4" x14ac:dyDescent="0.25">
      <c r="A22" s="466" t="s">
        <v>285</v>
      </c>
      <c r="B22" s="474">
        <v>465572.04</v>
      </c>
      <c r="C22" s="474">
        <v>2001571.59</v>
      </c>
    </row>
    <row r="23" spans="1:4" x14ac:dyDescent="0.25">
      <c r="A23" s="466" t="s">
        <v>286</v>
      </c>
      <c r="B23" s="474">
        <v>15840</v>
      </c>
      <c r="C23" s="474">
        <v>25153.95</v>
      </c>
    </row>
    <row r="24" spans="1:4" x14ac:dyDescent="0.25">
      <c r="A24" s="466" t="s">
        <v>287</v>
      </c>
      <c r="B24" s="474">
        <v>173.5</v>
      </c>
      <c r="C24" s="474">
        <v>19216.02</v>
      </c>
    </row>
    <row r="25" spans="1:4" x14ac:dyDescent="0.25">
      <c r="A25" s="466" t="s">
        <v>288</v>
      </c>
      <c r="B25" s="474">
        <v>351.6</v>
      </c>
      <c r="C25" s="474">
        <v>6297.68</v>
      </c>
    </row>
    <row r="26" spans="1:4" x14ac:dyDescent="0.25">
      <c r="A26" s="466" t="s">
        <v>289</v>
      </c>
      <c r="B26" s="474">
        <v>171705.04</v>
      </c>
      <c r="C26" s="474">
        <v>6098346.4100000001</v>
      </c>
    </row>
    <row r="27" spans="1:4" x14ac:dyDescent="0.25">
      <c r="A27" s="466" t="s">
        <v>290</v>
      </c>
      <c r="B27" s="474">
        <v>849</v>
      </c>
      <c r="C27" s="474">
        <v>26790.36</v>
      </c>
    </row>
    <row r="28" spans="1:4" x14ac:dyDescent="0.25">
      <c r="A28" s="469" t="s">
        <v>291</v>
      </c>
      <c r="B28" s="475">
        <v>1481.25</v>
      </c>
      <c r="C28" s="475">
        <v>144232.23000000001</v>
      </c>
    </row>
    <row r="29" spans="1:4" ht="18" x14ac:dyDescent="0.45">
      <c r="A29" s="467" t="s">
        <v>261</v>
      </c>
      <c r="B29" s="463"/>
      <c r="C29" s="461" t="s">
        <v>262</v>
      </c>
      <c r="D29" s="464"/>
    </row>
  </sheetData>
  <mergeCells count="2">
    <mergeCell ref="A1:C1"/>
    <mergeCell ref="A2:C2"/>
  </mergeCells>
  <pageMargins left="0.7" right="0.7" top="0.75" bottom="0.75" header="0.3" footer="0.3"/>
  <pageSetup paperSize="9" scale="10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12.1</vt:lpstr>
      <vt:lpstr>12.2</vt:lpstr>
      <vt:lpstr>12.3</vt:lpstr>
      <vt:lpstr>12.4</vt:lpstr>
      <vt:lpstr>12.5</vt:lpstr>
      <vt:lpstr>12.6</vt:lpstr>
      <vt:lpstr>12.8</vt:lpstr>
      <vt:lpstr>12.9</vt:lpstr>
      <vt:lpstr>12.10</vt:lpstr>
      <vt:lpstr>12.11</vt:lpstr>
      <vt:lpstr>12.12</vt:lpstr>
      <vt:lpstr>12.13</vt:lpstr>
      <vt:lpstr>12.14</vt:lpstr>
      <vt:lpstr>12.15</vt:lpstr>
      <vt:lpstr>12.16</vt:lpstr>
      <vt:lpstr>12.19</vt:lpstr>
      <vt:lpstr>12.20</vt:lpstr>
      <vt:lpstr>'12.1'!Print_Area</vt:lpstr>
      <vt:lpstr>'12.11'!Print_Area</vt:lpstr>
      <vt:lpstr>'12.12'!Print_Area</vt:lpstr>
      <vt:lpstr>'12.13'!Print_Area</vt:lpstr>
      <vt:lpstr>'12.14'!Print_Area</vt:lpstr>
      <vt:lpstr>'12.15'!Print_Area</vt:lpstr>
      <vt:lpstr>'12.3'!Print_Area</vt:lpstr>
      <vt:lpstr>'12.4'!Print_Area</vt:lpstr>
      <vt:lpstr>'12.6'!Print_Area</vt:lpstr>
      <vt:lpstr>'12.8'!Print_Area</vt:lpstr>
      <vt:lpstr>'12.4'!Print_Titles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2016-08-16T08:36:30Z</cp:lastPrinted>
  <dcterms:created xsi:type="dcterms:W3CDTF">2015-01-12T08:51:45Z</dcterms:created>
  <dcterms:modified xsi:type="dcterms:W3CDTF">2016-09-08T07:09:13Z</dcterms:modified>
</cp:coreProperties>
</file>