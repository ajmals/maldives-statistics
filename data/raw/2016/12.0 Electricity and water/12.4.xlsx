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90" yWindow="150" windowWidth="15255" windowHeight="8685" tabRatio="924" activeTab="1"/>
  </bookViews>
  <sheets>
    <sheet name="12.4" sheetId="20" r:id="rId1"/>
    <sheet name="12.5" sheetId="21" r:id="rId2"/>
  </sheets>
  <definedNames>
    <definedName name="_xlnm.Print_Area" localSheetId="0">'12.4'!$A$1:$P$38</definedName>
    <definedName name="_xlnm.Print_Area" localSheetId="1">'12.5'!$A$1:$H$19</definedName>
    <definedName name="_xlnm.Print_Titles" localSheetId="0">'12.4'!$4:$4</definedName>
  </definedNames>
  <calcPr calcId="144525"/>
</workbook>
</file>

<file path=xl/calcChain.xml><?xml version="1.0" encoding="utf-8"?>
<calcChain xmlns="http://schemas.openxmlformats.org/spreadsheetml/2006/main">
  <c r="C18" i="21" l="1"/>
  <c r="E17" i="21" s="1"/>
  <c r="D17" i="21"/>
  <c r="D16" i="21"/>
  <c r="D15" i="21"/>
  <c r="D14" i="21"/>
  <c r="D13" i="21"/>
  <c r="C11" i="21"/>
  <c r="E11" i="21" s="1"/>
  <c r="D10" i="21"/>
  <c r="D9" i="21"/>
  <c r="D8" i="21"/>
  <c r="D7" i="21"/>
  <c r="D6" i="21"/>
  <c r="B36" i="20"/>
  <c r="B35" i="20"/>
  <c r="B34" i="20"/>
  <c r="B33" i="20"/>
  <c r="B32" i="20"/>
  <c r="B31" i="20"/>
  <c r="B30" i="20"/>
  <c r="B29" i="20"/>
  <c r="B28" i="20"/>
  <c r="B27" i="20"/>
  <c r="B26" i="20"/>
  <c r="B25" i="20"/>
  <c r="B24" i="20"/>
  <c r="B23" i="20"/>
  <c r="B22" i="20"/>
  <c r="E21" i="20"/>
  <c r="C21" i="20"/>
  <c r="B20" i="20"/>
  <c r="B19" i="20"/>
  <c r="B18" i="20"/>
  <c r="B17" i="20"/>
  <c r="N16" i="20"/>
  <c r="N9" i="20" s="1"/>
  <c r="N5" i="20" s="1"/>
  <c r="M16" i="20"/>
  <c r="M9" i="20" s="1"/>
  <c r="M5" i="20" s="1"/>
  <c r="L16" i="20"/>
  <c r="L9" i="20" s="1"/>
  <c r="L5" i="20" s="1"/>
  <c r="K16" i="20"/>
  <c r="K9" i="20" s="1"/>
  <c r="K5" i="20" s="1"/>
  <c r="J16" i="20"/>
  <c r="I16" i="20"/>
  <c r="I9" i="20" s="1"/>
  <c r="I5" i="20" s="1"/>
  <c r="H16" i="20"/>
  <c r="H9" i="20" s="1"/>
  <c r="H5" i="20" s="1"/>
  <c r="G16" i="20"/>
  <c r="G9" i="20" s="1"/>
  <c r="G5" i="20" s="1"/>
  <c r="F16" i="20"/>
  <c r="F9" i="20" s="1"/>
  <c r="F5" i="20" s="1"/>
  <c r="E16" i="20"/>
  <c r="D16" i="20"/>
  <c r="D9" i="20" s="1"/>
  <c r="D5" i="20" s="1"/>
  <c r="C16" i="20"/>
  <c r="C9" i="20" s="1"/>
  <c r="C5" i="20" s="1"/>
  <c r="B15" i="20"/>
  <c r="B14" i="20"/>
  <c r="B13" i="20"/>
  <c r="B12" i="20"/>
  <c r="B11" i="20"/>
  <c r="B10" i="20"/>
  <c r="B8" i="20"/>
  <c r="B7" i="20"/>
  <c r="B6" i="20"/>
  <c r="E9" i="20" l="1"/>
  <c r="E5" i="20" s="1"/>
  <c r="B21" i="20"/>
  <c r="D11" i="21"/>
  <c r="F6" i="21" s="1"/>
  <c r="E8" i="21"/>
  <c r="F9" i="21"/>
  <c r="E9" i="21"/>
  <c r="B16" i="20"/>
  <c r="F17" i="21"/>
  <c r="F11" i="21"/>
  <c r="D18" i="21"/>
  <c r="E7" i="21"/>
  <c r="E13" i="21"/>
  <c r="E18" i="21"/>
  <c r="E10" i="21"/>
  <c r="E16" i="21"/>
  <c r="E14" i="21"/>
  <c r="E15" i="21"/>
  <c r="E6" i="21"/>
  <c r="J9" i="20"/>
  <c r="J5" i="20" s="1"/>
  <c r="B5" i="20" l="1"/>
  <c r="F10" i="21"/>
  <c r="F8" i="21"/>
  <c r="F7" i="21"/>
  <c r="B9" i="20"/>
  <c r="F16" i="21"/>
  <c r="F18" i="21"/>
  <c r="F15" i="21"/>
  <c r="F13" i="21"/>
  <c r="F14" i="21"/>
</calcChain>
</file>

<file path=xl/sharedStrings.xml><?xml version="1.0" encoding="utf-8"?>
<sst xmlns="http://schemas.openxmlformats.org/spreadsheetml/2006/main" count="136" uniqueCount="115">
  <si>
    <t xml:space="preserve"> % cnutogWviawfiheb</t>
  </si>
  <si>
    <t>wlcmuj</t>
  </si>
  <si>
    <t>Source: State Electric Company Limited</t>
  </si>
  <si>
    <t>cDeTimil Inepcmok ckircTckeliacTETcs :ctWrwf ivcaedutWmUluAwm</t>
  </si>
  <si>
    <t>Locality</t>
  </si>
  <si>
    <t>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</si>
  <si>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</si>
  <si>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</si>
  <si>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</si>
  <si>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</si>
  <si>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</si>
  <si>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</si>
  <si>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</si>
  <si>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</si>
  <si>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</si>
  <si>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</si>
  <si>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</si>
  <si>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</si>
  <si>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K.Male'</t>
  </si>
  <si>
    <t>ކ. މާލެ</t>
  </si>
  <si>
    <t>K.Villingili</t>
  </si>
  <si>
    <t>ކ. ވިލިނގިލި</t>
  </si>
  <si>
    <t>K.Hulhumale</t>
  </si>
  <si>
    <t>ކ. ހުޅުމާލެ</t>
  </si>
  <si>
    <t xml:space="preserve">Atoll </t>
  </si>
  <si>
    <t>އަތޮޅުތައް</t>
  </si>
  <si>
    <t>K.Kaashidhoo</t>
  </si>
  <si>
    <t>ކ. ކާށިދޫ</t>
  </si>
  <si>
    <t>K.Gaafaru</t>
  </si>
  <si>
    <t>ކ. ގާފަރު</t>
  </si>
  <si>
    <t>K.Dhiffushi</t>
  </si>
  <si>
    <t>ކ. ދިއްފުށި</t>
  </si>
  <si>
    <t>K.Thulusdhoo</t>
  </si>
  <si>
    <t>ކ. ތުލުސްދޫ</t>
  </si>
  <si>
    <t>K.Himmafushi</t>
  </si>
  <si>
    <t>ކ. ހިންމަފުށި</t>
  </si>
  <si>
    <t>K.Thilafushi</t>
  </si>
  <si>
    <t>ކ. ތިލަފުށި</t>
  </si>
  <si>
    <t>K.Gulhi</t>
  </si>
  <si>
    <t>ކ. ގުޅި</t>
  </si>
  <si>
    <t>K.Maafushi</t>
  </si>
  <si>
    <t>ކ. މާފުށި</t>
  </si>
  <si>
    <t>K.Guraidhoo</t>
  </si>
  <si>
    <t>ކ. ގުރައިދޫ</t>
  </si>
  <si>
    <t>AA.Ukulhas</t>
  </si>
  <si>
    <t>އއ.އުކުޅަސް</t>
  </si>
  <si>
    <t>AA.Mathiveri</t>
  </si>
  <si>
    <t>އއ.މަތިވެރި</t>
  </si>
  <si>
    <t>AA.Bodufolhudhoo</t>
  </si>
  <si>
    <t>އއ.ބޮޑުފުޅަދޫ</t>
  </si>
  <si>
    <t>AA.Feridhoo</t>
  </si>
  <si>
    <t>އއ.ފެރިދޫ</t>
  </si>
  <si>
    <t>AA.Maalhos</t>
  </si>
  <si>
    <t>އއ.މާޅޮސް</t>
  </si>
  <si>
    <t>AA.Himandhoo</t>
  </si>
  <si>
    <t>އއ.ހިމަންދޫ</t>
  </si>
  <si>
    <t>AA.Rasdhoo</t>
  </si>
  <si>
    <t>އއ.ރަސްދޫ</t>
  </si>
  <si>
    <t>AA.Thoddoo</t>
  </si>
  <si>
    <t>-</t>
  </si>
  <si>
    <t>އއ.ތޮއްޑޫ</t>
  </si>
  <si>
    <t>ADh.Omadhoo</t>
  </si>
  <si>
    <t>އދ.އޮމަދޫ</t>
  </si>
  <si>
    <t>ADh.Dhigurah</t>
  </si>
  <si>
    <t>އދ.ދިގުރަށް</t>
  </si>
  <si>
    <t>ADh.Fenfushi</t>
  </si>
  <si>
    <t>އދ.ފެންފުށި</t>
  </si>
  <si>
    <t>ADh.Mahibadhoo</t>
  </si>
  <si>
    <t>އދ.މަހިބަދޫ</t>
  </si>
  <si>
    <t>ADh.Hangnameedhoo</t>
  </si>
  <si>
    <t>އދ.ހަންޏާމީދޫ</t>
  </si>
  <si>
    <t>ADh.Dhihdhoo</t>
  </si>
  <si>
    <t>އދ.ދިއްދޫ</t>
  </si>
  <si>
    <t>V.Felidhoo</t>
  </si>
  <si>
    <t>ވ.ފެލިދޫ</t>
  </si>
  <si>
    <t>V.Fulidhoo</t>
  </si>
  <si>
    <t>ވ.ފުލިދޫ</t>
  </si>
  <si>
    <t>V.Thinadhoo</t>
  </si>
  <si>
    <t>ވ.ތިނަދޫ</t>
  </si>
  <si>
    <t>V.Keyodhoo</t>
  </si>
  <si>
    <t>ވ.ކެޔޮދޫ</t>
  </si>
  <si>
    <t>ތާވަލު 12.4: މާލެއާއި އަތޮޅުތަކުގައި ސަރުކާރުގެ ފަރާތުން ސަރުކާރުގެ ފަރާތުން އެކިމަސްމަހު ކަރަންޓް އުފެއްދުމަށްޓަކާ އަޑީތެޔޮ ބޭނުންކުރެވިފައިވާ މިންވަރު، 2015</t>
  </si>
  <si>
    <t>Table  12.4 :   MONTHLY CONSUMPTION OF LUBRICATION OIL FOR ELECTRICITY GENERATION IN SELECTED LOCALITIES BY PUBLIC SECTOR, 2015</t>
  </si>
  <si>
    <t>(In '000 litres)</t>
  </si>
  <si>
    <t>0..1</t>
  </si>
  <si>
    <t xml:space="preserve"> </t>
  </si>
  <si>
    <t>2015 ,urwvcnim unuverukcnunEb cTcnwrwk iawgElWm :12.5 ulwvWt</t>
  </si>
  <si>
    <t>TABLE 12.5 ELECTRICITY CONSUMPTION IN MALE',  2015</t>
  </si>
  <si>
    <t>Bands</t>
  </si>
  <si>
    <t>ރޭޓް</t>
  </si>
  <si>
    <t>ޖުމްލަ</t>
  </si>
  <si>
    <t>އަދަދު</t>
  </si>
  <si>
    <t>ބޭންޑް</t>
  </si>
  <si>
    <t>Total (Kwh)</t>
  </si>
  <si>
    <t>% Share of Quantity</t>
  </si>
  <si>
    <t>% Share of Value</t>
  </si>
  <si>
    <t>Domestic</t>
  </si>
  <si>
    <t>ގޭބިސީ</t>
  </si>
  <si>
    <t>0-100 units</t>
  </si>
  <si>
    <t>100 - 0</t>
  </si>
  <si>
    <t>101-300</t>
  </si>
  <si>
    <t>300 - 101</t>
  </si>
  <si>
    <t>301 -500</t>
  </si>
  <si>
    <t>500 - 301</t>
  </si>
  <si>
    <t>501-600</t>
  </si>
  <si>
    <t>600 - 501</t>
  </si>
  <si>
    <t>&gt; 600</t>
  </si>
  <si>
    <t>601އަށް ވުރެމަތި</t>
  </si>
  <si>
    <t>All bands</t>
  </si>
  <si>
    <t>ހުރިހާ ބޭންޑް</t>
  </si>
  <si>
    <t>Non-Domestic</t>
  </si>
  <si>
    <t>އޮފީސް އަދި އެހެނިހެން</t>
  </si>
  <si>
    <t>cDeTimil Inepcmok ckircTckeliacTETcs :ctWrwfivcaedutWmUluAwm</t>
  </si>
  <si>
    <t>Rates (MVR)</t>
  </si>
  <si>
    <t>Value (MVR)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</si>
</sst>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#,##0.0"/>
    <numFmt numFmtId="167" formatCode="0.0"/>
    <numFmt numFmtId="169" formatCode="General_)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9"/>
      <name val="A_Randhoo"/>
    </font>
    <font>
      <b/>
      <sz val="12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b/>
      <sz val="11"/>
      <name val="A_Randhoo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Faruma"/>
    </font>
    <font>
      <sz val="10"/>
      <name val="Garamond"/>
      <family val="1"/>
    </font>
    <font>
      <sz val="10"/>
      <name val="Faruma"/>
    </font>
    <font>
      <b/>
      <sz val="10"/>
      <name val="Faruma"/>
    </font>
    <font>
      <b/>
      <sz val="12"/>
      <color theme="1"/>
      <name val="Faruma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_Faseyha"/>
    </font>
    <font>
      <sz val="10"/>
      <color theme="1"/>
      <name val="Faruma"/>
    </font>
    <font>
      <sz val="9"/>
      <color theme="1"/>
      <name val="A_Faseyha"/>
    </font>
    <font>
      <i/>
      <sz val="10"/>
      <color theme="1"/>
      <name val="Arial"/>
      <family val="2"/>
    </font>
    <font>
      <b/>
      <sz val="9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name val="A_Faseyha"/>
    </font>
    <font>
      <b/>
      <sz val="11"/>
      <name val="A_Ilham"/>
    </font>
    <font>
      <b/>
      <u/>
      <sz val="11"/>
      <color theme="1"/>
      <name val="Calibri"/>
      <family val="2"/>
      <scheme val="minor"/>
    </font>
    <font>
      <sz val="11"/>
      <name val="Arial"/>
      <family val="2"/>
    </font>
    <font>
      <sz val="11"/>
      <name val="Faruma"/>
    </font>
    <font>
      <b/>
      <u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/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</cellStyleXfs>
  <cellXfs count="93">
    <xf numFmtId="0" fontId="0" fillId="0" borderId="0" xfId="0"/>
    <xf numFmtId="0" fontId="4" fillId="2" borderId="6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0" fontId="5" fillId="2" borderId="6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right" vertical="center"/>
    </xf>
    <xf numFmtId="0" fontId="20" fillId="2" borderId="11" xfId="0" applyFont="1" applyFill="1" applyBorder="1" applyAlignment="1">
      <alignment horizontal="right" vertical="center"/>
    </xf>
    <xf numFmtId="0" fontId="22" fillId="2" borderId="4" xfId="3" applyFont="1" applyFill="1" applyBorder="1" applyAlignment="1">
      <alignment vertical="center"/>
    </xf>
    <xf numFmtId="0" fontId="23" fillId="2" borderId="4" xfId="3" applyFont="1" applyFill="1" applyBorder="1" applyAlignment="1">
      <alignment vertical="center"/>
    </xf>
    <xf numFmtId="0" fontId="24" fillId="2" borderId="9" xfId="0" applyFont="1" applyFill="1" applyBorder="1" applyAlignment="1">
      <alignment horizontal="right" vertical="center"/>
    </xf>
    <xf numFmtId="0" fontId="10" fillId="2" borderId="6" xfId="0" applyFont="1" applyFill="1" applyBorder="1" applyAlignment="1">
      <alignment horizontal="left" vertical="center"/>
    </xf>
    <xf numFmtId="0" fontId="25" fillId="2" borderId="11" xfId="0" applyFont="1" applyFill="1" applyBorder="1" applyAlignment="1">
      <alignment horizontal="right" vertical="center"/>
    </xf>
    <xf numFmtId="0" fontId="10" fillId="2" borderId="7" xfId="0" applyFont="1" applyFill="1" applyBorder="1" applyAlignment="1">
      <alignment horizontal="left" vertical="center"/>
    </xf>
    <xf numFmtId="0" fontId="25" fillId="2" borderId="8" xfId="0" applyFont="1" applyFill="1" applyBorder="1" applyAlignment="1">
      <alignment horizontal="right" vertical="center"/>
    </xf>
    <xf numFmtId="0" fontId="12" fillId="2" borderId="4" xfId="3" applyFont="1" applyFill="1" applyBorder="1" applyAlignment="1">
      <alignment vertical="center"/>
    </xf>
    <xf numFmtId="0" fontId="11" fillId="2" borderId="3" xfId="3" applyFont="1" applyFill="1" applyBorder="1" applyAlignment="1">
      <alignment vertical="center"/>
    </xf>
    <xf numFmtId="0" fontId="11" fillId="2" borderId="3" xfId="3" applyFont="1" applyFill="1" applyBorder="1" applyAlignment="1">
      <alignment horizontal="right" vertical="center"/>
    </xf>
    <xf numFmtId="0" fontId="11" fillId="2" borderId="3" xfId="3" applyFont="1" applyFill="1" applyBorder="1" applyAlignment="1" applyProtection="1">
      <alignment horizontal="right" vertical="center"/>
    </xf>
    <xf numFmtId="0" fontId="13" fillId="2" borderId="3" xfId="3" applyFont="1" applyFill="1" applyBorder="1" applyAlignment="1">
      <alignment vertical="center"/>
    </xf>
    <xf numFmtId="0" fontId="13" fillId="2" borderId="4" xfId="3" applyFont="1" applyFill="1" applyBorder="1" applyAlignment="1">
      <alignment vertical="center"/>
    </xf>
    <xf numFmtId="165" fontId="11" fillId="2" borderId="4" xfId="1" applyNumberFormat="1" applyFont="1" applyFill="1" applyBorder="1" applyAlignment="1">
      <alignment horizontal="right" vertical="center"/>
    </xf>
    <xf numFmtId="0" fontId="29" fillId="2" borderId="4" xfId="3" applyFont="1" applyFill="1" applyBorder="1" applyAlignment="1">
      <alignment vertical="center"/>
    </xf>
    <xf numFmtId="166" fontId="4" fillId="2" borderId="4" xfId="0" applyNumberFormat="1" applyFont="1" applyFill="1" applyBorder="1" applyAlignment="1">
      <alignment horizontal="right" vertical="center"/>
    </xf>
    <xf numFmtId="167" fontId="29" fillId="2" borderId="4" xfId="3" applyNumberFormat="1" applyFont="1" applyFill="1" applyBorder="1" applyAlignment="1">
      <alignment vertical="center"/>
    </xf>
    <xf numFmtId="165" fontId="4" fillId="2" borderId="4" xfId="1" applyNumberFormat="1" applyFont="1" applyFill="1" applyBorder="1" applyAlignment="1">
      <alignment horizontal="right" vertical="center"/>
    </xf>
    <xf numFmtId="0" fontId="3" fillId="2" borderId="4" xfId="3" applyFont="1" applyFill="1" applyBorder="1" applyAlignment="1">
      <alignment vertical="center"/>
    </xf>
    <xf numFmtId="0" fontId="27" fillId="2" borderId="4" xfId="3" applyFont="1" applyFill="1" applyBorder="1" applyAlignment="1">
      <alignment vertical="center"/>
    </xf>
    <xf numFmtId="0" fontId="9" fillId="2" borderId="2" xfId="3" applyFont="1" applyFill="1" applyBorder="1" applyAlignment="1" applyProtection="1">
      <alignment horizontal="left" vertical="top"/>
    </xf>
    <xf numFmtId="0" fontId="26" fillId="2" borderId="0" xfId="0" applyFont="1" applyFill="1" applyBorder="1" applyAlignment="1">
      <alignment horizontal="right" vertical="top"/>
    </xf>
    <xf numFmtId="0" fontId="12" fillId="2" borderId="4" xfId="3" applyFont="1" applyFill="1" applyBorder="1" applyAlignment="1">
      <alignment vertical="top"/>
    </xf>
    <xf numFmtId="165" fontId="10" fillId="2" borderId="4" xfId="1" applyNumberFormat="1" applyFont="1" applyFill="1" applyBorder="1" applyAlignment="1">
      <alignment horizontal="right" vertical="center"/>
    </xf>
    <xf numFmtId="0" fontId="14" fillId="2" borderId="15" xfId="3" applyFont="1" applyFill="1" applyBorder="1" applyAlignment="1">
      <alignment vertical="center"/>
    </xf>
    <xf numFmtId="0" fontId="15" fillId="2" borderId="4" xfId="0" applyFont="1" applyFill="1" applyBorder="1"/>
    <xf numFmtId="0" fontId="5" fillId="2" borderId="4" xfId="0" applyFont="1" applyFill="1" applyBorder="1"/>
    <xf numFmtId="169" fontId="17" fillId="2" borderId="16" xfId="3" applyNumberFormat="1" applyFont="1" applyFill="1" applyBorder="1" applyAlignment="1">
      <alignment vertical="top" wrapText="1"/>
    </xf>
    <xf numFmtId="169" fontId="17" fillId="2" borderId="17" xfId="3" applyNumberFormat="1" applyFont="1" applyFill="1" applyBorder="1" applyAlignment="1">
      <alignment vertical="top" wrapText="1"/>
    </xf>
    <xf numFmtId="169" fontId="31" fillId="2" borderId="17" xfId="3" applyNumberFormat="1" applyFont="1" applyFill="1" applyBorder="1" applyAlignment="1">
      <alignment horizontal="right" vertical="top" wrapText="1"/>
    </xf>
    <xf numFmtId="169" fontId="16" fillId="2" borderId="19" xfId="3" applyNumberFormat="1" applyFont="1" applyFill="1" applyBorder="1" applyAlignment="1">
      <alignment horizontal="right" vertical="center"/>
    </xf>
    <xf numFmtId="169" fontId="32" fillId="2" borderId="2" xfId="0" applyNumberFormat="1" applyFont="1" applyFill="1" applyBorder="1"/>
    <xf numFmtId="43" fontId="15" fillId="2" borderId="4" xfId="4" applyFont="1" applyFill="1" applyBorder="1"/>
    <xf numFmtId="164" fontId="15" fillId="2" borderId="4" xfId="4" applyNumberFormat="1" applyFont="1" applyFill="1" applyBorder="1"/>
    <xf numFmtId="43" fontId="15" fillId="2" borderId="20" xfId="4" applyFont="1" applyFill="1" applyBorder="1"/>
    <xf numFmtId="43" fontId="33" fillId="2" borderId="20" xfId="4" applyFont="1" applyFill="1" applyBorder="1" applyAlignment="1">
      <alignment vertical="center" textRotation="90"/>
    </xf>
    <xf numFmtId="164" fontId="17" fillId="2" borderId="4" xfId="4" applyNumberFormat="1" applyFont="1" applyFill="1" applyBorder="1" applyAlignment="1">
      <alignment horizontal="right" vertical="center"/>
    </xf>
    <xf numFmtId="169" fontId="15" fillId="2" borderId="4" xfId="3" applyNumberFormat="1" applyFont="1" applyFill="1" applyBorder="1" applyAlignment="1" applyProtection="1">
      <alignment horizontal="left" vertical="center"/>
    </xf>
    <xf numFmtId="43" fontId="15" fillId="2" borderId="4" xfId="4" applyFont="1" applyFill="1" applyBorder="1" applyAlignment="1" applyProtection="1">
      <alignment horizontal="right" vertical="center"/>
    </xf>
    <xf numFmtId="165" fontId="15" fillId="2" borderId="4" xfId="4" applyNumberFormat="1" applyFont="1" applyFill="1" applyBorder="1" applyAlignment="1">
      <alignment horizontal="left" vertical="center" indent="7"/>
    </xf>
    <xf numFmtId="164" fontId="34" fillId="2" borderId="4" xfId="4" applyNumberFormat="1" applyFont="1" applyFill="1" applyBorder="1" applyAlignment="1">
      <alignment horizontal="right" vertical="center"/>
    </xf>
    <xf numFmtId="0" fontId="5" fillId="2" borderId="11" xfId="0" applyFont="1" applyFill="1" applyBorder="1"/>
    <xf numFmtId="0" fontId="5" fillId="2" borderId="6" xfId="0" applyFont="1" applyFill="1" applyBorder="1"/>
    <xf numFmtId="0" fontId="5" fillId="2" borderId="12" xfId="0" applyFont="1" applyFill="1" applyBorder="1"/>
    <xf numFmtId="169" fontId="16" fillId="2" borderId="4" xfId="3" applyNumberFormat="1" applyFont="1" applyFill="1" applyBorder="1" applyAlignment="1" applyProtection="1">
      <alignment horizontal="left" vertical="center"/>
    </xf>
    <xf numFmtId="43" fontId="2" fillId="2" borderId="4" xfId="4" applyFont="1" applyFill="1" applyBorder="1" applyAlignment="1">
      <alignment horizontal="right" vertical="center"/>
    </xf>
    <xf numFmtId="164" fontId="16" fillId="2" borderId="4" xfId="4" applyNumberFormat="1" applyFont="1" applyFill="1" applyBorder="1" applyAlignment="1">
      <alignment horizontal="right" vertical="center"/>
    </xf>
    <xf numFmtId="164" fontId="16" fillId="2" borderId="4" xfId="4" applyNumberFormat="1" applyFont="1" applyFill="1" applyBorder="1" applyAlignment="1">
      <alignment horizontal="left" vertical="center" indent="7"/>
    </xf>
    <xf numFmtId="169" fontId="35" fillId="2" borderId="4" xfId="3" applyNumberFormat="1" applyFont="1" applyFill="1" applyBorder="1" applyAlignment="1" applyProtection="1">
      <alignment horizontal="left" vertical="center"/>
    </xf>
    <xf numFmtId="43" fontId="15" fillId="2" borderId="4" xfId="4" applyFont="1" applyFill="1" applyBorder="1" applyAlignment="1">
      <alignment horizontal="right" vertical="center"/>
    </xf>
    <xf numFmtId="164" fontId="15" fillId="2" borderId="4" xfId="4" applyNumberFormat="1" applyFont="1" applyFill="1" applyBorder="1" applyAlignment="1">
      <alignment horizontal="right" vertical="center"/>
    </xf>
    <xf numFmtId="165" fontId="15" fillId="2" borderId="20" xfId="4" applyNumberFormat="1" applyFont="1" applyFill="1" applyBorder="1" applyAlignment="1">
      <alignment horizontal="left" vertical="center" indent="7"/>
    </xf>
    <xf numFmtId="165" fontId="33" fillId="2" borderId="20" xfId="4" applyNumberFormat="1" applyFont="1" applyFill="1" applyBorder="1" applyAlignment="1">
      <alignment horizontal="left" vertical="center" indent="7"/>
    </xf>
    <xf numFmtId="164" fontId="5" fillId="2" borderId="4" xfId="0" applyNumberFormat="1" applyFont="1" applyFill="1" applyBorder="1"/>
    <xf numFmtId="169" fontId="16" fillId="2" borderId="8" xfId="3" applyNumberFormat="1" applyFont="1" applyFill="1" applyBorder="1" applyAlignment="1" applyProtection="1">
      <alignment horizontal="left" vertical="center"/>
    </xf>
    <xf numFmtId="43" fontId="2" fillId="2" borderId="8" xfId="4" applyFont="1" applyFill="1" applyBorder="1" applyAlignment="1">
      <alignment horizontal="right" vertical="center"/>
    </xf>
    <xf numFmtId="164" fontId="16" fillId="2" borderId="8" xfId="4" applyNumberFormat="1" applyFont="1" applyFill="1" applyBorder="1" applyAlignment="1">
      <alignment horizontal="right" vertical="center"/>
    </xf>
    <xf numFmtId="164" fontId="16" fillId="2" borderId="8" xfId="4" applyNumberFormat="1" applyFont="1" applyFill="1" applyBorder="1" applyAlignment="1">
      <alignment horizontal="left" vertical="center" indent="7"/>
    </xf>
    <xf numFmtId="164" fontId="17" fillId="2" borderId="8" xfId="4" applyNumberFormat="1" applyFont="1" applyFill="1" applyBorder="1" applyAlignment="1">
      <alignment horizontal="right" vertical="center"/>
    </xf>
    <xf numFmtId="0" fontId="6" fillId="2" borderId="5" xfId="0" applyFont="1" applyFill="1" applyBorder="1" applyAlignment="1" applyProtection="1">
      <alignment horizontal="left" vertical="top"/>
    </xf>
    <xf numFmtId="43" fontId="2" fillId="2" borderId="0" xfId="4" applyFont="1" applyFill="1" applyBorder="1"/>
    <xf numFmtId="43" fontId="16" fillId="2" borderId="0" xfId="4" applyFont="1" applyFill="1" applyBorder="1"/>
    <xf numFmtId="0" fontId="7" fillId="2" borderId="0" xfId="0" applyFont="1" applyFill="1" applyBorder="1" applyAlignment="1">
      <alignment horizontal="right" vertical="top"/>
    </xf>
    <xf numFmtId="0" fontId="5" fillId="2" borderId="15" xfId="0" applyFont="1" applyFill="1" applyBorder="1"/>
    <xf numFmtId="43" fontId="5" fillId="2" borderId="4" xfId="4" applyFont="1" applyFill="1" applyBorder="1"/>
    <xf numFmtId="167" fontId="10" fillId="2" borderId="4" xfId="1" applyNumberFormat="1" applyFont="1" applyFill="1" applyBorder="1" applyAlignment="1">
      <alignment horizontal="right" vertical="center"/>
    </xf>
    <xf numFmtId="167" fontId="5" fillId="2" borderId="4" xfId="1" applyNumberFormat="1" applyFont="1" applyFill="1" applyBorder="1" applyAlignment="1">
      <alignment horizontal="right" vertical="center"/>
    </xf>
    <xf numFmtId="167" fontId="10" fillId="2" borderId="8" xfId="1" applyNumberFormat="1" applyFont="1" applyFill="1" applyBorder="1" applyAlignment="1">
      <alignment horizontal="right" vertical="center"/>
    </xf>
    <xf numFmtId="0" fontId="12" fillId="2" borderId="2" xfId="3" applyFont="1" applyFill="1" applyBorder="1" applyAlignment="1">
      <alignment vertical="center"/>
    </xf>
    <xf numFmtId="165" fontId="11" fillId="2" borderId="8" xfId="1" applyNumberFormat="1" applyFont="1" applyFill="1" applyBorder="1" applyAlignment="1">
      <alignment horizontal="right" vertical="center"/>
    </xf>
    <xf numFmtId="0" fontId="21" fillId="2" borderId="11" xfId="3" applyFont="1" applyFill="1" applyBorder="1" applyAlignment="1">
      <alignment horizontal="center" vertical="center"/>
    </xf>
    <xf numFmtId="0" fontId="21" fillId="2" borderId="12" xfId="3" applyFont="1" applyFill="1" applyBorder="1" applyAlignment="1">
      <alignment horizontal="center" vertical="center"/>
    </xf>
    <xf numFmtId="0" fontId="21" fillId="2" borderId="6" xfId="3" applyFont="1" applyFill="1" applyBorder="1" applyAlignment="1">
      <alignment horizontal="center" vertical="center"/>
    </xf>
    <xf numFmtId="0" fontId="11" fillId="2" borderId="11" xfId="3" applyFont="1" applyFill="1" applyBorder="1" applyAlignment="1" applyProtection="1">
      <alignment horizontal="center" vertical="center"/>
    </xf>
    <xf numFmtId="0" fontId="11" fillId="2" borderId="12" xfId="3" applyFont="1" applyFill="1" applyBorder="1" applyAlignment="1" applyProtection="1">
      <alignment horizontal="center" vertical="center"/>
    </xf>
    <xf numFmtId="0" fontId="11" fillId="2" borderId="6" xfId="3" applyFont="1" applyFill="1" applyBorder="1" applyAlignment="1" applyProtection="1">
      <alignment horizontal="center" vertical="center"/>
    </xf>
    <xf numFmtId="0" fontId="28" fillId="2" borderId="10" xfId="3" applyFont="1" applyFill="1" applyBorder="1" applyAlignment="1" applyProtection="1">
      <alignment horizontal="center" vertical="center"/>
    </xf>
    <xf numFmtId="0" fontId="28" fillId="2" borderId="13" xfId="3" applyFont="1" applyFill="1" applyBorder="1" applyAlignment="1" applyProtection="1">
      <alignment horizontal="center" vertical="center"/>
    </xf>
    <xf numFmtId="0" fontId="28" fillId="2" borderId="7" xfId="3" applyFont="1" applyFill="1" applyBorder="1" applyAlignment="1" applyProtection="1">
      <alignment horizontal="center" vertical="center"/>
    </xf>
    <xf numFmtId="0" fontId="30" fillId="2" borderId="15" xfId="3" applyFont="1" applyFill="1" applyBorder="1" applyAlignment="1">
      <alignment horizontal="center" vertical="center"/>
    </xf>
    <xf numFmtId="169" fontId="8" fillId="2" borderId="10" xfId="3" applyNumberFormat="1" applyFont="1" applyFill="1" applyBorder="1" applyAlignment="1">
      <alignment horizontal="center" vertical="top" wrapText="1"/>
    </xf>
    <xf numFmtId="169" fontId="8" fillId="2" borderId="13" xfId="3" applyNumberFormat="1" applyFont="1" applyFill="1" applyBorder="1" applyAlignment="1">
      <alignment horizontal="center" vertical="top" wrapText="1"/>
    </xf>
    <xf numFmtId="169" fontId="8" fillId="2" borderId="7" xfId="3" applyNumberFormat="1" applyFont="1" applyFill="1" applyBorder="1" applyAlignment="1">
      <alignment horizontal="center" vertical="top" wrapText="1"/>
    </xf>
    <xf numFmtId="169" fontId="16" fillId="2" borderId="14" xfId="3" applyNumberFormat="1" applyFont="1" applyFill="1" applyBorder="1" applyAlignment="1">
      <alignment horizontal="left" vertical="center"/>
    </xf>
    <xf numFmtId="169" fontId="16" fillId="2" borderId="19" xfId="3" applyNumberFormat="1" applyFont="1" applyFill="1" applyBorder="1" applyAlignment="1">
      <alignment horizontal="left" vertical="center"/>
    </xf>
    <xf numFmtId="169" fontId="17" fillId="2" borderId="18" xfId="3" applyNumberFormat="1" applyFont="1" applyFill="1" applyBorder="1" applyAlignment="1">
      <alignment horizontal="right" vertical="center" wrapText="1"/>
    </xf>
    <xf numFmtId="169" fontId="17" fillId="2" borderId="1" xfId="3" applyNumberFormat="1" applyFont="1" applyFill="1" applyBorder="1" applyAlignment="1">
      <alignment horizontal="right" vertical="center" wrapText="1"/>
    </xf>
  </cellXfs>
  <cellStyles count="7">
    <cellStyle name="Comma" xfId="1" builtinId="3"/>
    <cellStyle name="Comma 2" xfId="2"/>
    <cellStyle name="Comma 4" xfId="4"/>
    <cellStyle name="Comma 4 2" xfId="5"/>
    <cellStyle name="Normal" xfId="0" builtinId="0"/>
    <cellStyle name="Normal 2" xfId="3"/>
    <cellStyle name="Normal 2 2" xfId="6"/>
  </cellStyles>
  <dxfs count="0"/>
  <tableStyles count="0" defaultTableStyle="TableStyleMedium9" defaultPivotStyle="PivotStyleLight16"/>
  <colors>
    <mruColors>
      <color rgb="FF33CCCC"/>
      <color rgb="FFE7FFFF"/>
      <color rgb="FF1C706E"/>
      <color rgb="FF7030A0"/>
      <color rgb="FF9900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II38"/>
  <sheetViews>
    <sheetView zoomScaleNormal="100" workbookViewId="0">
      <selection activeCell="A36" sqref="A36:O36"/>
    </sheetView>
  </sheetViews>
  <sheetFormatPr defaultColWidth="9.140625" defaultRowHeight="15" x14ac:dyDescent="0.25"/>
  <cols>
    <col min="1" max="1" width="17.42578125" style="6" customWidth="1"/>
    <col min="2" max="14" width="9.42578125" style="6" customWidth="1"/>
    <col min="15" max="15" width="13.5703125" style="6" customWidth="1"/>
    <col min="16" max="16" width="3.5703125" style="6" customWidth="1"/>
    <col min="17" max="16384" width="9.140625" style="6"/>
  </cols>
  <sheetData>
    <row r="1" spans="1:243" ht="23.25" customHeight="1" x14ac:dyDescent="0.25">
      <c r="A1" s="76" t="s">
        <v>81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8"/>
    </row>
    <row r="2" spans="1:243" s="7" customFormat="1" ht="15.75" customHeight="1" x14ac:dyDescent="0.25">
      <c r="A2" s="79" t="s">
        <v>82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1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</row>
    <row r="3" spans="1:243" s="7" customFormat="1" ht="15.75" customHeight="1" x14ac:dyDescent="0.25">
      <c r="A3" s="82" t="s">
        <v>83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4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</row>
    <row r="4" spans="1:243" s="18" customFormat="1" ht="15.75" customHeight="1" x14ac:dyDescent="0.25">
      <c r="A4" s="14" t="s">
        <v>4</v>
      </c>
      <c r="B4" s="15" t="s">
        <v>5</v>
      </c>
      <c r="C4" s="16" t="s">
        <v>6</v>
      </c>
      <c r="D4" s="16" t="s">
        <v>7</v>
      </c>
      <c r="E4" s="16" t="s">
        <v>8</v>
      </c>
      <c r="F4" s="16" t="s">
        <v>9</v>
      </c>
      <c r="G4" s="16" t="s">
        <v>10</v>
      </c>
      <c r="H4" s="16" t="s">
        <v>11</v>
      </c>
      <c r="I4" s="16" t="s">
        <v>12</v>
      </c>
      <c r="J4" s="16" t="s">
        <v>13</v>
      </c>
      <c r="K4" s="16" t="s">
        <v>14</v>
      </c>
      <c r="L4" s="16" t="s">
        <v>15</v>
      </c>
      <c r="M4" s="16" t="s">
        <v>16</v>
      </c>
      <c r="N4" s="16" t="s">
        <v>17</v>
      </c>
      <c r="O4" s="17"/>
    </row>
    <row r="5" spans="1:243" s="20" customFormat="1" ht="18" customHeight="1" x14ac:dyDescent="0.25">
      <c r="A5" s="1" t="s">
        <v>5</v>
      </c>
      <c r="B5" s="19">
        <f>SUM(C5:N5)</f>
        <v>364.16899999999998</v>
      </c>
      <c r="C5" s="19">
        <f>C6+C7+C8+C9</f>
        <v>23.24</v>
      </c>
      <c r="D5" s="19">
        <f t="shared" ref="D5:N5" si="0">D6+D7+D8+D9</f>
        <v>20.881</v>
      </c>
      <c r="E5" s="19">
        <f t="shared" si="0"/>
        <v>26.236999999999998</v>
      </c>
      <c r="F5" s="19">
        <f t="shared" si="0"/>
        <v>28.882000000000005</v>
      </c>
      <c r="G5" s="19">
        <f t="shared" si="0"/>
        <v>29.312999999999999</v>
      </c>
      <c r="H5" s="19">
        <f t="shared" si="0"/>
        <v>29.151</v>
      </c>
      <c r="I5" s="19">
        <f t="shared" si="0"/>
        <v>32.294000000000004</v>
      </c>
      <c r="J5" s="19">
        <f t="shared" si="0"/>
        <v>28.819000000000003</v>
      </c>
      <c r="K5" s="19">
        <f t="shared" si="0"/>
        <v>28.718000000000004</v>
      </c>
      <c r="L5" s="19">
        <f t="shared" si="0"/>
        <v>31.801000000000002</v>
      </c>
      <c r="M5" s="19">
        <f t="shared" si="0"/>
        <v>45.008000000000003</v>
      </c>
      <c r="N5" s="19">
        <f t="shared" si="0"/>
        <v>39.825000000000003</v>
      </c>
      <c r="O5" s="8" t="s">
        <v>1</v>
      </c>
    </row>
    <row r="6" spans="1:243" s="20" customFormat="1" ht="18" customHeight="1" x14ac:dyDescent="0.25">
      <c r="A6" s="9" t="s">
        <v>18</v>
      </c>
      <c r="B6" s="19">
        <f>SUM(C6:N6)</f>
        <v>283.90000000000003</v>
      </c>
      <c r="C6" s="29">
        <v>16.7</v>
      </c>
      <c r="D6" s="29">
        <v>15.3</v>
      </c>
      <c r="E6" s="29">
        <v>19.7</v>
      </c>
      <c r="F6" s="29">
        <v>22.1</v>
      </c>
      <c r="G6" s="29">
        <v>22.9</v>
      </c>
      <c r="H6" s="29">
        <v>21.9</v>
      </c>
      <c r="I6" s="29">
        <v>25.3</v>
      </c>
      <c r="J6" s="29">
        <v>22.3</v>
      </c>
      <c r="K6" s="29">
        <v>21.8</v>
      </c>
      <c r="L6" s="29">
        <v>24.8</v>
      </c>
      <c r="M6" s="29">
        <v>38.200000000000003</v>
      </c>
      <c r="N6" s="29">
        <v>32.9</v>
      </c>
      <c r="O6" s="10" t="s">
        <v>19</v>
      </c>
    </row>
    <row r="7" spans="1:243" s="20" customFormat="1" ht="18" customHeight="1" x14ac:dyDescent="0.25">
      <c r="A7" s="9" t="s">
        <v>20</v>
      </c>
      <c r="B7" s="19">
        <f>SUM(C7:N7)</f>
        <v>9.9999999999999982</v>
      </c>
      <c r="C7" s="29">
        <v>0.9</v>
      </c>
      <c r="D7" s="29">
        <v>0.5</v>
      </c>
      <c r="E7" s="29">
        <v>1</v>
      </c>
      <c r="F7" s="29">
        <v>1.1000000000000001</v>
      </c>
      <c r="G7" s="29">
        <v>0.6</v>
      </c>
      <c r="H7" s="29">
        <v>1.3</v>
      </c>
      <c r="I7" s="29">
        <v>0.5</v>
      </c>
      <c r="J7" s="29">
        <v>0.7</v>
      </c>
      <c r="K7" s="29">
        <v>0.9</v>
      </c>
      <c r="L7" s="29">
        <v>0.7</v>
      </c>
      <c r="M7" s="29">
        <v>1.1000000000000001</v>
      </c>
      <c r="N7" s="29">
        <v>0.7</v>
      </c>
      <c r="O7" s="10" t="s">
        <v>21</v>
      </c>
    </row>
    <row r="8" spans="1:243" s="20" customFormat="1" ht="18" customHeight="1" x14ac:dyDescent="0.25">
      <c r="A8" s="9" t="s">
        <v>22</v>
      </c>
      <c r="B8" s="19">
        <f>SUM(C8:N8)</f>
        <v>30.3</v>
      </c>
      <c r="C8" s="29">
        <v>1.9</v>
      </c>
      <c r="D8" s="29">
        <v>2</v>
      </c>
      <c r="E8" s="29">
        <v>2.2000000000000002</v>
      </c>
      <c r="F8" s="29">
        <v>2.5</v>
      </c>
      <c r="G8" s="29">
        <v>2.4</v>
      </c>
      <c r="H8" s="29">
        <v>2.9</v>
      </c>
      <c r="I8" s="29">
        <v>3.1</v>
      </c>
      <c r="J8" s="29">
        <v>2.5</v>
      </c>
      <c r="K8" s="29">
        <v>2.6</v>
      </c>
      <c r="L8" s="29">
        <v>2.7</v>
      </c>
      <c r="M8" s="29">
        <v>2.4</v>
      </c>
      <c r="N8" s="29">
        <v>3.1</v>
      </c>
      <c r="O8" s="10" t="s">
        <v>23</v>
      </c>
    </row>
    <row r="9" spans="1:243" s="2" customFormat="1" ht="18.75" x14ac:dyDescent="0.25">
      <c r="A9" s="1" t="s">
        <v>24</v>
      </c>
      <c r="B9" s="21">
        <f t="shared" ref="B9:N9" si="1">SUM(B10:B36)</f>
        <v>39.969000000000008</v>
      </c>
      <c r="C9" s="21">
        <f t="shared" si="1"/>
        <v>3.7400000000000011</v>
      </c>
      <c r="D9" s="21">
        <f t="shared" si="1"/>
        <v>3.0810000000000013</v>
      </c>
      <c r="E9" s="21">
        <f t="shared" si="1"/>
        <v>3.3370000000000011</v>
      </c>
      <c r="F9" s="21">
        <f t="shared" si="1"/>
        <v>3.1820000000000008</v>
      </c>
      <c r="G9" s="21">
        <f t="shared" si="1"/>
        <v>3.4130000000000016</v>
      </c>
      <c r="H9" s="21">
        <f t="shared" si="1"/>
        <v>3.051000000000001</v>
      </c>
      <c r="I9" s="21">
        <f t="shared" si="1"/>
        <v>3.3940000000000015</v>
      </c>
      <c r="J9" s="21">
        <f t="shared" si="1"/>
        <v>3.3190000000000013</v>
      </c>
      <c r="K9" s="21">
        <f t="shared" si="1"/>
        <v>3.4180000000000015</v>
      </c>
      <c r="L9" s="21">
        <f t="shared" si="1"/>
        <v>3.6010000000000013</v>
      </c>
      <c r="M9" s="21">
        <f t="shared" si="1"/>
        <v>3.3080000000000016</v>
      </c>
      <c r="N9" s="21">
        <f t="shared" si="1"/>
        <v>3.1250000000000009</v>
      </c>
      <c r="O9" s="5" t="s">
        <v>25</v>
      </c>
    </row>
    <row r="10" spans="1:243" s="20" customFormat="1" ht="18" customHeight="1" x14ac:dyDescent="0.25">
      <c r="A10" s="9" t="s">
        <v>26</v>
      </c>
      <c r="B10" s="19">
        <f>SUM(C10:N10)</f>
        <v>3.1999999999999997</v>
      </c>
      <c r="C10" s="71">
        <v>0.3</v>
      </c>
      <c r="D10" s="71">
        <v>0.2</v>
      </c>
      <c r="E10" s="71">
        <v>0.3</v>
      </c>
      <c r="F10" s="71">
        <v>0.2</v>
      </c>
      <c r="G10" s="71">
        <v>0.3</v>
      </c>
      <c r="H10" s="71">
        <v>0.2</v>
      </c>
      <c r="I10" s="71">
        <v>0.2</v>
      </c>
      <c r="J10" s="71">
        <v>0.3</v>
      </c>
      <c r="K10" s="71">
        <v>0.3</v>
      </c>
      <c r="L10" s="71">
        <v>0.3</v>
      </c>
      <c r="M10" s="71">
        <v>0.4</v>
      </c>
      <c r="N10" s="71">
        <v>0.2</v>
      </c>
      <c r="O10" s="10" t="s">
        <v>27</v>
      </c>
    </row>
    <row r="11" spans="1:243" s="20" customFormat="1" ht="18" customHeight="1" x14ac:dyDescent="0.25">
      <c r="A11" s="9" t="s">
        <v>28</v>
      </c>
      <c r="B11" s="19">
        <f t="shared" ref="B11:B36" si="2">SUM(C11:N11)</f>
        <v>1.4000000000000001</v>
      </c>
      <c r="C11" s="71">
        <v>0.2</v>
      </c>
      <c r="D11" s="71">
        <v>0.1</v>
      </c>
      <c r="E11" s="71">
        <v>0.1</v>
      </c>
      <c r="F11" s="71">
        <v>0.1</v>
      </c>
      <c r="G11" s="71">
        <v>0.2</v>
      </c>
      <c r="H11" s="71">
        <v>0.1</v>
      </c>
      <c r="I11" s="71">
        <v>0.1</v>
      </c>
      <c r="J11" s="71">
        <v>0.1</v>
      </c>
      <c r="K11" s="71">
        <v>0.1</v>
      </c>
      <c r="L11" s="71">
        <v>0.1</v>
      </c>
      <c r="M11" s="71">
        <v>0.1</v>
      </c>
      <c r="N11" s="71">
        <v>0.1</v>
      </c>
      <c r="O11" s="10" t="s">
        <v>29</v>
      </c>
    </row>
    <row r="12" spans="1:243" s="20" customFormat="1" ht="18" customHeight="1" x14ac:dyDescent="0.25">
      <c r="A12" s="9" t="s">
        <v>30</v>
      </c>
      <c r="B12" s="19">
        <f t="shared" si="2"/>
        <v>1.3</v>
      </c>
      <c r="C12" s="71">
        <v>0.1</v>
      </c>
      <c r="D12" s="71">
        <v>0.1</v>
      </c>
      <c r="E12" s="71">
        <v>0.2</v>
      </c>
      <c r="F12" s="71">
        <v>0.1</v>
      </c>
      <c r="G12" s="71">
        <v>0.1</v>
      </c>
      <c r="H12" s="71">
        <v>0.1</v>
      </c>
      <c r="I12" s="71">
        <v>0.1</v>
      </c>
      <c r="J12" s="71">
        <v>0.1</v>
      </c>
      <c r="K12" s="71">
        <v>0.1</v>
      </c>
      <c r="L12" s="71">
        <v>0.1</v>
      </c>
      <c r="M12" s="71">
        <v>0.1</v>
      </c>
      <c r="N12" s="71">
        <v>0.1</v>
      </c>
      <c r="O12" s="10" t="s">
        <v>31</v>
      </c>
    </row>
    <row r="13" spans="1:243" s="20" customFormat="1" ht="18" customHeight="1" x14ac:dyDescent="0.25">
      <c r="A13" s="9" t="s">
        <v>32</v>
      </c>
      <c r="B13" s="19">
        <f t="shared" si="2"/>
        <v>1.4000000000000001</v>
      </c>
      <c r="C13" s="71">
        <v>0.2</v>
      </c>
      <c r="D13" s="71">
        <v>0.2</v>
      </c>
      <c r="E13" s="71">
        <v>0.1</v>
      </c>
      <c r="F13" s="71">
        <v>0.1</v>
      </c>
      <c r="G13" s="71">
        <v>0.1</v>
      </c>
      <c r="H13" s="71">
        <v>0.1</v>
      </c>
      <c r="I13" s="71">
        <v>0.1</v>
      </c>
      <c r="J13" s="71">
        <v>0.1</v>
      </c>
      <c r="K13" s="71">
        <v>0.1</v>
      </c>
      <c r="L13" s="71">
        <v>0.1</v>
      </c>
      <c r="M13" s="71">
        <v>0.1</v>
      </c>
      <c r="N13" s="71">
        <v>0.1</v>
      </c>
      <c r="O13" s="10" t="s">
        <v>33</v>
      </c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</row>
    <row r="14" spans="1:243" s="20" customFormat="1" ht="18" customHeight="1" x14ac:dyDescent="0.25">
      <c r="A14" s="9" t="s">
        <v>34</v>
      </c>
      <c r="B14" s="19">
        <f t="shared" si="2"/>
        <v>3.3000000000000003</v>
      </c>
      <c r="C14" s="71">
        <v>0.3</v>
      </c>
      <c r="D14" s="71">
        <v>0.3</v>
      </c>
      <c r="E14" s="71">
        <v>0.3</v>
      </c>
      <c r="F14" s="71">
        <v>0.3</v>
      </c>
      <c r="G14" s="71">
        <v>0.3</v>
      </c>
      <c r="H14" s="71">
        <v>0.3</v>
      </c>
      <c r="I14" s="71">
        <v>0.3</v>
      </c>
      <c r="J14" s="71">
        <v>0.3</v>
      </c>
      <c r="K14" s="71">
        <v>0.2</v>
      </c>
      <c r="L14" s="71">
        <v>0.3</v>
      </c>
      <c r="M14" s="71">
        <v>0.2</v>
      </c>
      <c r="N14" s="71">
        <v>0.2</v>
      </c>
      <c r="O14" s="10" t="s">
        <v>35</v>
      </c>
    </row>
    <row r="15" spans="1:243" s="20" customFormat="1" ht="18" customHeight="1" x14ac:dyDescent="0.25">
      <c r="A15" s="9" t="s">
        <v>36</v>
      </c>
      <c r="B15" s="19">
        <f t="shared" si="2"/>
        <v>2.3000000000000003</v>
      </c>
      <c r="C15" s="71">
        <v>0.2</v>
      </c>
      <c r="D15" s="71">
        <v>0.2</v>
      </c>
      <c r="E15" s="71">
        <v>0.3</v>
      </c>
      <c r="F15" s="71">
        <v>0.1</v>
      </c>
      <c r="G15" s="71">
        <v>0.2</v>
      </c>
      <c r="H15" s="71">
        <v>0.2</v>
      </c>
      <c r="I15" s="71">
        <v>0.2</v>
      </c>
      <c r="J15" s="71">
        <v>0.2</v>
      </c>
      <c r="K15" s="71">
        <v>0.1</v>
      </c>
      <c r="L15" s="71">
        <v>0.2</v>
      </c>
      <c r="M15" s="71">
        <v>0.2</v>
      </c>
      <c r="N15" s="71">
        <v>0.2</v>
      </c>
      <c r="O15" s="10" t="s">
        <v>37</v>
      </c>
    </row>
    <row r="16" spans="1:243" s="20" customFormat="1" ht="18.75" x14ac:dyDescent="0.25">
      <c r="A16" s="9" t="s">
        <v>38</v>
      </c>
      <c r="B16" s="19">
        <f t="shared" si="2"/>
        <v>1.276</v>
      </c>
      <c r="C16" s="71">
        <f>81/1000</f>
        <v>8.1000000000000003E-2</v>
      </c>
      <c r="D16" s="71">
        <f>81/1000</f>
        <v>8.1000000000000003E-2</v>
      </c>
      <c r="E16" s="71">
        <f>103/1000</f>
        <v>0.10299999999999999</v>
      </c>
      <c r="F16" s="71">
        <f>82/1000</f>
        <v>8.2000000000000003E-2</v>
      </c>
      <c r="G16" s="71">
        <f>113/1000</f>
        <v>0.113</v>
      </c>
      <c r="H16" s="71">
        <f>151/1000</f>
        <v>0.151</v>
      </c>
      <c r="I16" s="71">
        <f>94/1000</f>
        <v>9.4E-2</v>
      </c>
      <c r="J16" s="71">
        <f>119/1000</f>
        <v>0.11899999999999999</v>
      </c>
      <c r="K16" s="71">
        <f>118/1000</f>
        <v>0.11799999999999999</v>
      </c>
      <c r="L16" s="71">
        <f>101/1000</f>
        <v>0.10100000000000001</v>
      </c>
      <c r="M16" s="71">
        <f>108/1000</f>
        <v>0.108</v>
      </c>
      <c r="N16" s="71">
        <f>125/1000</f>
        <v>0.125</v>
      </c>
      <c r="O16" s="10" t="s">
        <v>39</v>
      </c>
    </row>
    <row r="17" spans="1:15" s="20" customFormat="1" ht="18.75" x14ac:dyDescent="0.25">
      <c r="A17" s="9" t="s">
        <v>40</v>
      </c>
      <c r="B17" s="19">
        <f t="shared" si="2"/>
        <v>5</v>
      </c>
      <c r="C17" s="71">
        <v>0.4</v>
      </c>
      <c r="D17" s="71">
        <v>0.4</v>
      </c>
      <c r="E17" s="71">
        <v>0.5</v>
      </c>
      <c r="F17" s="71">
        <v>0.5</v>
      </c>
      <c r="G17" s="71">
        <v>0.4</v>
      </c>
      <c r="H17" s="71">
        <v>0.4</v>
      </c>
      <c r="I17" s="71">
        <v>0.4</v>
      </c>
      <c r="J17" s="71">
        <v>0.5</v>
      </c>
      <c r="K17" s="71">
        <v>0.3</v>
      </c>
      <c r="L17" s="71">
        <v>0.5</v>
      </c>
      <c r="M17" s="71">
        <v>0.3</v>
      </c>
      <c r="N17" s="71">
        <v>0.4</v>
      </c>
      <c r="O17" s="10" t="s">
        <v>41</v>
      </c>
    </row>
    <row r="18" spans="1:15" s="20" customFormat="1" ht="18.75" x14ac:dyDescent="0.25">
      <c r="A18" s="9" t="s">
        <v>42</v>
      </c>
      <c r="B18" s="19">
        <f t="shared" si="2"/>
        <v>1.7000000000000002</v>
      </c>
      <c r="C18" s="71">
        <v>0.1</v>
      </c>
      <c r="D18" s="71">
        <v>0.1</v>
      </c>
      <c r="E18" s="71">
        <v>0.1</v>
      </c>
      <c r="F18" s="71">
        <v>0.2</v>
      </c>
      <c r="G18" s="71">
        <v>0.1</v>
      </c>
      <c r="H18" s="71">
        <v>0.2</v>
      </c>
      <c r="I18" s="71">
        <v>0.2</v>
      </c>
      <c r="J18" s="71">
        <v>0.1</v>
      </c>
      <c r="K18" s="71">
        <v>0.1</v>
      </c>
      <c r="L18" s="71">
        <v>0.2</v>
      </c>
      <c r="M18" s="71">
        <v>0.1</v>
      </c>
      <c r="N18" s="71">
        <v>0.2</v>
      </c>
      <c r="O18" s="10" t="s">
        <v>43</v>
      </c>
    </row>
    <row r="19" spans="1:15" s="20" customFormat="1" ht="18.75" x14ac:dyDescent="0.25">
      <c r="A19" s="9" t="s">
        <v>44</v>
      </c>
      <c r="B19" s="19">
        <f t="shared" si="2"/>
        <v>1.2</v>
      </c>
      <c r="C19" s="71">
        <v>0.1</v>
      </c>
      <c r="D19" s="71">
        <v>0.1</v>
      </c>
      <c r="E19" s="71">
        <v>0.1</v>
      </c>
      <c r="F19" s="71">
        <v>0.1</v>
      </c>
      <c r="G19" s="71">
        <v>0.1</v>
      </c>
      <c r="H19" s="71">
        <v>0.1</v>
      </c>
      <c r="I19" s="71">
        <v>0.1</v>
      </c>
      <c r="J19" s="71">
        <v>0.1</v>
      </c>
      <c r="K19" s="71">
        <v>0.1</v>
      </c>
      <c r="L19" s="71">
        <v>0.1</v>
      </c>
      <c r="M19" s="71">
        <v>0.1</v>
      </c>
      <c r="N19" s="71">
        <v>0.1</v>
      </c>
      <c r="O19" s="10" t="s">
        <v>45</v>
      </c>
    </row>
    <row r="20" spans="1:15" s="20" customFormat="1" ht="18.75" x14ac:dyDescent="0.25">
      <c r="A20" s="9" t="s">
        <v>46</v>
      </c>
      <c r="B20" s="19">
        <f t="shared" si="2"/>
        <v>1.3000000000000003</v>
      </c>
      <c r="C20" s="71">
        <v>0.1</v>
      </c>
      <c r="D20" s="71">
        <v>0.1</v>
      </c>
      <c r="E20" s="71">
        <v>0.1</v>
      </c>
      <c r="F20" s="71">
        <v>0.1</v>
      </c>
      <c r="G20" s="71">
        <v>0.1</v>
      </c>
      <c r="H20" s="71">
        <v>0.1</v>
      </c>
      <c r="I20" s="71">
        <v>0.2</v>
      </c>
      <c r="J20" s="71">
        <v>0.1</v>
      </c>
      <c r="K20" s="71">
        <v>0.1</v>
      </c>
      <c r="L20" s="71">
        <v>0.1</v>
      </c>
      <c r="M20" s="71">
        <v>0.1</v>
      </c>
      <c r="N20" s="71">
        <v>0.1</v>
      </c>
      <c r="O20" s="10" t="s">
        <v>47</v>
      </c>
    </row>
    <row r="21" spans="1:15" s="20" customFormat="1" ht="18.75" x14ac:dyDescent="0.25">
      <c r="A21" s="9" t="s">
        <v>48</v>
      </c>
      <c r="B21" s="19">
        <f t="shared" si="2"/>
        <v>0.99299999999999988</v>
      </c>
      <c r="C21" s="71">
        <f>59/1000</f>
        <v>5.8999999999999997E-2</v>
      </c>
      <c r="D21" s="71">
        <v>0.1</v>
      </c>
      <c r="E21" s="71">
        <f>34/1000</f>
        <v>3.4000000000000002E-2</v>
      </c>
      <c r="F21" s="71">
        <v>0.1</v>
      </c>
      <c r="G21" s="71">
        <v>0.1</v>
      </c>
      <c r="H21" s="71">
        <v>0</v>
      </c>
      <c r="I21" s="71">
        <v>0.1</v>
      </c>
      <c r="J21" s="71">
        <v>0.1</v>
      </c>
      <c r="K21" s="71">
        <v>0.1</v>
      </c>
      <c r="L21" s="71">
        <v>0.1</v>
      </c>
      <c r="M21" s="71">
        <v>0.1</v>
      </c>
      <c r="N21" s="71">
        <v>0.1</v>
      </c>
      <c r="O21" s="10" t="s">
        <v>49</v>
      </c>
    </row>
    <row r="22" spans="1:15" s="20" customFormat="1" ht="18.75" x14ac:dyDescent="0.25">
      <c r="A22" s="9" t="s">
        <v>50</v>
      </c>
      <c r="B22" s="19">
        <f t="shared" si="2"/>
        <v>0.6</v>
      </c>
      <c r="C22" s="71">
        <v>0</v>
      </c>
      <c r="D22" s="71">
        <v>0.1</v>
      </c>
      <c r="E22" s="71">
        <v>0</v>
      </c>
      <c r="F22" s="71">
        <v>0.1</v>
      </c>
      <c r="G22" s="71">
        <v>0</v>
      </c>
      <c r="H22" s="71">
        <v>0.1</v>
      </c>
      <c r="I22" s="71">
        <v>0</v>
      </c>
      <c r="J22" s="71">
        <v>0</v>
      </c>
      <c r="K22" s="71">
        <v>0.1</v>
      </c>
      <c r="L22" s="71">
        <v>0.1</v>
      </c>
      <c r="M22" s="71">
        <v>0.1</v>
      </c>
      <c r="N22" s="71">
        <v>0</v>
      </c>
      <c r="O22" s="10" t="s">
        <v>51</v>
      </c>
    </row>
    <row r="23" spans="1:15" s="24" customFormat="1" ht="18.75" x14ac:dyDescent="0.25">
      <c r="A23" s="3" t="s">
        <v>52</v>
      </c>
      <c r="B23" s="23">
        <f t="shared" si="2"/>
        <v>1.0999999999999999</v>
      </c>
      <c r="C23" s="72">
        <v>0.1</v>
      </c>
      <c r="D23" s="72">
        <v>0</v>
      </c>
      <c r="E23" s="72">
        <v>0.1</v>
      </c>
      <c r="F23" s="72">
        <v>0.1</v>
      </c>
      <c r="G23" s="72">
        <v>0.1</v>
      </c>
      <c r="H23" s="72">
        <v>0.1</v>
      </c>
      <c r="I23" s="72">
        <v>0.1</v>
      </c>
      <c r="J23" s="72">
        <v>0.1</v>
      </c>
      <c r="K23" s="72">
        <v>0.1</v>
      </c>
      <c r="L23" s="72">
        <v>0.1</v>
      </c>
      <c r="M23" s="72">
        <v>0.1</v>
      </c>
      <c r="N23" s="72">
        <v>0.1</v>
      </c>
      <c r="O23" s="4" t="s">
        <v>53</v>
      </c>
    </row>
    <row r="24" spans="1:15" s="24" customFormat="1" ht="18.75" x14ac:dyDescent="0.25">
      <c r="A24" s="3" t="s">
        <v>54</v>
      </c>
      <c r="B24" s="23">
        <f t="shared" si="2"/>
        <v>0.89999999999999991</v>
      </c>
      <c r="C24" s="72">
        <v>0.1</v>
      </c>
      <c r="D24" s="72">
        <v>0.1</v>
      </c>
      <c r="E24" s="72">
        <v>0.1</v>
      </c>
      <c r="F24" s="72">
        <v>0</v>
      </c>
      <c r="G24" s="72">
        <v>0</v>
      </c>
      <c r="H24" s="72">
        <v>0</v>
      </c>
      <c r="I24" s="72">
        <v>0.1</v>
      </c>
      <c r="J24" s="72">
        <v>0.1</v>
      </c>
      <c r="K24" s="72">
        <v>0.1</v>
      </c>
      <c r="L24" s="72">
        <v>0.1</v>
      </c>
      <c r="M24" s="72">
        <v>0.1</v>
      </c>
      <c r="N24" s="72">
        <v>0.1</v>
      </c>
      <c r="O24" s="4" t="s">
        <v>55</v>
      </c>
    </row>
    <row r="25" spans="1:15" s="24" customFormat="1" ht="18.75" x14ac:dyDescent="0.25">
      <c r="A25" s="3" t="s">
        <v>56</v>
      </c>
      <c r="B25" s="23">
        <f t="shared" si="2"/>
        <v>2.1999999999999997</v>
      </c>
      <c r="C25" s="72">
        <v>0.4</v>
      </c>
      <c r="D25" s="72">
        <v>0.1</v>
      </c>
      <c r="E25" s="72">
        <v>0.2</v>
      </c>
      <c r="F25" s="72">
        <v>0.1</v>
      </c>
      <c r="G25" s="72">
        <v>0.2</v>
      </c>
      <c r="H25" s="72">
        <v>0.2</v>
      </c>
      <c r="I25" s="72">
        <v>0.2</v>
      </c>
      <c r="J25" s="72">
        <v>0.2</v>
      </c>
      <c r="K25" s="72">
        <v>0.2</v>
      </c>
      <c r="L25" s="72">
        <v>0.2</v>
      </c>
      <c r="M25" s="72">
        <v>0.1</v>
      </c>
      <c r="N25" s="72">
        <v>0.1</v>
      </c>
      <c r="O25" s="4" t="s">
        <v>57</v>
      </c>
    </row>
    <row r="26" spans="1:15" s="24" customFormat="1" ht="18.75" x14ac:dyDescent="0.25">
      <c r="A26" s="3" t="s">
        <v>58</v>
      </c>
      <c r="B26" s="23">
        <f t="shared" si="2"/>
        <v>0.4</v>
      </c>
      <c r="C26" s="72" t="s">
        <v>59</v>
      </c>
      <c r="D26" s="72" t="s">
        <v>59</v>
      </c>
      <c r="E26" s="72" t="s">
        <v>59</v>
      </c>
      <c r="F26" s="72" t="s">
        <v>59</v>
      </c>
      <c r="G26" s="72" t="s">
        <v>59</v>
      </c>
      <c r="H26" s="72" t="s">
        <v>59</v>
      </c>
      <c r="I26" s="72" t="s">
        <v>59</v>
      </c>
      <c r="J26" s="72">
        <v>0.1</v>
      </c>
      <c r="K26" s="72">
        <v>0.2</v>
      </c>
      <c r="L26" s="72">
        <v>0.1</v>
      </c>
      <c r="M26" s="72">
        <v>0</v>
      </c>
      <c r="N26" s="72">
        <v>0</v>
      </c>
      <c r="O26" s="4" t="s">
        <v>60</v>
      </c>
    </row>
    <row r="27" spans="1:15" s="24" customFormat="1" ht="18.75" x14ac:dyDescent="0.25">
      <c r="A27" s="3" t="s">
        <v>61</v>
      </c>
      <c r="B27" s="23">
        <f t="shared" si="2"/>
        <v>1.2</v>
      </c>
      <c r="C27" s="72">
        <v>0.1</v>
      </c>
      <c r="D27" s="72">
        <v>0.1</v>
      </c>
      <c r="E27" s="72">
        <v>0.1</v>
      </c>
      <c r="F27" s="72">
        <v>0.1</v>
      </c>
      <c r="G27" s="72">
        <v>0.1</v>
      </c>
      <c r="H27" s="72">
        <v>0.1</v>
      </c>
      <c r="I27" s="72">
        <v>0.1</v>
      </c>
      <c r="J27" s="72">
        <v>0.1</v>
      </c>
      <c r="K27" s="72">
        <v>0.1</v>
      </c>
      <c r="L27" s="72">
        <v>0.1</v>
      </c>
      <c r="M27" s="72">
        <v>0.1</v>
      </c>
      <c r="N27" s="72">
        <v>0.1</v>
      </c>
      <c r="O27" s="4" t="s">
        <v>62</v>
      </c>
    </row>
    <row r="28" spans="1:15" s="24" customFormat="1" ht="18.75" x14ac:dyDescent="0.25">
      <c r="A28" s="3" t="s">
        <v>63</v>
      </c>
      <c r="B28" s="23">
        <f t="shared" si="2"/>
        <v>0.7</v>
      </c>
      <c r="C28" s="72">
        <v>0.1</v>
      </c>
      <c r="D28" s="72">
        <v>0</v>
      </c>
      <c r="E28" s="72">
        <v>0</v>
      </c>
      <c r="F28" s="72">
        <v>0.1</v>
      </c>
      <c r="G28" s="72">
        <v>0.1</v>
      </c>
      <c r="H28" s="72">
        <v>0.1</v>
      </c>
      <c r="I28" s="72">
        <v>0</v>
      </c>
      <c r="J28" s="72" t="s">
        <v>84</v>
      </c>
      <c r="K28" s="72">
        <v>0</v>
      </c>
      <c r="L28" s="72">
        <v>0.1</v>
      </c>
      <c r="M28" s="72">
        <v>0.1</v>
      </c>
      <c r="N28" s="72">
        <v>0.1</v>
      </c>
      <c r="O28" s="4" t="s">
        <v>64</v>
      </c>
    </row>
    <row r="29" spans="1:15" s="24" customFormat="1" ht="18.75" x14ac:dyDescent="0.25">
      <c r="A29" s="3" t="s">
        <v>65</v>
      </c>
      <c r="B29" s="23">
        <f t="shared" si="2"/>
        <v>1.0999999999999999</v>
      </c>
      <c r="C29" s="72">
        <v>0.1</v>
      </c>
      <c r="D29" s="72">
        <v>0</v>
      </c>
      <c r="E29" s="72">
        <v>0.1</v>
      </c>
      <c r="F29" s="72">
        <v>0.1</v>
      </c>
      <c r="G29" s="72">
        <v>0.1</v>
      </c>
      <c r="H29" s="72">
        <v>0.1</v>
      </c>
      <c r="I29" s="72">
        <v>0.1</v>
      </c>
      <c r="J29" s="72">
        <v>0.1</v>
      </c>
      <c r="K29" s="72">
        <v>0.1</v>
      </c>
      <c r="L29" s="72">
        <v>0.1</v>
      </c>
      <c r="M29" s="72">
        <v>0.1</v>
      </c>
      <c r="N29" s="72">
        <v>0.1</v>
      </c>
      <c r="O29" s="4" t="s">
        <v>66</v>
      </c>
    </row>
    <row r="30" spans="1:15" s="24" customFormat="1" ht="18.75" x14ac:dyDescent="0.25">
      <c r="A30" s="3" t="s">
        <v>67</v>
      </c>
      <c r="B30" s="23">
        <f t="shared" si="2"/>
        <v>2.2000000000000006</v>
      </c>
      <c r="C30" s="72">
        <v>0.2</v>
      </c>
      <c r="D30" s="72">
        <v>0.2</v>
      </c>
      <c r="E30" s="72">
        <v>0.2</v>
      </c>
      <c r="F30" s="72">
        <v>0.3</v>
      </c>
      <c r="G30" s="72">
        <v>0.2</v>
      </c>
      <c r="H30" s="72">
        <v>0.1</v>
      </c>
      <c r="I30" s="72">
        <v>0.2</v>
      </c>
      <c r="J30" s="72">
        <v>0.1</v>
      </c>
      <c r="K30" s="72">
        <v>0.3</v>
      </c>
      <c r="L30" s="72">
        <v>0.1</v>
      </c>
      <c r="M30" s="72">
        <v>0.2</v>
      </c>
      <c r="N30" s="72">
        <v>0.1</v>
      </c>
      <c r="O30" s="4" t="s">
        <v>68</v>
      </c>
    </row>
    <row r="31" spans="1:15" s="24" customFormat="1" ht="18.75" x14ac:dyDescent="0.25">
      <c r="A31" s="3" t="s">
        <v>69</v>
      </c>
      <c r="B31" s="23">
        <f t="shared" si="2"/>
        <v>1.0999999999999999</v>
      </c>
      <c r="C31" s="72">
        <v>0.1</v>
      </c>
      <c r="D31" s="72">
        <v>0.1</v>
      </c>
      <c r="E31" s="72">
        <v>0.1</v>
      </c>
      <c r="F31" s="72">
        <v>0</v>
      </c>
      <c r="G31" s="72">
        <v>0.1</v>
      </c>
      <c r="H31" s="72">
        <v>0.1</v>
      </c>
      <c r="I31" s="72">
        <v>0.1</v>
      </c>
      <c r="J31" s="72">
        <v>0.1</v>
      </c>
      <c r="K31" s="72">
        <v>0.1</v>
      </c>
      <c r="L31" s="72">
        <v>0.1</v>
      </c>
      <c r="M31" s="72">
        <v>0.1</v>
      </c>
      <c r="N31" s="72">
        <v>0.1</v>
      </c>
      <c r="O31" s="4" t="s">
        <v>70</v>
      </c>
    </row>
    <row r="32" spans="1:15" s="24" customFormat="1" ht="18.75" x14ac:dyDescent="0.25">
      <c r="A32" s="3" t="s">
        <v>71</v>
      </c>
      <c r="B32" s="23">
        <f t="shared" si="2"/>
        <v>0.1</v>
      </c>
      <c r="C32" s="72">
        <v>0</v>
      </c>
      <c r="D32" s="72">
        <v>0</v>
      </c>
      <c r="E32" s="72">
        <v>0</v>
      </c>
      <c r="F32" s="72">
        <v>0</v>
      </c>
      <c r="G32" s="72">
        <v>0</v>
      </c>
      <c r="H32" s="72">
        <v>0</v>
      </c>
      <c r="I32" s="72">
        <v>0.1</v>
      </c>
      <c r="J32" s="72">
        <v>0</v>
      </c>
      <c r="K32" s="72">
        <v>0</v>
      </c>
      <c r="L32" s="72">
        <v>0</v>
      </c>
      <c r="M32" s="72">
        <v>0</v>
      </c>
      <c r="N32" s="72">
        <v>0</v>
      </c>
      <c r="O32" s="4" t="s">
        <v>72</v>
      </c>
    </row>
    <row r="33" spans="1:18" s="24" customFormat="1" ht="18.75" x14ac:dyDescent="0.25">
      <c r="A33" s="3" t="s">
        <v>73</v>
      </c>
      <c r="B33" s="23">
        <f t="shared" si="2"/>
        <v>1.2</v>
      </c>
      <c r="C33" s="72">
        <v>0.1</v>
      </c>
      <c r="D33" s="72">
        <v>0.1</v>
      </c>
      <c r="E33" s="72">
        <v>0.1</v>
      </c>
      <c r="F33" s="72">
        <v>0.1</v>
      </c>
      <c r="G33" s="72">
        <v>0.1</v>
      </c>
      <c r="H33" s="72">
        <v>0.1</v>
      </c>
      <c r="I33" s="72">
        <v>0.1</v>
      </c>
      <c r="J33" s="72">
        <v>0.1</v>
      </c>
      <c r="K33" s="72">
        <v>0.1</v>
      </c>
      <c r="L33" s="72">
        <v>0.1</v>
      </c>
      <c r="M33" s="72">
        <v>0.1</v>
      </c>
      <c r="N33" s="72">
        <v>0.1</v>
      </c>
      <c r="O33" s="4" t="s">
        <v>74</v>
      </c>
    </row>
    <row r="34" spans="1:18" s="24" customFormat="1" ht="18.75" x14ac:dyDescent="0.25">
      <c r="A34" s="3" t="s">
        <v>75</v>
      </c>
      <c r="B34" s="23">
        <f t="shared" si="2"/>
        <v>1.5000000000000004</v>
      </c>
      <c r="C34" s="72">
        <v>0.3</v>
      </c>
      <c r="D34" s="72">
        <v>0.1</v>
      </c>
      <c r="E34" s="72">
        <v>0.1</v>
      </c>
      <c r="F34" s="72">
        <v>0.1</v>
      </c>
      <c r="G34" s="72">
        <v>0.2</v>
      </c>
      <c r="H34" s="72">
        <v>0.1</v>
      </c>
      <c r="I34" s="72">
        <v>0.1</v>
      </c>
      <c r="J34" s="72">
        <v>0.1</v>
      </c>
      <c r="K34" s="72">
        <v>0.1</v>
      </c>
      <c r="L34" s="72">
        <v>0.1</v>
      </c>
      <c r="M34" s="72">
        <v>0.1</v>
      </c>
      <c r="N34" s="72">
        <v>0.1</v>
      </c>
      <c r="O34" s="4" t="s">
        <v>76</v>
      </c>
    </row>
    <row r="35" spans="1:18" s="20" customFormat="1" ht="18.75" x14ac:dyDescent="0.25">
      <c r="A35" s="9" t="s">
        <v>77</v>
      </c>
      <c r="B35" s="19">
        <f t="shared" si="2"/>
        <v>0.7</v>
      </c>
      <c r="C35" s="71">
        <v>0</v>
      </c>
      <c r="D35" s="71">
        <v>0.1</v>
      </c>
      <c r="E35" s="71">
        <v>0</v>
      </c>
      <c r="F35" s="71">
        <v>0</v>
      </c>
      <c r="G35" s="71">
        <v>0</v>
      </c>
      <c r="H35" s="71">
        <v>0</v>
      </c>
      <c r="I35" s="71">
        <v>0.1</v>
      </c>
      <c r="J35" s="71">
        <v>0.1</v>
      </c>
      <c r="K35" s="71">
        <v>0.1</v>
      </c>
      <c r="L35" s="71">
        <v>0.1</v>
      </c>
      <c r="M35" s="71">
        <v>0.1</v>
      </c>
      <c r="N35" s="71">
        <v>0.1</v>
      </c>
      <c r="O35" s="10" t="s">
        <v>78</v>
      </c>
    </row>
    <row r="36" spans="1:18" s="25" customFormat="1" ht="18.75" x14ac:dyDescent="0.25">
      <c r="A36" s="11" t="s">
        <v>79</v>
      </c>
      <c r="B36" s="75">
        <f t="shared" si="2"/>
        <v>0.6</v>
      </c>
      <c r="C36" s="73">
        <v>0</v>
      </c>
      <c r="D36" s="73">
        <v>0.1</v>
      </c>
      <c r="E36" s="73">
        <v>0</v>
      </c>
      <c r="F36" s="73">
        <v>0.1</v>
      </c>
      <c r="G36" s="73">
        <v>0.1</v>
      </c>
      <c r="H36" s="73">
        <v>0</v>
      </c>
      <c r="I36" s="73">
        <v>0</v>
      </c>
      <c r="J36" s="73">
        <v>0</v>
      </c>
      <c r="K36" s="73">
        <v>0.1</v>
      </c>
      <c r="L36" s="73">
        <v>0</v>
      </c>
      <c r="M36" s="73">
        <v>0.1</v>
      </c>
      <c r="N36" s="73">
        <v>0.1</v>
      </c>
      <c r="O36" s="12" t="s">
        <v>80</v>
      </c>
      <c r="P36" s="20"/>
      <c r="R36" s="25" t="s">
        <v>85</v>
      </c>
    </row>
    <row r="37" spans="1:18" s="13" customFormat="1" ht="14.25" x14ac:dyDescent="0.25">
      <c r="A37" s="26" t="s">
        <v>2</v>
      </c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27" t="s">
        <v>3</v>
      </c>
    </row>
    <row r="38" spans="1:18" s="13" customFormat="1" ht="12" x14ac:dyDescent="0.25">
      <c r="O38" s="28"/>
    </row>
  </sheetData>
  <mergeCells count="3">
    <mergeCell ref="A1:O1"/>
    <mergeCell ref="A2:O2"/>
    <mergeCell ref="A3:O3"/>
  </mergeCells>
  <pageMargins left="0.7" right="0.7" top="0.75" bottom="0.75" header="0.3" footer="0.3"/>
  <pageSetup paperSize="9"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M19"/>
  <sheetViews>
    <sheetView tabSelected="1" zoomScaleNormal="100" workbookViewId="0">
      <selection activeCell="J15" sqref="J15"/>
    </sheetView>
  </sheetViews>
  <sheetFormatPr defaultColWidth="9.140625" defaultRowHeight="12.75" x14ac:dyDescent="0.2"/>
  <cols>
    <col min="1" max="1" width="15" style="32" bestFit="1" customWidth="1"/>
    <col min="2" max="2" width="12.85546875" style="32" customWidth="1"/>
    <col min="3" max="3" width="15.7109375" style="32" customWidth="1"/>
    <col min="4" max="4" width="16.5703125" style="32" customWidth="1"/>
    <col min="5" max="5" width="18.7109375" style="32" customWidth="1"/>
    <col min="6" max="6" width="18.5703125" style="32" customWidth="1"/>
    <col min="7" max="7" width="19.28515625" style="32" customWidth="1"/>
    <col min="8" max="8" width="2" style="32" customWidth="1"/>
    <col min="9" max="9" width="9.140625" style="32"/>
    <col min="10" max="10" width="12" style="32" bestFit="1" customWidth="1"/>
    <col min="11" max="12" width="9.140625" style="32"/>
    <col min="13" max="13" width="14.85546875" style="32" bestFit="1" customWidth="1"/>
    <col min="14" max="16384" width="9.140625" style="32"/>
  </cols>
  <sheetData>
    <row r="1" spans="1:10" s="31" customFormat="1" ht="18" x14ac:dyDescent="0.25">
      <c r="A1" s="85" t="s">
        <v>86</v>
      </c>
      <c r="B1" s="85"/>
      <c r="C1" s="85"/>
      <c r="D1" s="85"/>
      <c r="E1" s="85"/>
      <c r="F1" s="85"/>
      <c r="G1" s="85"/>
      <c r="H1" s="30"/>
    </row>
    <row r="2" spans="1:10" ht="15.75" x14ac:dyDescent="0.2">
      <c r="A2" s="86" t="s">
        <v>87</v>
      </c>
      <c r="B2" s="87"/>
      <c r="C2" s="87"/>
      <c r="D2" s="87"/>
      <c r="E2" s="87"/>
      <c r="F2" s="87"/>
      <c r="G2" s="88"/>
    </row>
    <row r="3" spans="1:10" ht="24.75" customHeight="1" x14ac:dyDescent="0.2">
      <c r="A3" s="89" t="s">
        <v>88</v>
      </c>
      <c r="B3" s="33" t="s">
        <v>89</v>
      </c>
      <c r="C3" s="34" t="s">
        <v>90</v>
      </c>
      <c r="D3" s="34" t="s">
        <v>91</v>
      </c>
      <c r="E3" s="35" t="s">
        <v>0</v>
      </c>
      <c r="F3" s="35" t="s">
        <v>0</v>
      </c>
      <c r="G3" s="91" t="s">
        <v>92</v>
      </c>
    </row>
    <row r="4" spans="1:10" ht="15" x14ac:dyDescent="0.2">
      <c r="A4" s="90"/>
      <c r="B4" s="36" t="s">
        <v>113</v>
      </c>
      <c r="C4" s="36" t="s">
        <v>93</v>
      </c>
      <c r="D4" s="36" t="s">
        <v>114</v>
      </c>
      <c r="E4" s="36" t="s">
        <v>94</v>
      </c>
      <c r="F4" s="36" t="s">
        <v>95</v>
      </c>
      <c r="G4" s="92"/>
    </row>
    <row r="5" spans="1:10" ht="21" x14ac:dyDescent="0.25">
      <c r="A5" s="37" t="s">
        <v>96</v>
      </c>
      <c r="B5" s="38"/>
      <c r="C5" s="39"/>
      <c r="D5" s="39"/>
      <c r="E5" s="40"/>
      <c r="F5" s="41"/>
      <c r="G5" s="42" t="s">
        <v>97</v>
      </c>
    </row>
    <row r="6" spans="1:10" ht="21" x14ac:dyDescent="0.2">
      <c r="A6" s="43" t="s">
        <v>98</v>
      </c>
      <c r="B6" s="44">
        <v>2.25</v>
      </c>
      <c r="C6" s="56">
        <v>30058987.73</v>
      </c>
      <c r="D6" s="56">
        <f>B6*C6</f>
        <v>67632722.392499998</v>
      </c>
      <c r="E6" s="45">
        <f>(C6/C11)*100</f>
        <v>21.925531503285253</v>
      </c>
      <c r="F6" s="45">
        <f>(D6/D11)*100</f>
        <v>17.537996870853696</v>
      </c>
      <c r="G6" s="46" t="s">
        <v>99</v>
      </c>
      <c r="H6" s="47"/>
      <c r="I6" s="48"/>
    </row>
    <row r="7" spans="1:10" ht="21" x14ac:dyDescent="0.2">
      <c r="A7" s="43" t="s">
        <v>100</v>
      </c>
      <c r="B7" s="44">
        <v>2.5</v>
      </c>
      <c r="C7" s="56">
        <v>49115127.270000003</v>
      </c>
      <c r="D7" s="56">
        <f t="shared" ref="D7:D10" si="0">B7*C7</f>
        <v>122787818.17500001</v>
      </c>
      <c r="E7" s="45">
        <f>(C7/C11)*100</f>
        <v>35.825400373396057</v>
      </c>
      <c r="F7" s="45">
        <f>(D7/D11)*100</f>
        <v>31.840391673645037</v>
      </c>
      <c r="G7" s="46" t="s">
        <v>101</v>
      </c>
      <c r="H7" s="49"/>
      <c r="I7" s="48"/>
    </row>
    <row r="8" spans="1:10" ht="21" x14ac:dyDescent="0.2">
      <c r="A8" s="43" t="s">
        <v>102</v>
      </c>
      <c r="B8" s="44">
        <v>2.95</v>
      </c>
      <c r="C8" s="56">
        <v>28072326.829999998</v>
      </c>
      <c r="D8" s="56">
        <f t="shared" si="0"/>
        <v>82813364.148499995</v>
      </c>
      <c r="E8" s="45">
        <f>(C8/C11)*100</f>
        <v>20.476427609948818</v>
      </c>
      <c r="F8" s="45">
        <f>(D8/D11)*100</f>
        <v>21.474524016237435</v>
      </c>
      <c r="G8" s="46" t="s">
        <v>103</v>
      </c>
      <c r="H8" s="49"/>
      <c r="I8" s="48"/>
    </row>
    <row r="9" spans="1:10" ht="21" x14ac:dyDescent="0.2">
      <c r="A9" s="43" t="s">
        <v>104</v>
      </c>
      <c r="B9" s="44">
        <v>3.55</v>
      </c>
      <c r="C9" s="56">
        <v>8395437.5700000003</v>
      </c>
      <c r="D9" s="56">
        <f t="shared" si="0"/>
        <v>29803803.373500001</v>
      </c>
      <c r="E9" s="45">
        <f>(C9/C11)*100</f>
        <v>6.1237734476729022</v>
      </c>
      <c r="F9" s="45">
        <f>(D9/D11)*100</f>
        <v>7.7284928332553058</v>
      </c>
      <c r="G9" s="46" t="s">
        <v>105</v>
      </c>
      <c r="H9" s="48"/>
    </row>
    <row r="10" spans="1:10" ht="21" x14ac:dyDescent="0.2">
      <c r="A10" s="43" t="s">
        <v>106</v>
      </c>
      <c r="B10" s="44">
        <v>3.85</v>
      </c>
      <c r="C10" s="56">
        <v>21453943</v>
      </c>
      <c r="D10" s="56">
        <f t="shared" si="0"/>
        <v>82597680.549999997</v>
      </c>
      <c r="E10" s="45">
        <f>(C10/C11)*100</f>
        <v>15.648867065696962</v>
      </c>
      <c r="F10" s="45">
        <f>(D10/D11)*100</f>
        <v>21.418594606008536</v>
      </c>
      <c r="G10" s="46" t="s">
        <v>107</v>
      </c>
      <c r="H10" s="48"/>
    </row>
    <row r="11" spans="1:10" ht="21" x14ac:dyDescent="0.2">
      <c r="A11" s="50" t="s">
        <v>108</v>
      </c>
      <c r="B11" s="51"/>
      <c r="C11" s="52">
        <f>SUM(C6:C10)</f>
        <v>137095822.40000001</v>
      </c>
      <c r="D11" s="52">
        <f>SUM(D6:D10)</f>
        <v>385635388.63949996</v>
      </c>
      <c r="E11" s="53">
        <f>(C11/C11)*100</f>
        <v>100</v>
      </c>
      <c r="F11" s="53">
        <f>(D11/D11)*100</f>
        <v>100</v>
      </c>
      <c r="G11" s="42" t="s">
        <v>109</v>
      </c>
      <c r="H11" s="48"/>
    </row>
    <row r="12" spans="1:10" ht="21" x14ac:dyDescent="0.2">
      <c r="A12" s="54" t="s">
        <v>110</v>
      </c>
      <c r="B12" s="55"/>
      <c r="C12" s="56"/>
      <c r="D12" s="56"/>
      <c r="E12" s="57"/>
      <c r="F12" s="58"/>
      <c r="G12" s="42" t="s">
        <v>111</v>
      </c>
      <c r="H12" s="48"/>
      <c r="J12" s="59"/>
    </row>
    <row r="13" spans="1:10" ht="21" x14ac:dyDescent="0.2">
      <c r="A13" s="43" t="s">
        <v>98</v>
      </c>
      <c r="B13" s="44">
        <v>3.3</v>
      </c>
      <c r="C13" s="56">
        <v>8245002.1500000004</v>
      </c>
      <c r="D13" s="56">
        <f>B13*C13</f>
        <v>27208507.094999999</v>
      </c>
      <c r="E13" s="45">
        <f>(C13/C18)*100</f>
        <v>6.6842831517981347</v>
      </c>
      <c r="F13" s="45">
        <f>(D13/D18)*100</f>
        <v>5.3785142352592974</v>
      </c>
      <c r="G13" s="46" t="s">
        <v>99</v>
      </c>
      <c r="H13" s="48"/>
    </row>
    <row r="14" spans="1:10" ht="21" x14ac:dyDescent="0.2">
      <c r="A14" s="43" t="s">
        <v>100</v>
      </c>
      <c r="B14" s="44">
        <v>3.35</v>
      </c>
      <c r="C14" s="56">
        <v>13379852.220000001</v>
      </c>
      <c r="D14" s="56">
        <f>B14*C14</f>
        <v>44822504.937000006</v>
      </c>
      <c r="E14" s="45">
        <f>(C14/C18)*100</f>
        <v>10.847143413746091</v>
      </c>
      <c r="F14" s="45">
        <f>(D14/D18)*100</f>
        <v>8.8604082547379708</v>
      </c>
      <c r="G14" s="46" t="s">
        <v>101</v>
      </c>
      <c r="H14" s="48"/>
    </row>
    <row r="15" spans="1:10" ht="21" x14ac:dyDescent="0.2">
      <c r="A15" s="43" t="s">
        <v>102</v>
      </c>
      <c r="B15" s="44">
        <v>3.65</v>
      </c>
      <c r="C15" s="56">
        <v>10268244.16</v>
      </c>
      <c r="D15" s="56">
        <f t="shared" ref="D15:D17" si="1">B15*C15</f>
        <v>37479091.184</v>
      </c>
      <c r="E15" s="45">
        <f>(C15/C18)*100</f>
        <v>8.3245401503306553</v>
      </c>
      <c r="F15" s="45">
        <f>(D15/D18)*100</f>
        <v>7.4087793480873891</v>
      </c>
      <c r="G15" s="46" t="s">
        <v>103</v>
      </c>
      <c r="H15" s="48"/>
    </row>
    <row r="16" spans="1:10" ht="21" x14ac:dyDescent="0.2">
      <c r="A16" s="43" t="s">
        <v>104</v>
      </c>
      <c r="B16" s="44">
        <v>4</v>
      </c>
      <c r="C16" s="56">
        <v>4198886.12</v>
      </c>
      <c r="D16" s="56">
        <f t="shared" si="1"/>
        <v>16795544.48</v>
      </c>
      <c r="E16" s="45">
        <f>(C16/C18)*100</f>
        <v>3.4040674868999323</v>
      </c>
      <c r="F16" s="45">
        <f>(D16/D18)*100</f>
        <v>3.3201040674227666</v>
      </c>
      <c r="G16" s="46" t="s">
        <v>105</v>
      </c>
      <c r="H16" s="48"/>
    </row>
    <row r="17" spans="1:13" ht="21.75" customHeight="1" x14ac:dyDescent="0.2">
      <c r="A17" s="43" t="s">
        <v>106</v>
      </c>
      <c r="B17" s="44">
        <v>4.3499999999999996</v>
      </c>
      <c r="C17" s="56">
        <v>87257101</v>
      </c>
      <c r="D17" s="56">
        <f t="shared" si="1"/>
        <v>379568389.34999996</v>
      </c>
      <c r="E17" s="45">
        <f>(C17/C18)*100</f>
        <v>70.739965797225182</v>
      </c>
      <c r="F17" s="45">
        <f>(D17/D18)*100</f>
        <v>75.032194094492567</v>
      </c>
      <c r="G17" s="46" t="s">
        <v>107</v>
      </c>
      <c r="H17" s="48"/>
    </row>
    <row r="18" spans="1:13" ht="21.75" customHeight="1" x14ac:dyDescent="0.2">
      <c r="A18" s="60" t="s">
        <v>108</v>
      </c>
      <c r="B18" s="61"/>
      <c r="C18" s="62">
        <f>SUM(C13:C17)</f>
        <v>123349085.65000001</v>
      </c>
      <c r="D18" s="62">
        <f>SUM(D13:D17)</f>
        <v>505874037.046</v>
      </c>
      <c r="E18" s="63">
        <f>(C18/C18)*100</f>
        <v>100</v>
      </c>
      <c r="F18" s="63">
        <f>(D18/D18)*100</f>
        <v>100</v>
      </c>
      <c r="G18" s="64" t="s">
        <v>109</v>
      </c>
    </row>
    <row r="19" spans="1:13" ht="21.75" customHeight="1" x14ac:dyDescent="0.25">
      <c r="A19" s="65" t="s">
        <v>2</v>
      </c>
      <c r="B19" s="66"/>
      <c r="C19" s="66"/>
      <c r="D19" s="66"/>
      <c r="E19" s="67"/>
      <c r="F19" s="67"/>
      <c r="G19" s="68" t="s">
        <v>112</v>
      </c>
      <c r="H19" s="69"/>
      <c r="M19" s="70"/>
    </row>
  </sheetData>
  <mergeCells count="4">
    <mergeCell ref="A1:G1"/>
    <mergeCell ref="A2:G2"/>
    <mergeCell ref="A3:A4"/>
    <mergeCell ref="G3:G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12.4</vt:lpstr>
      <vt:lpstr>12.5</vt:lpstr>
      <vt:lpstr>'12.4'!Print_Area</vt:lpstr>
      <vt:lpstr>'12.5'!Print_Area</vt:lpstr>
      <vt:lpstr>'12.4'!Print_Titles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2016-09-08T07:42:39Z</cp:lastPrinted>
  <dcterms:created xsi:type="dcterms:W3CDTF">2015-01-12T08:51:45Z</dcterms:created>
  <dcterms:modified xsi:type="dcterms:W3CDTF">2016-09-08T07:42:41Z</dcterms:modified>
</cp:coreProperties>
</file>