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2" sheetId="15" r:id="rId1"/>
  </sheets>
  <definedNames>
    <definedName name="_xlnm.Print_Area" localSheetId="0">'12.12'!$A$1:$L$21</definedName>
  </definedNames>
  <calcPr calcId="144525"/>
</workbook>
</file>

<file path=xl/calcChain.xml><?xml version="1.0" encoding="utf-8"?>
<calcChain xmlns="http://schemas.openxmlformats.org/spreadsheetml/2006/main">
  <c r="K5" i="15" l="1"/>
  <c r="J5" i="15" l="1"/>
  <c r="F17" i="15" l="1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I5" i="15"/>
  <c r="H5" i="15"/>
  <c r="G5" i="15"/>
  <c r="D5" i="15"/>
  <c r="F5" i="15" l="1"/>
  <c r="E5" i="15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<sst xmlns="http://schemas.openxmlformats.org/spreadsheetml/2006/main" count="33" uniqueCount="33">
  <si>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</si>
  <si>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</si>
  <si>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</si>
  <si>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</si>
  <si>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</si>
  <si>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</si>
  <si>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</si>
  <si>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</si>
  <si>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</si>
  <si>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</si>
  <si>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</si>
  <si>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</si>
  <si>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</si>
  <si>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</si>
  <si>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</si>
  <si>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</si>
  <si>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</si>
  <si>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</si>
  <si>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</si>
  <si>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</si>
  <si>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</si>
  <si>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</si>
  <si>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</si>
  <si>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</si>
  <si>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</si>
  <si>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</si>
  <si>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</si>
  <si>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</si>
  <si>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</si>
  <si>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</si>
  <si>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</si>
  <si>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2015- 2006 ,urwvcnimunuverukcnunEb cnef </t>
    </r>
    <r>
      <rPr>
        <b/>
        <sz val="10"/>
        <rFont val="A_Reethi"/>
      </rPr>
      <t>ވިލިނގިލީގައި</t>
    </r>
    <r>
      <rPr>
        <b/>
        <sz val="10"/>
        <rFont val="A_Randhoo"/>
      </rPr>
      <t xml:space="preserve"> cnutog eguhwmcswm  : 12.12  ulwvWt</t>
    </r>
  </si>
  <si>
    <t>Table 12.12 : WATER DISTRIBUTION  IN VILLINGILI BY MONTH,  2006 -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</si>
</sst>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</cellStyleXfs>
  <cellXfs count="27">
    <xf numFmtId="0" fontId="0" fillId="0" borderId="0" xfId="0"/>
    <xf numFmtId="0" fontId="4" fillId="2" borderId="0" xfId="2" applyFont="1" applyFill="1"/>
    <xf numFmtId="0" fontId="5" fillId="2" borderId="0" xfId="5" applyFont="1" applyFill="1"/>
    <xf numFmtId="0" fontId="12" fillId="2" borderId="0" xfId="2" applyFont="1" applyFill="1" applyAlignment="1">
      <alignment horizontal="center" vertical="center"/>
    </xf>
    <xf numFmtId="0" fontId="10" fillId="2" borderId="0" xfId="5" applyFill="1"/>
    <xf numFmtId="0" fontId="11" fillId="2" borderId="2" xfId="5" applyFont="1" applyFill="1" applyBorder="1" applyAlignment="1">
      <alignment horizontal="right"/>
    </xf>
    <xf numFmtId="0" fontId="11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center" vertical="center"/>
    </xf>
    <xf numFmtId="0" fontId="2" fillId="2" borderId="0" xfId="5" applyFont="1" applyFill="1" applyBorder="1"/>
    <xf numFmtId="166" fontId="2" fillId="2" borderId="0" xfId="5" applyNumberFormat="1" applyFont="1" applyFill="1" applyAlignment="1">
      <alignment horizontal="center"/>
    </xf>
    <xf numFmtId="0" fontId="4" fillId="2" borderId="0" xfId="5" applyFont="1" applyFill="1" applyBorder="1"/>
    <xf numFmtId="166" fontId="4" fillId="2" borderId="0" xfId="2" applyNumberFormat="1" applyFont="1" applyFill="1" applyAlignment="1">
      <alignment horizontal="center"/>
    </xf>
    <xf numFmtId="166" fontId="4" fillId="2" borderId="0" xfId="3" applyNumberFormat="1" applyFont="1" applyFill="1" applyAlignment="1">
      <alignment horizontal="center"/>
    </xf>
    <xf numFmtId="0" fontId="4" fillId="2" borderId="1" xfId="5" applyFont="1" applyFill="1" applyBorder="1"/>
    <xf numFmtId="166" fontId="4" fillId="2" borderId="1" xfId="2" applyNumberFormat="1" applyFont="1" applyFill="1" applyBorder="1" applyAlignment="1">
      <alignment horizontal="center"/>
    </xf>
    <xf numFmtId="166" fontId="4" fillId="2" borderId="1" xfId="3" applyNumberFormat="1" applyFont="1" applyFill="1" applyBorder="1" applyAlignment="1">
      <alignment horizontal="center"/>
    </xf>
    <xf numFmtId="4" fontId="8" fillId="2" borderId="0" xfId="5" applyNumberFormat="1" applyFont="1" applyFill="1" applyAlignment="1">
      <alignment horizontal="center"/>
    </xf>
    <xf numFmtId="0" fontId="11" fillId="2" borderId="0" xfId="2" applyFont="1" applyFill="1" applyAlignment="1">
      <alignment vertical="center"/>
    </xf>
    <xf numFmtId="166" fontId="4" fillId="2" borderId="0" xfId="5" applyNumberFormat="1" applyFont="1" applyFill="1" applyBorder="1" applyAlignment="1">
      <alignment horizontal="center"/>
    </xf>
    <xf numFmtId="166" fontId="4" fillId="2" borderId="1" xfId="5" applyNumberFormat="1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11" fillId="2" borderId="0" xfId="2" applyFont="1" applyFill="1" applyAlignment="1">
      <alignment horizontal="center" vertical="center"/>
    </xf>
    <xf numFmtId="0" fontId="2" fillId="2" borderId="0" xfId="5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1"/>
  <sheetViews>
    <sheetView tabSelected="1" zoomScaleNormal="100" workbookViewId="0">
      <selection activeCell="B6" sqref="B6"/>
    </sheetView>
  </sheetViews>
  <sheetFormatPr defaultColWidth="11.28515625" defaultRowHeight="12.75" x14ac:dyDescent="0.2"/>
  <cols>
    <col min="1" max="16384" width="11.28515625" style="1"/>
  </cols>
  <sheetData>
    <row r="1" spans="1:12" ht="18.75" x14ac:dyDescent="0.2">
      <c r="A1" s="24" t="s">
        <v>31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">
      <c r="A2" s="25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5" x14ac:dyDescent="0.2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5.75" x14ac:dyDescent="0.4">
      <c r="A4" s="9" t="s">
        <v>5</v>
      </c>
      <c r="B4" s="10">
        <v>2006</v>
      </c>
      <c r="C4" s="10">
        <v>2007</v>
      </c>
      <c r="D4" s="10">
        <v>2008</v>
      </c>
      <c r="E4" s="10">
        <v>2009</v>
      </c>
      <c r="F4" s="10">
        <v>2010</v>
      </c>
      <c r="G4" s="10">
        <v>2011</v>
      </c>
      <c r="H4" s="10">
        <v>2012</v>
      </c>
      <c r="I4" s="10">
        <v>2013</v>
      </c>
      <c r="J4" s="10">
        <v>2014</v>
      </c>
      <c r="K4" s="10">
        <v>2015</v>
      </c>
      <c r="L4" s="5" t="s">
        <v>6</v>
      </c>
    </row>
    <row r="5" spans="1:12" ht="21.75" customHeight="1" x14ac:dyDescent="0.4">
      <c r="A5" s="11" t="s">
        <v>10</v>
      </c>
      <c r="B5" s="12">
        <v>87.61</v>
      </c>
      <c r="C5" s="12">
        <v>94.46</v>
      </c>
      <c r="D5" s="12">
        <f t="shared" ref="D5:H5" si="0">SUM(D6:D17)</f>
        <v>132.75242999999998</v>
      </c>
      <c r="E5" s="12">
        <f t="shared" si="0"/>
        <v>153.44110999999998</v>
      </c>
      <c r="F5" s="12">
        <f t="shared" si="0"/>
        <v>149.21519999999998</v>
      </c>
      <c r="G5" s="12">
        <f t="shared" si="0"/>
        <v>162.01300000000001</v>
      </c>
      <c r="H5" s="12">
        <f t="shared" si="0"/>
        <v>200.73650000000004</v>
      </c>
      <c r="I5" s="12">
        <f>SUM(I6:I17)</f>
        <v>199.63330000000002</v>
      </c>
      <c r="J5" s="12">
        <f>SUM(J6:J17)</f>
        <v>200.12200000000001</v>
      </c>
      <c r="K5" s="12">
        <f>SUM(K6:K17)</f>
        <v>220.3561</v>
      </c>
      <c r="L5" s="6" t="s">
        <v>0</v>
      </c>
    </row>
    <row r="6" spans="1:12" ht="21.75" customHeight="1" x14ac:dyDescent="0.4">
      <c r="A6" s="13" t="s">
        <v>11</v>
      </c>
      <c r="B6" s="14">
        <v>6.71</v>
      </c>
      <c r="C6" s="14">
        <v>6.7370000000000001</v>
      </c>
      <c r="D6" s="14">
        <v>8.5228099999999998</v>
      </c>
      <c r="E6" s="14">
        <f>13824.72/1000</f>
        <v>13.824719999999999</v>
      </c>
      <c r="F6" s="14">
        <f>12006/1000</f>
        <v>12.006</v>
      </c>
      <c r="G6" s="14">
        <v>12.16</v>
      </c>
      <c r="H6" s="15">
        <v>14.749700000000001</v>
      </c>
      <c r="I6" s="15">
        <v>17.236099999999997</v>
      </c>
      <c r="J6" s="21">
        <v>15.821999999999999</v>
      </c>
      <c r="K6" s="21">
        <v>17.667999999999999</v>
      </c>
      <c r="L6" s="7" t="s">
        <v>12</v>
      </c>
    </row>
    <row r="7" spans="1:12" ht="21.75" customHeight="1" x14ac:dyDescent="0.4">
      <c r="A7" s="13" t="s">
        <v>13</v>
      </c>
      <c r="B7" s="14">
        <v>6.8</v>
      </c>
      <c r="C7" s="14">
        <v>6.7859999999999996</v>
      </c>
      <c r="D7" s="14">
        <v>9.0252599999999994</v>
      </c>
      <c r="E7" s="14">
        <f>13500.1/1000</f>
        <v>13.5001</v>
      </c>
      <c r="F7" s="14">
        <f>11311.6/1000</f>
        <v>11.3116</v>
      </c>
      <c r="G7" s="14">
        <v>11.271000000000001</v>
      </c>
      <c r="H7" s="15">
        <v>14.404999999999999</v>
      </c>
      <c r="I7" s="15">
        <v>15.426200000000001</v>
      </c>
      <c r="J7" s="21">
        <v>15.07</v>
      </c>
      <c r="K7" s="21">
        <v>16.524000000000001</v>
      </c>
      <c r="L7" s="7" t="s">
        <v>14</v>
      </c>
    </row>
    <row r="8" spans="1:12" ht="21.75" customHeight="1" x14ac:dyDescent="0.4">
      <c r="A8" s="13" t="s">
        <v>15</v>
      </c>
      <c r="B8" s="14">
        <v>8.01</v>
      </c>
      <c r="C8" s="14">
        <v>8.09</v>
      </c>
      <c r="D8" s="14">
        <v>10.10816</v>
      </c>
      <c r="E8" s="14">
        <f>14762.62/1000</f>
        <v>14.76262</v>
      </c>
      <c r="F8" s="14">
        <f>13626.5/1000</f>
        <v>13.6265</v>
      </c>
      <c r="G8" s="14">
        <v>13.747</v>
      </c>
      <c r="H8" s="15">
        <v>17.776900000000001</v>
      </c>
      <c r="I8" s="15">
        <v>18.164000000000001</v>
      </c>
      <c r="J8" s="21">
        <v>16.978999999999999</v>
      </c>
      <c r="K8" s="21">
        <v>18.923999999999999</v>
      </c>
      <c r="L8" s="7" t="s">
        <v>1</v>
      </c>
    </row>
    <row r="9" spans="1:12" ht="21.75" customHeight="1" x14ac:dyDescent="0.4">
      <c r="A9" s="13" t="s">
        <v>16</v>
      </c>
      <c r="B9" s="14">
        <v>7.92</v>
      </c>
      <c r="C9" s="14">
        <v>8.1809999999999992</v>
      </c>
      <c r="D9" s="14">
        <v>9.9809400000000004</v>
      </c>
      <c r="E9" s="14">
        <f>12907.64/1000</f>
        <v>12.907639999999999</v>
      </c>
      <c r="F9" s="14">
        <f>13789.6/1000</f>
        <v>13.7896</v>
      </c>
      <c r="G9" s="14">
        <v>13.391</v>
      </c>
      <c r="H9" s="15">
        <v>17.472999999999999</v>
      </c>
      <c r="I9" s="15">
        <v>18.198</v>
      </c>
      <c r="J9" s="21">
        <v>17.344999999999999</v>
      </c>
      <c r="K9" s="21">
        <v>19.065999999999999</v>
      </c>
      <c r="L9" s="7" t="s">
        <v>17</v>
      </c>
    </row>
    <row r="10" spans="1:12" ht="21.75" customHeight="1" x14ac:dyDescent="0.4">
      <c r="A10" s="13" t="s">
        <v>18</v>
      </c>
      <c r="B10" s="14">
        <v>8.1199999999999992</v>
      </c>
      <c r="C10" s="14">
        <v>7.9779999999999998</v>
      </c>
      <c r="D10" s="14">
        <v>10.215209999999999</v>
      </c>
      <c r="E10" s="14">
        <f>13803.1/1000</f>
        <v>13.803100000000001</v>
      </c>
      <c r="F10" s="14">
        <f>13121.2/1000</f>
        <v>13.1212</v>
      </c>
      <c r="G10" s="14">
        <v>13.359</v>
      </c>
      <c r="H10" s="15">
        <v>18.638200000000001</v>
      </c>
      <c r="I10" s="15">
        <v>17.337</v>
      </c>
      <c r="J10" s="21">
        <v>17.195</v>
      </c>
      <c r="K10" s="21">
        <v>19.175999999999998</v>
      </c>
      <c r="L10" s="7" t="s">
        <v>2</v>
      </c>
    </row>
    <row r="11" spans="1:12" ht="21.75" customHeight="1" x14ac:dyDescent="0.4">
      <c r="A11" s="13" t="s">
        <v>19</v>
      </c>
      <c r="B11" s="14">
        <v>7.65</v>
      </c>
      <c r="C11" s="14">
        <v>7.6760000000000002</v>
      </c>
      <c r="D11" s="14">
        <v>9.6870700000000003</v>
      </c>
      <c r="E11" s="14">
        <f>12592.47/1000</f>
        <v>12.592469999999999</v>
      </c>
      <c r="F11" s="14">
        <f>13092.5/1000</f>
        <v>13.092499999999999</v>
      </c>
      <c r="G11" s="14">
        <v>14.221</v>
      </c>
      <c r="H11" s="15">
        <v>18.327999999999999</v>
      </c>
      <c r="I11" s="15">
        <v>16.536999999999999</v>
      </c>
      <c r="J11" s="21">
        <v>17.471</v>
      </c>
      <c r="K11" s="21">
        <v>19.530999999999999</v>
      </c>
      <c r="L11" s="7" t="s">
        <v>3</v>
      </c>
    </row>
    <row r="12" spans="1:12" ht="21.75" customHeight="1" x14ac:dyDescent="0.4">
      <c r="A12" s="13" t="s">
        <v>20</v>
      </c>
      <c r="B12" s="14">
        <v>7.9</v>
      </c>
      <c r="C12" s="14">
        <v>7.85</v>
      </c>
      <c r="D12" s="14">
        <v>10.169180000000001</v>
      </c>
      <c r="E12" s="14">
        <f>13764.36/1000</f>
        <v>13.76436</v>
      </c>
      <c r="F12" s="14">
        <f>12070.9/1000</f>
        <v>12.0709</v>
      </c>
      <c r="G12" s="14">
        <v>14.153</v>
      </c>
      <c r="H12" s="15">
        <v>19.847000000000001</v>
      </c>
      <c r="I12" s="15">
        <v>18.916</v>
      </c>
      <c r="J12" s="21">
        <v>17.753</v>
      </c>
      <c r="K12" s="21">
        <v>19.111999999999998</v>
      </c>
      <c r="L12" s="7" t="s">
        <v>4</v>
      </c>
    </row>
    <row r="13" spans="1:12" ht="21.75" customHeight="1" x14ac:dyDescent="0.4">
      <c r="A13" s="13" t="s">
        <v>21</v>
      </c>
      <c r="B13" s="14">
        <v>7.66</v>
      </c>
      <c r="C13" s="14">
        <v>8.452</v>
      </c>
      <c r="D13" s="14">
        <v>12.06822</v>
      </c>
      <c r="E13" s="14">
        <f>12202.4/1000</f>
        <v>12.202399999999999</v>
      </c>
      <c r="F13" s="14">
        <f>13026/1000</f>
        <v>13.026</v>
      </c>
      <c r="G13" s="14">
        <v>14.708</v>
      </c>
      <c r="H13" s="15">
        <v>17.097999999999999</v>
      </c>
      <c r="I13" s="15">
        <v>16.727</v>
      </c>
      <c r="J13" s="21">
        <v>16.989999999999998</v>
      </c>
      <c r="K13" s="21">
        <v>19.004000000000001</v>
      </c>
      <c r="L13" s="7" t="s">
        <v>22</v>
      </c>
    </row>
    <row r="14" spans="1:12" ht="21.75" customHeight="1" x14ac:dyDescent="0.4">
      <c r="A14" s="13" t="s">
        <v>23</v>
      </c>
      <c r="B14" s="14">
        <v>7.06</v>
      </c>
      <c r="C14" s="14">
        <v>8.1349999999999998</v>
      </c>
      <c r="D14" s="14">
        <v>14.287600000000001</v>
      </c>
      <c r="E14" s="14">
        <f>12123.8/1000</f>
        <v>12.123799999999999</v>
      </c>
      <c r="F14" s="14">
        <f>12008.3/1000</f>
        <v>12.008299999999998</v>
      </c>
      <c r="G14" s="14">
        <v>13.673999999999999</v>
      </c>
      <c r="H14" s="15">
        <v>15.651999999999999</v>
      </c>
      <c r="I14" s="15">
        <v>15.872999999999999</v>
      </c>
      <c r="J14" s="21">
        <v>16.288</v>
      </c>
      <c r="K14" s="21">
        <v>17.05</v>
      </c>
      <c r="L14" s="7" t="s">
        <v>24</v>
      </c>
    </row>
    <row r="15" spans="1:12" ht="21.75" customHeight="1" x14ac:dyDescent="0.4">
      <c r="A15" s="13" t="s">
        <v>25</v>
      </c>
      <c r="B15" s="14">
        <v>7.59</v>
      </c>
      <c r="C15" s="14">
        <v>8.34</v>
      </c>
      <c r="D15" s="14">
        <v>13.223739999999999</v>
      </c>
      <c r="E15" s="14">
        <f>13207/1000</f>
        <v>13.207000000000001</v>
      </c>
      <c r="F15" s="14">
        <f>12610/1000</f>
        <v>12.61</v>
      </c>
      <c r="G15" s="14">
        <v>14.371</v>
      </c>
      <c r="H15" s="15">
        <v>15.882999999999999</v>
      </c>
      <c r="I15" s="15">
        <v>15.507999999999999</v>
      </c>
      <c r="J15" s="21">
        <v>16.818999999999999</v>
      </c>
      <c r="K15" s="21">
        <v>18.559999999999999</v>
      </c>
      <c r="L15" s="7" t="s">
        <v>26</v>
      </c>
    </row>
    <row r="16" spans="1:12" ht="21.75" customHeight="1" x14ac:dyDescent="0.4">
      <c r="A16" s="13" t="s">
        <v>27</v>
      </c>
      <c r="B16" s="14">
        <v>6.28</v>
      </c>
      <c r="C16" s="14">
        <v>8.6669999999999998</v>
      </c>
      <c r="D16" s="14">
        <v>13.751749999999999</v>
      </c>
      <c r="E16" s="14">
        <f>10242.9/1000</f>
        <v>10.242899999999999</v>
      </c>
      <c r="F16" s="14">
        <f>11198.2/1000</f>
        <v>11.1982</v>
      </c>
      <c r="G16" s="14">
        <v>13.012</v>
      </c>
      <c r="H16" s="15">
        <v>15.821999999999999</v>
      </c>
      <c r="I16" s="15">
        <v>15.173</v>
      </c>
      <c r="J16" s="21">
        <v>16.071999999999999</v>
      </c>
      <c r="K16" s="21">
        <v>17.791</v>
      </c>
      <c r="L16" s="7" t="s">
        <v>28</v>
      </c>
    </row>
    <row r="17" spans="1:18" ht="21.75" customHeight="1" x14ac:dyDescent="0.4">
      <c r="A17" s="16" t="s">
        <v>29</v>
      </c>
      <c r="B17" s="17">
        <v>5.91</v>
      </c>
      <c r="C17" s="17">
        <v>7.5679999999999996</v>
      </c>
      <c r="D17" s="17">
        <v>11.712489999999999</v>
      </c>
      <c r="E17" s="17">
        <f>10510/1000</f>
        <v>10.51</v>
      </c>
      <c r="F17" s="17">
        <f>11354.4/1000</f>
        <v>11.3544</v>
      </c>
      <c r="G17" s="17">
        <v>13.946</v>
      </c>
      <c r="H17" s="18">
        <v>15.063700000000001</v>
      </c>
      <c r="I17" s="18">
        <v>14.538</v>
      </c>
      <c r="J17" s="22">
        <v>16.318000000000001</v>
      </c>
      <c r="K17" s="22">
        <v>17.950099999999999</v>
      </c>
      <c r="L17" s="8" t="s">
        <v>30</v>
      </c>
    </row>
    <row r="18" spans="1:18" ht="15.75" x14ac:dyDescent="0.4">
      <c r="A18" s="2" t="s">
        <v>8</v>
      </c>
      <c r="L18" s="23" t="s">
        <v>7</v>
      </c>
    </row>
    <row r="19" spans="1:18" x14ac:dyDescent="0.2">
      <c r="B19" s="19"/>
      <c r="C19" s="19"/>
      <c r="D19" s="19"/>
      <c r="E19" s="19"/>
    </row>
    <row r="21" spans="1:18" s="4" customFormat="1" ht="21.75" x14ac:dyDescent="0.2">
      <c r="L21" s="20"/>
      <c r="M21" s="20"/>
      <c r="N21" s="20"/>
      <c r="O21" s="20"/>
      <c r="P21" s="3"/>
      <c r="Q21" s="3"/>
      <c r="R21" s="3"/>
    </row>
  </sheetData>
  <mergeCells count="3">
    <mergeCell ref="A1:L1"/>
    <mergeCell ref="A2:L2"/>
    <mergeCell ref="A3:L3"/>
  </mergeCells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2016-09-08T07:49:47Z</cp:lastPrinted>
  <dcterms:created xsi:type="dcterms:W3CDTF">2015-01-12T08:51:45Z</dcterms:created>
  <dcterms:modified xsi:type="dcterms:W3CDTF">2016-09-08T07:49:49Z</dcterms:modified>
</cp:coreProperties>
</file>