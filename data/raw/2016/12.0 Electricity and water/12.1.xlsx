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" sheetId="17" r:id="rId1"/>
  </sheets>
  <definedNames>
    <definedName name="_xlnm.Print_Area" localSheetId="0">'12.1'!$A$1:$I$39</definedName>
  </definedNames>
  <calcPr calcId="144525"/>
</workbook>
</file>

<file path=xl/calcChain.xml><?xml version="1.0" encoding="utf-8"?>
<calcChain xmlns="http://schemas.openxmlformats.org/spreadsheetml/2006/main">
  <c r="H16" i="17" l="1"/>
  <c r="G19" i="17" l="1"/>
  <c r="D19" i="17"/>
  <c r="D17" i="17"/>
  <c r="F16" i="17"/>
  <c r="H9" i="17"/>
  <c r="H19" i="17" s="1"/>
  <c r="F9" i="17"/>
  <c r="F19" i="17" s="1"/>
  <c r="E9" i="17"/>
  <c r="E19" i="17" s="1"/>
  <c r="D9" i="17"/>
  <c r="H8" i="17"/>
  <c r="H18" i="17" s="1"/>
  <c r="F8" i="17"/>
  <c r="E8" i="17"/>
  <c r="E18" i="17" s="1"/>
  <c r="D8" i="17"/>
  <c r="D18" i="17" s="1"/>
  <c r="H7" i="17"/>
  <c r="F7" i="17"/>
  <c r="G17" i="17" s="1"/>
  <c r="E7" i="17"/>
  <c r="F17" i="17" s="1"/>
  <c r="D7" i="17"/>
  <c r="F6" i="17"/>
  <c r="G16" i="17" s="1"/>
  <c r="E6" i="17"/>
  <c r="E16" i="17" s="1"/>
  <c r="D6" i="17"/>
  <c r="D16" i="17" s="1"/>
  <c r="G5" i="17"/>
  <c r="G12" i="17" s="1"/>
  <c r="H5" i="17" l="1"/>
  <c r="H10" i="17"/>
  <c r="G14" i="17"/>
  <c r="G11" i="17"/>
  <c r="H14" i="17"/>
  <c r="F18" i="17"/>
  <c r="G10" i="17"/>
  <c r="H13" i="17"/>
  <c r="G18" i="17"/>
  <c r="D5" i="17"/>
  <c r="D14" i="17" s="1"/>
  <c r="G15" i="17"/>
  <c r="E17" i="17"/>
  <c r="H17" i="17"/>
  <c r="G13" i="17"/>
  <c r="E5" i="17"/>
  <c r="E14" i="17" s="1"/>
  <c r="F5" i="17"/>
  <c r="F12" i="17" s="1"/>
  <c r="H12" i="17"/>
  <c r="F14" i="17" l="1"/>
  <c r="D11" i="17"/>
  <c r="H15" i="17"/>
  <c r="H11" i="17"/>
  <c r="E12" i="17"/>
  <c r="E11" i="17"/>
  <c r="D15" i="17"/>
  <c r="D10" i="17"/>
  <c r="D13" i="17"/>
  <c r="D12" i="17"/>
  <c r="F11" i="17"/>
  <c r="F10" i="17"/>
  <c r="F15" i="17"/>
  <c r="F13" i="17"/>
  <c r="E10" i="17"/>
  <c r="E13" i="17"/>
  <c r="E15" i="17"/>
</calcChain>
</file>

<file path=xl/sharedStrings.xml><?xml version="1.0" encoding="utf-8"?>
<sst xmlns="http://schemas.openxmlformats.org/spreadsheetml/2006/main" count="37" uniqueCount="21">
  <si>
    <t xml:space="preserve"> % cnutogWviawfiheb</t>
  </si>
  <si>
    <t>% change over previous year</t>
  </si>
  <si>
    <t xml:space="preserve"> % urwvcnim ivurutia eruvcSwrwhwa Iruk</t>
  </si>
  <si>
    <t>2015 - 2009 ,ctogEveruk cnunEb cTcnwrwk iawgElWm : 12.1 ulwvWt</t>
  </si>
  <si>
    <t>Table 12.1 :   ELECTRICITY UTILIZATION IN MALE', 2009 - 2015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</si>
  <si>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</si>
  <si>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</si>
  <si>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</si>
  <si>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</si>
  <si>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</si>
  <si>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</si>
  <si>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</si>
  <si>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</si>
  <si>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</si>
  <si>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</si>
  <si>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t>Public Places and  Schools</t>
  </si>
  <si>
    <t xml:space="preserve"> cawtclUkcs iaWnwtcnwt wncnuh cSwmunEb umcaWA</t>
  </si>
  <si>
    <t>%  share</t>
  </si>
  <si>
    <t>Source: State Electric Company Limited</t>
  </si>
  <si>
    <t>cDeTimil Inepcmok ckircTckeliacTETcs :ctWrwf ivcaedutWmUluAwm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</si>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</sst>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Garamond"/>
      <family val="1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71">
    <xf numFmtId="0" fontId="0" fillId="0" borderId="0" xfId="0"/>
    <xf numFmtId="0" fontId="2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2" borderId="7" xfId="0" applyFont="1" applyFill="1" applyBorder="1" applyAlignment="1" applyProtection="1">
      <alignment vertical="center"/>
    </xf>
    <xf numFmtId="0" fontId="3" fillId="2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3" fillId="2" borderId="10" xfId="0" applyFont="1" applyFill="1" applyBorder="1" applyAlignment="1" applyProtection="1">
      <alignment horizontal="left" vertical="center"/>
    </xf>
    <xf numFmtId="3" fontId="3" fillId="2" borderId="6" xfId="0" applyNumberFormat="1" applyFont="1" applyFill="1" applyBorder="1" applyAlignment="1" applyProtection="1">
      <alignment horizontal="right" vertical="center"/>
    </xf>
    <xf numFmtId="164" fontId="3" fillId="2" borderId="6" xfId="1" applyNumberFormat="1" applyFont="1" applyFill="1" applyBorder="1" applyAlignment="1" applyProtection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0" fontId="6" fillId="2" borderId="11" xfId="0" applyFont="1" applyFill="1" applyBorder="1" applyAlignment="1" applyProtection="1">
      <alignment horizontal="left" vertical="center"/>
    </xf>
    <xf numFmtId="3" fontId="6" fillId="2" borderId="9" xfId="0" applyNumberFormat="1" applyFont="1" applyFill="1" applyBorder="1" applyAlignment="1">
      <alignment horizontal="right" vertical="center"/>
    </xf>
    <xf numFmtId="164" fontId="6" fillId="2" borderId="9" xfId="1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4" fontId="6" fillId="2" borderId="4" xfId="1" applyNumberFormat="1" applyFont="1" applyFill="1" applyBorder="1" applyAlignment="1">
      <alignment vertical="center"/>
    </xf>
    <xf numFmtId="0" fontId="6" fillId="2" borderId="12" xfId="0" applyFont="1" applyFill="1" applyBorder="1" applyAlignment="1" applyProtection="1">
      <alignment horizontal="left" vertical="center"/>
    </xf>
    <xf numFmtId="0" fontId="15" fillId="2" borderId="4" xfId="0" applyFont="1" applyFill="1" applyBorder="1" applyAlignment="1">
      <alignment horizontal="right" vertical="center"/>
    </xf>
    <xf numFmtId="3" fontId="3" fillId="2" borderId="13" xfId="0" applyNumberFormat="1" applyFont="1" applyFill="1" applyBorder="1" applyAlignment="1" applyProtection="1">
      <alignment horizontal="right" vertical="center"/>
    </xf>
    <xf numFmtId="1" fontId="3" fillId="2" borderId="13" xfId="1" applyNumberFormat="1" applyFont="1" applyFill="1" applyBorder="1" applyAlignment="1">
      <alignment horizontal="right" vertical="center"/>
    </xf>
    <xf numFmtId="0" fontId="14" fillId="2" borderId="13" xfId="0" applyFont="1" applyFill="1" applyBorder="1" applyAlignment="1">
      <alignment horizontal="right" vertical="center"/>
    </xf>
    <xf numFmtId="3" fontId="6" fillId="2" borderId="9" xfId="1" applyNumberFormat="1" applyFont="1" applyFill="1" applyBorder="1" applyAlignment="1">
      <alignment horizontal="right" vertical="center"/>
    </xf>
    <xf numFmtId="1" fontId="6" fillId="2" borderId="9" xfId="1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 applyProtection="1">
      <alignment vertical="center"/>
      <protection locked="0"/>
    </xf>
    <xf numFmtId="1" fontId="6" fillId="2" borderId="4" xfId="0" applyNumberFormat="1" applyFont="1" applyFill="1" applyBorder="1" applyAlignment="1">
      <alignment vertical="center"/>
    </xf>
    <xf numFmtId="1" fontId="6" fillId="2" borderId="4" xfId="0" applyNumberFormat="1" applyFont="1" applyFill="1" applyBorder="1" applyAlignment="1">
      <alignment horizontal="right" vertical="center"/>
    </xf>
    <xf numFmtId="3" fontId="6" fillId="2" borderId="14" xfId="0" applyNumberFormat="1" applyFont="1" applyFill="1" applyBorder="1" applyAlignment="1" applyProtection="1">
      <alignment vertical="center"/>
      <protection locked="0"/>
    </xf>
    <xf numFmtId="1" fontId="6" fillId="2" borderId="14" xfId="0" applyNumberFormat="1" applyFont="1" applyFill="1" applyBorder="1" applyAlignment="1">
      <alignment vertical="center"/>
    </xf>
    <xf numFmtId="1" fontId="6" fillId="2" borderId="14" xfId="0" applyNumberFormat="1" applyFont="1" applyFill="1" applyBorder="1" applyAlignment="1">
      <alignment horizontal="right" vertical="center"/>
    </xf>
    <xf numFmtId="0" fontId="15" fillId="2" borderId="14" xfId="0" applyFont="1" applyFill="1" applyBorder="1" applyAlignment="1">
      <alignment horizontal="right" vertical="center"/>
    </xf>
    <xf numFmtId="3" fontId="3" fillId="2" borderId="6" xfId="1" applyNumberFormat="1" applyFont="1" applyFill="1" applyBorder="1" applyAlignment="1">
      <alignment horizontal="right" vertical="center"/>
    </xf>
    <xf numFmtId="1" fontId="3" fillId="2" borderId="6" xfId="1" applyNumberFormat="1" applyFont="1" applyFill="1" applyBorder="1" applyAlignment="1">
      <alignment horizontal="right" vertical="center"/>
    </xf>
    <xf numFmtId="3" fontId="6" fillId="2" borderId="4" xfId="1" applyNumberFormat="1" applyFont="1" applyFill="1" applyBorder="1" applyAlignment="1">
      <alignment vertical="center"/>
    </xf>
    <xf numFmtId="0" fontId="6" fillId="2" borderId="15" xfId="0" applyFont="1" applyFill="1" applyBorder="1" applyAlignment="1" applyProtection="1">
      <alignment horizontal="left" vertical="center"/>
    </xf>
    <xf numFmtId="3" fontId="6" fillId="2" borderId="16" xfId="1" applyNumberFormat="1" applyFont="1" applyFill="1" applyBorder="1" applyAlignment="1">
      <alignment vertical="center"/>
    </xf>
    <xf numFmtId="1" fontId="6" fillId="2" borderId="16" xfId="1" applyNumberFormat="1" applyFont="1" applyFill="1" applyBorder="1" applyAlignment="1">
      <alignment vertical="center"/>
    </xf>
    <xf numFmtId="0" fontId="15" fillId="2" borderId="16" xfId="0" applyFont="1" applyFill="1" applyBorder="1" applyAlignment="1">
      <alignment horizontal="right" vertical="center"/>
    </xf>
    <xf numFmtId="0" fontId="7" fillId="2" borderId="10" xfId="0" applyFont="1" applyFill="1" applyBorder="1" applyAlignment="1" applyProtection="1">
      <alignment horizontal="left" vertical="center"/>
    </xf>
    <xf numFmtId="3" fontId="8" fillId="2" borderId="6" xfId="1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right"/>
    </xf>
    <xf numFmtId="0" fontId="5" fillId="2" borderId="11" xfId="0" applyFont="1" applyFill="1" applyBorder="1" applyAlignment="1" applyProtection="1">
      <alignment horizontal="left" vertical="center"/>
    </xf>
    <xf numFmtId="3" fontId="5" fillId="2" borderId="9" xfId="1" applyNumberFormat="1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0" fontId="5" fillId="2" borderId="9" xfId="0" applyFont="1" applyFill="1" applyBorder="1" applyAlignment="1" applyProtection="1">
      <alignment horizontal="left" vertical="center"/>
    </xf>
    <xf numFmtId="0" fontId="5" fillId="2" borderId="11" xfId="0" applyFont="1" applyFill="1" applyBorder="1" applyAlignment="1">
      <alignment vertical="center"/>
    </xf>
    <xf numFmtId="0" fontId="0" fillId="2" borderId="9" xfId="0" applyFill="1" applyBorder="1"/>
    <xf numFmtId="0" fontId="10" fillId="2" borderId="9" xfId="0" applyFont="1" applyFill="1" applyBorder="1" applyAlignment="1">
      <alignment horizontal="right"/>
    </xf>
    <xf numFmtId="1" fontId="5" fillId="2" borderId="9" xfId="0" applyNumberFormat="1" applyFont="1" applyFill="1" applyBorder="1"/>
    <xf numFmtId="0" fontId="5" fillId="2" borderId="9" xfId="0" applyFont="1" applyFill="1" applyBorder="1"/>
    <xf numFmtId="3" fontId="0" fillId="2" borderId="9" xfId="0" applyNumberFormat="1" applyFill="1" applyBorder="1"/>
    <xf numFmtId="1" fontId="0" fillId="2" borderId="9" xfId="0" applyNumberFormat="1" applyFill="1" applyBorder="1"/>
    <xf numFmtId="164" fontId="5" fillId="2" borderId="9" xfId="2" applyNumberFormat="1" applyFont="1" applyFill="1" applyBorder="1" applyAlignment="1" applyProtection="1">
      <alignment horizontal="right" vertical="center"/>
      <protection locked="0"/>
    </xf>
    <xf numFmtId="3" fontId="11" fillId="2" borderId="6" xfId="0" applyNumberFormat="1" applyFont="1" applyFill="1" applyBorder="1" applyAlignment="1" applyProtection="1">
      <alignment horizontal="right" vertical="center"/>
    </xf>
    <xf numFmtId="164" fontId="11" fillId="2" borderId="6" xfId="1" applyNumberFormat="1" applyFont="1" applyFill="1" applyBorder="1" applyAlignment="1" applyProtection="1">
      <alignment horizontal="right" vertical="center"/>
    </xf>
    <xf numFmtId="168" fontId="5" fillId="2" borderId="9" xfId="0" applyNumberFormat="1" applyFont="1" applyFill="1" applyBorder="1"/>
    <xf numFmtId="0" fontId="0" fillId="2" borderId="11" xfId="0" applyFill="1" applyBorder="1"/>
    <xf numFmtId="0" fontId="13" fillId="2" borderId="3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17" xfId="0" applyFont="1" applyFill="1" applyBorder="1" applyAlignment="1" applyProtection="1">
      <alignment horizontal="center" vertical="center"/>
    </xf>
    <xf numFmtId="0" fontId="14" fillId="2" borderId="18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Figure 12.1   Electricity production, Male', 2009 - 2015</a:t>
            </a:r>
          </a:p>
        </c:rich>
      </c:tx>
      <c:layout>
        <c:manualLayout>
          <c:xMode val="edge"/>
          <c:yMode val="edge"/>
          <c:x val="0.28436649964209021"/>
          <c:y val="2.8127941845749092E-2"/>
        </c:manualLayout>
      </c:layout>
      <c:overlay val="0"/>
    </c:title>
    <c:autoTitleDeleted val="0"/>
    <c:view3D>
      <c:rotX val="0"/>
      <c:rotY val="0"/>
      <c:rAngAx val="0"/>
      <c:perspective val="0"/>
    </c:view3D>
    <c:floor>
      <c:thickness val="0"/>
    </c:floor>
    <c:sideWall>
      <c:thickness val="0"/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sideWall>
    <c:backWall>
      <c:thickness val="0"/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3073921825948226"/>
          <c:y val="0.14531468641046741"/>
          <c:w val="0.8528295666767618"/>
          <c:h val="0.69381658635954091"/>
        </c:manualLayout>
      </c:layout>
      <c:bar3D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cat>
            <c:numRef>
              <c:f>'12.1'!$X$29:$AG$29</c:f>
              <c:numCache>
                <c:formatCode>0</c:formatCod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 formatCode="General">
                  <c:v>2009</c:v>
                </c:pt>
                <c:pt idx="4">
                  <c:v>2010</c:v>
                </c:pt>
                <c:pt idx="5" formatCode="General">
                  <c:v>2011</c:v>
                </c:pt>
                <c:pt idx="6" formatCode="General">
                  <c:v>2012</c:v>
                </c:pt>
                <c:pt idx="7" formatCode="General">
                  <c:v>2013</c:v>
                </c:pt>
                <c:pt idx="8" formatCode="General">
                  <c:v>2014</c:v>
                </c:pt>
                <c:pt idx="9" formatCode="General">
                  <c:v>2015</c:v>
                </c:pt>
              </c:numCache>
            </c:numRef>
          </c:cat>
          <c:val>
            <c:numRef>
              <c:f>'12.1'!$X$30:$AG$30</c:f>
              <c:numCache>
                <c:formatCode>_(* #,##0_);_(* \(#,##0\);_(* "-"??_);_(@_)</c:formatCode>
                <c:ptCount val="10"/>
                <c:pt idx="0">
                  <c:v>156108</c:v>
                </c:pt>
                <c:pt idx="1">
                  <c:v>159642.78099999999</c:v>
                </c:pt>
                <c:pt idx="2">
                  <c:v>173370.872</c:v>
                </c:pt>
                <c:pt idx="3">
                  <c:v>187110.266</c:v>
                </c:pt>
                <c:pt idx="4">
                  <c:v>195722.55800000002</c:v>
                </c:pt>
                <c:pt idx="5">
                  <c:v>211889.32699999999</c:v>
                </c:pt>
                <c:pt idx="6">
                  <c:v>219663.37332000001</c:v>
                </c:pt>
                <c:pt idx="7">
                  <c:v>232023.39200000002</c:v>
                </c:pt>
                <c:pt idx="8">
                  <c:v>239067</c:v>
                </c:pt>
                <c:pt idx="9">
                  <c:v>260445.08562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9029632"/>
        <c:axId val="51449856"/>
        <c:axId val="0"/>
      </c:bar3DChart>
      <c:catAx>
        <c:axId val="1090296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51449856"/>
        <c:crosses val="autoZero"/>
        <c:auto val="1"/>
        <c:lblAlgn val="ctr"/>
        <c:lblOffset val="100"/>
        <c:noMultiLvlLbl val="0"/>
      </c:catAx>
      <c:valAx>
        <c:axId val="51449856"/>
        <c:scaling>
          <c:orientation val="minMax"/>
          <c:min val="0"/>
        </c:scaling>
        <c:delete val="0"/>
        <c:axPos val="l"/>
        <c:majorGridlines>
          <c:spPr>
            <a:ln w="1270">
              <a:solidFill>
                <a:srgbClr val="33CCCC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-60000" vert="horz"/>
          <a:lstStyle/>
          <a:p>
            <a:pPr>
              <a:defRPr/>
            </a:pPr>
            <a:endParaRPr lang="en-US"/>
          </a:p>
        </c:txPr>
        <c:crossAx val="109029632"/>
        <c:crosses val="autoZero"/>
        <c:crossBetween val="between"/>
        <c:minorUnit val="10000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1188720</xdr:colOff>
      <xdr:row>20</xdr:row>
      <xdr:rowOff>131445</xdr:rowOff>
    </xdr:from>
    <xdr:to>
      <xdr:col>8</xdr:col>
      <xdr:colOff>1150620</xdr:colOff>
      <xdr:row>37</xdr:row>
      <xdr:rowOff>129540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1284261</xdr:colOff>
      <xdr:row>27</xdr:row>
      <xdr:rowOff>60144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1030069" y="5715011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2</xdr:col>
      <xdr:colOff>561976</xdr:colOff>
      <xdr:row>22</xdr:row>
      <xdr:rowOff>95250</xdr:rowOff>
    </xdr:from>
    <xdr:to>
      <xdr:col>7</xdr:col>
      <xdr:colOff>523876</xdr:colOff>
      <xdr:row>22</xdr:row>
      <xdr:rowOff>95250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057526" y="4505325"/>
          <a:ext cx="3676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0.48325</cdr:x>
      <cdr:y>0.92692</cdr:y>
    </cdr:from>
    <cdr:to>
      <cdr:x>0.5601</cdr:x>
      <cdr:y>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3063729" y="2957670"/>
          <a:ext cx="487192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/>
            <a:t>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60"/>
  <sheetViews>
    <sheetView tabSelected="1" zoomScaleNormal="100" workbookViewId="0">
      <selection activeCell="K29" sqref="K29"/>
    </sheetView>
  </sheetViews>
  <sheetFormatPr defaultColWidth="11.140625" defaultRowHeight="12.75" x14ac:dyDescent="0.25"/>
  <cols>
    <col min="1" max="1" width="26.5703125" style="50" customWidth="1"/>
    <col min="2" max="2" width="10.85546875" style="19" customWidth="1"/>
    <col min="3" max="8" width="11.140625" style="19" customWidth="1"/>
    <col min="9" max="13" width="34.5703125" style="19" customWidth="1"/>
    <col min="14" max="14" width="25" style="19" customWidth="1"/>
    <col min="15" max="15" width="9.28515625" style="19" customWidth="1"/>
    <col min="16" max="26" width="8.5703125" style="19" customWidth="1"/>
    <col min="27" max="27" width="10" style="19" customWidth="1"/>
    <col min="28" max="30" width="11.140625" style="19"/>
    <col min="31" max="31" width="12.42578125" style="19" bestFit="1" customWidth="1"/>
    <col min="32" max="16384" width="11.140625" style="19"/>
  </cols>
  <sheetData>
    <row r="1" spans="1:14" s="1" customFormat="1" ht="18.75" x14ac:dyDescent="0.45">
      <c r="A1" s="68" t="s">
        <v>3</v>
      </c>
      <c r="B1" s="68"/>
      <c r="C1" s="68"/>
      <c r="D1" s="68"/>
      <c r="E1" s="68"/>
      <c r="F1" s="68"/>
      <c r="G1" s="68"/>
      <c r="H1" s="68"/>
      <c r="I1" s="69"/>
      <c r="J1" s="64"/>
      <c r="K1" s="64"/>
      <c r="L1" s="64"/>
      <c r="M1" s="64"/>
    </row>
    <row r="2" spans="1:14" s="2" customFormat="1" x14ac:dyDescent="0.25">
      <c r="A2" s="70" t="s">
        <v>4</v>
      </c>
      <c r="B2" s="70"/>
      <c r="C2" s="70"/>
      <c r="D2" s="70"/>
      <c r="E2" s="70"/>
      <c r="F2" s="70"/>
      <c r="G2" s="70"/>
      <c r="H2" s="70"/>
      <c r="I2" s="70"/>
      <c r="J2" s="65"/>
      <c r="K2" s="65"/>
      <c r="L2" s="65"/>
      <c r="M2" s="65"/>
    </row>
    <row r="3" spans="1:14" s="5" customFormat="1" x14ac:dyDescent="0.25">
      <c r="A3" s="3"/>
      <c r="B3" s="3"/>
      <c r="C3" s="3"/>
      <c r="D3" s="3"/>
      <c r="E3" s="3"/>
      <c r="F3" s="3"/>
      <c r="G3" s="3"/>
      <c r="H3" s="3"/>
      <c r="I3" s="4"/>
      <c r="J3" s="66"/>
      <c r="K3" s="66"/>
      <c r="L3" s="66"/>
      <c r="M3" s="66"/>
    </row>
    <row r="4" spans="1:14" s="9" customFormat="1" ht="15.75" x14ac:dyDescent="0.25">
      <c r="A4" s="6" t="s">
        <v>5</v>
      </c>
      <c r="B4" s="7">
        <v>2009</v>
      </c>
      <c r="C4" s="7">
        <v>2010</v>
      </c>
      <c r="D4" s="7">
        <v>2011</v>
      </c>
      <c r="E4" s="7">
        <v>2012</v>
      </c>
      <c r="F4" s="7">
        <v>2013</v>
      </c>
      <c r="G4" s="7">
        <v>2014</v>
      </c>
      <c r="H4" s="7">
        <v>2015</v>
      </c>
      <c r="I4" s="8" t="s">
        <v>6</v>
      </c>
      <c r="J4" s="67"/>
      <c r="K4" s="67"/>
      <c r="L4" s="67"/>
      <c r="M4" s="67"/>
    </row>
    <row r="5" spans="1:14" s="14" customFormat="1" ht="15.75" x14ac:dyDescent="0.25">
      <c r="A5" s="10" t="s">
        <v>7</v>
      </c>
      <c r="B5" s="11">
        <v>187110.266</v>
      </c>
      <c r="C5" s="11">
        <v>195722.55800000002</v>
      </c>
      <c r="D5" s="12">
        <f>SUM(D6:D9)</f>
        <v>211889.32699999999</v>
      </c>
      <c r="E5" s="12">
        <f>SUM(E6:E9)</f>
        <v>219663.37332000001</v>
      </c>
      <c r="F5" s="12">
        <f>SUM(F6:F9)</f>
        <v>232023.39200000002</v>
      </c>
      <c r="G5" s="12">
        <f>SUM(G6:G9)</f>
        <v>239067</v>
      </c>
      <c r="H5" s="12">
        <f>SUM(H6:H9)</f>
        <v>260445.08562</v>
      </c>
      <c r="I5" s="13" t="s">
        <v>8</v>
      </c>
      <c r="J5" s="13"/>
      <c r="K5" s="13"/>
      <c r="L5" s="13"/>
      <c r="M5" s="13"/>
    </row>
    <row r="6" spans="1:14" ht="15.75" x14ac:dyDescent="0.25">
      <c r="A6" s="15" t="s">
        <v>9</v>
      </c>
      <c r="B6" s="16">
        <v>88944.971999999994</v>
      </c>
      <c r="C6" s="16">
        <v>95038.9</v>
      </c>
      <c r="D6" s="17">
        <f>103656318/1000</f>
        <v>103656.318</v>
      </c>
      <c r="E6" s="17">
        <f>111363653/1000</f>
        <v>111363.65300000001</v>
      </c>
      <c r="F6" s="17">
        <f>119971440/1000</f>
        <v>119971.44</v>
      </c>
      <c r="G6" s="17">
        <v>123902</v>
      </c>
      <c r="H6" s="17">
        <v>137096</v>
      </c>
      <c r="I6" s="18" t="s">
        <v>10</v>
      </c>
      <c r="J6" s="18"/>
      <c r="K6" s="18"/>
      <c r="L6" s="18"/>
      <c r="M6" s="18"/>
      <c r="N6" s="14"/>
    </row>
    <row r="7" spans="1:14" ht="15.75" x14ac:dyDescent="0.25">
      <c r="A7" s="15" t="s">
        <v>11</v>
      </c>
      <c r="B7" s="20">
        <v>65606.008000000002</v>
      </c>
      <c r="C7" s="20">
        <v>71403.343999999997</v>
      </c>
      <c r="D7" s="21">
        <f>77813511/1000</f>
        <v>77813.510999999999</v>
      </c>
      <c r="E7" s="21">
        <f>79364129.32/1000</f>
        <v>79364.129319999993</v>
      </c>
      <c r="F7" s="21">
        <f>82565573/1000</f>
        <v>82565.573000000004</v>
      </c>
      <c r="G7" s="21">
        <v>85616</v>
      </c>
      <c r="H7" s="21">
        <f>91503609/1000</f>
        <v>91503.608999999997</v>
      </c>
      <c r="I7" s="18" t="s">
        <v>12</v>
      </c>
      <c r="J7" s="18"/>
      <c r="K7" s="18"/>
      <c r="L7" s="18"/>
      <c r="M7" s="18"/>
      <c r="N7" s="14"/>
    </row>
    <row r="8" spans="1:14" ht="15.75" x14ac:dyDescent="0.25">
      <c r="A8" s="15" t="s">
        <v>13</v>
      </c>
      <c r="B8" s="16">
        <v>29244.899000000001</v>
      </c>
      <c r="C8" s="16">
        <v>25529.73</v>
      </c>
      <c r="D8" s="17">
        <f>26612399/1000</f>
        <v>26612.399000000001</v>
      </c>
      <c r="E8" s="17">
        <f>25667565/1000</f>
        <v>25667.564999999999</v>
      </c>
      <c r="F8" s="17">
        <f>26271621/1000</f>
        <v>26271.620999999999</v>
      </c>
      <c r="G8" s="17">
        <v>26534</v>
      </c>
      <c r="H8" s="17">
        <f>28589806.62/1000</f>
        <v>28589.806619999999</v>
      </c>
      <c r="I8" s="18" t="s">
        <v>14</v>
      </c>
      <c r="J8" s="18"/>
      <c r="K8" s="18"/>
      <c r="L8" s="18"/>
      <c r="M8" s="18"/>
      <c r="N8" s="14"/>
    </row>
    <row r="9" spans="1:14" ht="15.75" x14ac:dyDescent="0.25">
      <c r="A9" s="22" t="s">
        <v>15</v>
      </c>
      <c r="B9" s="20">
        <v>3314.3870000000002</v>
      </c>
      <c r="C9" s="20">
        <v>3750.5839999999998</v>
      </c>
      <c r="D9" s="21">
        <f>3807099/1000</f>
        <v>3807.0990000000002</v>
      </c>
      <c r="E9" s="21">
        <f>3268026/1000</f>
        <v>3268.0259999999998</v>
      </c>
      <c r="F9" s="21">
        <f>3214758/1000</f>
        <v>3214.7579999999998</v>
      </c>
      <c r="G9" s="21">
        <v>3015</v>
      </c>
      <c r="H9" s="21">
        <f>3255670/1000</f>
        <v>3255.67</v>
      </c>
      <c r="I9" s="23" t="s">
        <v>16</v>
      </c>
      <c r="J9" s="23"/>
      <c r="K9" s="23"/>
      <c r="L9" s="23"/>
      <c r="M9" s="23"/>
      <c r="N9" s="14"/>
    </row>
    <row r="10" spans="1:14" s="14" customFormat="1" ht="15.75" x14ac:dyDescent="0.25">
      <c r="A10" s="10" t="s">
        <v>17</v>
      </c>
      <c r="B10" s="24">
        <v>100</v>
      </c>
      <c r="C10" s="24">
        <v>100</v>
      </c>
      <c r="D10" s="25">
        <f>D5/D5*100</f>
        <v>100</v>
      </c>
      <c r="E10" s="25">
        <f>E5/E5*100</f>
        <v>100</v>
      </c>
      <c r="F10" s="25">
        <f>F5/F5*100</f>
        <v>100</v>
      </c>
      <c r="G10" s="25">
        <f>G5/G5*100</f>
        <v>100</v>
      </c>
      <c r="H10" s="25">
        <f>H5/H5*100</f>
        <v>100</v>
      </c>
      <c r="I10" s="26" t="s">
        <v>0</v>
      </c>
      <c r="J10" s="13"/>
      <c r="K10" s="13"/>
      <c r="L10" s="13"/>
      <c r="M10" s="13"/>
    </row>
    <row r="11" spans="1:14" ht="15.75" x14ac:dyDescent="0.25">
      <c r="A11" s="15" t="s">
        <v>9</v>
      </c>
      <c r="B11" s="27">
        <v>47.536126104379548</v>
      </c>
      <c r="C11" s="27">
        <v>48.557969490670558</v>
      </c>
      <c r="D11" s="28">
        <f>D6/D5*100</f>
        <v>48.920027954027148</v>
      </c>
      <c r="E11" s="28">
        <f>E6/E5*100</f>
        <v>50.697415466605023</v>
      </c>
      <c r="F11" s="28">
        <f>F6/F5*100</f>
        <v>51.706614133112915</v>
      </c>
      <c r="G11" s="28">
        <f>G6/G5*100</f>
        <v>51.827312008767414</v>
      </c>
      <c r="H11" s="28">
        <f>H6/H5*100</f>
        <v>52.639119557060354</v>
      </c>
      <c r="I11" s="18" t="s">
        <v>10</v>
      </c>
      <c r="J11" s="18"/>
      <c r="K11" s="18"/>
      <c r="L11" s="18"/>
      <c r="M11" s="18"/>
      <c r="N11" s="14"/>
    </row>
    <row r="12" spans="1:14" ht="15.75" x14ac:dyDescent="0.25">
      <c r="A12" s="15" t="s">
        <v>11</v>
      </c>
      <c r="B12" s="29">
        <v>35.062751714542486</v>
      </c>
      <c r="C12" s="29">
        <v>36.481918451116904</v>
      </c>
      <c r="D12" s="30">
        <f>D7/D5*100</f>
        <v>36.723657629060291</v>
      </c>
      <c r="E12" s="30">
        <f>E7/E5*100</f>
        <v>36.129887345572328</v>
      </c>
      <c r="F12" s="31">
        <f>F7/F5*100</f>
        <v>35.585021099941507</v>
      </c>
      <c r="G12" s="31">
        <f>G7/G5*100</f>
        <v>35.812554639494365</v>
      </c>
      <c r="H12" s="31">
        <f>H7/H5*100</f>
        <v>35.133551774329689</v>
      </c>
      <c r="I12" s="18" t="s">
        <v>12</v>
      </c>
      <c r="J12" s="18"/>
      <c r="K12" s="18"/>
      <c r="L12" s="18"/>
      <c r="M12" s="18"/>
      <c r="N12" s="14"/>
    </row>
    <row r="13" spans="1:14" ht="15.75" x14ac:dyDescent="0.25">
      <c r="A13" s="15" t="s">
        <v>13</v>
      </c>
      <c r="B13" s="16">
        <v>15.629767209031709</v>
      </c>
      <c r="C13" s="16">
        <v>13.043836265414024</v>
      </c>
      <c r="D13" s="28">
        <f>D8/D5*100</f>
        <v>12.559575027580319</v>
      </c>
      <c r="E13" s="28">
        <f>E8/E5*100</f>
        <v>11.684954397294147</v>
      </c>
      <c r="F13" s="28">
        <f>F8/F5*100</f>
        <v>11.322832915053667</v>
      </c>
      <c r="G13" s="28">
        <f>G8/G5*100</f>
        <v>11.098980620495508</v>
      </c>
      <c r="H13" s="28">
        <f>H8/H5*100</f>
        <v>10.977287804045453</v>
      </c>
      <c r="I13" s="18" t="s">
        <v>14</v>
      </c>
      <c r="J13" s="18"/>
      <c r="K13" s="18"/>
      <c r="L13" s="18"/>
      <c r="M13" s="18"/>
      <c r="N13" s="14"/>
    </row>
    <row r="14" spans="1:14" ht="15.75" x14ac:dyDescent="0.25">
      <c r="A14" s="22" t="s">
        <v>15</v>
      </c>
      <c r="B14" s="32">
        <v>1.7713549720462696</v>
      </c>
      <c r="C14" s="32">
        <v>1.9162757927984977</v>
      </c>
      <c r="D14" s="33">
        <f>D9/D5*100</f>
        <v>1.7967393893322434</v>
      </c>
      <c r="E14" s="33">
        <f>E9/E5*100</f>
        <v>1.4877427905284977</v>
      </c>
      <c r="F14" s="34">
        <f>F9/F5*100</f>
        <v>1.3855318518918986</v>
      </c>
      <c r="G14" s="34">
        <f>G9/G5*100</f>
        <v>1.261152731242706</v>
      </c>
      <c r="H14" s="34">
        <f>H9/H5*100</f>
        <v>1.2500408645644998</v>
      </c>
      <c r="I14" s="35" t="s">
        <v>16</v>
      </c>
      <c r="J14" s="23"/>
      <c r="K14" s="23"/>
      <c r="L14" s="23"/>
      <c r="M14" s="23"/>
      <c r="N14" s="14"/>
    </row>
    <row r="15" spans="1:14" s="14" customFormat="1" ht="15.75" x14ac:dyDescent="0.25">
      <c r="A15" s="10" t="s">
        <v>1</v>
      </c>
      <c r="B15" s="36">
        <v>7.9248571813147315</v>
      </c>
      <c r="C15" s="36">
        <v>4.6027896726949482</v>
      </c>
      <c r="D15" s="37">
        <f t="shared" ref="D15:H19" si="0">(D5-C5)/C5*100</f>
        <v>8.2600437911709541</v>
      </c>
      <c r="E15" s="37">
        <f t="shared" si="0"/>
        <v>3.6689183122470457</v>
      </c>
      <c r="F15" s="37">
        <f t="shared" si="0"/>
        <v>5.6267999954613499</v>
      </c>
      <c r="G15" s="37">
        <f t="shared" si="0"/>
        <v>3.0357318455201181</v>
      </c>
      <c r="H15" s="37">
        <f>(H5-G5)/G5*100</f>
        <v>8.9422988618253463</v>
      </c>
      <c r="I15" s="13" t="s">
        <v>2</v>
      </c>
      <c r="J15" s="13"/>
      <c r="K15" s="13"/>
      <c r="L15" s="13"/>
      <c r="M15" s="13"/>
    </row>
    <row r="16" spans="1:14" ht="15.75" x14ac:dyDescent="0.25">
      <c r="A16" s="15" t="s">
        <v>9</v>
      </c>
      <c r="B16" s="27">
        <v>12.642419505982822</v>
      </c>
      <c r="C16" s="27">
        <v>6.8513462458563712</v>
      </c>
      <c r="D16" s="28">
        <f t="shared" si="0"/>
        <v>9.0672535140873958</v>
      </c>
      <c r="E16" s="28">
        <f t="shared" si="0"/>
        <v>7.4354705518287902</v>
      </c>
      <c r="F16" s="28">
        <f t="shared" si="0"/>
        <v>7.729440233071375</v>
      </c>
      <c r="G16" s="28">
        <f t="shared" si="0"/>
        <v>3.2762464133130331</v>
      </c>
      <c r="H16" s="28">
        <f>(H6-G6)/G6*100</f>
        <v>10.648738519152232</v>
      </c>
      <c r="I16" s="18" t="s">
        <v>10</v>
      </c>
      <c r="J16" s="18"/>
      <c r="K16" s="18"/>
      <c r="L16" s="18"/>
      <c r="M16" s="18"/>
      <c r="N16" s="14"/>
    </row>
    <row r="17" spans="1:40" ht="18.75" customHeight="1" x14ac:dyDescent="0.25">
      <c r="A17" s="15" t="s">
        <v>11</v>
      </c>
      <c r="B17" s="38">
        <v>6.9122912404791865</v>
      </c>
      <c r="C17" s="38">
        <v>8.8365931364090855</v>
      </c>
      <c r="D17" s="30">
        <f t="shared" si="0"/>
        <v>8.9774044756223201</v>
      </c>
      <c r="E17" s="30">
        <f t="shared" si="0"/>
        <v>1.9927366084278013</v>
      </c>
      <c r="F17" s="30">
        <f t="shared" si="0"/>
        <v>4.0338673244831247</v>
      </c>
      <c r="G17" s="30">
        <f t="shared" si="0"/>
        <v>3.6945507542229445</v>
      </c>
      <c r="H17" s="30">
        <f t="shared" si="0"/>
        <v>6.8767625210241032</v>
      </c>
      <c r="I17" s="18" t="s">
        <v>12</v>
      </c>
      <c r="J17" s="18"/>
      <c r="K17" s="18"/>
      <c r="L17" s="18"/>
      <c r="M17" s="18"/>
      <c r="N17" s="14"/>
    </row>
    <row r="18" spans="1:40" ht="18.75" customHeight="1" x14ac:dyDescent="0.25">
      <c r="A18" s="15" t="s">
        <v>13</v>
      </c>
      <c r="B18" s="27">
        <v>-2.0756976724640546</v>
      </c>
      <c r="C18" s="27">
        <v>-12.703647907965083</v>
      </c>
      <c r="D18" s="28">
        <f t="shared" si="0"/>
        <v>4.2408164912045754</v>
      </c>
      <c r="E18" s="28">
        <f t="shared" si="0"/>
        <v>-3.5503526006806165</v>
      </c>
      <c r="F18" s="28">
        <f t="shared" si="0"/>
        <v>2.3533825666751036</v>
      </c>
      <c r="G18" s="28">
        <f t="shared" si="0"/>
        <v>0.99871644768322754</v>
      </c>
      <c r="H18" s="28">
        <f t="shared" si="0"/>
        <v>7.7478202306474691</v>
      </c>
      <c r="I18" s="18" t="s">
        <v>14</v>
      </c>
      <c r="J18" s="18"/>
      <c r="K18" s="18"/>
      <c r="L18" s="18"/>
      <c r="M18" s="18"/>
      <c r="N18" s="14"/>
    </row>
    <row r="19" spans="1:40" ht="18.75" customHeight="1" x14ac:dyDescent="0.25">
      <c r="A19" s="39" t="s">
        <v>15</v>
      </c>
      <c r="B19" s="40">
        <v>4.2421343176365767</v>
      </c>
      <c r="C19" s="40">
        <v>13.160714183346714</v>
      </c>
      <c r="D19" s="41">
        <f t="shared" si="0"/>
        <v>1.5068320026961224</v>
      </c>
      <c r="E19" s="41">
        <f t="shared" si="0"/>
        <v>-14.159679062719416</v>
      </c>
      <c r="F19" s="41">
        <f t="shared" si="0"/>
        <v>-1.6299747921222179</v>
      </c>
      <c r="G19" s="41">
        <f t="shared" si="0"/>
        <v>-6.2137803218780334</v>
      </c>
      <c r="H19" s="41">
        <f t="shared" si="0"/>
        <v>7.9824212271973494</v>
      </c>
      <c r="I19" s="42" t="s">
        <v>16</v>
      </c>
      <c r="J19" s="23"/>
      <c r="K19" s="23"/>
      <c r="L19" s="23"/>
      <c r="M19" s="23"/>
      <c r="N19" s="14"/>
    </row>
    <row r="20" spans="1:40" ht="14.25" x14ac:dyDescent="0.35">
      <c r="A20" s="43" t="s">
        <v>18</v>
      </c>
      <c r="B20" s="44"/>
      <c r="C20" s="45"/>
      <c r="D20" s="45"/>
      <c r="E20" s="45"/>
      <c r="F20" s="45"/>
      <c r="G20" s="45"/>
      <c r="H20" s="45"/>
      <c r="I20" s="46" t="s">
        <v>19</v>
      </c>
      <c r="J20" s="46"/>
      <c r="K20" s="46"/>
      <c r="L20" s="46"/>
      <c r="M20" s="46"/>
    </row>
    <row r="21" spans="1:40" ht="15" x14ac:dyDescent="0.25">
      <c r="A21" s="47"/>
      <c r="B21" s="48"/>
      <c r="C21" s="49"/>
      <c r="D21" s="49"/>
      <c r="E21" s="49"/>
      <c r="F21" s="49"/>
      <c r="G21" s="49"/>
      <c r="H21" s="49"/>
    </row>
    <row r="22" spans="1:40" x14ac:dyDescent="0.25">
      <c r="N22" s="51"/>
    </row>
    <row r="23" spans="1:40" s="9" customFormat="1" ht="15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40" s="9" customFormat="1" ht="15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40" s="9" customFormat="1" ht="15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6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40" s="9" customFormat="1" ht="15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40" s="9" customFormat="1" ht="15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40" s="9" customFormat="1" ht="15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40" s="9" customFormat="1" ht="15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O29" s="55"/>
      <c r="P29" s="55">
        <v>1998</v>
      </c>
      <c r="Q29" s="55">
        <v>1999</v>
      </c>
      <c r="R29" s="55">
        <v>2000</v>
      </c>
      <c r="S29" s="55">
        <v>2001</v>
      </c>
      <c r="T29" s="55">
        <v>2002</v>
      </c>
      <c r="U29" s="55">
        <v>2003</v>
      </c>
      <c r="V29" s="55">
        <v>2004</v>
      </c>
      <c r="W29" s="55">
        <v>2005</v>
      </c>
      <c r="X29" s="55">
        <v>2006</v>
      </c>
      <c r="Y29" s="55">
        <v>2007</v>
      </c>
      <c r="Z29" s="55">
        <v>2008</v>
      </c>
      <c r="AA29" s="9">
        <v>2009</v>
      </c>
      <c r="AB29" s="55">
        <v>2010</v>
      </c>
      <c r="AC29" s="9">
        <v>2011</v>
      </c>
      <c r="AD29" s="9">
        <v>2012</v>
      </c>
      <c r="AE29" s="9">
        <v>2013</v>
      </c>
      <c r="AF29" s="9">
        <v>2014</v>
      </c>
      <c r="AG29" s="9">
        <v>2015</v>
      </c>
    </row>
    <row r="30" spans="1:40" s="9" customFormat="1" ht="15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O30" s="9" t="s">
        <v>20</v>
      </c>
      <c r="P30" s="59">
        <v>68630</v>
      </c>
      <c r="Q30" s="59">
        <v>75677</v>
      </c>
      <c r="R30" s="59">
        <v>82688</v>
      </c>
      <c r="S30" s="59">
        <v>90645</v>
      </c>
      <c r="T30" s="59">
        <v>97480</v>
      </c>
      <c r="U30" s="59">
        <v>108190</v>
      </c>
      <c r="V30" s="59">
        <v>121395</v>
      </c>
      <c r="W30" s="59">
        <v>140065</v>
      </c>
      <c r="X30" s="59">
        <v>156108</v>
      </c>
      <c r="Y30" s="59">
        <v>159642.78099999999</v>
      </c>
      <c r="Z30" s="59">
        <v>173370.872</v>
      </c>
      <c r="AA30" s="59">
        <v>187110.266</v>
      </c>
      <c r="AB30" s="59">
        <v>195722.55800000002</v>
      </c>
      <c r="AC30" s="59">
        <v>211889.32699999999</v>
      </c>
      <c r="AD30" s="59">
        <v>219663.37332000001</v>
      </c>
      <c r="AE30" s="59">
        <v>232023.39200000002</v>
      </c>
      <c r="AF30" s="59">
        <v>239067</v>
      </c>
      <c r="AG30" s="12">
        <v>260445.08562</v>
      </c>
      <c r="AH30" s="55"/>
      <c r="AI30" s="55"/>
      <c r="AJ30" s="55"/>
      <c r="AK30" s="55"/>
      <c r="AL30" s="55"/>
      <c r="AM30" s="55"/>
      <c r="AN30" s="55"/>
    </row>
    <row r="31" spans="1:40" s="9" customFormat="1" ht="15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X31" s="60"/>
      <c r="Y31" s="60"/>
      <c r="Z31" s="60"/>
      <c r="AA31" s="60"/>
      <c r="AB31" s="60">
        <v>195722.55800000002</v>
      </c>
      <c r="AC31" s="61">
        <v>211889.32699999999</v>
      </c>
      <c r="AD31" s="61">
        <v>219663.37332000001</v>
      </c>
      <c r="AE31" s="61">
        <v>232023.39199999999</v>
      </c>
    </row>
    <row r="32" spans="1:40" s="9" customFormat="1" ht="15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spans="1:31" s="9" customFormat="1" ht="15" x14ac:dyDescent="0.25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AE33" s="62"/>
    </row>
    <row r="34" spans="1:31" s="9" customFormat="1" ht="15" x14ac:dyDescent="0.25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spans="1:31" s="9" customFormat="1" ht="15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</row>
    <row r="36" spans="1:31" s="9" customFormat="1" ht="15" x14ac:dyDescent="0.25">
      <c r="A36" s="6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</row>
    <row r="37" spans="1:31" s="9" customFormat="1" ht="15" x14ac:dyDescent="0.25">
      <c r="A37" s="6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</row>
    <row r="38" spans="1:31" s="9" customFormat="1" ht="15" x14ac:dyDescent="0.25">
      <c r="A38" s="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</row>
    <row r="39" spans="1:31" s="9" customFormat="1" ht="15" x14ac:dyDescent="0.25">
      <c r="A39" s="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31" s="9" customFormat="1" ht="12" x14ac:dyDescent="0.25">
      <c r="A40" s="52"/>
    </row>
    <row r="41" spans="1:31" s="9" customFormat="1" ht="12" x14ac:dyDescent="0.25">
      <c r="A41" s="52"/>
    </row>
    <row r="42" spans="1:31" s="9" customFormat="1" ht="12" x14ac:dyDescent="0.25">
      <c r="A42" s="52"/>
    </row>
    <row r="43" spans="1:31" s="9" customFormat="1" ht="12" x14ac:dyDescent="0.25">
      <c r="A43" s="52"/>
    </row>
    <row r="44" spans="1:31" s="9" customFormat="1" ht="15" x14ac:dyDescent="0.25">
      <c r="A44" s="63"/>
    </row>
    <row r="45" spans="1:31" s="9" customFormat="1" ht="12" x14ac:dyDescent="0.25">
      <c r="A45" s="52"/>
    </row>
    <row r="46" spans="1:31" s="9" customFormat="1" ht="12" x14ac:dyDescent="0.25">
      <c r="A46" s="52"/>
    </row>
    <row r="47" spans="1:31" s="9" customFormat="1" ht="12" x14ac:dyDescent="0.25">
      <c r="A47" s="52"/>
    </row>
    <row r="48" spans="1:31" s="9" customFormat="1" ht="12" x14ac:dyDescent="0.25">
      <c r="A48" s="52"/>
    </row>
    <row r="49" spans="1:1" s="9" customFormat="1" ht="12" x14ac:dyDescent="0.25">
      <c r="A49" s="52"/>
    </row>
    <row r="50" spans="1:1" s="9" customFormat="1" ht="12" x14ac:dyDescent="0.25">
      <c r="A50" s="52"/>
    </row>
    <row r="51" spans="1:1" s="9" customFormat="1" ht="12" x14ac:dyDescent="0.25">
      <c r="A51" s="52"/>
    </row>
    <row r="52" spans="1:1" s="9" customFormat="1" ht="12" x14ac:dyDescent="0.25">
      <c r="A52" s="52"/>
    </row>
    <row r="53" spans="1:1" s="9" customFormat="1" ht="12" x14ac:dyDescent="0.25">
      <c r="A53" s="52"/>
    </row>
    <row r="54" spans="1:1" s="9" customFormat="1" ht="12" x14ac:dyDescent="0.25">
      <c r="A54" s="52"/>
    </row>
    <row r="55" spans="1:1" s="9" customFormat="1" ht="12" x14ac:dyDescent="0.25">
      <c r="A55" s="52"/>
    </row>
    <row r="56" spans="1:1" s="9" customFormat="1" ht="12" x14ac:dyDescent="0.25">
      <c r="A56" s="52"/>
    </row>
    <row r="57" spans="1:1" s="9" customFormat="1" ht="12" x14ac:dyDescent="0.25">
      <c r="A57" s="52"/>
    </row>
    <row r="58" spans="1:1" s="9" customFormat="1" ht="12" x14ac:dyDescent="0.25">
      <c r="A58" s="52"/>
    </row>
    <row r="59" spans="1:1" s="9" customFormat="1" ht="12" x14ac:dyDescent="0.25">
      <c r="A59" s="52"/>
    </row>
    <row r="60" spans="1:1" s="9" customFormat="1" ht="12" x14ac:dyDescent="0.25">
      <c r="A60" s="52"/>
    </row>
  </sheetData>
  <mergeCells count="2">
    <mergeCell ref="A1:I1"/>
    <mergeCell ref="A2:I2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2016-09-08T07:39:13Z</cp:lastPrinted>
  <dcterms:created xsi:type="dcterms:W3CDTF">2015-01-12T08:51:45Z</dcterms:created>
  <dcterms:modified xsi:type="dcterms:W3CDTF">2016-09-08T07:39:15Z</dcterms:modified>
</cp:coreProperties>
</file>