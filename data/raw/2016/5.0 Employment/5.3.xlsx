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165" windowHeight="4365" tabRatio="834"/>
  </bookViews>
  <sheets>
    <sheet name="5.3" sheetId="11" r:id="rId1"/>
  </sheets>
  <definedNames>
    <definedName name="_xlnm._FilterDatabase" localSheetId="0" hidden="1">'5.3'!$A$5:$C$5</definedName>
    <definedName name="_xlnm.Print_Area" localSheetId="0">'5.3'!$A$1:$E$67</definedName>
  </definedNames>
  <calcPr calcId="144525"/>
</workbook>
</file>

<file path=xl/calcChain.xml><?xml version="1.0" encoding="utf-8"?>
<calcChain xmlns="http://schemas.openxmlformats.org/spreadsheetml/2006/main">
  <c r="C6" i="11" l="1"/>
  <c r="D6" i="11"/>
  <c r="B6" i="11"/>
  <c r="DY21" i="11" l="1"/>
  <c r="DY22" i="11"/>
  <c r="DY23" i="11"/>
  <c r="DY24" i="11"/>
  <c r="DY25" i="11"/>
  <c r="DY26" i="11"/>
  <c r="DY27" i="11"/>
  <c r="DY28" i="11"/>
  <c r="DY29" i="11"/>
  <c r="DY30" i="11"/>
  <c r="DY31" i="11"/>
  <c r="DY32" i="11"/>
  <c r="DY33" i="11"/>
  <c r="DY34" i="11"/>
  <c r="DY35" i="11"/>
  <c r="DY36" i="11"/>
  <c r="DY37" i="11"/>
  <c r="DY38" i="11"/>
  <c r="DY39" i="11"/>
  <c r="DY40" i="11"/>
  <c r="DZ47" i="11"/>
  <c r="DZ48" i="11"/>
  <c r="DZ49" i="11"/>
  <c r="DZ50" i="11"/>
  <c r="DZ51" i="11"/>
  <c r="DZ52" i="11"/>
  <c r="DZ53" i="11"/>
  <c r="DZ54" i="11"/>
  <c r="DZ55" i="11"/>
  <c r="DZ56" i="11"/>
  <c r="DZ57" i="11"/>
  <c r="DZ58" i="11"/>
  <c r="DZ59" i="11"/>
  <c r="DZ60" i="11"/>
  <c r="DZ61" i="11"/>
  <c r="DZ62" i="11"/>
  <c r="DZ63" i="11"/>
  <c r="DZ64" i="11"/>
  <c r="DZ65" i="11"/>
  <c r="DZ66" i="11"/>
  <c r="DY48" i="11"/>
  <c r="DY49" i="11"/>
  <c r="DY50" i="11"/>
  <c r="DY51" i="11"/>
  <c r="DY52" i="11"/>
  <c r="DY53" i="11"/>
  <c r="DY54" i="11"/>
  <c r="DY55" i="11"/>
  <c r="DY56" i="11"/>
  <c r="DY57" i="11"/>
  <c r="DY58" i="11"/>
  <c r="DY59" i="11"/>
  <c r="DY60" i="11"/>
  <c r="DY61" i="11"/>
  <c r="DY62" i="11"/>
  <c r="DY63" i="11"/>
  <c r="DY64" i="11"/>
  <c r="DY65" i="11"/>
  <c r="DY66" i="11"/>
  <c r="DY47" i="11"/>
</calcChain>
</file>

<file path=xl/sharedStrings.xml><?xml version="1.0" encoding="utf-8"?>
<sst xmlns="http://schemas.openxmlformats.org/spreadsheetml/2006/main" count="102" uniqueCount="80">
  <si>
    <t>ފިރިހެން</t>
  </si>
  <si>
    <t>އަންހެން</t>
  </si>
  <si>
    <t>Male</t>
  </si>
  <si>
    <t>Female</t>
  </si>
  <si>
    <t>މާލެ</t>
  </si>
  <si>
    <t>އަތޮޅުތައް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</si>
  <si>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</si>
  <si>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</si>
  <si>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</si>
  <si>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</si>
  <si>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MALE'</t>
  </si>
  <si>
    <t>Locality</t>
  </si>
  <si>
    <t>ތަން</t>
  </si>
  <si>
    <t>REPUBLIC</t>
  </si>
  <si>
    <t>މުޅި ރާއްޖެ</t>
  </si>
  <si>
    <t>All ATOLL</t>
  </si>
  <si>
    <t xml:space="preserve"> North Thiladhunmathi (HA)</t>
  </si>
  <si>
    <t xml:space="preserve">       (ah)  iruburutua Itwmcnudwlit</t>
  </si>
  <si>
    <t xml:space="preserve"> South Thiladhunmathi (HDh)</t>
  </si>
  <si>
    <t>(dh) irubunuked Itwmcnudwlit</t>
  </si>
  <si>
    <t xml:space="preserve"> North Miladhunmadulu (Sh)</t>
  </si>
  <si>
    <t>(S) iruburutua uluDwmcnudwlim</t>
  </si>
  <si>
    <t xml:space="preserve"> South Miladhunmadulu (N)</t>
  </si>
  <si>
    <t>(n) irubunuked uluDwmcnudwlim</t>
  </si>
  <si>
    <t xml:space="preserve"> North Maalhosmadulu (R)</t>
  </si>
  <si>
    <t>(r) iruburutuauluDwmcsoLWm</t>
  </si>
  <si>
    <t xml:space="preserve"> South Maalhosmadulu (B)</t>
  </si>
  <si>
    <t>(b) irubunukeduluDwcsoLWm</t>
  </si>
  <si>
    <t xml:space="preserve"> Faadhippolhu (Lh)</t>
  </si>
  <si>
    <t>(L) uLopcaidWf</t>
  </si>
  <si>
    <t xml:space="preserve"> Male' Atoll (K)</t>
  </si>
  <si>
    <t>(k) uLotwa elWm</t>
  </si>
  <si>
    <t xml:space="preserve"> North Ari Atoll (AA)</t>
  </si>
  <si>
    <t>(aa) iruburutuauLotwairwa</t>
  </si>
  <si>
    <t xml:space="preserve"> South Ari Atoll (ADh)</t>
  </si>
  <si>
    <t>(da) iruburutuauLotwairwa</t>
  </si>
  <si>
    <t xml:space="preserve"> Felidhu Atoll (V)</t>
  </si>
  <si>
    <t>(v) uLotwa udilef</t>
  </si>
  <si>
    <t xml:space="preserve"> Mulakatholhu (M)</t>
  </si>
  <si>
    <t>(m) uLotwkwlum</t>
  </si>
  <si>
    <t xml:space="preserve"> North Nilandhe Atoll (F)</t>
  </si>
  <si>
    <t>(f) iruburutua uLotwaedcnwlin</t>
  </si>
  <si>
    <t xml:space="preserve"> South Nilandhe Atoll (D)</t>
  </si>
  <si>
    <t>(d) irubunuked uLotwaedcnwlin</t>
  </si>
  <si>
    <t xml:space="preserve"> Kolhumadulu (Th)</t>
  </si>
  <si>
    <t>(t) uluDwmuLok</t>
  </si>
  <si>
    <t xml:space="preserve"> Hadhdhunmathi (L)</t>
  </si>
  <si>
    <t>(l) itwmcnudcawh</t>
  </si>
  <si>
    <t xml:space="preserve"> North Huvadhu Atoll (GA)</t>
  </si>
  <si>
    <t>(ag) iruburutua uLotwaudwvuh</t>
  </si>
  <si>
    <t xml:space="preserve"> South Huvadhu Atoll (GDh)</t>
  </si>
  <si>
    <t xml:space="preserve"> (dg) irubunuked uLotwaudwvuh</t>
  </si>
  <si>
    <t xml:space="preserve"> Fuvahmulah (Gn)</t>
  </si>
  <si>
    <t>(N)cawlumcawvuf</t>
  </si>
  <si>
    <t xml:space="preserve"> Addu Atoll (S)</t>
  </si>
  <si>
    <t>(s) uLotwauDcawa</t>
  </si>
  <si>
    <t>HA</t>
  </si>
  <si>
    <t>HDh</t>
  </si>
  <si>
    <t>Sh</t>
  </si>
  <si>
    <t>N</t>
  </si>
  <si>
    <t>S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</si>
  <si>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</si>
  <si>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</si>
  <si>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</si>
  <si>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</si>
  <si>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</si>
  <si>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</si>
  <si>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</si>
  <si>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</si>
  <si>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</si>
  <si>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</si>
  <si>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</si>
  <si>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</si>
  <si>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</si>
  <si>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</si>
  <si>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</si>
  <si>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ނޯޓް: އަތޮޅުތަކުގެ ޖުމްލައިގެ ތެރޭގައި ރާއްޖޭން ބޭރުގައި މަސައްކަތްކުރާ 1 މުވައްޒަފު ހިމެނިފައި</t>
  </si>
  <si>
    <t>Note:  Atoll total includes 1 person who are working abroad</t>
  </si>
  <si>
    <t>ތާވަލް 5.3: މާލެ އާއި އަތޮޅުތަކުގައި މަސައްކަތްކުރާ ސިވިލް ސަރވަންޓުންގެ އަދަދު އަދި ޖިންސް، 2015</t>
  </si>
  <si>
    <t>Table 5.3: CIVIL SERVANTS BY ATOLL AND SEX,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</si>
</sst>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6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b/>
      <sz val="11"/>
      <name val="A_Reethi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 tint="0.14999847407452621"/>
      <name val="A_Randhoo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</borders>
  <cellStyleXfs count="5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5" fillId="0" borderId="0"/>
    <xf numFmtId="0" fontId="3" fillId="0" borderId="0"/>
    <xf numFmtId="0" fontId="3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3" fontId="6" fillId="2" borderId="0" xfId="2" applyNumberFormat="1" applyFont="1" applyFill="1" applyBorder="1" applyAlignment="1" applyProtection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2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9" fillId="2" borderId="4" xfId="7" applyFont="1" applyFill="1" applyBorder="1"/>
    <xf numFmtId="0" fontId="14" fillId="2" borderId="0" xfId="5" applyFont="1" applyFill="1" applyBorder="1" applyAlignment="1"/>
    <xf numFmtId="3" fontId="0" fillId="2" borderId="0" xfId="0" applyNumberFormat="1" applyFill="1"/>
    <xf numFmtId="0" fontId="16" fillId="2" borderId="0" xfId="0" applyFont="1" applyFill="1"/>
    <xf numFmtId="0" fontId="8" fillId="2" borderId="3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 readingOrder="2"/>
    </xf>
    <xf numFmtId="3" fontId="8" fillId="2" borderId="0" xfId="0" applyNumberFormat="1" applyFont="1" applyFill="1" applyBorder="1" applyAlignment="1">
      <alignment horizontal="right" vertical="center"/>
    </xf>
    <xf numFmtId="3" fontId="17" fillId="2" borderId="0" xfId="9" applyNumberFormat="1" applyFont="1" applyFill="1" applyBorder="1" applyAlignment="1" applyProtection="1">
      <alignment horizontal="right" vertical="center"/>
    </xf>
    <xf numFmtId="3" fontId="0" fillId="2" borderId="0" xfId="1" applyNumberFormat="1" applyFont="1" applyFill="1"/>
    <xf numFmtId="0" fontId="5" fillId="2" borderId="5" xfId="10" applyFont="1" applyFill="1" applyBorder="1" applyAlignment="1" applyProtection="1">
      <alignment horizontal="left" vertical="center" indent="2"/>
    </xf>
    <xf numFmtId="3" fontId="18" fillId="2" borderId="0" xfId="9" applyNumberFormat="1" applyFont="1" applyFill="1" applyBorder="1" applyAlignment="1" applyProtection="1">
      <alignment horizontal="right" vertical="center" indent="2"/>
    </xf>
    <xf numFmtId="3" fontId="0" fillId="2" borderId="3" xfId="1" applyNumberFormat="1" applyFont="1" applyFill="1" applyBorder="1"/>
    <xf numFmtId="3" fontId="2" fillId="2" borderId="0" xfId="1" applyNumberFormat="1" applyFont="1" applyFill="1" applyBorder="1" applyAlignment="1">
      <alignment vertical="center"/>
    </xf>
    <xf numFmtId="0" fontId="5" fillId="2" borderId="0" xfId="10" applyFont="1" applyFill="1" applyBorder="1" applyAlignment="1" applyProtection="1">
      <alignment horizontal="left" vertical="center" indent="2"/>
    </xf>
    <xf numFmtId="3" fontId="0" fillId="2" borderId="0" xfId="1" applyNumberFormat="1" applyFont="1" applyFill="1" applyBorder="1"/>
    <xf numFmtId="3" fontId="2" fillId="2" borderId="3" xfId="1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3" fontId="13" fillId="2" borderId="0" xfId="9" applyNumberFormat="1" applyFont="1" applyFill="1" applyBorder="1" applyAlignment="1" applyProtection="1">
      <alignment horizontal="right" vertical="center"/>
    </xf>
    <xf numFmtId="0" fontId="0" fillId="2" borderId="0" xfId="0" applyFill="1"/>
    <xf numFmtId="0" fontId="19" fillId="2" borderId="0" xfId="0" applyFont="1" applyFill="1" applyBorder="1" applyAlignment="1">
      <alignment horizontal="left" vertical="center"/>
    </xf>
    <xf numFmtId="3" fontId="12" fillId="2" borderId="0" xfId="1" applyNumberFormat="1" applyFont="1" applyFill="1" applyBorder="1" applyAlignment="1">
      <alignment horizontal="right" vertical="center"/>
    </xf>
    <xf numFmtId="0" fontId="5" fillId="2" borderId="3" xfId="10" applyFont="1" applyFill="1" applyBorder="1" applyAlignment="1" applyProtection="1">
      <alignment horizontal="left" vertical="center" indent="2"/>
    </xf>
    <xf numFmtId="3" fontId="18" fillId="2" borderId="3" xfId="9" applyNumberFormat="1" applyFont="1" applyFill="1" applyBorder="1" applyAlignment="1" applyProtection="1">
      <alignment horizontal="right" vertical="center" indent="2"/>
    </xf>
    <xf numFmtId="0" fontId="14" fillId="2" borderId="0" xfId="5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2" fillId="2" borderId="3" xfId="0" applyFont="1" applyFill="1" applyBorder="1" applyAlignment="1">
      <alignment horizontal="left" vertical="center" indent="2"/>
    </xf>
    <xf numFmtId="0" fontId="11" fillId="2" borderId="1" xfId="0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 vertical="center"/>
    </xf>
  </cellXfs>
  <cellStyles count="523">
    <cellStyle name="Comma" xfId="1" builtinId="3"/>
    <cellStyle name="Comma 3" xfId="3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Normal" xfId="0" builtinId="0"/>
    <cellStyle name="Normal 2" xfId="4"/>
    <cellStyle name="Normal 4" xfId="8"/>
    <cellStyle name="Normal_5 Employment_done" xfId="5"/>
    <cellStyle name="Normal_II-15(Population) 2" xfId="9"/>
    <cellStyle name="Normal_II-16(Populaion)" xfId="2"/>
    <cellStyle name="Normal_immunization" xfId="10"/>
    <cellStyle name="Normal_po" xfId="7"/>
    <cellStyle name="Percent 3" xfId="6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3CCCC"/>
      <color rgb="FF1C706E"/>
      <color rgb="FFB7FFFF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038589213045629E-2"/>
          <c:y val="0.1486227763196267"/>
          <c:w val="0.88193345097917819"/>
          <c:h val="0.701002843394575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C706E"/>
            </a:solidFill>
          </c:spPr>
          <c:invertIfNegative val="0"/>
          <c:cat>
            <c:strRef>
              <c:f>'5.3'!$DX$21:$DX$40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'5.3'!$DY$21:$DY$40</c:f>
              <c:numCache>
                <c:formatCode>#,##0</c:formatCode>
                <c:ptCount val="20"/>
                <c:pt idx="0">
                  <c:v>1066</c:v>
                </c:pt>
                <c:pt idx="1">
                  <c:v>1388</c:v>
                </c:pt>
                <c:pt idx="2">
                  <c:v>1043</c:v>
                </c:pt>
                <c:pt idx="3">
                  <c:v>869</c:v>
                </c:pt>
                <c:pt idx="4">
                  <c:v>1252</c:v>
                </c:pt>
                <c:pt idx="5">
                  <c:v>847</c:v>
                </c:pt>
                <c:pt idx="6">
                  <c:v>532</c:v>
                </c:pt>
                <c:pt idx="7">
                  <c:v>1006</c:v>
                </c:pt>
                <c:pt idx="8">
                  <c:v>520</c:v>
                </c:pt>
                <c:pt idx="9">
                  <c:v>669</c:v>
                </c:pt>
                <c:pt idx="10">
                  <c:v>199</c:v>
                </c:pt>
                <c:pt idx="11">
                  <c:v>501</c:v>
                </c:pt>
                <c:pt idx="12">
                  <c:v>470</c:v>
                </c:pt>
                <c:pt idx="13">
                  <c:v>495</c:v>
                </c:pt>
                <c:pt idx="14">
                  <c:v>991</c:v>
                </c:pt>
                <c:pt idx="15">
                  <c:v>947</c:v>
                </c:pt>
                <c:pt idx="16">
                  <c:v>718</c:v>
                </c:pt>
                <c:pt idx="17">
                  <c:v>940</c:v>
                </c:pt>
                <c:pt idx="18">
                  <c:v>572</c:v>
                </c:pt>
                <c:pt idx="19">
                  <c:v>1121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116980736"/>
        <c:axId val="117359744"/>
      </c:barChart>
      <c:catAx>
        <c:axId val="116980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7359744"/>
        <c:crosses val="autoZero"/>
        <c:auto val="1"/>
        <c:lblAlgn val="ctr"/>
        <c:lblOffset val="100"/>
        <c:noMultiLvlLbl val="0"/>
      </c:catAx>
      <c:valAx>
        <c:axId val="117359744"/>
        <c:scaling>
          <c:orientation val="minMax"/>
          <c:max val="14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116980736"/>
        <c:crosses val="autoZero"/>
        <c:crossBetween val="between"/>
      </c:valAx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571741032370971E-2"/>
          <c:y val="0.1355881578632458"/>
          <c:w val="0.87752690288713908"/>
          <c:h val="0.732972740109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'5.3'!$DY$46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'5.3'!$DX$47:$DX$66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'5.3'!$DY$47:$DY$66</c:f>
              <c:numCache>
                <c:formatCode>#,##0</c:formatCode>
                <c:ptCount val="20"/>
                <c:pt idx="0">
                  <c:v>516</c:v>
                </c:pt>
                <c:pt idx="1">
                  <c:v>637</c:v>
                </c:pt>
                <c:pt idx="2">
                  <c:v>584</c:v>
                </c:pt>
                <c:pt idx="3">
                  <c:v>430</c:v>
                </c:pt>
                <c:pt idx="4">
                  <c:v>635</c:v>
                </c:pt>
                <c:pt idx="5">
                  <c:v>397</c:v>
                </c:pt>
                <c:pt idx="6">
                  <c:v>239</c:v>
                </c:pt>
                <c:pt idx="7">
                  <c:v>410</c:v>
                </c:pt>
                <c:pt idx="8">
                  <c:v>247</c:v>
                </c:pt>
                <c:pt idx="9">
                  <c:v>300</c:v>
                </c:pt>
                <c:pt idx="10">
                  <c:v>99</c:v>
                </c:pt>
                <c:pt idx="11">
                  <c:v>256</c:v>
                </c:pt>
                <c:pt idx="12">
                  <c:v>211</c:v>
                </c:pt>
                <c:pt idx="13">
                  <c:v>231</c:v>
                </c:pt>
                <c:pt idx="14">
                  <c:v>511</c:v>
                </c:pt>
                <c:pt idx="15">
                  <c:v>459</c:v>
                </c:pt>
                <c:pt idx="16">
                  <c:v>298</c:v>
                </c:pt>
                <c:pt idx="17">
                  <c:v>430</c:v>
                </c:pt>
                <c:pt idx="18">
                  <c:v>233</c:v>
                </c:pt>
                <c:pt idx="19">
                  <c:v>375</c:v>
                </c:pt>
              </c:numCache>
            </c:numRef>
          </c:val>
        </c:ser>
        <c:ser>
          <c:idx val="1"/>
          <c:order val="1"/>
          <c:tx>
            <c:strRef>
              <c:f>'5.3'!$DZ$46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'5.3'!$DX$47:$DX$66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'5.3'!$DZ$47:$DZ$66</c:f>
              <c:numCache>
                <c:formatCode>#,##0</c:formatCode>
                <c:ptCount val="20"/>
                <c:pt idx="0">
                  <c:v>550</c:v>
                </c:pt>
                <c:pt idx="1">
                  <c:v>751</c:v>
                </c:pt>
                <c:pt idx="2">
                  <c:v>459</c:v>
                </c:pt>
                <c:pt idx="3">
                  <c:v>439</c:v>
                </c:pt>
                <c:pt idx="4">
                  <c:v>617</c:v>
                </c:pt>
                <c:pt idx="5">
                  <c:v>450</c:v>
                </c:pt>
                <c:pt idx="6">
                  <c:v>293</c:v>
                </c:pt>
                <c:pt idx="7">
                  <c:v>596</c:v>
                </c:pt>
                <c:pt idx="8">
                  <c:v>273</c:v>
                </c:pt>
                <c:pt idx="9">
                  <c:v>369</c:v>
                </c:pt>
                <c:pt idx="10">
                  <c:v>100</c:v>
                </c:pt>
                <c:pt idx="11">
                  <c:v>245</c:v>
                </c:pt>
                <c:pt idx="12">
                  <c:v>259</c:v>
                </c:pt>
                <c:pt idx="13">
                  <c:v>264</c:v>
                </c:pt>
                <c:pt idx="14">
                  <c:v>480</c:v>
                </c:pt>
                <c:pt idx="15">
                  <c:v>488</c:v>
                </c:pt>
                <c:pt idx="16">
                  <c:v>420</c:v>
                </c:pt>
                <c:pt idx="17">
                  <c:v>510</c:v>
                </c:pt>
                <c:pt idx="18">
                  <c:v>339</c:v>
                </c:pt>
                <c:pt idx="19">
                  <c:v>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26257792"/>
        <c:axId val="126367232"/>
      </c:barChart>
      <c:catAx>
        <c:axId val="126257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6367232"/>
        <c:crosses val="autoZero"/>
        <c:auto val="1"/>
        <c:lblAlgn val="ctr"/>
        <c:lblOffset val="100"/>
        <c:noMultiLvlLbl val="0"/>
      </c:catAx>
      <c:valAx>
        <c:axId val="126367232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126257792"/>
        <c:crosses val="autoZero"/>
        <c:crossBetween val="between"/>
      </c:valAx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926999664224829"/>
          <c:y val="0.19726012971782783"/>
          <c:w val="0.26309879622377047"/>
          <c:h val="7.947142023913679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31</xdr:row>
      <xdr:rowOff>167640</xdr:rowOff>
    </xdr:from>
    <xdr:to>
      <xdr:col>4</xdr:col>
      <xdr:colOff>1935480</xdr:colOff>
      <xdr:row>46</xdr:row>
      <xdr:rowOff>167640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1162050</xdr:colOff>
      <xdr:row>32</xdr:row>
      <xdr:rowOff>28574</xdr:rowOff>
    </xdr:from>
    <xdr:to>
      <xdr:col>4</xdr:col>
      <xdr:colOff>1533525</xdr:colOff>
      <xdr:row>33</xdr:row>
      <xdr:rowOff>76199</xdr:rowOff>
    </xdr:to>
    <xdr:sp macro="" textlink="">
      <xdr:nvSpPr>
        <xdr:cNvPr id="5" name="TextBox 4"/>
        <xdr:cNvSpPr txBox="1"/>
      </xdr:nvSpPr>
      <xdr:spPr>
        <a:xfrm>
          <a:off x="1162050" y="6419849"/>
          <a:ext cx="4619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   Figure 5.3: Number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civil servants by Atoll, 2015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66675</xdr:colOff>
      <xdr:row>48</xdr:row>
      <xdr:rowOff>38099</xdr:rowOff>
    </xdr:from>
    <xdr:to>
      <xdr:col>4</xdr:col>
      <xdr:colOff>1872615</xdr:colOff>
      <xdr:row>64</xdr:row>
      <xdr:rowOff>123824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963929</xdr:colOff>
      <xdr:row>48</xdr:row>
      <xdr:rowOff>80010</xdr:rowOff>
    </xdr:from>
    <xdr:to>
      <xdr:col>4</xdr:col>
      <xdr:colOff>1495424</xdr:colOff>
      <xdr:row>49</xdr:row>
      <xdr:rowOff>123825</xdr:rowOff>
    </xdr:to>
    <xdr:sp macro="" textlink="">
      <xdr:nvSpPr>
        <xdr:cNvPr id="9" name="TextBox 8"/>
        <xdr:cNvSpPr txBox="1"/>
      </xdr:nvSpPr>
      <xdr:spPr>
        <a:xfrm>
          <a:off x="963929" y="9519285"/>
          <a:ext cx="4779645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5.7: Number</a:t>
          </a:r>
          <a:r>
            <a:rPr lang="en-US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of civil servants by atoll and sex, 2015</a:t>
          </a:r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976313</xdr:colOff>
      <xdr:row>49</xdr:row>
      <xdr:rowOff>156541</xdr:rowOff>
    </xdr:from>
    <xdr:to>
      <xdr:col>4</xdr:col>
      <xdr:colOff>1385267</xdr:colOff>
      <xdr:row>49</xdr:row>
      <xdr:rowOff>166895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 flipV="1">
          <a:off x="976313" y="9786316"/>
          <a:ext cx="4657104" cy="10354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0.16228</cdr:x>
      <cdr:y>0.10922</cdr:y>
    </cdr:from>
    <cdr:to>
      <cdr:x>0.87598</cdr:x>
      <cdr:y>0.11138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920473" y="313786"/>
          <a:ext cx="4048305" cy="6198"/>
        </a:xfrm>
        <a:prstGeom xmlns:a="http://schemas.openxmlformats.org/drawingml/2006/main" prst="line">
          <a:avLst/>
        </a:prstGeom>
        <a:ln xmlns:a="http://schemas.openxmlformats.org/drawingml/2006/main" w="28575">
          <a:headEnd/>
          <a:tailEnd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Z66"/>
  <sheetViews>
    <sheetView tabSelected="1" zoomScaleNormal="100" zoomScaleSheetLayoutView="96" workbookViewId="0">
      <selection activeCell="G37" sqref="G1:N1048576"/>
    </sheetView>
  </sheetViews>
  <sheetFormatPr defaultRowHeight="15" x14ac:dyDescent="0.25"/>
  <cols>
    <col min="1" max="1" width="32.85546875" style="1" customWidth="1"/>
    <col min="2" max="4" width="10.28515625" style="1" customWidth="1"/>
    <col min="5" max="5" width="30.42578125" style="1" customWidth="1"/>
    <col min="6" max="6" width="9.140625" style="1"/>
    <col min="7" max="118" width="9.140625" style="25"/>
    <col min="119" max="16384" width="9.140625" style="1"/>
  </cols>
  <sheetData>
    <row r="1" spans="1:126" ht="21" x14ac:dyDescent="0.55000000000000004">
      <c r="A1" s="30" t="s">
        <v>78</v>
      </c>
      <c r="B1" s="30"/>
      <c r="C1" s="30"/>
      <c r="D1" s="30"/>
      <c r="E1" s="30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</row>
    <row r="2" spans="1:126" x14ac:dyDescent="0.25">
      <c r="A2" s="31" t="s">
        <v>79</v>
      </c>
      <c r="B2" s="31"/>
      <c r="C2" s="31"/>
      <c r="D2" s="31"/>
      <c r="E2" s="31"/>
    </row>
    <row r="3" spans="1:126" ht="11.45" customHeight="1" x14ac:dyDescent="0.25"/>
    <row r="4" spans="1:126" ht="18.75" customHeight="1" x14ac:dyDescent="0.25">
      <c r="A4" s="32" t="s">
        <v>11</v>
      </c>
      <c r="B4" s="12" t="s">
        <v>8</v>
      </c>
      <c r="C4" s="12" t="s">
        <v>0</v>
      </c>
      <c r="D4" s="12" t="s">
        <v>1</v>
      </c>
      <c r="E4" s="34" t="s">
        <v>12</v>
      </c>
      <c r="DO4" s="10"/>
    </row>
    <row r="5" spans="1:126" ht="15" customHeight="1" x14ac:dyDescent="0.25">
      <c r="A5" s="33"/>
      <c r="B5" s="11" t="s">
        <v>6</v>
      </c>
      <c r="C5" s="11" t="s">
        <v>2</v>
      </c>
      <c r="D5" s="11" t="s">
        <v>3</v>
      </c>
      <c r="E5" s="35"/>
    </row>
    <row r="6" spans="1:126" ht="18.75" x14ac:dyDescent="0.25">
      <c r="A6" s="6" t="s">
        <v>13</v>
      </c>
      <c r="B6" s="23">
        <f>B7+B8</f>
        <v>24696</v>
      </c>
      <c r="C6" s="23">
        <f t="shared" ref="C6:D6" si="0">C7+C8</f>
        <v>11191</v>
      </c>
      <c r="D6" s="23">
        <f t="shared" si="0"/>
        <v>13505</v>
      </c>
      <c r="E6" s="14" t="s">
        <v>14</v>
      </c>
    </row>
    <row r="7" spans="1:126" s="5" customFormat="1" ht="18.75" x14ac:dyDescent="0.25">
      <c r="A7" s="6" t="s">
        <v>10</v>
      </c>
      <c r="B7" s="19">
        <v>8549</v>
      </c>
      <c r="C7" s="19">
        <v>3692</v>
      </c>
      <c r="D7" s="19">
        <v>4857</v>
      </c>
      <c r="E7" s="14" t="s">
        <v>4</v>
      </c>
    </row>
    <row r="8" spans="1:126" s="5" customFormat="1" ht="18.75" x14ac:dyDescent="0.25">
      <c r="A8" s="6" t="s">
        <v>15</v>
      </c>
      <c r="B8" s="19">
        <v>16147</v>
      </c>
      <c r="C8" s="19">
        <v>7499</v>
      </c>
      <c r="D8" s="19">
        <v>8648</v>
      </c>
      <c r="E8" s="24" t="s">
        <v>5</v>
      </c>
    </row>
    <row r="9" spans="1:126" ht="15.75" x14ac:dyDescent="0.25">
      <c r="A9" s="20" t="s">
        <v>16</v>
      </c>
      <c r="B9" s="13">
        <v>1066</v>
      </c>
      <c r="C9" s="21">
        <v>516</v>
      </c>
      <c r="D9" s="21">
        <v>550</v>
      </c>
      <c r="E9" s="17" t="s">
        <v>17</v>
      </c>
    </row>
    <row r="10" spans="1:126" ht="15.75" x14ac:dyDescent="0.25">
      <c r="A10" s="20" t="s">
        <v>18</v>
      </c>
      <c r="B10" s="19">
        <v>1388</v>
      </c>
      <c r="C10" s="21">
        <v>637</v>
      </c>
      <c r="D10" s="21">
        <v>751</v>
      </c>
      <c r="E10" s="17" t="s">
        <v>19</v>
      </c>
    </row>
    <row r="11" spans="1:126" ht="15.75" x14ac:dyDescent="0.25">
      <c r="A11" s="20" t="s">
        <v>20</v>
      </c>
      <c r="B11" s="19">
        <v>1043</v>
      </c>
      <c r="C11" s="21">
        <v>584</v>
      </c>
      <c r="D11" s="21">
        <v>459</v>
      </c>
      <c r="E11" s="17" t="s">
        <v>21</v>
      </c>
    </row>
    <row r="12" spans="1:126" ht="15.75" x14ac:dyDescent="0.25">
      <c r="A12" s="20" t="s">
        <v>22</v>
      </c>
      <c r="B12" s="13">
        <v>869</v>
      </c>
      <c r="C12" s="21">
        <v>430</v>
      </c>
      <c r="D12" s="21">
        <v>439</v>
      </c>
      <c r="E12" s="17" t="s">
        <v>23</v>
      </c>
    </row>
    <row r="13" spans="1:126" ht="15.75" x14ac:dyDescent="0.25">
      <c r="A13" s="20" t="s">
        <v>24</v>
      </c>
      <c r="B13" s="19">
        <v>1252</v>
      </c>
      <c r="C13" s="21">
        <v>635</v>
      </c>
      <c r="D13" s="21">
        <v>617</v>
      </c>
      <c r="E13" s="17" t="s">
        <v>25</v>
      </c>
    </row>
    <row r="14" spans="1:126" ht="15.75" x14ac:dyDescent="0.25">
      <c r="A14" s="20" t="s">
        <v>26</v>
      </c>
      <c r="B14" s="19">
        <v>847</v>
      </c>
      <c r="C14" s="21">
        <v>397</v>
      </c>
      <c r="D14" s="21">
        <v>450</v>
      </c>
      <c r="E14" s="17" t="s">
        <v>27</v>
      </c>
    </row>
    <row r="15" spans="1:126" ht="15.75" x14ac:dyDescent="0.25">
      <c r="A15" s="20" t="s">
        <v>28</v>
      </c>
      <c r="B15" s="13">
        <v>532</v>
      </c>
      <c r="C15" s="21">
        <v>239</v>
      </c>
      <c r="D15" s="21">
        <v>293</v>
      </c>
      <c r="E15" s="17" t="s">
        <v>29</v>
      </c>
    </row>
    <row r="16" spans="1:126" ht="15.75" x14ac:dyDescent="0.25">
      <c r="A16" s="20" t="s">
        <v>30</v>
      </c>
      <c r="B16" s="19">
        <v>1006</v>
      </c>
      <c r="C16" s="21">
        <v>410</v>
      </c>
      <c r="D16" s="21">
        <v>596</v>
      </c>
      <c r="E16" s="17" t="s">
        <v>31</v>
      </c>
    </row>
    <row r="17" spans="1:130" ht="15.75" x14ac:dyDescent="0.25">
      <c r="A17" s="20" t="s">
        <v>32</v>
      </c>
      <c r="B17" s="19">
        <v>520</v>
      </c>
      <c r="C17" s="21">
        <v>247</v>
      </c>
      <c r="D17" s="21">
        <v>273</v>
      </c>
      <c r="E17" s="17" t="s">
        <v>33</v>
      </c>
    </row>
    <row r="18" spans="1:130" ht="15.75" x14ac:dyDescent="0.25">
      <c r="A18" s="20" t="s">
        <v>34</v>
      </c>
      <c r="B18" s="13">
        <v>669</v>
      </c>
      <c r="C18" s="21">
        <v>300</v>
      </c>
      <c r="D18" s="21">
        <v>369</v>
      </c>
      <c r="E18" s="17" t="s">
        <v>35</v>
      </c>
    </row>
    <row r="19" spans="1:130" ht="15.75" x14ac:dyDescent="0.25">
      <c r="A19" s="20" t="s">
        <v>36</v>
      </c>
      <c r="B19" s="19">
        <v>199</v>
      </c>
      <c r="C19" s="21">
        <v>99</v>
      </c>
      <c r="D19" s="21">
        <v>100</v>
      </c>
      <c r="E19" s="17" t="s">
        <v>37</v>
      </c>
      <c r="DY19" s="9"/>
    </row>
    <row r="20" spans="1:130" ht="15.75" x14ac:dyDescent="0.25">
      <c r="A20" s="20" t="s">
        <v>38</v>
      </c>
      <c r="B20" s="19">
        <v>501</v>
      </c>
      <c r="C20" s="21">
        <v>256</v>
      </c>
      <c r="D20" s="21">
        <v>245</v>
      </c>
      <c r="E20" s="17" t="s">
        <v>39</v>
      </c>
    </row>
    <row r="21" spans="1:130" ht="15.75" x14ac:dyDescent="0.25">
      <c r="A21" s="20" t="s">
        <v>40</v>
      </c>
      <c r="B21" s="13">
        <v>470</v>
      </c>
      <c r="C21" s="21">
        <v>211</v>
      </c>
      <c r="D21" s="21">
        <v>259</v>
      </c>
      <c r="E21" s="17" t="s">
        <v>41</v>
      </c>
      <c r="DX21" s="16" t="s">
        <v>56</v>
      </c>
      <c r="DY21" s="15">
        <f>B9</f>
        <v>1066</v>
      </c>
      <c r="DZ21" s="13"/>
    </row>
    <row r="22" spans="1:130" ht="15.75" x14ac:dyDescent="0.25">
      <c r="A22" s="20" t="s">
        <v>42</v>
      </c>
      <c r="B22" s="19">
        <v>495</v>
      </c>
      <c r="C22" s="21">
        <v>231</v>
      </c>
      <c r="D22" s="21">
        <v>264</v>
      </c>
      <c r="E22" s="17" t="s">
        <v>43</v>
      </c>
      <c r="DX22" s="16" t="s">
        <v>57</v>
      </c>
      <c r="DY22" s="15">
        <f t="shared" ref="DY22:DY28" si="1">B10</f>
        <v>1388</v>
      </c>
      <c r="DZ22" s="19"/>
    </row>
    <row r="23" spans="1:130" ht="15.75" x14ac:dyDescent="0.25">
      <c r="A23" s="20" t="s">
        <v>44</v>
      </c>
      <c r="B23" s="19">
        <v>991</v>
      </c>
      <c r="C23" s="21">
        <v>511</v>
      </c>
      <c r="D23" s="21">
        <v>480</v>
      </c>
      <c r="E23" s="17" t="s">
        <v>45</v>
      </c>
      <c r="DX23" s="16" t="s">
        <v>58</v>
      </c>
      <c r="DY23" s="15">
        <f t="shared" si="1"/>
        <v>1043</v>
      </c>
      <c r="DZ23" s="19"/>
    </row>
    <row r="24" spans="1:130" ht="15.75" x14ac:dyDescent="0.25">
      <c r="A24" s="20" t="s">
        <v>46</v>
      </c>
      <c r="B24" s="13">
        <v>947</v>
      </c>
      <c r="C24" s="21">
        <v>459</v>
      </c>
      <c r="D24" s="21">
        <v>488</v>
      </c>
      <c r="E24" s="17" t="s">
        <v>47</v>
      </c>
      <c r="DX24" s="16" t="s">
        <v>59</v>
      </c>
      <c r="DY24" s="15">
        <f t="shared" si="1"/>
        <v>869</v>
      </c>
      <c r="DZ24" s="13"/>
    </row>
    <row r="25" spans="1:130" ht="15.75" x14ac:dyDescent="0.25">
      <c r="A25" s="20" t="s">
        <v>48</v>
      </c>
      <c r="B25" s="19">
        <v>718</v>
      </c>
      <c r="C25" s="21">
        <v>298</v>
      </c>
      <c r="D25" s="21">
        <v>420</v>
      </c>
      <c r="E25" s="17" t="s">
        <v>49</v>
      </c>
      <c r="DX25" s="16" t="s">
        <v>61</v>
      </c>
      <c r="DY25" s="15">
        <f t="shared" si="1"/>
        <v>1252</v>
      </c>
      <c r="DZ25" s="19"/>
    </row>
    <row r="26" spans="1:130" ht="15.75" x14ac:dyDescent="0.25">
      <c r="A26" s="20" t="s">
        <v>50</v>
      </c>
      <c r="B26" s="19">
        <v>940</v>
      </c>
      <c r="C26" s="21">
        <v>430</v>
      </c>
      <c r="D26" s="21">
        <v>510</v>
      </c>
      <c r="E26" s="17" t="s">
        <v>51</v>
      </c>
      <c r="DX26" s="16" t="s">
        <v>62</v>
      </c>
      <c r="DY26" s="15">
        <f t="shared" si="1"/>
        <v>847</v>
      </c>
      <c r="DZ26" s="19"/>
    </row>
    <row r="27" spans="1:130" ht="15.75" x14ac:dyDescent="0.25">
      <c r="A27" s="20" t="s">
        <v>52</v>
      </c>
      <c r="B27" s="13">
        <v>572</v>
      </c>
      <c r="C27" s="21">
        <v>233</v>
      </c>
      <c r="D27" s="21">
        <v>339</v>
      </c>
      <c r="E27" s="17" t="s">
        <v>53</v>
      </c>
      <c r="DX27" s="16" t="s">
        <v>63</v>
      </c>
      <c r="DY27" s="15">
        <f t="shared" si="1"/>
        <v>532</v>
      </c>
      <c r="DZ27" s="13"/>
    </row>
    <row r="28" spans="1:130" ht="15.75" x14ac:dyDescent="0.25">
      <c r="A28" s="28" t="s">
        <v>54</v>
      </c>
      <c r="B28" s="22">
        <v>1121</v>
      </c>
      <c r="C28" s="18">
        <v>375</v>
      </c>
      <c r="D28" s="18">
        <v>746</v>
      </c>
      <c r="E28" s="29" t="s">
        <v>55</v>
      </c>
      <c r="DX28" s="16" t="s">
        <v>64</v>
      </c>
      <c r="DY28" s="15">
        <f t="shared" si="1"/>
        <v>1006</v>
      </c>
      <c r="DZ28" s="19"/>
    </row>
    <row r="29" spans="1:130" s="25" customFormat="1" x14ac:dyDescent="0.25">
      <c r="A29" s="26" t="s">
        <v>77</v>
      </c>
      <c r="B29" s="3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4"/>
      <c r="DP29" s="3"/>
      <c r="DQ29" s="3"/>
      <c r="DR29" s="3"/>
      <c r="DS29" s="4"/>
      <c r="DT29" s="3"/>
      <c r="DX29" s="16" t="s">
        <v>65</v>
      </c>
      <c r="DY29" s="15">
        <f t="shared" ref="DY29:DY40" si="2">B17</f>
        <v>520</v>
      </c>
      <c r="DZ29" s="19"/>
    </row>
    <row r="30" spans="1:130" s="25" customFormat="1" ht="18.75" x14ac:dyDescent="0.25">
      <c r="A30" s="26"/>
      <c r="B30" s="3"/>
      <c r="C30" s="4"/>
      <c r="D30" s="3"/>
      <c r="E30" s="27" t="s">
        <v>76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4"/>
      <c r="DP30" s="3"/>
      <c r="DQ30" s="3"/>
      <c r="DR30" s="3"/>
      <c r="DS30" s="4"/>
      <c r="DT30" s="3"/>
      <c r="DU30" s="27"/>
      <c r="DX30" s="16" t="s">
        <v>66</v>
      </c>
      <c r="DY30" s="15">
        <f t="shared" si="2"/>
        <v>669</v>
      </c>
      <c r="DZ30" s="19"/>
    </row>
    <row r="31" spans="1:130" ht="17.25" x14ac:dyDescent="0.25">
      <c r="A31" s="7" t="s">
        <v>7</v>
      </c>
      <c r="B31" s="9"/>
      <c r="C31" s="9"/>
      <c r="E31" s="2" t="s">
        <v>9</v>
      </c>
      <c r="DX31" s="16" t="s">
        <v>67</v>
      </c>
      <c r="DY31" s="15">
        <f t="shared" si="2"/>
        <v>199</v>
      </c>
      <c r="DZ31" s="13"/>
    </row>
    <row r="32" spans="1:130" x14ac:dyDescent="0.25">
      <c r="DX32" s="16" t="s">
        <v>68</v>
      </c>
      <c r="DY32" s="15">
        <f t="shared" si="2"/>
        <v>501</v>
      </c>
      <c r="DZ32" s="19"/>
    </row>
    <row r="33" spans="128:130" x14ac:dyDescent="0.25">
      <c r="DX33" s="16" t="s">
        <v>69</v>
      </c>
      <c r="DY33" s="15">
        <f t="shared" si="2"/>
        <v>470</v>
      </c>
      <c r="DZ33" s="19"/>
    </row>
    <row r="34" spans="128:130" x14ac:dyDescent="0.25">
      <c r="DX34" s="16" t="s">
        <v>70</v>
      </c>
      <c r="DY34" s="15">
        <f t="shared" si="2"/>
        <v>495</v>
      </c>
      <c r="DZ34" s="13"/>
    </row>
    <row r="35" spans="128:130" x14ac:dyDescent="0.25">
      <c r="DX35" s="16" t="s">
        <v>71</v>
      </c>
      <c r="DY35" s="15">
        <f t="shared" si="2"/>
        <v>991</v>
      </c>
      <c r="DZ35" s="19"/>
    </row>
    <row r="36" spans="128:130" x14ac:dyDescent="0.25">
      <c r="DX36" s="16" t="s">
        <v>72</v>
      </c>
      <c r="DY36" s="15">
        <f t="shared" si="2"/>
        <v>947</v>
      </c>
      <c r="DZ36" s="19"/>
    </row>
    <row r="37" spans="128:130" x14ac:dyDescent="0.25">
      <c r="DX37" s="16" t="s">
        <v>73</v>
      </c>
      <c r="DY37" s="15">
        <f t="shared" si="2"/>
        <v>718</v>
      </c>
      <c r="DZ37" s="13"/>
    </row>
    <row r="38" spans="128:130" x14ac:dyDescent="0.25">
      <c r="DX38" s="16" t="s">
        <v>74</v>
      </c>
      <c r="DY38" s="15">
        <f t="shared" si="2"/>
        <v>940</v>
      </c>
      <c r="DZ38" s="19"/>
    </row>
    <row r="39" spans="128:130" x14ac:dyDescent="0.25">
      <c r="DX39" s="16" t="s">
        <v>75</v>
      </c>
      <c r="DY39" s="15">
        <f t="shared" si="2"/>
        <v>572</v>
      </c>
      <c r="DZ39" s="19"/>
    </row>
    <row r="40" spans="128:130" x14ac:dyDescent="0.25">
      <c r="DX40" s="16" t="s">
        <v>60</v>
      </c>
      <c r="DY40" s="15">
        <f t="shared" si="2"/>
        <v>1121</v>
      </c>
      <c r="DZ40" s="13"/>
    </row>
    <row r="41" spans="128:130" x14ac:dyDescent="0.25">
      <c r="DZ41" s="19"/>
    </row>
    <row r="46" spans="128:130" x14ac:dyDescent="0.25">
      <c r="DY46" s="11" t="s">
        <v>2</v>
      </c>
      <c r="DZ46" s="11" t="s">
        <v>3</v>
      </c>
    </row>
    <row r="47" spans="128:130" x14ac:dyDescent="0.25">
      <c r="DX47" s="16" t="s">
        <v>56</v>
      </c>
      <c r="DY47" s="15">
        <f>C9</f>
        <v>516</v>
      </c>
      <c r="DZ47" s="15">
        <f>D9</f>
        <v>550</v>
      </c>
    </row>
    <row r="48" spans="128:130" x14ac:dyDescent="0.25">
      <c r="DX48" s="16" t="s">
        <v>57</v>
      </c>
      <c r="DY48" s="15">
        <f t="shared" ref="DY48:DZ66" si="3">C10</f>
        <v>637</v>
      </c>
      <c r="DZ48" s="15">
        <f t="shared" si="3"/>
        <v>751</v>
      </c>
    </row>
    <row r="49" spans="1:130" x14ac:dyDescent="0.25">
      <c r="DX49" s="16" t="s">
        <v>58</v>
      </c>
      <c r="DY49" s="15">
        <f t="shared" si="3"/>
        <v>584</v>
      </c>
      <c r="DZ49" s="15">
        <f t="shared" si="3"/>
        <v>459</v>
      </c>
    </row>
    <row r="50" spans="1:130" x14ac:dyDescent="0.25">
      <c r="DX50" s="16" t="s">
        <v>59</v>
      </c>
      <c r="DY50" s="15">
        <f t="shared" si="3"/>
        <v>430</v>
      </c>
      <c r="DZ50" s="15">
        <f t="shared" si="3"/>
        <v>439</v>
      </c>
    </row>
    <row r="51" spans="1:130" x14ac:dyDescent="0.25">
      <c r="DX51" s="16" t="s">
        <v>61</v>
      </c>
      <c r="DY51" s="15">
        <f t="shared" si="3"/>
        <v>635</v>
      </c>
      <c r="DZ51" s="15">
        <f t="shared" si="3"/>
        <v>617</v>
      </c>
    </row>
    <row r="52" spans="1:130" x14ac:dyDescent="0.25">
      <c r="DX52" s="16" t="s">
        <v>62</v>
      </c>
      <c r="DY52" s="15">
        <f t="shared" si="3"/>
        <v>397</v>
      </c>
      <c r="DZ52" s="15">
        <f t="shared" si="3"/>
        <v>450</v>
      </c>
    </row>
    <row r="53" spans="1:130" x14ac:dyDescent="0.25">
      <c r="A53" s="9"/>
      <c r="B53" s="9"/>
      <c r="DX53" s="16" t="s">
        <v>63</v>
      </c>
      <c r="DY53" s="15">
        <f t="shared" si="3"/>
        <v>239</v>
      </c>
      <c r="DZ53" s="15">
        <f t="shared" si="3"/>
        <v>293</v>
      </c>
    </row>
    <row r="54" spans="1:130" x14ac:dyDescent="0.25">
      <c r="DX54" s="16" t="s">
        <v>64</v>
      </c>
      <c r="DY54" s="15">
        <f t="shared" si="3"/>
        <v>410</v>
      </c>
      <c r="DZ54" s="15">
        <f t="shared" si="3"/>
        <v>596</v>
      </c>
    </row>
    <row r="55" spans="1:130" x14ac:dyDescent="0.25">
      <c r="DX55" s="16" t="s">
        <v>65</v>
      </c>
      <c r="DY55" s="15">
        <f t="shared" si="3"/>
        <v>247</v>
      </c>
      <c r="DZ55" s="15">
        <f t="shared" si="3"/>
        <v>273</v>
      </c>
    </row>
    <row r="56" spans="1:130" x14ac:dyDescent="0.25">
      <c r="DX56" s="16" t="s">
        <v>66</v>
      </c>
      <c r="DY56" s="15">
        <f t="shared" si="3"/>
        <v>300</v>
      </c>
      <c r="DZ56" s="15">
        <f t="shared" si="3"/>
        <v>369</v>
      </c>
    </row>
    <row r="57" spans="1:130" x14ac:dyDescent="0.25">
      <c r="A57" s="9"/>
      <c r="B57" s="9"/>
      <c r="DX57" s="16" t="s">
        <v>67</v>
      </c>
      <c r="DY57" s="15">
        <f t="shared" si="3"/>
        <v>99</v>
      </c>
      <c r="DZ57" s="15">
        <f t="shared" si="3"/>
        <v>100</v>
      </c>
    </row>
    <row r="58" spans="1:130" x14ac:dyDescent="0.25">
      <c r="DX58" s="16" t="s">
        <v>68</v>
      </c>
      <c r="DY58" s="15">
        <f t="shared" si="3"/>
        <v>256</v>
      </c>
      <c r="DZ58" s="15">
        <f t="shared" si="3"/>
        <v>245</v>
      </c>
    </row>
    <row r="59" spans="1:130" x14ac:dyDescent="0.25">
      <c r="DX59" s="16" t="s">
        <v>69</v>
      </c>
      <c r="DY59" s="15">
        <f t="shared" si="3"/>
        <v>211</v>
      </c>
      <c r="DZ59" s="15">
        <f t="shared" si="3"/>
        <v>259</v>
      </c>
    </row>
    <row r="60" spans="1:130" x14ac:dyDescent="0.25">
      <c r="DX60" s="16" t="s">
        <v>70</v>
      </c>
      <c r="DY60" s="15">
        <f t="shared" si="3"/>
        <v>231</v>
      </c>
      <c r="DZ60" s="15">
        <f t="shared" si="3"/>
        <v>264</v>
      </c>
    </row>
    <row r="61" spans="1:130" x14ac:dyDescent="0.25">
      <c r="DX61" s="16" t="s">
        <v>71</v>
      </c>
      <c r="DY61" s="15">
        <f t="shared" si="3"/>
        <v>511</v>
      </c>
      <c r="DZ61" s="15">
        <f t="shared" si="3"/>
        <v>480</v>
      </c>
    </row>
    <row r="62" spans="1:130" x14ac:dyDescent="0.25">
      <c r="DX62" s="16" t="s">
        <v>72</v>
      </c>
      <c r="DY62" s="15">
        <f t="shared" si="3"/>
        <v>459</v>
      </c>
      <c r="DZ62" s="15">
        <f t="shared" si="3"/>
        <v>488</v>
      </c>
    </row>
    <row r="63" spans="1:130" x14ac:dyDescent="0.25">
      <c r="DX63" s="16" t="s">
        <v>73</v>
      </c>
      <c r="DY63" s="15">
        <f t="shared" si="3"/>
        <v>298</v>
      </c>
      <c r="DZ63" s="15">
        <f t="shared" si="3"/>
        <v>420</v>
      </c>
    </row>
    <row r="64" spans="1:130" x14ac:dyDescent="0.25">
      <c r="DX64" s="16" t="s">
        <v>74</v>
      </c>
      <c r="DY64" s="15">
        <f t="shared" si="3"/>
        <v>430</v>
      </c>
      <c r="DZ64" s="15">
        <f t="shared" si="3"/>
        <v>510</v>
      </c>
    </row>
    <row r="65" spans="128:130" x14ac:dyDescent="0.25">
      <c r="DX65" s="16" t="s">
        <v>75</v>
      </c>
      <c r="DY65" s="15">
        <f t="shared" si="3"/>
        <v>233</v>
      </c>
      <c r="DZ65" s="15">
        <f t="shared" si="3"/>
        <v>339</v>
      </c>
    </row>
    <row r="66" spans="128:130" x14ac:dyDescent="0.25">
      <c r="DX66" s="16" t="s">
        <v>60</v>
      </c>
      <c r="DY66" s="15">
        <f t="shared" si="3"/>
        <v>375</v>
      </c>
      <c r="DZ66" s="15">
        <f t="shared" si="3"/>
        <v>746</v>
      </c>
    </row>
  </sheetData>
  <sortState ref="DX21:DY39">
    <sortCondition descending="1" ref="DY20"/>
  </sortState>
  <mergeCells count="4">
    <mergeCell ref="A1:E1"/>
    <mergeCell ref="A2:E2"/>
    <mergeCell ref="A4:A5"/>
    <mergeCell ref="E4:E5"/>
  </mergeCells>
  <conditionalFormatting sqref="B34">
    <cfRule type="duplicateValues" dxfId="10" priority="60"/>
  </conditionalFormatting>
  <conditionalFormatting sqref="B36">
    <cfRule type="duplicateValues" dxfId="9" priority="58"/>
  </conditionalFormatting>
  <conditionalFormatting sqref="B43">
    <cfRule type="duplicateValues" dxfId="8" priority="57"/>
  </conditionalFormatting>
  <conditionalFormatting sqref="B45">
    <cfRule type="duplicateValues" dxfId="7" priority="56"/>
  </conditionalFormatting>
  <conditionalFormatting sqref="B47:B50">
    <cfRule type="duplicateValues" dxfId="6" priority="55"/>
  </conditionalFormatting>
  <conditionalFormatting sqref="B52">
    <cfRule type="duplicateValues" dxfId="5" priority="54"/>
  </conditionalFormatting>
  <conditionalFormatting sqref="B69">
    <cfRule type="duplicateValues" dxfId="4" priority="45"/>
  </conditionalFormatting>
  <conditionalFormatting sqref="B1 B4:B1048576 C8:D8 C6:D6">
    <cfRule type="duplicateValues" dxfId="3" priority="181"/>
  </conditionalFormatting>
  <conditionalFormatting sqref="B35 B37:B42 B44 B46 B51 B53:B68 B70:B1048576 B1 B4:B33 C8:D8 C6:D6">
    <cfRule type="duplicateValues" dxfId="2" priority="187"/>
  </conditionalFormatting>
  <conditionalFormatting sqref="DY21:DY40">
    <cfRule type="duplicateValues" dxfId="1" priority="188"/>
  </conditionalFormatting>
  <conditionalFormatting sqref="DZ21:DZ41">
    <cfRule type="duplicateValues" dxfId="0" priority="189"/>
  </conditionalFormatting>
  <pageMargins left="0.7" right="0.7" top="0.22" bottom="0.27" header="0.17" footer="0.17"/>
  <pageSetup paperSize="9" orientation="landscape" r:id="rId1"/>
  <rowBreaks count="1" manualBreakCount="1">
    <brk id="31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5.3</vt:lpstr>
      <vt:lpstr>'5.3'!Print_Area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2016-07-20T08:14:39Z</cp:lastPrinted>
  <dcterms:created xsi:type="dcterms:W3CDTF">2013-03-26T05:45:33Z</dcterms:created>
  <dcterms:modified xsi:type="dcterms:W3CDTF">2016-07-20T08:14:52Z</dcterms:modified>
</cp:coreProperties>
</file>