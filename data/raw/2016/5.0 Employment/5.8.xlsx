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8" sheetId="25" r:id="rId1"/>
  </sheets>
  <definedNames>
    <definedName name="_xlnm.Print_Area" localSheetId="0">'5.8'!$A$1:$H$44</definedName>
  </definedNames>
  <calcPr calcId="144525"/>
</workbook>
</file>

<file path=xl/calcChain.xml><?xml version="1.0" encoding="utf-8"?>
<calcChain xmlns="http://schemas.openxmlformats.org/spreadsheetml/2006/main">
  <c r="D5" i="25" l="1"/>
  <c r="E5" i="25"/>
  <c r="H5" i="25"/>
  <c r="B5" i="25"/>
  <c r="C5" i="25"/>
  <c r="F5" i="25"/>
  <c r="G5" i="25"/>
  <c r="X40" i="25" l="1"/>
  <c r="Y40" i="25"/>
  <c r="Z40" i="25"/>
  <c r="AA40" i="25"/>
  <c r="AB40" i="25"/>
  <c r="AC40" i="25"/>
  <c r="W40" i="25"/>
  <c r="Y39" i="25"/>
  <c r="Z39" i="25"/>
  <c r="AA39" i="25"/>
  <c r="AB39" i="25"/>
  <c r="AC39" i="25"/>
  <c r="X39" i="25"/>
  <c r="W39" i="25"/>
</calcChain>
</file>

<file path=xl/sharedStrings.xml><?xml version="1.0" encoding="utf-8"?>
<sst xmlns="http://schemas.openxmlformats.org/spreadsheetml/2006/main" count="46" uniqueCount="39">
  <si>
    <t>Total</t>
  </si>
  <si>
    <t>Source: Civil Service Commision</t>
  </si>
  <si>
    <t>މަޢުލޫމާތު ދެއްވި ފަރާތް: ސިވިލް ސަރވިސް ކޮމިޝަން</t>
  </si>
  <si>
    <t>MALE'</t>
  </si>
  <si>
    <t>Locality</t>
  </si>
  <si>
    <t>REPUBLIC</t>
  </si>
  <si>
    <t>All ATOLL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</si>
  <si>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</si>
  <si>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</si>
  <si>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</si>
  <si>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</si>
  <si>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</si>
  <si>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</si>
  <si>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</si>
  <si>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</si>
  <si>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</si>
  <si>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</si>
  <si>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</si>
  <si>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</si>
  <si>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</si>
  <si>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</si>
  <si>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</si>
  <si>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</si>
  <si>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</si>
  <si>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</si>
  <si>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</si>
  <si>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</si>
  <si>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Schools</t>
  </si>
  <si>
    <t>Hospitals</t>
  </si>
  <si>
    <t>Atoll Councils</t>
  </si>
  <si>
    <t>Island Councils</t>
  </si>
  <si>
    <t>Government Ministries</t>
  </si>
  <si>
    <t>other offices</t>
  </si>
  <si>
    <t xml:space="preserve"> ATOLL</t>
  </si>
  <si>
    <t xml:space="preserve">           Atoll  /  City Councils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</si>
  <si>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</si>
  <si>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</si>
  <si>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Table 5.8: Civil Servants Classified by sector, 2015</t>
  </si>
  <si>
    <t>ތާވަލު 5.8: ވަޒީފާ އަދާކުރާ ދާއިރާގެ ގޮތުން ސިވިލް ސަރވަންޓުން ބެހިފައިވާ ގޮތް،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</si>
</sst>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52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3" fillId="0" borderId="0"/>
    <xf numFmtId="0" fontId="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6">
    <xf numFmtId="0" fontId="0" fillId="0" borderId="0" xfId="0"/>
    <xf numFmtId="0" fontId="14" fillId="2" borderId="0" xfId="0" applyFont="1" applyFill="1" applyBorder="1"/>
    <xf numFmtId="0" fontId="2" fillId="2" borderId="0" xfId="1" applyNumberFormat="1" applyFont="1" applyFill="1" applyBorder="1" applyAlignment="1">
      <alignment vertical="center" wrapText="1"/>
    </xf>
    <xf numFmtId="166" fontId="0" fillId="2" borderId="0" xfId="0" applyNumberFormat="1" applyFill="1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4" fillId="2" borderId="0" xfId="0" applyFont="1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5" fillId="2" borderId="5" xfId="8" applyFont="1" applyFill="1" applyBorder="1" applyAlignment="1" applyProtection="1">
      <alignment horizontal="left" vertical="center" indent="2"/>
    </xf>
    <xf numFmtId="0" fontId="0" fillId="2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0" xfId="8" applyFont="1" applyFill="1" applyBorder="1" applyAlignment="1" applyProtection="1">
      <alignment horizontal="left" vertical="center" indent="2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vertical="center" wrapText="1"/>
    </xf>
    <xf numFmtId="166" fontId="0" fillId="2" borderId="0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vertical="center" wrapText="1"/>
    </xf>
    <xf numFmtId="166" fontId="0" fillId="2" borderId="0" xfId="1" applyNumberFormat="1" applyFont="1" applyFill="1" applyBorder="1" applyAlignment="1">
      <alignment vertical="center" wrapText="1"/>
    </xf>
    <xf numFmtId="166" fontId="1" fillId="2" borderId="0" xfId="1" applyNumberFormat="1" applyFont="1" applyFill="1" applyBorder="1" applyAlignment="1">
      <alignment vertical="center"/>
    </xf>
    <xf numFmtId="166" fontId="0" fillId="2" borderId="2" xfId="1" applyNumberFormat="1" applyFont="1" applyFill="1" applyBorder="1" applyAlignment="1">
      <alignment vertical="center"/>
    </xf>
    <xf numFmtId="166" fontId="0" fillId="2" borderId="2" xfId="1" applyNumberFormat="1" applyFont="1" applyFill="1" applyBorder="1" applyAlignment="1">
      <alignment vertical="center" wrapText="1"/>
    </xf>
    <xf numFmtId="166" fontId="2" fillId="2" borderId="0" xfId="1" applyNumberFormat="1" applyFont="1" applyFill="1" applyBorder="1" applyAlignment="1">
      <alignment vertical="center"/>
    </xf>
    <xf numFmtId="0" fontId="0" fillId="2" borderId="0" xfId="0" applyFill="1"/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indent="1"/>
    </xf>
    <xf numFmtId="0" fontId="9" fillId="2" borderId="4" xfId="6" applyFont="1" applyFill="1" applyBorder="1" applyAlignment="1">
      <alignment vertical="center"/>
    </xf>
    <xf numFmtId="166" fontId="2" fillId="2" borderId="0" xfId="0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3" fontId="12" fillId="2" borderId="0" xfId="1" applyNumberFormat="1" applyFont="1" applyFill="1" applyBorder="1" applyAlignment="1">
      <alignment horizontal="right" vertical="center"/>
    </xf>
    <xf numFmtId="0" fontId="5" fillId="2" borderId="2" xfId="8" applyFont="1" applyFill="1" applyBorder="1" applyAlignment="1" applyProtection="1">
      <alignment horizontal="left" vertical="center" indent="2"/>
    </xf>
    <xf numFmtId="166" fontId="0" fillId="2" borderId="2" xfId="1" applyNumberFormat="1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521">
    <cellStyle name="Comma" xfId="1" builtinId="3"/>
    <cellStyle name="Comma 3" xfId="3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Normal" xfId="0" builtinId="0"/>
    <cellStyle name="Normal 2" xfId="4"/>
    <cellStyle name="Normal 4" xfId="7"/>
    <cellStyle name="Normal_II-16(Populaion)" xfId="2"/>
    <cellStyle name="Normal_immunization" xfId="8"/>
    <cellStyle name="Normal_po" xfId="6"/>
    <cellStyle name="Percent 3" xfId="5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2573597219266E-2"/>
          <c:y val="0.17527656026859695"/>
          <c:w val="0.89400794495282687"/>
          <c:h val="0.6087429611293394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'5.8'!$V$40</c:f>
              <c:strCache>
                <c:ptCount val="1"/>
                <c:pt idx="0">
                  <c:v> ATOLL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'5.8'!$W$38:$AC$38</c:f>
              <c:strCache>
                <c:ptCount val="7"/>
                <c:pt idx="0">
                  <c:v>Total</c:v>
                </c:pt>
                <c:pt idx="1">
                  <c:v>Schools</c:v>
                </c:pt>
                <c:pt idx="2">
                  <c:v>Hospitals</c:v>
                </c:pt>
                <c:pt idx="3">
                  <c:v>Atoll Councils</c:v>
                </c:pt>
                <c:pt idx="4">
                  <c:v>Island Councils</c:v>
                </c:pt>
                <c:pt idx="5">
                  <c:v>Government Ministries</c:v>
                </c:pt>
                <c:pt idx="6">
                  <c:v>other offices</c:v>
                </c:pt>
              </c:strCache>
            </c:strRef>
          </c:cat>
          <c:val>
            <c:numRef>
              <c:f>'5.8'!$W$40:$AC$40</c:f>
              <c:numCache>
                <c:formatCode>_(* #,##0_);_(* \(#,##0\);_(* "-"??_);_(@_)</c:formatCode>
                <c:ptCount val="7"/>
                <c:pt idx="0">
                  <c:v>16147</c:v>
                </c:pt>
                <c:pt idx="1">
                  <c:v>7203</c:v>
                </c:pt>
                <c:pt idx="2">
                  <c:v>5141</c:v>
                </c:pt>
                <c:pt idx="3">
                  <c:v>796</c:v>
                </c:pt>
                <c:pt idx="4">
                  <c:v>2971</c:v>
                </c:pt>
                <c:pt idx="5">
                  <c:v>0</c:v>
                </c:pt>
                <c:pt idx="6">
                  <c:v>36</c:v>
                </c:pt>
              </c:numCache>
            </c:numRef>
          </c:val>
        </c:ser>
        <c:ser>
          <c:idx val="0"/>
          <c:order val="1"/>
          <c:tx>
            <c:strRef>
              <c:f>'5.8'!$V$39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'5.8'!$W$38:$AC$38</c:f>
              <c:strCache>
                <c:ptCount val="7"/>
                <c:pt idx="0">
                  <c:v>Total</c:v>
                </c:pt>
                <c:pt idx="1">
                  <c:v>Schools</c:v>
                </c:pt>
                <c:pt idx="2">
                  <c:v>Hospitals</c:v>
                </c:pt>
                <c:pt idx="3">
                  <c:v>Atoll Councils</c:v>
                </c:pt>
                <c:pt idx="4">
                  <c:v>Island Councils</c:v>
                </c:pt>
                <c:pt idx="5">
                  <c:v>Government Ministries</c:v>
                </c:pt>
                <c:pt idx="6">
                  <c:v>other offices</c:v>
                </c:pt>
              </c:strCache>
            </c:strRef>
          </c:cat>
          <c:val>
            <c:numRef>
              <c:f>'5.8'!$W$39:$AC$39</c:f>
              <c:numCache>
                <c:formatCode>_(* #,##0_);_(* \(#,##0\);_(* "-"??_);_(@_)</c:formatCode>
                <c:ptCount val="7"/>
                <c:pt idx="0">
                  <c:v>8549</c:v>
                </c:pt>
                <c:pt idx="1">
                  <c:v>1796</c:v>
                </c:pt>
                <c:pt idx="2">
                  <c:v>1619</c:v>
                </c:pt>
                <c:pt idx="3">
                  <c:v>360</c:v>
                </c:pt>
                <c:pt idx="4">
                  <c:v>0</c:v>
                </c:pt>
                <c:pt idx="5">
                  <c:v>2250</c:v>
                </c:pt>
                <c:pt idx="6">
                  <c:v>2524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140514048"/>
        <c:axId val="140515584"/>
      </c:barChart>
      <c:catAx>
        <c:axId val="140514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40515584"/>
        <c:crosses val="autoZero"/>
        <c:auto val="1"/>
        <c:lblAlgn val="ctr"/>
        <c:lblOffset val="100"/>
        <c:noMultiLvlLbl val="0"/>
      </c:catAx>
      <c:valAx>
        <c:axId val="1405155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140514048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398291458498849"/>
          <c:y val="0.24365049351497398"/>
          <c:w val="0.23183478754344897"/>
          <c:h val="8.970778652668415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30</xdr:row>
      <xdr:rowOff>127634</xdr:rowOff>
    </xdr:from>
    <xdr:to>
      <xdr:col>7</xdr:col>
      <xdr:colOff>219075</xdr:colOff>
      <xdr:row>43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981075</xdr:colOff>
      <xdr:row>32</xdr:row>
      <xdr:rowOff>104775</xdr:rowOff>
    </xdr:from>
    <xdr:to>
      <xdr:col>6</xdr:col>
      <xdr:colOff>762000</xdr:colOff>
      <xdr:row>32</xdr:row>
      <xdr:rowOff>104775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981075" y="6410325"/>
          <a:ext cx="56197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0.21351</cdr:x>
      <cdr:y>0.11704</cdr:y>
    </cdr:from>
    <cdr:to>
      <cdr:x>0.74054</cdr:x>
      <cdr:y>0.39259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3960" y="300990"/>
          <a:ext cx="297180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0.25037</cdr:x>
      <cdr:y>0.32314</cdr:y>
    </cdr:from>
    <cdr:to>
      <cdr:x>0.97168</cdr:x>
      <cdr:y>0.53525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0200" y="986791"/>
          <a:ext cx="46101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0.07601</cdr:x>
      <cdr:y>0.0312</cdr:y>
    </cdr:from>
    <cdr:to>
      <cdr:x>0.98808</cdr:x>
      <cdr:y>0.10793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85775" y="95263"/>
          <a:ext cx="5829299" cy="23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5.7: Number of Civil Servants by sector for Male' &amp; Atolls, 2015</a:t>
          </a:r>
          <a:endParaRPr lang="en-US" sz="11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49"/>
  <sheetViews>
    <sheetView tabSelected="1" zoomScaleNormal="100" zoomScaleSheetLayoutView="86" workbookViewId="0">
      <selection activeCell="N14" sqref="N14"/>
    </sheetView>
  </sheetViews>
  <sheetFormatPr defaultRowHeight="15" x14ac:dyDescent="0.25"/>
  <cols>
    <col min="1" max="1" width="27.28515625" style="4" customWidth="1"/>
    <col min="2" max="2" width="11" style="4" customWidth="1"/>
    <col min="3" max="4" width="12.42578125" style="18" customWidth="1"/>
    <col min="5" max="5" width="13" style="18" customWidth="1"/>
    <col min="6" max="6" width="13.140625" style="18" customWidth="1"/>
    <col min="7" max="7" width="15.28515625" style="18" customWidth="1"/>
    <col min="8" max="8" width="10.85546875" style="18" customWidth="1"/>
    <col min="9" max="9" width="9.5703125" style="18" customWidth="1"/>
    <col min="10" max="10" width="5.7109375" style="18" customWidth="1"/>
    <col min="11" max="11" width="5" style="18" customWidth="1"/>
    <col min="12" max="12" width="5.85546875" style="18" customWidth="1"/>
    <col min="13" max="19" width="12.42578125" style="18" customWidth="1"/>
    <col min="20" max="16384" width="9.140625" style="4"/>
  </cols>
  <sheetData>
    <row r="1" spans="1:22" s="13" customFormat="1" ht="21" x14ac:dyDescent="0.25">
      <c r="A1" s="44" t="s">
        <v>38</v>
      </c>
      <c r="B1" s="44"/>
      <c r="C1" s="44"/>
      <c r="D1" s="44"/>
      <c r="E1" s="44"/>
      <c r="F1" s="44"/>
      <c r="G1" s="44"/>
      <c r="H1" s="4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19.149999999999999" customHeight="1" x14ac:dyDescent="0.25">
      <c r="A2" s="45" t="s">
        <v>37</v>
      </c>
      <c r="B2" s="45"/>
      <c r="C2" s="45"/>
      <c r="D2" s="45"/>
      <c r="E2" s="45"/>
      <c r="F2" s="45"/>
      <c r="G2" s="45"/>
      <c r="H2" s="45"/>
      <c r="I2" s="14"/>
      <c r="J2" s="14"/>
      <c r="K2" s="14"/>
      <c r="L2" s="14"/>
      <c r="M2" s="1"/>
      <c r="N2" s="14"/>
      <c r="O2" s="14"/>
      <c r="P2" s="14"/>
      <c r="Q2" s="14"/>
      <c r="R2" s="14"/>
      <c r="S2" s="14"/>
    </row>
    <row r="3" spans="1:22" ht="4.9000000000000004" customHeight="1" x14ac:dyDescent="0.25">
      <c r="A3" s="6"/>
      <c r="B3" s="6"/>
      <c r="C3" s="6"/>
      <c r="D3" s="6"/>
      <c r="E3" s="6"/>
      <c r="F3" s="6"/>
      <c r="G3" s="6"/>
      <c r="H3" s="6"/>
      <c r="I3" s="4"/>
      <c r="J3" s="4"/>
      <c r="K3" s="4"/>
      <c r="L3" s="4"/>
      <c r="M3" s="6"/>
      <c r="N3" s="4"/>
      <c r="O3" s="4"/>
      <c r="P3" s="4"/>
      <c r="Q3" s="4"/>
      <c r="R3" s="4"/>
      <c r="S3" s="4"/>
    </row>
    <row r="4" spans="1:22" ht="30" x14ac:dyDescent="0.25">
      <c r="A4" s="35" t="s">
        <v>4</v>
      </c>
      <c r="B4" s="19" t="s">
        <v>0</v>
      </c>
      <c r="C4" s="20" t="s">
        <v>27</v>
      </c>
      <c r="D4" s="20" t="s">
        <v>28</v>
      </c>
      <c r="E4" s="20" t="s">
        <v>34</v>
      </c>
      <c r="F4" s="20" t="s">
        <v>30</v>
      </c>
      <c r="G4" s="20" t="s">
        <v>31</v>
      </c>
      <c r="H4" s="20" t="s">
        <v>32</v>
      </c>
      <c r="I4" s="4"/>
      <c r="J4" s="4"/>
      <c r="K4" s="4"/>
      <c r="L4" s="4"/>
      <c r="M4" s="6"/>
      <c r="N4" s="4"/>
      <c r="O4" s="4"/>
      <c r="P4" s="4"/>
      <c r="Q4" s="4"/>
      <c r="R4" s="4"/>
      <c r="S4" s="4"/>
    </row>
    <row r="5" spans="1:22" s="9" customFormat="1" x14ac:dyDescent="0.25">
      <c r="A5" s="37" t="s">
        <v>5</v>
      </c>
      <c r="B5" s="26">
        <f>B6+B7</f>
        <v>24696</v>
      </c>
      <c r="C5" s="26">
        <f t="shared" ref="C5:G5" si="0">C6+C7</f>
        <v>8999</v>
      </c>
      <c r="D5" s="26">
        <f t="shared" si="0"/>
        <v>6760</v>
      </c>
      <c r="E5" s="26">
        <f t="shared" si="0"/>
        <v>1156</v>
      </c>
      <c r="F5" s="26">
        <f t="shared" si="0"/>
        <v>2971</v>
      </c>
      <c r="G5" s="26">
        <f t="shared" si="0"/>
        <v>2250</v>
      </c>
      <c r="H5" s="26">
        <f>H6+H7</f>
        <v>2560</v>
      </c>
      <c r="I5" s="12"/>
      <c r="J5" s="12"/>
      <c r="K5" s="12"/>
      <c r="L5" s="12"/>
      <c r="M5" s="36"/>
      <c r="N5" s="12"/>
      <c r="O5" s="12"/>
      <c r="P5" s="12"/>
      <c r="Q5" s="12"/>
      <c r="R5" s="12"/>
      <c r="S5" s="12"/>
    </row>
    <row r="6" spans="1:22" s="9" customFormat="1" x14ac:dyDescent="0.25">
      <c r="A6" s="37" t="s">
        <v>3</v>
      </c>
      <c r="B6" s="27">
        <v>8549</v>
      </c>
      <c r="C6" s="2">
        <v>1796</v>
      </c>
      <c r="D6" s="28">
        <v>1619</v>
      </c>
      <c r="E6" s="28">
        <v>360</v>
      </c>
      <c r="F6" s="29">
        <v>0</v>
      </c>
      <c r="G6" s="28">
        <v>2250</v>
      </c>
      <c r="H6" s="28">
        <v>2524</v>
      </c>
      <c r="I6" s="12"/>
      <c r="J6" s="12"/>
      <c r="K6" s="12"/>
      <c r="L6" s="12"/>
      <c r="M6" s="11"/>
      <c r="N6" s="12"/>
      <c r="O6" s="12"/>
      <c r="P6" s="12"/>
      <c r="Q6" s="12"/>
      <c r="R6" s="12"/>
      <c r="S6" s="12"/>
    </row>
    <row r="7" spans="1:22" s="9" customFormat="1" x14ac:dyDescent="0.25">
      <c r="A7" s="37" t="s">
        <v>6</v>
      </c>
      <c r="B7" s="33">
        <v>16147</v>
      </c>
      <c r="C7" s="33">
        <v>7203</v>
      </c>
      <c r="D7" s="33">
        <v>5141</v>
      </c>
      <c r="E7" s="33">
        <v>796</v>
      </c>
      <c r="F7" s="33">
        <v>2971</v>
      </c>
      <c r="G7" s="33">
        <v>0</v>
      </c>
      <c r="H7" s="33">
        <v>36</v>
      </c>
      <c r="I7" s="12"/>
      <c r="J7" s="12"/>
      <c r="K7" s="12"/>
      <c r="L7" s="12"/>
      <c r="M7" s="11"/>
      <c r="N7" s="12"/>
      <c r="O7" s="12"/>
      <c r="P7" s="12"/>
      <c r="Q7" s="12"/>
      <c r="R7" s="12"/>
      <c r="S7" s="12"/>
    </row>
    <row r="8" spans="1:22" x14ac:dyDescent="0.25">
      <c r="A8" s="23" t="s">
        <v>7</v>
      </c>
      <c r="B8" s="27">
        <v>1066</v>
      </c>
      <c r="C8" s="29">
        <v>477</v>
      </c>
      <c r="D8" s="29">
        <v>305</v>
      </c>
      <c r="E8" s="29">
        <v>34</v>
      </c>
      <c r="F8" s="29">
        <v>250</v>
      </c>
      <c r="G8" s="29">
        <v>0</v>
      </c>
      <c r="H8" s="29">
        <v>0</v>
      </c>
      <c r="I8" s="4"/>
      <c r="J8" s="4"/>
      <c r="K8" s="4"/>
      <c r="L8" s="4"/>
      <c r="M8" s="6"/>
      <c r="N8" s="27"/>
      <c r="O8" s="15"/>
      <c r="P8" s="4"/>
      <c r="Q8" s="4"/>
      <c r="R8" s="4"/>
      <c r="S8" s="4"/>
    </row>
    <row r="9" spans="1:22" x14ac:dyDescent="0.25">
      <c r="A9" s="23" t="s">
        <v>8</v>
      </c>
      <c r="B9" s="27">
        <v>1388</v>
      </c>
      <c r="C9" s="29">
        <v>615</v>
      </c>
      <c r="D9" s="29">
        <v>507</v>
      </c>
      <c r="E9" s="29">
        <v>34</v>
      </c>
      <c r="F9" s="29">
        <v>232</v>
      </c>
      <c r="G9" s="29">
        <v>0</v>
      </c>
      <c r="H9" s="29">
        <v>0</v>
      </c>
      <c r="I9" s="4"/>
      <c r="J9" s="4"/>
      <c r="K9" s="4"/>
      <c r="L9" s="4"/>
      <c r="M9" s="6"/>
      <c r="N9" s="27"/>
      <c r="O9" s="15"/>
      <c r="P9" s="4"/>
      <c r="Q9" s="4"/>
      <c r="R9" s="4"/>
      <c r="S9" s="4"/>
    </row>
    <row r="10" spans="1:22" x14ac:dyDescent="0.25">
      <c r="A10" s="23" t="s">
        <v>9</v>
      </c>
      <c r="B10" s="27">
        <v>1043</v>
      </c>
      <c r="C10" s="29">
        <v>460</v>
      </c>
      <c r="D10" s="29">
        <v>342</v>
      </c>
      <c r="E10" s="29">
        <v>32</v>
      </c>
      <c r="F10" s="29">
        <v>209</v>
      </c>
      <c r="G10" s="29">
        <v>0</v>
      </c>
      <c r="H10" s="29">
        <v>0</v>
      </c>
      <c r="I10" s="4"/>
      <c r="J10" s="4"/>
      <c r="K10" s="4"/>
      <c r="L10" s="4"/>
      <c r="M10" s="6"/>
      <c r="N10" s="27"/>
      <c r="O10" s="15"/>
      <c r="P10" s="4"/>
      <c r="Q10" s="4"/>
      <c r="R10" s="4"/>
      <c r="S10" s="4"/>
    </row>
    <row r="11" spans="1:22" x14ac:dyDescent="0.25">
      <c r="A11" s="23" t="s">
        <v>10</v>
      </c>
      <c r="B11" s="27">
        <v>869</v>
      </c>
      <c r="C11" s="29">
        <v>417</v>
      </c>
      <c r="D11" s="29">
        <v>252</v>
      </c>
      <c r="E11" s="29">
        <v>24</v>
      </c>
      <c r="F11" s="29">
        <v>176</v>
      </c>
      <c r="G11" s="29">
        <v>0</v>
      </c>
      <c r="H11" s="29">
        <v>0</v>
      </c>
      <c r="I11" s="4"/>
      <c r="J11" s="4"/>
      <c r="K11" s="4"/>
      <c r="L11" s="4"/>
      <c r="M11" s="4"/>
      <c r="N11" s="27"/>
      <c r="O11" s="15"/>
      <c r="P11" s="4"/>
      <c r="Q11" s="4"/>
      <c r="R11" s="4"/>
      <c r="S11" s="4"/>
    </row>
    <row r="12" spans="1:22" x14ac:dyDescent="0.25">
      <c r="A12" s="23" t="s">
        <v>11</v>
      </c>
      <c r="B12" s="27">
        <v>1252</v>
      </c>
      <c r="C12" s="29">
        <v>643</v>
      </c>
      <c r="D12" s="29">
        <v>343</v>
      </c>
      <c r="E12" s="29">
        <v>32</v>
      </c>
      <c r="F12" s="29">
        <v>234</v>
      </c>
      <c r="G12" s="29">
        <v>0</v>
      </c>
      <c r="H12" s="29">
        <v>0</v>
      </c>
      <c r="I12" s="4"/>
      <c r="J12" s="4"/>
      <c r="K12" s="4"/>
      <c r="L12" s="4"/>
      <c r="M12" s="4"/>
      <c r="N12" s="27"/>
      <c r="O12" s="15"/>
      <c r="P12" s="4"/>
      <c r="Q12" s="4"/>
      <c r="R12" s="4"/>
      <c r="S12" s="4"/>
    </row>
    <row r="13" spans="1:22" x14ac:dyDescent="0.25">
      <c r="A13" s="23" t="s">
        <v>12</v>
      </c>
      <c r="B13" s="27">
        <v>847</v>
      </c>
      <c r="C13" s="29">
        <v>372</v>
      </c>
      <c r="D13" s="29">
        <v>270</v>
      </c>
      <c r="E13" s="29">
        <v>30</v>
      </c>
      <c r="F13" s="29">
        <v>166</v>
      </c>
      <c r="G13" s="29">
        <v>0</v>
      </c>
      <c r="H13" s="29">
        <v>9</v>
      </c>
      <c r="I13" s="4"/>
      <c r="J13" s="4"/>
      <c r="K13" s="4"/>
      <c r="L13" s="4"/>
      <c r="M13" s="4"/>
      <c r="N13" s="27"/>
      <c r="O13" s="15"/>
      <c r="P13" s="4"/>
      <c r="Q13" s="4"/>
      <c r="R13" s="4"/>
      <c r="S13" s="4"/>
    </row>
    <row r="14" spans="1:22" x14ac:dyDescent="0.25">
      <c r="A14" s="23" t="s">
        <v>13</v>
      </c>
      <c r="B14" s="27">
        <v>532</v>
      </c>
      <c r="C14" s="29">
        <v>245</v>
      </c>
      <c r="D14" s="29">
        <v>169</v>
      </c>
      <c r="E14" s="29">
        <v>30</v>
      </c>
      <c r="F14" s="29">
        <v>88</v>
      </c>
      <c r="G14" s="29">
        <v>0</v>
      </c>
      <c r="H14" s="29">
        <v>0</v>
      </c>
      <c r="I14" s="4"/>
      <c r="J14" s="4"/>
      <c r="K14" s="4"/>
      <c r="L14" s="4"/>
      <c r="M14" s="4"/>
      <c r="N14" s="27"/>
      <c r="O14" s="15"/>
      <c r="P14" s="4"/>
      <c r="Q14" s="4"/>
      <c r="R14" s="4"/>
      <c r="S14" s="4"/>
    </row>
    <row r="15" spans="1:22" x14ac:dyDescent="0.25">
      <c r="A15" s="23" t="s">
        <v>14</v>
      </c>
      <c r="B15" s="27">
        <v>1006</v>
      </c>
      <c r="C15" s="29">
        <v>366</v>
      </c>
      <c r="D15" s="29">
        <v>441</v>
      </c>
      <c r="E15" s="29">
        <v>24</v>
      </c>
      <c r="F15" s="29">
        <v>149</v>
      </c>
      <c r="G15" s="29">
        <v>0</v>
      </c>
      <c r="H15" s="29">
        <v>26</v>
      </c>
      <c r="I15" s="4"/>
      <c r="J15" s="4"/>
      <c r="K15" s="4"/>
      <c r="L15" s="4"/>
      <c r="M15" s="4"/>
      <c r="N15" s="27"/>
      <c r="O15" s="15"/>
      <c r="P15" s="4"/>
      <c r="Q15" s="4"/>
      <c r="R15" s="4"/>
      <c r="S15" s="4"/>
    </row>
    <row r="16" spans="1:22" x14ac:dyDescent="0.25">
      <c r="A16" s="23" t="s">
        <v>15</v>
      </c>
      <c r="B16" s="27">
        <v>520</v>
      </c>
      <c r="C16" s="29">
        <v>212</v>
      </c>
      <c r="D16" s="29">
        <v>177</v>
      </c>
      <c r="E16" s="29">
        <v>22</v>
      </c>
      <c r="F16" s="29">
        <v>109</v>
      </c>
      <c r="G16" s="29">
        <v>0</v>
      </c>
      <c r="H16" s="29">
        <v>0</v>
      </c>
      <c r="I16" s="4"/>
      <c r="J16" s="4"/>
      <c r="K16" s="4"/>
      <c r="L16" s="4"/>
      <c r="M16" s="4"/>
      <c r="N16" s="27"/>
      <c r="O16" s="15"/>
      <c r="P16" s="4"/>
      <c r="Q16" s="4"/>
      <c r="R16" s="4"/>
      <c r="S16" s="4"/>
    </row>
    <row r="17" spans="1:20" x14ac:dyDescent="0.25">
      <c r="A17" s="23" t="s">
        <v>16</v>
      </c>
      <c r="B17" s="27">
        <v>669</v>
      </c>
      <c r="C17" s="29">
        <v>282</v>
      </c>
      <c r="D17" s="29">
        <v>222</v>
      </c>
      <c r="E17" s="29">
        <v>26</v>
      </c>
      <c r="F17" s="29">
        <v>139</v>
      </c>
      <c r="G17" s="29">
        <v>0</v>
      </c>
      <c r="H17" s="29">
        <v>0</v>
      </c>
      <c r="I17" s="4"/>
      <c r="J17" s="4"/>
      <c r="K17" s="4"/>
      <c r="L17" s="4"/>
      <c r="M17" s="4"/>
      <c r="N17" s="27"/>
      <c r="O17" s="15"/>
      <c r="P17" s="4"/>
      <c r="Q17" s="4"/>
      <c r="R17" s="4"/>
      <c r="S17" s="4"/>
    </row>
    <row r="18" spans="1:20" x14ac:dyDescent="0.25">
      <c r="A18" s="23" t="s">
        <v>17</v>
      </c>
      <c r="B18" s="27">
        <v>199</v>
      </c>
      <c r="C18" s="29">
        <v>70</v>
      </c>
      <c r="D18" s="29">
        <v>67</v>
      </c>
      <c r="E18" s="29">
        <v>23</v>
      </c>
      <c r="F18" s="29">
        <v>39</v>
      </c>
      <c r="G18" s="29">
        <v>0</v>
      </c>
      <c r="H18" s="29">
        <v>0</v>
      </c>
      <c r="I18" s="4"/>
      <c r="J18" s="4"/>
      <c r="K18" s="4"/>
      <c r="L18" s="4"/>
      <c r="M18" s="4"/>
      <c r="N18" s="27"/>
      <c r="O18" s="15"/>
      <c r="P18" s="4"/>
      <c r="Q18" s="4"/>
      <c r="R18" s="4"/>
      <c r="S18" s="4"/>
    </row>
    <row r="19" spans="1:20" x14ac:dyDescent="0.25">
      <c r="A19" s="23" t="s">
        <v>18</v>
      </c>
      <c r="B19" s="27">
        <v>501</v>
      </c>
      <c r="C19" s="29">
        <v>202</v>
      </c>
      <c r="D19" s="29">
        <v>165</v>
      </c>
      <c r="E19" s="29">
        <v>28</v>
      </c>
      <c r="F19" s="29">
        <v>106</v>
      </c>
      <c r="G19" s="29">
        <v>0</v>
      </c>
      <c r="H19" s="29">
        <v>0</v>
      </c>
      <c r="I19" s="4"/>
      <c r="J19" s="4"/>
      <c r="K19" s="4"/>
      <c r="L19" s="4"/>
      <c r="M19" s="4"/>
      <c r="N19" s="27"/>
      <c r="O19" s="15"/>
      <c r="P19" s="4"/>
      <c r="Q19" s="4"/>
      <c r="R19" s="4"/>
      <c r="S19" s="4"/>
    </row>
    <row r="20" spans="1:20" x14ac:dyDescent="0.25">
      <c r="A20" s="23" t="s">
        <v>19</v>
      </c>
      <c r="B20" s="27">
        <v>470</v>
      </c>
      <c r="C20" s="29">
        <v>186</v>
      </c>
      <c r="D20" s="29">
        <v>157</v>
      </c>
      <c r="E20" s="29">
        <v>30</v>
      </c>
      <c r="F20" s="29">
        <v>97</v>
      </c>
      <c r="G20" s="29">
        <v>0</v>
      </c>
      <c r="H20" s="29">
        <v>0</v>
      </c>
      <c r="I20" s="4"/>
      <c r="J20" s="4"/>
      <c r="K20" s="4"/>
      <c r="L20" s="4"/>
      <c r="M20" s="4"/>
      <c r="N20" s="27"/>
      <c r="O20" s="15"/>
      <c r="P20" s="4"/>
      <c r="Q20" s="4"/>
      <c r="R20" s="4"/>
      <c r="S20" s="4"/>
    </row>
    <row r="21" spans="1:20" x14ac:dyDescent="0.25">
      <c r="A21" s="23" t="s">
        <v>20</v>
      </c>
      <c r="B21" s="27">
        <v>495</v>
      </c>
      <c r="C21" s="29">
        <v>198</v>
      </c>
      <c r="D21" s="29">
        <v>167</v>
      </c>
      <c r="E21" s="29">
        <v>24</v>
      </c>
      <c r="F21" s="29">
        <v>106</v>
      </c>
      <c r="G21" s="29">
        <v>0</v>
      </c>
      <c r="H21" s="29">
        <v>0</v>
      </c>
      <c r="I21" s="4"/>
      <c r="J21" s="4"/>
      <c r="K21" s="4"/>
      <c r="L21" s="4"/>
      <c r="M21" s="4"/>
      <c r="N21" s="27"/>
      <c r="O21" s="15"/>
      <c r="P21" s="4"/>
      <c r="Q21" s="4"/>
      <c r="R21" s="4"/>
      <c r="S21" s="4"/>
    </row>
    <row r="22" spans="1:20" x14ac:dyDescent="0.25">
      <c r="A22" s="23" t="s">
        <v>21</v>
      </c>
      <c r="B22" s="30">
        <v>991</v>
      </c>
      <c r="C22" s="29">
        <v>417</v>
      </c>
      <c r="D22" s="29">
        <v>333</v>
      </c>
      <c r="E22" s="29">
        <v>37</v>
      </c>
      <c r="F22" s="29">
        <v>204</v>
      </c>
      <c r="G22" s="29">
        <v>0</v>
      </c>
      <c r="H22" s="29">
        <v>0</v>
      </c>
      <c r="I22" s="4"/>
      <c r="J22" s="4"/>
      <c r="K22" s="4"/>
      <c r="L22" s="4"/>
      <c r="M22" s="4"/>
      <c r="N22" s="30"/>
      <c r="O22" s="15"/>
      <c r="P22" s="4"/>
      <c r="Q22" s="4"/>
      <c r="R22" s="4"/>
      <c r="S22" s="4"/>
    </row>
    <row r="23" spans="1:20" x14ac:dyDescent="0.25">
      <c r="A23" s="23" t="s">
        <v>22</v>
      </c>
      <c r="B23" s="30">
        <v>947</v>
      </c>
      <c r="C23" s="29">
        <v>435</v>
      </c>
      <c r="D23" s="29">
        <v>271</v>
      </c>
      <c r="E23" s="29">
        <v>34</v>
      </c>
      <c r="F23" s="29">
        <v>207</v>
      </c>
      <c r="G23" s="29">
        <v>0</v>
      </c>
      <c r="H23" s="29">
        <v>0</v>
      </c>
      <c r="I23" s="4"/>
      <c r="J23" s="4"/>
      <c r="K23" s="4"/>
      <c r="L23" s="4"/>
      <c r="M23" s="4"/>
      <c r="N23" s="30"/>
      <c r="O23" s="15"/>
      <c r="P23" s="4"/>
      <c r="Q23" s="4"/>
      <c r="R23" s="4"/>
      <c r="S23" s="4"/>
    </row>
    <row r="24" spans="1:20" x14ac:dyDescent="0.25">
      <c r="A24" s="23" t="s">
        <v>23</v>
      </c>
      <c r="B24" s="27">
        <v>718</v>
      </c>
      <c r="C24" s="29">
        <v>313</v>
      </c>
      <c r="D24" s="29">
        <v>239</v>
      </c>
      <c r="E24" s="29">
        <v>23</v>
      </c>
      <c r="F24" s="29">
        <v>143</v>
      </c>
      <c r="G24" s="29">
        <v>0</v>
      </c>
      <c r="H24" s="29">
        <v>0</v>
      </c>
      <c r="I24" s="4"/>
      <c r="J24" s="4"/>
      <c r="K24" s="4"/>
      <c r="L24" s="4"/>
      <c r="M24" s="4"/>
      <c r="N24" s="27"/>
      <c r="O24" s="15"/>
      <c r="P24" s="4"/>
      <c r="Q24" s="4"/>
      <c r="R24" s="4"/>
      <c r="S24" s="4"/>
    </row>
    <row r="25" spans="1:20" x14ac:dyDescent="0.25">
      <c r="A25" s="23" t="s">
        <v>24</v>
      </c>
      <c r="B25" s="27">
        <v>940</v>
      </c>
      <c r="C25" s="29">
        <v>408</v>
      </c>
      <c r="D25" s="29">
        <v>336</v>
      </c>
      <c r="E25" s="29">
        <v>35</v>
      </c>
      <c r="F25" s="29">
        <v>161</v>
      </c>
      <c r="G25" s="29">
        <v>0</v>
      </c>
      <c r="H25" s="29">
        <v>0</v>
      </c>
      <c r="I25" s="4"/>
      <c r="J25" s="4"/>
      <c r="K25" s="4"/>
      <c r="L25" s="4"/>
      <c r="M25" s="4"/>
      <c r="N25" s="27"/>
      <c r="O25" s="15"/>
      <c r="P25" s="4"/>
      <c r="Q25" s="4"/>
      <c r="R25" s="4"/>
      <c r="S25" s="4"/>
    </row>
    <row r="26" spans="1:20" x14ac:dyDescent="0.25">
      <c r="A26" s="23" t="s">
        <v>25</v>
      </c>
      <c r="B26" s="27">
        <v>572</v>
      </c>
      <c r="C26" s="29">
        <v>268</v>
      </c>
      <c r="D26" s="29">
        <v>113</v>
      </c>
      <c r="E26" s="29">
        <v>35</v>
      </c>
      <c r="F26" s="29">
        <v>156</v>
      </c>
      <c r="G26" s="29">
        <v>0</v>
      </c>
      <c r="H26" s="29">
        <v>0</v>
      </c>
      <c r="I26" s="4"/>
      <c r="J26" s="4"/>
      <c r="K26" s="4"/>
      <c r="L26" s="4"/>
      <c r="M26" s="4"/>
      <c r="N26" s="27"/>
      <c r="O26" s="15"/>
      <c r="P26" s="4"/>
      <c r="Q26" s="4"/>
      <c r="R26" s="4"/>
      <c r="S26" s="4"/>
    </row>
    <row r="27" spans="1:20" x14ac:dyDescent="0.25">
      <c r="A27" s="42" t="s">
        <v>26</v>
      </c>
      <c r="B27" s="31">
        <v>1121</v>
      </c>
      <c r="C27" s="32">
        <v>617</v>
      </c>
      <c r="D27" s="32">
        <v>265</v>
      </c>
      <c r="E27" s="43">
        <v>239</v>
      </c>
      <c r="F27" s="32">
        <v>0</v>
      </c>
      <c r="G27" s="32">
        <v>0</v>
      </c>
      <c r="H27" s="32">
        <v>0</v>
      </c>
      <c r="I27" s="4"/>
      <c r="J27" s="4"/>
      <c r="K27" s="4"/>
      <c r="L27" s="4"/>
      <c r="M27" s="4"/>
      <c r="N27" s="27"/>
      <c r="O27" s="15"/>
      <c r="P27" s="4"/>
      <c r="Q27" s="4"/>
      <c r="R27" s="4"/>
      <c r="S27" s="4"/>
    </row>
    <row r="28" spans="1:20" s="34" customFormat="1" ht="18.75" x14ac:dyDescent="0.25">
      <c r="A28" s="40" t="s">
        <v>36</v>
      </c>
      <c r="B28" s="7"/>
      <c r="C28" s="8"/>
      <c r="D28" s="7"/>
      <c r="E28" s="7"/>
      <c r="F28" s="7"/>
      <c r="G28" s="8"/>
      <c r="H28" s="41" t="s">
        <v>35</v>
      </c>
      <c r="I28" s="7"/>
      <c r="J28" s="7"/>
      <c r="K28" s="8"/>
      <c r="L28" s="7"/>
      <c r="N28" s="27"/>
      <c r="O28" s="15"/>
    </row>
    <row r="29" spans="1:20" s="13" customFormat="1" ht="17.25" x14ac:dyDescent="0.25">
      <c r="A29" s="38" t="s">
        <v>1</v>
      </c>
      <c r="B29" s="39"/>
      <c r="C29" s="10"/>
      <c r="D29" s="10"/>
      <c r="E29" s="10"/>
      <c r="F29" s="11"/>
      <c r="G29" s="10"/>
      <c r="H29" s="5" t="s">
        <v>2</v>
      </c>
      <c r="T29" s="21"/>
    </row>
    <row r="38" spans="22:29" ht="60" x14ac:dyDescent="0.25">
      <c r="W38" s="4" t="s">
        <v>0</v>
      </c>
      <c r="X38" s="20" t="s">
        <v>27</v>
      </c>
      <c r="Y38" s="20" t="s">
        <v>28</v>
      </c>
      <c r="Z38" s="20" t="s">
        <v>29</v>
      </c>
      <c r="AA38" s="20" t="s">
        <v>30</v>
      </c>
      <c r="AB38" s="20" t="s">
        <v>31</v>
      </c>
      <c r="AC38" s="20" t="s">
        <v>32</v>
      </c>
    </row>
    <row r="39" spans="22:29" x14ac:dyDescent="0.25">
      <c r="V39" s="16" t="s">
        <v>3</v>
      </c>
      <c r="W39" s="3">
        <f>B6</f>
        <v>8549</v>
      </c>
      <c r="X39" s="3">
        <f>C6</f>
        <v>1796</v>
      </c>
      <c r="Y39" s="3">
        <f t="shared" ref="Y39:AC39" si="1">D6</f>
        <v>1619</v>
      </c>
      <c r="Z39" s="3">
        <f t="shared" si="1"/>
        <v>360</v>
      </c>
      <c r="AA39" s="3">
        <f t="shared" si="1"/>
        <v>0</v>
      </c>
      <c r="AB39" s="3">
        <f t="shared" si="1"/>
        <v>2250</v>
      </c>
      <c r="AC39" s="3">
        <f t="shared" si="1"/>
        <v>2524</v>
      </c>
    </row>
    <row r="40" spans="22:29" x14ac:dyDescent="0.25">
      <c r="V40" s="16" t="s">
        <v>33</v>
      </c>
      <c r="W40" s="3">
        <f>B7</f>
        <v>16147</v>
      </c>
      <c r="X40" s="3">
        <f t="shared" ref="X40:AC40" si="2">C7</f>
        <v>7203</v>
      </c>
      <c r="Y40" s="3">
        <f t="shared" si="2"/>
        <v>5141</v>
      </c>
      <c r="Z40" s="3">
        <f t="shared" si="2"/>
        <v>796</v>
      </c>
      <c r="AA40" s="3">
        <f t="shared" si="2"/>
        <v>2971</v>
      </c>
      <c r="AB40" s="3">
        <f t="shared" si="2"/>
        <v>0</v>
      </c>
      <c r="AC40" s="3">
        <f t="shared" si="2"/>
        <v>36</v>
      </c>
    </row>
    <row r="49" spans="1:19" x14ac:dyDescent="0.25">
      <c r="A49" s="17"/>
      <c r="B49" s="25"/>
      <c r="E49" s="2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</sheetData>
  <mergeCells count="2">
    <mergeCell ref="A2:H2"/>
    <mergeCell ref="A1:H1"/>
  </mergeCells>
  <pageMargins left="0.7" right="0.7" top="0.75" bottom="0.75" header="0.3" footer="0.3"/>
  <pageSetup paperSize="9" scale="75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2016-07-20T08:22:31Z</cp:lastPrinted>
  <dcterms:created xsi:type="dcterms:W3CDTF">2013-03-26T05:45:33Z</dcterms:created>
  <dcterms:modified xsi:type="dcterms:W3CDTF">2016-07-20T08:22:40Z</dcterms:modified>
</cp:coreProperties>
</file>