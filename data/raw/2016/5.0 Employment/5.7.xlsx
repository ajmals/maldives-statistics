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7" sheetId="26" r:id="rId1"/>
  </sheets>
  <definedNames>
    <definedName name="_xlnm.Print_Area" localSheetId="0">'5.7'!$A$1:$M$58</definedName>
  </definedNames>
  <calcPr calcId="144525"/>
</workbook>
</file>

<file path=xl/calcChain.xml><?xml version="1.0" encoding="utf-8"?>
<calcChain xmlns="http://schemas.openxmlformats.org/spreadsheetml/2006/main">
  <c r="AK46" i="26" l="1"/>
  <c r="AK44" i="26" s="1"/>
  <c r="AJ46" i="26" l="1"/>
  <c r="AJ47" i="26"/>
</calcChain>
</file>

<file path=xl/sharedStrings.xml><?xml version="1.0" encoding="utf-8"?>
<sst xmlns="http://schemas.openxmlformats.org/spreadsheetml/2006/main" count="61" uniqueCount="47">
  <si>
    <t>Total</t>
  </si>
  <si>
    <t>ފިރިހެން</t>
  </si>
  <si>
    <t>އަންހެން</t>
  </si>
  <si>
    <t>Occupation</t>
  </si>
  <si>
    <t>Male</t>
  </si>
  <si>
    <t>Female</t>
  </si>
  <si>
    <t>Foreigners</t>
  </si>
  <si>
    <t>Both Sexes</t>
  </si>
  <si>
    <t>Source: Civil Service Commision</t>
  </si>
  <si>
    <t>ދެޖިންސް</t>
  </si>
  <si>
    <t>Locals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</si>
  <si>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</si>
  <si>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</si>
  <si>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</si>
  <si>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</si>
  <si>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</si>
  <si>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</si>
  <si>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</si>
  <si>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</si>
  <si>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</si>
  <si>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Dentist</t>
  </si>
  <si>
    <t>Doctors</t>
  </si>
  <si>
    <t>Education services</t>
  </si>
  <si>
    <t>Engineering and architecture</t>
  </si>
  <si>
    <t>Immigration and emigration</t>
  </si>
  <si>
    <t>Information technology</t>
  </si>
  <si>
    <t>Laboratory support service</t>
  </si>
  <si>
    <t>Lecturers</t>
  </si>
  <si>
    <t>Legal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</si>
  <si>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</si>
  <si>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</si>
  <si>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</si>
  <si>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</si>
  <si>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</si>
  <si>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</si>
  <si>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Social and religious services</t>
  </si>
  <si>
    <t>Teachers</t>
  </si>
  <si>
    <t>Transport services</t>
  </si>
  <si>
    <t xml:space="preserve">Local </t>
  </si>
  <si>
    <t>Climatology</t>
  </si>
  <si>
    <t>Meteorological Engineers</t>
  </si>
  <si>
    <t>Meteorology</t>
  </si>
  <si>
    <t>Seismology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</si>
  <si>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</si>
  <si>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</si>
  <si>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Table 5.7: CIVIL SERVANTS CLASSIFIED BY OCCUPATION, NATIONALITY AND SEX, 2015</t>
  </si>
  <si>
    <t>ތާވަލު 7: އަދާކުރާ ވަޒީފާގެ ގޮތުން ދިވެހިންނާއި އަދި ބިދޭސީ ސިވިލް ސަރވަންޓުން ބެހިފައިވާ ގޮތް އަދި ޖިންސް،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</si>
</sst>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5" formatCode="0.0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31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11" fillId="2" borderId="0" xfId="0" applyFont="1" applyFill="1" applyBorder="1" applyAlignment="1">
      <alignment horizontal="right" vertical="center" readingOrder="2"/>
    </xf>
    <xf numFmtId="0" fontId="8" fillId="2" borderId="3" xfId="6" applyFont="1" applyFill="1" applyBorder="1"/>
    <xf numFmtId="3" fontId="0" fillId="2" borderId="0" xfId="0" applyNumberFormat="1" applyFill="1"/>
    <xf numFmtId="0" fontId="13" fillId="2" borderId="0" xfId="0" applyFont="1" applyFill="1"/>
    <xf numFmtId="0" fontId="0" fillId="2" borderId="2" xfId="0" applyFill="1" applyBorder="1"/>
    <xf numFmtId="164" fontId="7" fillId="2" borderId="2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64" fontId="7" fillId="2" borderId="1" xfId="1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2" fillId="2" borderId="0" xfId="0" applyFont="1" applyFill="1" applyBorder="1"/>
    <xf numFmtId="0" fontId="0" fillId="2" borderId="0" xfId="0" applyFill="1"/>
    <xf numFmtId="0" fontId="14" fillId="2" borderId="0" xfId="0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>
      <alignment horizontal="right" vertical="center"/>
    </xf>
    <xf numFmtId="3" fontId="0" fillId="2" borderId="2" xfId="0" applyNumberFormat="1" applyFill="1" applyBorder="1"/>
    <xf numFmtId="3" fontId="2" fillId="2" borderId="2" xfId="0" applyNumberFormat="1" applyFont="1" applyFill="1" applyBorder="1"/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'5.7'!$AH$46:$AH$47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'5.7'!$AI$46:$AI$47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spPr>
            <a:solidFill>
              <a:srgbClr val="1C706E"/>
            </a:solidFill>
          </c:spPr>
          <c:explosion val="3"/>
          <c:dPt>
            <c:idx val="0"/>
            <c:bubble3D val="0"/>
            <c:explosion val="13"/>
          </c:dPt>
          <c:dPt>
            <c:idx val="1"/>
            <c:bubble3D val="0"/>
            <c:explosion val="0"/>
            <c:spPr>
              <a:solidFill>
                <a:srgbClr val="33CCCC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'5.7'!$AH$46:$AH$47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'5.7'!$AJ$46:$AJ$47</c:f>
              <c:numCache>
                <c:formatCode>0.0</c:formatCode>
                <c:ptCount val="2"/>
                <c:pt idx="0">
                  <c:v>86.167800453514744</c:v>
                </c:pt>
                <c:pt idx="1">
                  <c:v>13.83219954648526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95"/>
        <c:holeSize val="1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41</xdr:row>
      <xdr:rowOff>74294</xdr:rowOff>
    </xdr:from>
    <xdr:to>
      <xdr:col>9</xdr:col>
      <xdr:colOff>533400</xdr:colOff>
      <xdr:row>57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1219200</xdr:colOff>
      <xdr:row>43</xdr:row>
      <xdr:rowOff>180974</xdr:rowOff>
    </xdr:from>
    <xdr:to>
      <xdr:col>9</xdr:col>
      <xdr:colOff>190500</xdr:colOff>
      <xdr:row>43</xdr:row>
      <xdr:rowOff>180974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219200" y="8591549"/>
          <a:ext cx="50768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5.6: Percentage of Local and Foreign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civil servants, 2015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K58"/>
  <sheetViews>
    <sheetView tabSelected="1" zoomScaleNormal="100" workbookViewId="0">
      <selection activeCell="A2" sqref="A2:L2"/>
    </sheetView>
  </sheetViews>
  <sheetFormatPr defaultRowHeight="15" x14ac:dyDescent="0.25"/>
  <cols>
    <col min="1" max="1" width="36.5703125" style="17" customWidth="1"/>
    <col min="2" max="2" width="10.28515625" style="17" customWidth="1"/>
    <col min="3" max="4" width="8.85546875" style="17"/>
    <col min="5" max="5" width="2" style="17" customWidth="1"/>
    <col min="6" max="8" width="8.85546875" style="17"/>
    <col min="9" max="9" width="1.7109375" style="17" customWidth="1"/>
    <col min="10" max="16384" width="9.140625" style="17"/>
  </cols>
  <sheetData>
    <row r="2" spans="1:31" ht="21" x14ac:dyDescent="0.55000000000000004">
      <c r="A2" s="26" t="s">
        <v>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31" x14ac:dyDescent="0.25">
      <c r="A3" s="25" t="s">
        <v>45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5" spans="1:31" x14ac:dyDescent="0.25">
      <c r="A5" s="28" t="s">
        <v>3</v>
      </c>
      <c r="B5" s="27" t="s">
        <v>0</v>
      </c>
      <c r="C5" s="27"/>
      <c r="D5" s="27"/>
      <c r="E5" s="14"/>
      <c r="F5" s="27" t="s">
        <v>10</v>
      </c>
      <c r="G5" s="27"/>
      <c r="H5" s="27"/>
      <c r="I5" s="14"/>
      <c r="J5" s="27" t="s">
        <v>6</v>
      </c>
      <c r="K5" s="27"/>
      <c r="L5" s="27"/>
    </row>
    <row r="6" spans="1:31" ht="18.75" x14ac:dyDescent="0.25">
      <c r="A6" s="29"/>
      <c r="B6" s="6" t="s">
        <v>9</v>
      </c>
      <c r="C6" s="6" t="s">
        <v>1</v>
      </c>
      <c r="D6" s="6" t="s">
        <v>2</v>
      </c>
      <c r="E6" s="6"/>
      <c r="F6" s="6" t="s">
        <v>9</v>
      </c>
      <c r="G6" s="6" t="s">
        <v>1</v>
      </c>
      <c r="H6" s="6" t="s">
        <v>2</v>
      </c>
      <c r="I6" s="6"/>
      <c r="J6" s="6" t="s">
        <v>9</v>
      </c>
      <c r="K6" s="6" t="s">
        <v>1</v>
      </c>
      <c r="L6" s="6" t="s">
        <v>2</v>
      </c>
    </row>
    <row r="7" spans="1:31" x14ac:dyDescent="0.25">
      <c r="A7" s="30"/>
      <c r="B7" s="11" t="s">
        <v>7</v>
      </c>
      <c r="C7" s="11" t="s">
        <v>4</v>
      </c>
      <c r="D7" s="11" t="s">
        <v>5</v>
      </c>
      <c r="E7" s="11"/>
      <c r="F7" s="11" t="s">
        <v>7</v>
      </c>
      <c r="G7" s="11" t="s">
        <v>4</v>
      </c>
      <c r="H7" s="11" t="s">
        <v>5</v>
      </c>
      <c r="I7" s="11"/>
      <c r="J7" s="11" t="s">
        <v>7</v>
      </c>
      <c r="K7" s="11" t="s">
        <v>4</v>
      </c>
      <c r="L7" s="11" t="s">
        <v>5</v>
      </c>
    </row>
    <row r="8" spans="1:31" ht="16.149999999999999" customHeight="1" x14ac:dyDescent="0.25">
      <c r="A8" s="24" t="s">
        <v>0</v>
      </c>
      <c r="B8" s="4">
        <v>24696</v>
      </c>
      <c r="C8" s="4">
        <v>11191</v>
      </c>
      <c r="D8" s="4">
        <v>13505</v>
      </c>
      <c r="E8" s="4"/>
      <c r="F8" s="4">
        <v>21280</v>
      </c>
      <c r="G8" s="4">
        <v>8923</v>
      </c>
      <c r="H8" s="4">
        <v>12357</v>
      </c>
      <c r="I8" s="4"/>
      <c r="J8" s="4">
        <v>3416</v>
      </c>
      <c r="K8" s="4">
        <v>2268</v>
      </c>
      <c r="L8" s="4">
        <v>1148</v>
      </c>
    </row>
    <row r="9" spans="1:31" ht="16.149999999999999" customHeight="1" x14ac:dyDescent="0.25">
      <c r="A9" s="17" t="s">
        <v>12</v>
      </c>
      <c r="B9" s="4">
        <v>649</v>
      </c>
      <c r="C9" s="4">
        <v>255</v>
      </c>
      <c r="D9" s="4">
        <v>394</v>
      </c>
      <c r="E9" s="4"/>
      <c r="F9" s="4">
        <v>648</v>
      </c>
      <c r="G9" s="8">
        <v>254</v>
      </c>
      <c r="H9" s="8">
        <v>394</v>
      </c>
      <c r="I9" s="8"/>
      <c r="J9" s="13">
        <v>1</v>
      </c>
      <c r="K9" s="8">
        <v>1</v>
      </c>
      <c r="L9" s="8">
        <v>0</v>
      </c>
    </row>
    <row r="10" spans="1:31" ht="16.149999999999999" customHeight="1" x14ac:dyDescent="0.25">
      <c r="A10" s="17" t="s">
        <v>13</v>
      </c>
      <c r="B10" s="4">
        <v>7062</v>
      </c>
      <c r="C10" s="4">
        <v>3038</v>
      </c>
      <c r="D10" s="4">
        <v>4024</v>
      </c>
      <c r="E10" s="4"/>
      <c r="F10" s="4">
        <v>6992</v>
      </c>
      <c r="G10" s="8">
        <v>2969</v>
      </c>
      <c r="H10" s="8">
        <v>4023</v>
      </c>
      <c r="I10" s="8"/>
      <c r="J10" s="13">
        <v>70</v>
      </c>
      <c r="K10" s="8">
        <v>69</v>
      </c>
      <c r="L10" s="8">
        <v>1</v>
      </c>
    </row>
    <row r="11" spans="1:31" ht="16.149999999999999" customHeight="1" x14ac:dyDescent="0.25">
      <c r="A11" s="17" t="s">
        <v>14</v>
      </c>
      <c r="B11" s="4">
        <v>30</v>
      </c>
      <c r="C11" s="4">
        <v>7</v>
      </c>
      <c r="D11" s="4">
        <v>23</v>
      </c>
      <c r="E11" s="4"/>
      <c r="F11" s="4">
        <v>30</v>
      </c>
      <c r="G11" s="8">
        <v>7</v>
      </c>
      <c r="H11" s="8">
        <v>23</v>
      </c>
      <c r="I11" s="8"/>
      <c r="J11" s="13">
        <v>0</v>
      </c>
      <c r="K11" s="8">
        <v>0</v>
      </c>
      <c r="L11" s="8">
        <v>0</v>
      </c>
    </row>
    <row r="12" spans="1:31" ht="16.149999999999999" customHeight="1" x14ac:dyDescent="0.25">
      <c r="A12" s="17" t="s">
        <v>15</v>
      </c>
      <c r="B12" s="4">
        <v>28</v>
      </c>
      <c r="C12" s="4">
        <v>27</v>
      </c>
      <c r="D12" s="4">
        <v>1</v>
      </c>
      <c r="E12" s="4"/>
      <c r="F12" s="4">
        <v>28</v>
      </c>
      <c r="G12" s="8">
        <v>27</v>
      </c>
      <c r="H12" s="8">
        <v>1</v>
      </c>
      <c r="I12" s="8"/>
      <c r="J12" s="13">
        <v>0</v>
      </c>
      <c r="K12" s="8">
        <v>0</v>
      </c>
      <c r="L12" s="8">
        <v>0</v>
      </c>
    </row>
    <row r="13" spans="1:31" ht="16.149999999999999" customHeight="1" x14ac:dyDescent="0.25">
      <c r="A13" s="17" t="s">
        <v>16</v>
      </c>
      <c r="B13" s="4">
        <v>476</v>
      </c>
      <c r="C13" s="4">
        <v>381</v>
      </c>
      <c r="D13" s="4">
        <v>95</v>
      </c>
      <c r="E13" s="4"/>
      <c r="F13" s="4">
        <v>476</v>
      </c>
      <c r="G13" s="8">
        <v>381</v>
      </c>
      <c r="H13" s="8">
        <v>95</v>
      </c>
      <c r="I13" s="8"/>
      <c r="J13" s="13">
        <v>0</v>
      </c>
      <c r="K13" s="8">
        <v>0</v>
      </c>
      <c r="L13" s="8">
        <v>0</v>
      </c>
      <c r="AE13" s="8"/>
    </row>
    <row r="14" spans="1:31" ht="16.149999999999999" customHeight="1" x14ac:dyDescent="0.25">
      <c r="A14" s="17" t="s">
        <v>17</v>
      </c>
      <c r="B14" s="4">
        <v>13</v>
      </c>
      <c r="C14" s="4">
        <v>4</v>
      </c>
      <c r="D14" s="4">
        <v>9</v>
      </c>
      <c r="E14" s="4"/>
      <c r="F14" s="4">
        <v>13</v>
      </c>
      <c r="G14" s="8">
        <v>4</v>
      </c>
      <c r="H14" s="8">
        <v>9</v>
      </c>
      <c r="I14" s="8"/>
      <c r="J14" s="13">
        <v>0</v>
      </c>
      <c r="K14" s="8">
        <v>0</v>
      </c>
      <c r="L14" s="8">
        <v>0</v>
      </c>
    </row>
    <row r="15" spans="1:31" ht="16.149999999999999" customHeight="1" x14ac:dyDescent="0.25">
      <c r="A15" s="17" t="s">
        <v>18</v>
      </c>
      <c r="B15" s="4">
        <v>3135</v>
      </c>
      <c r="C15" s="4">
        <v>1591</v>
      </c>
      <c r="D15" s="4">
        <v>1544</v>
      </c>
      <c r="E15" s="4"/>
      <c r="F15" s="4">
        <v>2805</v>
      </c>
      <c r="G15" s="8">
        <v>1268</v>
      </c>
      <c r="H15" s="8">
        <v>1537</v>
      </c>
      <c r="I15" s="8"/>
      <c r="J15" s="13">
        <v>330</v>
      </c>
      <c r="K15" s="8">
        <v>323</v>
      </c>
      <c r="L15" s="8">
        <v>7</v>
      </c>
    </row>
    <row r="16" spans="1:31" ht="16.149999999999999" customHeight="1" x14ac:dyDescent="0.25">
      <c r="A16" s="17" t="s">
        <v>19</v>
      </c>
      <c r="B16" s="4">
        <v>228</v>
      </c>
      <c r="C16" s="4">
        <v>145</v>
      </c>
      <c r="D16" s="4">
        <v>83</v>
      </c>
      <c r="E16" s="4"/>
      <c r="F16" s="4">
        <v>228</v>
      </c>
      <c r="G16" s="8">
        <v>145</v>
      </c>
      <c r="H16" s="8">
        <v>83</v>
      </c>
      <c r="I16" s="8"/>
      <c r="J16" s="13">
        <v>0</v>
      </c>
      <c r="K16" s="8">
        <v>0</v>
      </c>
      <c r="L16" s="8">
        <v>0</v>
      </c>
    </row>
    <row r="17" spans="1:12" ht="16.149999999999999" customHeight="1" x14ac:dyDescent="0.25">
      <c r="A17" s="17" t="s">
        <v>39</v>
      </c>
      <c r="B17" s="4">
        <v>1</v>
      </c>
      <c r="C17" s="4">
        <v>1</v>
      </c>
      <c r="D17" s="4">
        <v>0</v>
      </c>
      <c r="E17" s="4"/>
      <c r="F17" s="4">
        <v>1</v>
      </c>
      <c r="G17" s="8">
        <v>1</v>
      </c>
      <c r="H17" s="8"/>
      <c r="I17" s="8"/>
      <c r="J17" s="13">
        <v>0</v>
      </c>
      <c r="K17" s="8">
        <v>0</v>
      </c>
      <c r="L17" s="8">
        <v>0</v>
      </c>
    </row>
    <row r="18" spans="1:12" ht="16.149999999999999" customHeight="1" x14ac:dyDescent="0.25">
      <c r="A18" s="17" t="s">
        <v>20</v>
      </c>
      <c r="B18" s="4">
        <v>6</v>
      </c>
      <c r="C18" s="4">
        <v>1</v>
      </c>
      <c r="D18" s="4">
        <v>5</v>
      </c>
      <c r="E18" s="4"/>
      <c r="F18" s="4">
        <v>6</v>
      </c>
      <c r="G18" s="8">
        <v>1</v>
      </c>
      <c r="H18" s="8">
        <v>5</v>
      </c>
      <c r="I18" s="8"/>
      <c r="J18" s="13">
        <v>0</v>
      </c>
      <c r="K18" s="8">
        <v>0</v>
      </c>
      <c r="L18" s="8">
        <v>0</v>
      </c>
    </row>
    <row r="19" spans="1:12" ht="16.149999999999999" customHeight="1" x14ac:dyDescent="0.25">
      <c r="A19" s="17" t="s">
        <v>21</v>
      </c>
      <c r="B19" s="4">
        <v>353</v>
      </c>
      <c r="C19" s="4">
        <v>259</v>
      </c>
      <c r="D19" s="4">
        <v>94</v>
      </c>
      <c r="E19" s="4"/>
      <c r="F19" s="4">
        <v>145</v>
      </c>
      <c r="G19" s="8">
        <v>74</v>
      </c>
      <c r="H19" s="8">
        <v>71</v>
      </c>
      <c r="I19" s="8"/>
      <c r="J19" s="13">
        <v>208</v>
      </c>
      <c r="K19" s="8">
        <v>185</v>
      </c>
      <c r="L19" s="8">
        <v>23</v>
      </c>
    </row>
    <row r="20" spans="1:12" ht="16.149999999999999" customHeight="1" x14ac:dyDescent="0.25">
      <c r="A20" s="17" t="s">
        <v>22</v>
      </c>
      <c r="B20" s="4">
        <v>343</v>
      </c>
      <c r="C20" s="4">
        <v>228</v>
      </c>
      <c r="D20" s="4">
        <v>115</v>
      </c>
      <c r="E20" s="4"/>
      <c r="F20" s="4">
        <v>323</v>
      </c>
      <c r="G20" s="8">
        <v>209</v>
      </c>
      <c r="H20" s="8">
        <v>114</v>
      </c>
      <c r="I20" s="8"/>
      <c r="J20" s="13">
        <v>20</v>
      </c>
      <c r="K20" s="8">
        <v>19</v>
      </c>
      <c r="L20" s="8">
        <v>1</v>
      </c>
    </row>
    <row r="21" spans="1:12" ht="16.149999999999999" customHeight="1" x14ac:dyDescent="0.25">
      <c r="A21" s="17" t="s">
        <v>23</v>
      </c>
      <c r="B21" s="4">
        <v>72</v>
      </c>
      <c r="C21" s="4">
        <v>55</v>
      </c>
      <c r="D21" s="4">
        <v>17</v>
      </c>
      <c r="E21" s="4"/>
      <c r="F21" s="4">
        <v>71</v>
      </c>
      <c r="G21" s="8">
        <v>54</v>
      </c>
      <c r="H21" s="8">
        <v>17</v>
      </c>
      <c r="I21" s="8"/>
      <c r="J21" s="13">
        <v>1</v>
      </c>
      <c r="K21" s="8">
        <v>1</v>
      </c>
      <c r="L21" s="8">
        <v>0</v>
      </c>
    </row>
    <row r="22" spans="1:12" ht="16.149999999999999" customHeight="1" x14ac:dyDescent="0.25">
      <c r="A22" s="17" t="s">
        <v>24</v>
      </c>
      <c r="B22" s="4">
        <v>261</v>
      </c>
      <c r="C22" s="4">
        <v>165</v>
      </c>
      <c r="D22" s="4">
        <v>96</v>
      </c>
      <c r="E22" s="4"/>
      <c r="F22" s="4">
        <v>261</v>
      </c>
      <c r="G22" s="8">
        <v>165</v>
      </c>
      <c r="H22" s="8">
        <v>96</v>
      </c>
      <c r="I22" s="8"/>
      <c r="J22" s="13">
        <v>0</v>
      </c>
      <c r="K22" s="8">
        <v>0</v>
      </c>
      <c r="L22" s="8">
        <v>0</v>
      </c>
    </row>
    <row r="23" spans="1:12" ht="16.149999999999999" customHeight="1" x14ac:dyDescent="0.25">
      <c r="A23" s="17" t="s">
        <v>25</v>
      </c>
      <c r="B23" s="4">
        <v>273</v>
      </c>
      <c r="C23" s="4">
        <v>197</v>
      </c>
      <c r="D23" s="4">
        <v>76</v>
      </c>
      <c r="E23" s="4"/>
      <c r="F23" s="4">
        <v>273</v>
      </c>
      <c r="G23" s="8">
        <v>197</v>
      </c>
      <c r="H23" s="8">
        <v>76</v>
      </c>
      <c r="I23" s="8"/>
      <c r="J23" s="13">
        <v>0</v>
      </c>
      <c r="K23" s="8">
        <v>0</v>
      </c>
      <c r="L23" s="8">
        <v>0</v>
      </c>
    </row>
    <row r="24" spans="1:12" ht="16.149999999999999" customHeight="1" x14ac:dyDescent="0.25">
      <c r="A24" s="17" t="s">
        <v>26</v>
      </c>
      <c r="B24" s="4">
        <v>380</v>
      </c>
      <c r="C24" s="4">
        <v>114</v>
      </c>
      <c r="D24" s="4">
        <v>266</v>
      </c>
      <c r="E24" s="4"/>
      <c r="F24" s="4">
        <v>274</v>
      </c>
      <c r="G24" s="8">
        <v>39</v>
      </c>
      <c r="H24" s="8">
        <v>235</v>
      </c>
      <c r="I24" s="8"/>
      <c r="J24" s="13">
        <v>106</v>
      </c>
      <c r="K24" s="8">
        <v>75</v>
      </c>
      <c r="L24" s="8">
        <v>31</v>
      </c>
    </row>
    <row r="25" spans="1:12" ht="16.149999999999999" customHeight="1" x14ac:dyDescent="0.25">
      <c r="A25" s="17" t="s">
        <v>27</v>
      </c>
      <c r="B25" s="4">
        <v>24</v>
      </c>
      <c r="C25" s="4">
        <v>23</v>
      </c>
      <c r="D25" s="4">
        <v>1</v>
      </c>
      <c r="E25" s="4"/>
      <c r="F25" s="4">
        <v>24</v>
      </c>
      <c r="G25" s="8">
        <v>23</v>
      </c>
      <c r="H25" s="8">
        <v>1</v>
      </c>
      <c r="I25" s="8"/>
      <c r="J25" s="13">
        <v>0</v>
      </c>
      <c r="K25" s="8">
        <v>0</v>
      </c>
      <c r="L25" s="8">
        <v>0</v>
      </c>
    </row>
    <row r="26" spans="1:12" ht="16.149999999999999" customHeight="1" x14ac:dyDescent="0.25">
      <c r="A26" s="17" t="s">
        <v>28</v>
      </c>
      <c r="B26" s="4">
        <v>28</v>
      </c>
      <c r="C26" s="4">
        <v>16</v>
      </c>
      <c r="D26" s="4">
        <v>12</v>
      </c>
      <c r="E26" s="4"/>
      <c r="F26" s="4">
        <v>28</v>
      </c>
      <c r="G26" s="8">
        <v>16</v>
      </c>
      <c r="H26" s="8">
        <v>12</v>
      </c>
      <c r="I26" s="8"/>
      <c r="J26" s="13">
        <v>0</v>
      </c>
      <c r="K26" s="8">
        <v>0</v>
      </c>
      <c r="L26" s="8">
        <v>0</v>
      </c>
    </row>
    <row r="27" spans="1:12" ht="16.149999999999999" customHeight="1" x14ac:dyDescent="0.25">
      <c r="A27" s="17" t="s">
        <v>40</v>
      </c>
      <c r="B27" s="4">
        <v>6</v>
      </c>
      <c r="C27" s="4">
        <v>6</v>
      </c>
      <c r="D27" s="4">
        <v>0</v>
      </c>
      <c r="E27" s="4"/>
      <c r="F27" s="4">
        <v>6</v>
      </c>
      <c r="G27" s="8">
        <v>6</v>
      </c>
      <c r="H27" s="8">
        <v>0</v>
      </c>
      <c r="I27" s="8"/>
      <c r="J27" s="13">
        <v>0</v>
      </c>
      <c r="K27" s="8">
        <v>0</v>
      </c>
      <c r="L27" s="8">
        <v>0</v>
      </c>
    </row>
    <row r="28" spans="1:12" ht="16.149999999999999" customHeight="1" x14ac:dyDescent="0.25">
      <c r="A28" s="17" t="s">
        <v>41</v>
      </c>
      <c r="B28" s="4">
        <v>73</v>
      </c>
      <c r="C28" s="4">
        <v>52</v>
      </c>
      <c r="D28" s="4">
        <v>21</v>
      </c>
      <c r="E28" s="4"/>
      <c r="F28" s="4">
        <v>73</v>
      </c>
      <c r="G28" s="8">
        <v>52</v>
      </c>
      <c r="H28" s="8">
        <v>21</v>
      </c>
      <c r="I28" s="8"/>
      <c r="J28" s="13">
        <v>0</v>
      </c>
      <c r="K28" s="8">
        <v>0</v>
      </c>
      <c r="L28" s="8">
        <v>0</v>
      </c>
    </row>
    <row r="29" spans="1:12" ht="16.149999999999999" customHeight="1" x14ac:dyDescent="0.25">
      <c r="A29" s="17" t="s">
        <v>29</v>
      </c>
      <c r="B29" s="4">
        <v>52</v>
      </c>
      <c r="C29" s="4">
        <v>35</v>
      </c>
      <c r="D29" s="4">
        <v>17</v>
      </c>
      <c r="E29" s="4"/>
      <c r="F29" s="4">
        <v>52</v>
      </c>
      <c r="G29" s="8">
        <v>35</v>
      </c>
      <c r="H29" s="8">
        <v>17</v>
      </c>
      <c r="I29" s="8"/>
      <c r="J29" s="13">
        <v>0</v>
      </c>
      <c r="K29" s="8">
        <v>0</v>
      </c>
      <c r="L29" s="8">
        <v>0</v>
      </c>
    </row>
    <row r="30" spans="1:12" ht="16.149999999999999" customHeight="1" x14ac:dyDescent="0.25">
      <c r="A30" s="17" t="s">
        <v>30</v>
      </c>
      <c r="B30" s="4">
        <v>1975</v>
      </c>
      <c r="C30" s="4">
        <v>139</v>
      </c>
      <c r="D30" s="4">
        <v>1836</v>
      </c>
      <c r="E30" s="4"/>
      <c r="F30" s="4">
        <v>1251</v>
      </c>
      <c r="G30" s="8">
        <v>8</v>
      </c>
      <c r="H30" s="8">
        <v>1243</v>
      </c>
      <c r="I30" s="8"/>
      <c r="J30" s="13">
        <v>724</v>
      </c>
      <c r="K30" s="8">
        <v>131</v>
      </c>
      <c r="L30" s="8">
        <v>593</v>
      </c>
    </row>
    <row r="31" spans="1:12" ht="16.149999999999999" customHeight="1" x14ac:dyDescent="0.25">
      <c r="A31" s="17" t="s">
        <v>31</v>
      </c>
      <c r="B31" s="4">
        <v>549</v>
      </c>
      <c r="C31" s="4">
        <v>172</v>
      </c>
      <c r="D31" s="4">
        <v>377</v>
      </c>
      <c r="E31" s="4"/>
      <c r="F31" s="4">
        <v>497</v>
      </c>
      <c r="G31" s="8">
        <v>126</v>
      </c>
      <c r="H31" s="8">
        <v>371</v>
      </c>
      <c r="I31" s="8"/>
      <c r="J31" s="13">
        <v>52</v>
      </c>
      <c r="K31" s="8">
        <v>46</v>
      </c>
      <c r="L31" s="8">
        <v>6</v>
      </c>
    </row>
    <row r="32" spans="1:12" ht="16.149999999999999" customHeight="1" x14ac:dyDescent="0.25">
      <c r="A32" s="17" t="s">
        <v>32</v>
      </c>
      <c r="B32" s="4">
        <v>12</v>
      </c>
      <c r="C32" s="4">
        <v>9</v>
      </c>
      <c r="D32" s="4">
        <v>3</v>
      </c>
      <c r="E32" s="4"/>
      <c r="F32" s="4">
        <v>12</v>
      </c>
      <c r="G32" s="8">
        <v>9</v>
      </c>
      <c r="H32" s="8">
        <v>3</v>
      </c>
      <c r="I32" s="8"/>
      <c r="J32" s="13">
        <v>0</v>
      </c>
      <c r="K32" s="8">
        <v>0</v>
      </c>
      <c r="L32" s="8">
        <v>0</v>
      </c>
    </row>
    <row r="33" spans="1:37" ht="16.149999999999999" customHeight="1" x14ac:dyDescent="0.25">
      <c r="A33" s="17" t="s">
        <v>33</v>
      </c>
      <c r="B33" s="4">
        <v>422</v>
      </c>
      <c r="C33" s="4">
        <v>394</v>
      </c>
      <c r="D33" s="4">
        <v>28</v>
      </c>
      <c r="E33" s="4"/>
      <c r="F33" s="4">
        <v>422</v>
      </c>
      <c r="G33" s="8">
        <v>394</v>
      </c>
      <c r="H33" s="8">
        <v>28</v>
      </c>
      <c r="I33" s="8"/>
      <c r="J33" s="13">
        <v>0</v>
      </c>
      <c r="K33" s="8">
        <v>0</v>
      </c>
      <c r="L33" s="8">
        <v>0</v>
      </c>
    </row>
    <row r="34" spans="1:37" s="2" customFormat="1" ht="16.149999999999999" customHeight="1" x14ac:dyDescent="0.25">
      <c r="A34" s="17" t="s">
        <v>34</v>
      </c>
      <c r="B34" s="4">
        <v>585</v>
      </c>
      <c r="C34" s="4">
        <v>188</v>
      </c>
      <c r="D34" s="4">
        <v>397</v>
      </c>
      <c r="E34" s="4"/>
      <c r="F34" s="4">
        <v>585</v>
      </c>
      <c r="G34" s="8">
        <v>188</v>
      </c>
      <c r="H34" s="8">
        <v>397</v>
      </c>
      <c r="I34" s="8"/>
      <c r="J34" s="13">
        <v>0</v>
      </c>
      <c r="K34" s="8">
        <v>0</v>
      </c>
      <c r="L34" s="8">
        <v>0</v>
      </c>
      <c r="M34" s="17"/>
      <c r="N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x14ac:dyDescent="0.25">
      <c r="A35" s="17" t="s">
        <v>42</v>
      </c>
      <c r="B35" s="4">
        <v>1</v>
      </c>
      <c r="C35" s="4">
        <v>1</v>
      </c>
      <c r="D35" s="4">
        <v>0</v>
      </c>
      <c r="E35" s="4"/>
      <c r="F35" s="4">
        <v>1</v>
      </c>
      <c r="G35" s="8">
        <v>1</v>
      </c>
      <c r="H35" s="8">
        <v>0</v>
      </c>
      <c r="I35" s="8"/>
      <c r="J35" s="13">
        <v>0</v>
      </c>
      <c r="K35" s="8">
        <v>0</v>
      </c>
      <c r="L35" s="8">
        <v>0</v>
      </c>
    </row>
    <row r="36" spans="1:37" x14ac:dyDescent="0.25">
      <c r="A36" s="17" t="s">
        <v>35</v>
      </c>
      <c r="B36" s="4">
        <v>881</v>
      </c>
      <c r="C36" s="4">
        <v>524</v>
      </c>
      <c r="D36" s="4">
        <v>357</v>
      </c>
      <c r="E36" s="4"/>
      <c r="F36" s="4">
        <v>880</v>
      </c>
      <c r="G36" s="8">
        <v>523</v>
      </c>
      <c r="H36" s="8">
        <v>357</v>
      </c>
      <c r="I36" s="8"/>
      <c r="J36" s="13">
        <v>1</v>
      </c>
      <c r="K36" s="8">
        <v>1</v>
      </c>
      <c r="L36" s="8">
        <v>0</v>
      </c>
    </row>
    <row r="37" spans="1:37" x14ac:dyDescent="0.25">
      <c r="A37" s="17" t="s">
        <v>36</v>
      </c>
      <c r="B37" s="4">
        <v>6206</v>
      </c>
      <c r="C37" s="4">
        <v>2593</v>
      </c>
      <c r="D37" s="4">
        <v>3613</v>
      </c>
      <c r="E37" s="4"/>
      <c r="F37" s="4">
        <v>4332</v>
      </c>
      <c r="G37" s="8">
        <v>1204</v>
      </c>
      <c r="H37" s="8">
        <v>3128</v>
      </c>
      <c r="I37" s="8"/>
      <c r="J37" s="13">
        <v>1874</v>
      </c>
      <c r="K37" s="8">
        <v>1389</v>
      </c>
      <c r="L37" s="8">
        <v>485</v>
      </c>
    </row>
    <row r="38" spans="1:37" x14ac:dyDescent="0.25">
      <c r="A38" s="10" t="s">
        <v>37</v>
      </c>
      <c r="B38" s="12">
        <v>572</v>
      </c>
      <c r="C38" s="12">
        <v>571</v>
      </c>
      <c r="D38" s="12">
        <v>1</v>
      </c>
      <c r="E38" s="12"/>
      <c r="F38" s="12">
        <v>543</v>
      </c>
      <c r="G38" s="20">
        <v>543</v>
      </c>
      <c r="H38" s="20">
        <v>0</v>
      </c>
      <c r="I38" s="20"/>
      <c r="J38" s="21">
        <v>29</v>
      </c>
      <c r="K38" s="20">
        <v>28</v>
      </c>
      <c r="L38" s="20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8.75" x14ac:dyDescent="0.25">
      <c r="A39" s="18" t="s">
        <v>44</v>
      </c>
      <c r="B39" s="3"/>
      <c r="C39" s="4"/>
      <c r="D39" s="3"/>
      <c r="E39" s="3"/>
      <c r="F39" s="3"/>
      <c r="G39" s="4"/>
      <c r="J39" s="16"/>
      <c r="K39" s="2"/>
      <c r="L39" s="19" t="s">
        <v>43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7.25" x14ac:dyDescent="0.25">
      <c r="A40" s="7" t="s">
        <v>8</v>
      </c>
      <c r="B40" s="5"/>
      <c r="F40" s="5"/>
      <c r="J40" s="5"/>
      <c r="L40" s="1" t="s">
        <v>11</v>
      </c>
    </row>
    <row r="42" spans="1:37" x14ac:dyDescent="0.25">
      <c r="AJ42" s="15"/>
      <c r="AK42" s="8"/>
    </row>
    <row r="43" spans="1:37" x14ac:dyDescent="0.25">
      <c r="AJ43" s="15"/>
      <c r="AK43" s="8"/>
    </row>
    <row r="44" spans="1:37" x14ac:dyDescent="0.25">
      <c r="AK44" s="8">
        <f>SUM(AK46:AK47)</f>
        <v>24696</v>
      </c>
    </row>
    <row r="46" spans="1:37" x14ac:dyDescent="0.25">
      <c r="AH46" s="17" t="s">
        <v>38</v>
      </c>
      <c r="AJ46" s="15">
        <f>AK46/AK44*100</f>
        <v>86.167800453514744</v>
      </c>
      <c r="AK46" s="8">
        <f>F8</f>
        <v>21280</v>
      </c>
    </row>
    <row r="47" spans="1:37" x14ac:dyDescent="0.25">
      <c r="AH47" s="17" t="s">
        <v>6</v>
      </c>
      <c r="AJ47" s="15">
        <f>AK47/AK44*100</f>
        <v>13.83219954648526</v>
      </c>
      <c r="AK47" s="8">
        <v>3416</v>
      </c>
    </row>
    <row r="57" spans="1:30" ht="21" x14ac:dyDescent="0.5500000000000000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30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2" bottom="0.17" header="0.17" footer="0.17"/>
  <pageSetup paperSize="9" scale="90" orientation="landscape" r:id="rId1"/>
  <rowBreaks count="1" manualBreakCount="1">
    <brk id="40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2016-07-20T08:17:09Z</cp:lastPrinted>
  <dcterms:created xsi:type="dcterms:W3CDTF">2013-03-26T05:45:33Z</dcterms:created>
  <dcterms:modified xsi:type="dcterms:W3CDTF">2016-07-20T08:17:17Z</dcterms:modified>
</cp:coreProperties>
</file>