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" sheetId="2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'8.1'!$A$1:$L$54</definedName>
  </definedNames>
  <calcPr calcId="144525"/>
</workbook>
</file>

<file path=xl/calcChain.xml><?xml version="1.0" encoding="utf-8"?>
<calcChain xmlns="http://schemas.openxmlformats.org/spreadsheetml/2006/main">
  <c r="AL22" i="2" l="1"/>
  <c r="AG5" i="2"/>
  <c r="J5" i="2" l="1"/>
  <c r="I7" i="2"/>
  <c r="I6" i="2"/>
  <c r="I5" i="2"/>
  <c r="J6" i="2" l="1"/>
  <c r="I16" i="2"/>
  <c r="I11" i="2"/>
  <c r="I8" i="2"/>
  <c r="AG6" i="2" l="1"/>
  <c r="AG7" i="2"/>
  <c r="I9" i="2"/>
  <c r="AG8" i="2" s="1"/>
  <c r="I10" i="2"/>
  <c r="AG9" i="2" s="1"/>
  <c r="AG10" i="2"/>
  <c r="I12" i="2"/>
  <c r="AG11" i="2" s="1"/>
  <c r="I13" i="2"/>
  <c r="AG12" i="2" s="1"/>
  <c r="I14" i="2"/>
  <c r="AG13" i="2" s="1"/>
  <c r="I15" i="2"/>
  <c r="AG14" i="2" s="1"/>
  <c r="AG15" i="2"/>
  <c r="I17" i="2"/>
  <c r="AG16" i="2" s="1"/>
  <c r="AL23" i="2" l="1"/>
  <c r="AL24" i="2"/>
  <c r="AL25" i="2"/>
  <c r="AL26" i="2"/>
  <c r="J17" i="2" l="1"/>
  <c r="J16" i="2"/>
  <c r="J15" i="2"/>
  <c r="J14" i="2"/>
  <c r="J13" i="2"/>
  <c r="J12" i="2"/>
  <c r="J11" i="2"/>
  <c r="J10" i="2"/>
  <c r="J9" i="2"/>
  <c r="J8" i="2"/>
  <c r="J7" i="2"/>
  <c r="G5" i="2" l="1"/>
  <c r="F5" i="2" l="1"/>
  <c r="E5" i="2"/>
  <c r="D5" i="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<sst xmlns="http://schemas.openxmlformats.org/spreadsheetml/2006/main" count="210" uniqueCount="98">
  <si>
    <t>Total</t>
  </si>
  <si>
    <t>wlcmuj</t>
  </si>
  <si>
    <t>Source: Department of Judicial Administration</t>
  </si>
  <si>
    <t>ހުށަހެޅިފައިވާ މައްސަލަތައް</t>
  </si>
  <si>
    <t>Theft</t>
  </si>
  <si>
    <t>ވައްކަން</t>
  </si>
  <si>
    <t>ޓްރެފިކް</t>
  </si>
  <si>
    <t>Drugs</t>
  </si>
  <si>
    <t>މަސްތުވާތަކެތި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</si>
  <si>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</si>
  <si>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</si>
  <si>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</si>
  <si>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</si>
  <si>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</si>
  <si>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</si>
  <si>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</si>
  <si>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</si>
  <si>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</si>
  <si>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</si>
  <si>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</si>
  <si>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</si>
  <si>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</si>
  <si>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Others</t>
  </si>
  <si>
    <t>އެހެނިހެން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</si>
  <si>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</si>
  <si>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</si>
  <si>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</si>
  <si>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</si>
  <si>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</si>
  <si>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</si>
  <si>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</si>
  <si>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</si>
  <si>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</si>
  <si>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</si>
  <si>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</si>
  <si>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</si>
  <si>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</si>
  <si>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</si>
  <si>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</si>
  <si>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</si>
  <si>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</si>
  <si>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</si>
  <si>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</si>
  <si>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</si>
  <si>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</si>
  <si>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</si>
  <si>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</si>
  <si>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</si>
  <si>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</si>
  <si>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</si>
  <si>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</si>
  <si>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</si>
  <si>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</si>
  <si>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</si>
  <si>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</si>
  <si>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</si>
  <si>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</si>
  <si>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</si>
  <si>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</si>
  <si>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</si>
  <si>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</si>
  <si>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</si>
  <si>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</si>
  <si>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</si>
  <si>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</si>
  <si>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</si>
  <si>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Lost Items</t>
  </si>
  <si>
    <t>Logged Cases</t>
  </si>
  <si>
    <t>ބެހިފައިވާ ގޮތް އިންސައްތައިން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</si>
  <si>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</si>
  <si>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</si>
  <si>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</si>
  <si>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</si>
  <si>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</si>
  <si>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</si>
  <si>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</si>
  <si>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</si>
  <si>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</si>
  <si>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</si>
  <si>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</si>
  <si>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</si>
  <si>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</si>
  <si>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</si>
  <si>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</si>
  <si>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</si>
  <si>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</si>
  <si>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</si>
  <si>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</si>
  <si>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</si>
  <si>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</si>
  <si>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</si>
  <si>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Counterfiet and forgery</t>
  </si>
  <si>
    <t>ވަގުފައިސާ އަދި ފޯރޖްކުރުން</t>
  </si>
  <si>
    <t>% share 2015</t>
  </si>
  <si>
    <t>2014އާއި އަޅާބަލާއިރު 2015ގައި އިތުރުވި މިންވަރު (%)</t>
  </si>
  <si>
    <t>% change over 2014</t>
  </si>
  <si>
    <t>ތާވަލު 8.1: ހުށަހެޅިފައިވާ މައްސަލަތައް، 2011- 2015</t>
  </si>
  <si>
    <t>Table 8.1: LOGGED CASES FROM THE YEAR, 2011 - 2015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</si>
</sst>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7" fillId="0" borderId="0"/>
    <xf numFmtId="0" fontId="28" fillId="0" borderId="9" applyNumberFormat="0" applyFill="0" applyAlignment="0" applyProtection="0"/>
    <xf numFmtId="0" fontId="18" fillId="0" borderId="0"/>
    <xf numFmtId="166" fontId="29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13" applyNumberFormat="0" applyAlignment="0" applyProtection="0"/>
    <xf numFmtId="0" fontId="40" fillId="8" borderId="14" applyNumberFormat="0" applyAlignment="0" applyProtection="0"/>
    <xf numFmtId="0" fontId="41" fillId="8" borderId="13" applyNumberFormat="0" applyAlignment="0" applyProtection="0"/>
    <xf numFmtId="0" fontId="42" fillId="0" borderId="15" applyNumberFormat="0" applyFill="0" applyAlignment="0" applyProtection="0"/>
    <xf numFmtId="0" fontId="43" fillId="9" borderId="16" applyNumberFormat="0" applyAlignment="0" applyProtection="0"/>
    <xf numFmtId="0" fontId="30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4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5" fillId="34" borderId="0" applyNumberFormat="0" applyBorder="0" applyAlignment="0" applyProtection="0"/>
    <xf numFmtId="0" fontId="1" fillId="0" borderId="0"/>
    <xf numFmtId="0" fontId="18" fillId="0" borderId="0"/>
  </cellStyleXfs>
  <cellXfs count="96">
    <xf numFmtId="0" fontId="0" fillId="0" borderId="0" xfId="0"/>
    <xf numFmtId="164" fontId="0" fillId="2" borderId="0" xfId="0" applyNumberFormat="1" applyFill="1"/>
    <xf numFmtId="164" fontId="13" fillId="2" borderId="0" xfId="0" applyNumberFormat="1" applyFont="1" applyFill="1"/>
    <xf numFmtId="166" fontId="11" fillId="2" borderId="0" xfId="1" applyNumberFormat="1" applyFont="1" applyFill="1" applyBorder="1" applyAlignment="1">
      <alignment horizontal="center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6" fontId="15" fillId="2" borderId="6" xfId="1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4" fillId="2" borderId="7" xfId="0" applyNumberFormat="1" applyFont="1" applyFill="1" applyBorder="1" applyAlignment="1" applyProtection="1">
      <alignment horizontal="right" vertical="center"/>
    </xf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14" fillId="2" borderId="6" xfId="0" applyNumberFormat="1" applyFont="1" applyFill="1" applyBorder="1" applyAlignment="1" applyProtection="1">
      <alignment horizontal="right" vertical="center"/>
    </xf>
    <xf numFmtId="166" fontId="19" fillId="2" borderId="0" xfId="1" applyNumberFormat="1" applyFont="1" applyFill="1" applyBorder="1" applyAlignment="1">
      <alignment horizontal="center"/>
    </xf>
    <xf numFmtId="166" fontId="26" fillId="2" borderId="0" xfId="1" applyNumberFormat="1" applyFont="1" applyFill="1" applyBorder="1" applyAlignment="1">
      <alignment horizontal="center"/>
    </xf>
    <xf numFmtId="166" fontId="26" fillId="2" borderId="6" xfId="1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164" fontId="13" fillId="2" borderId="0" xfId="0" applyNumberFormat="1" applyFont="1" applyFill="1" applyAlignment="1">
      <alignment horizontal="center" vertical="top"/>
    </xf>
    <xf numFmtId="164" fontId="10" fillId="2" borderId="0" xfId="0" applyNumberFormat="1" applyFont="1" applyFill="1" applyBorder="1" applyAlignment="1">
      <alignment vertical="center"/>
    </xf>
    <xf numFmtId="164" fontId="25" fillId="2" borderId="0" xfId="0" applyNumberFormat="1" applyFont="1" applyFill="1" applyBorder="1" applyAlignment="1">
      <alignment vertical="center"/>
    </xf>
    <xf numFmtId="164" fontId="25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0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10" fillId="2" borderId="0" xfId="1" applyNumberFormat="1" applyFont="1" applyFill="1" applyBorder="1" applyAlignment="1">
      <alignment horizontal="right" vertical="center"/>
    </xf>
    <xf numFmtId="0" fontId="0" fillId="2" borderId="0" xfId="0" applyFill="1"/>
    <xf numFmtId="3" fontId="5" fillId="2" borderId="6" xfId="1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>
      <alignment horizontal="right"/>
    </xf>
    <xf numFmtId="168" fontId="0" fillId="2" borderId="0" xfId="0" applyNumberFormat="1" applyFill="1"/>
    <xf numFmtId="3" fontId="3" fillId="2" borderId="0" xfId="1" applyNumberFormat="1" applyFont="1" applyFill="1" applyBorder="1" applyAlignment="1">
      <alignment horizontal="right" vertical="center" indent="3"/>
    </xf>
    <xf numFmtId="165" fontId="3" fillId="2" borderId="0" xfId="1" applyNumberFormat="1" applyFont="1" applyFill="1" applyBorder="1" applyAlignment="1" applyProtection="1">
      <alignment horizontal="right" vertical="center" indent="3"/>
      <protection locked="0"/>
    </xf>
    <xf numFmtId="168" fontId="5" fillId="2" borderId="0" xfId="1" applyNumberFormat="1" applyFont="1" applyFill="1" applyBorder="1" applyAlignment="1">
      <alignment horizontal="right" vertical="center" indent="3"/>
    </xf>
    <xf numFmtId="165" fontId="5" fillId="2" borderId="0" xfId="1" applyNumberFormat="1" applyFont="1" applyFill="1" applyBorder="1" applyAlignment="1" applyProtection="1">
      <alignment horizontal="right" vertical="center" indent="3"/>
      <protection locked="0"/>
    </xf>
    <xf numFmtId="168" fontId="5" fillId="2" borderId="6" xfId="1" applyNumberFormat="1" applyFont="1" applyFill="1" applyBorder="1" applyAlignment="1">
      <alignment horizontal="right" vertical="center" indent="3"/>
    </xf>
    <xf numFmtId="165" fontId="5" fillId="2" borderId="6" xfId="1" applyNumberFormat="1" applyFont="1" applyFill="1" applyBorder="1" applyAlignment="1" applyProtection="1">
      <alignment horizontal="right" vertical="center" indent="3"/>
      <protection locked="0"/>
    </xf>
    <xf numFmtId="164" fontId="31" fillId="2" borderId="6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8" fillId="2" borderId="0" xfId="0" applyNumberFormat="1" applyFont="1" applyFill="1" applyBorder="1" applyAlignment="1">
      <alignment horizontal="right"/>
    </xf>
    <xf numFmtId="165" fontId="5" fillId="2" borderId="0" xfId="1" applyNumberFormat="1" applyFont="1" applyFill="1" applyBorder="1" applyAlignment="1" applyProtection="1">
      <alignment vertical="center"/>
      <protection locked="0"/>
    </xf>
    <xf numFmtId="164" fontId="12" fillId="2" borderId="5" xfId="0" applyNumberFormat="1" applyFont="1" applyFill="1" applyBorder="1" applyAlignment="1">
      <alignment horizontal="center" vertical="center" wrapText="1"/>
    </xf>
    <xf numFmtId="164" fontId="0" fillId="2" borderId="0" xfId="0" applyNumberFormat="1" applyFill="1" applyBorder="1" applyAlignment="1">
      <alignment horizontal="center" vertical="top"/>
    </xf>
    <xf numFmtId="164" fontId="0" fillId="2" borderId="0" xfId="0" applyNumberFormat="1" applyFill="1"/>
    <xf numFmtId="3" fontId="25" fillId="2" borderId="0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Alignment="1">
      <alignment horizontal="right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21" fillId="2" borderId="5" xfId="0" applyNumberFormat="1" applyFont="1" applyFill="1" applyBorder="1" applyAlignment="1" applyProtection="1">
      <alignment horizontal="right" vertical="center" wrapText="1"/>
    </xf>
    <xf numFmtId="164" fontId="14" fillId="2" borderId="6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27" fillId="2" borderId="4" xfId="0" applyNumberFormat="1" applyFont="1" applyFill="1" applyBorder="1" applyAlignment="1">
      <alignment horizontal="center" vertical="top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8.1: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Percentage share of logged cases, 2015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386273164642661"/>
          <c:y val="2.156268696532772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306010969157692E-2"/>
          <c:y val="0.12729338777234725"/>
          <c:w val="0.8775961902970475"/>
          <c:h val="0.53682127762198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dLbls>
            <c:dLbl>
              <c:idx val="0"/>
              <c:layout>
                <c:manualLayout>
                  <c:x val="-1.3135457301751305E-7"/>
                  <c:y val="2.5793313641955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'8.1'!$AF$5:$AF$15</c:f>
              <c:strCache>
                <c:ptCount val="11"/>
                <c:pt idx="0">
                  <c:v>Theft</c:v>
                </c:pt>
                <c:pt idx="1">
                  <c:v>Drugs</c:v>
                </c:pt>
                <c:pt idx="2">
                  <c:v>Traffic accidents</c:v>
                </c:pt>
                <c:pt idx="3">
                  <c:v>Lost Items</c:v>
                </c:pt>
                <c:pt idx="4">
                  <c:v>Assault</c:v>
                </c:pt>
                <c:pt idx="5">
                  <c:v>Robbery</c:v>
                </c:pt>
                <c:pt idx="6">
                  <c:v>Vandalism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</c:strCache>
            </c:strRef>
          </c:cat>
          <c:val>
            <c:numRef>
              <c:f>'8.1'!$AG$5:$AG$15</c:f>
              <c:numCache>
                <c:formatCode>0.0</c:formatCode>
                <c:ptCount val="11"/>
                <c:pt idx="0">
                  <c:v>24.384281610951536</c:v>
                </c:pt>
                <c:pt idx="1">
                  <c:v>12.497708244209498</c:v>
                </c:pt>
                <c:pt idx="2">
                  <c:v>12.699382753773758</c:v>
                </c:pt>
                <c:pt idx="3">
                  <c:v>10.493185846116237</c:v>
                </c:pt>
                <c:pt idx="4">
                  <c:v>5.7141111043207236</c:v>
                </c:pt>
                <c:pt idx="5">
                  <c:v>3.2634602456762209</c:v>
                </c:pt>
                <c:pt idx="6">
                  <c:v>3.3245737334229664</c:v>
                </c:pt>
                <c:pt idx="7">
                  <c:v>3.2451261993521969</c:v>
                </c:pt>
                <c:pt idx="8">
                  <c:v>4.5285094420338563</c:v>
                </c:pt>
                <c:pt idx="9">
                  <c:v>2.0656358858400048</c:v>
                </c:pt>
                <c:pt idx="10">
                  <c:v>0.55613273849538591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92224"/>
        <c:axId val="125093760"/>
      </c:barChart>
      <c:catAx>
        <c:axId val="125092224"/>
        <c:scaling>
          <c:orientation val="minMax"/>
        </c:scaling>
        <c:delete val="0"/>
        <c:axPos val="b"/>
        <c:numFmt formatCode="General_)" sourceLinked="1"/>
        <c:majorTickMark val="cross"/>
        <c:minorTickMark val="none"/>
        <c:tickLblPos val="nextTo"/>
        <c:txPr>
          <a:bodyPr rot="-5400000" vert="horz"/>
          <a:lstStyle/>
          <a:p>
            <a:pPr>
              <a:defRPr sz="1000">
                <a:latin typeface="+mn-lt"/>
              </a:defRPr>
            </a:pPr>
            <a:endParaRPr lang="en-US"/>
          </a:p>
        </c:txPr>
        <c:crossAx val="125093760"/>
        <c:crosses val="autoZero"/>
        <c:auto val="1"/>
        <c:lblAlgn val="ctr"/>
        <c:lblOffset val="100"/>
        <c:noMultiLvlLbl val="0"/>
      </c:catAx>
      <c:valAx>
        <c:axId val="125093760"/>
        <c:scaling>
          <c:orientation val="minMax"/>
          <c:max val="35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2535035548488121E-2"/>
              <c:y val="0.2923221903059147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25092224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8396057340234"/>
          <c:y val="0.16095376214378115"/>
          <c:w val="0.85930146775088978"/>
          <c:h val="0.80969088140362955"/>
        </c:manualLayout>
      </c:layout>
      <c:lineChart>
        <c:grouping val="standard"/>
        <c:varyColors val="0"/>
        <c:ser>
          <c:idx val="0"/>
          <c:order val="0"/>
          <c:tx>
            <c:strRef>
              <c:f>'8.1'!$AF$22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cat>
            <c:numRef>
              <c:f>'8.1'!$AG$21:$AL$21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'8.1'!$AG$22:$AL$22</c:f>
              <c:numCache>
                <c:formatCode>#,##0.0</c:formatCode>
                <c:ptCount val="6"/>
                <c:pt idx="0">
                  <c:v>-0.14973795857249811</c:v>
                </c:pt>
                <c:pt idx="1">
                  <c:v>18.320419895026244</c:v>
                </c:pt>
                <c:pt idx="2">
                  <c:v>38.804393747359526</c:v>
                </c:pt>
                <c:pt idx="3">
                  <c:v>1.7044589864556383</c:v>
                </c:pt>
                <c:pt idx="4">
                  <c:v>-23.986233727367949</c:v>
                </c:pt>
                <c:pt idx="5">
                  <c:v>-21.456692913385826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'8.1'!$AF$23</c:f>
              <c:strCache>
                <c:ptCount val="1"/>
                <c:pt idx="0">
                  <c:v>Traffic accidents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diamond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cat>
            <c:numRef>
              <c:f>'8.1'!$AG$21:$AL$21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'8.1'!$AG$23:$AL$23</c:f>
              <c:numCache>
                <c:formatCode>#,##0.0</c:formatCode>
                <c:ptCount val="6"/>
                <c:pt idx="0">
                  <c:v>-19.349485562562229</c:v>
                </c:pt>
                <c:pt idx="1">
                  <c:v>-7.3662551440329223</c:v>
                </c:pt>
                <c:pt idx="2">
                  <c:v>-12.305641936916926</c:v>
                </c:pt>
                <c:pt idx="3">
                  <c:v>-2.2289766970618032</c:v>
                </c:pt>
                <c:pt idx="4">
                  <c:v>10.725388601036268</c:v>
                </c:pt>
                <c:pt idx="5">
                  <c:v>-4.3051006083294343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'8.1'!$AF$24</c:f>
              <c:strCache>
                <c:ptCount val="1"/>
                <c:pt idx="0">
                  <c:v>Drugs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</c:spPr>
          </c:marker>
          <c:cat>
            <c:numRef>
              <c:f>'8.1'!$AG$21:$AL$21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'8.1'!$AG$24:$AL$24</c:f>
              <c:numCache>
                <c:formatCode>#,##0.0</c:formatCode>
                <c:ptCount val="6"/>
                <c:pt idx="0">
                  <c:v>-31.65680473372781</c:v>
                </c:pt>
                <c:pt idx="1">
                  <c:v>12.739641311069882</c:v>
                </c:pt>
                <c:pt idx="2">
                  <c:v>39.001645639056498</c:v>
                </c:pt>
                <c:pt idx="3">
                  <c:v>56.471981057616418</c:v>
                </c:pt>
                <c:pt idx="4">
                  <c:v>-20.807061790668349</c:v>
                </c:pt>
                <c:pt idx="5">
                  <c:v>-33.821656050955411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'8.1'!$AF$25</c:f>
              <c:strCache>
                <c:ptCount val="1"/>
                <c:pt idx="0">
                  <c:v>Lost Items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x"/>
            <c:size val="5"/>
            <c:spPr>
              <a:solidFill>
                <a:srgbClr val="FF0000"/>
              </a:solidFill>
            </c:spPr>
          </c:marker>
          <c:cat>
            <c:numRef>
              <c:f>'8.1'!$AG$21:$AL$21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'8.1'!$AG$25:$AL$25</c:f>
              <c:numCache>
                <c:formatCode>#,##0.0</c:formatCode>
                <c:ptCount val="6"/>
                <c:pt idx="0">
                  <c:v>-19.91584852734923</c:v>
                </c:pt>
                <c:pt idx="1">
                  <c:v>-13.601868067717454</c:v>
                </c:pt>
                <c:pt idx="2">
                  <c:v>1.8918918918918921</c:v>
                </c:pt>
                <c:pt idx="3">
                  <c:v>31.49867374005305</c:v>
                </c:pt>
                <c:pt idx="4">
                  <c:v>1.5632879475542107</c:v>
                </c:pt>
                <c:pt idx="5">
                  <c:v>-14.746772591857003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'8.1'!$AF$26</c:f>
              <c:strCache>
                <c:ptCount val="1"/>
                <c:pt idx="0">
                  <c:v>Assault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cat>
            <c:numRef>
              <c:f>'8.1'!$AG$21:$AL$21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'8.1'!$AG$26:$AL$26</c:f>
              <c:numCache>
                <c:formatCode>#,##0.0</c:formatCode>
                <c:ptCount val="6"/>
                <c:pt idx="0">
                  <c:v>-23.7</c:v>
                </c:pt>
                <c:pt idx="1">
                  <c:v>-13.499344692005241</c:v>
                </c:pt>
                <c:pt idx="2">
                  <c:v>-4.2424242424242431</c:v>
                </c:pt>
                <c:pt idx="3">
                  <c:v>1.9778481012658229</c:v>
                </c:pt>
                <c:pt idx="4">
                  <c:v>-17.610550814584951</c:v>
                </c:pt>
                <c:pt idx="5">
                  <c:v>-11.958568738229754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92320"/>
        <c:axId val="125594240"/>
      </c:lineChart>
      <c:catAx>
        <c:axId val="12559232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25594240"/>
        <c:crosses val="autoZero"/>
        <c:auto val="1"/>
        <c:lblAlgn val="ctr"/>
        <c:lblOffset val="100"/>
        <c:noMultiLvlLbl val="0"/>
      </c:catAx>
      <c:valAx>
        <c:axId val="1255942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25592320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143406652135052"/>
          <c:y val="0.17607197631810154"/>
          <c:w val="0.8160742005819484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85952"/>
        <c:axId val="130691840"/>
      </c:barChart>
      <c:catAx>
        <c:axId val="13068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691840"/>
        <c:crosses val="autoZero"/>
        <c:auto val="1"/>
        <c:lblAlgn val="ctr"/>
        <c:lblOffset val="100"/>
        <c:noMultiLvlLbl val="0"/>
      </c:catAx>
      <c:valAx>
        <c:axId val="130691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0685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718336"/>
        <c:axId val="130732416"/>
      </c:barChart>
      <c:catAx>
        <c:axId val="13071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732416"/>
        <c:crosses val="autoZero"/>
        <c:auto val="1"/>
        <c:lblAlgn val="ctr"/>
        <c:lblOffset val="100"/>
        <c:noMultiLvlLbl val="0"/>
      </c:catAx>
      <c:valAx>
        <c:axId val="130732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71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02272"/>
        <c:axId val="130908160"/>
      </c:barChart>
      <c:catAx>
        <c:axId val="13090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908160"/>
        <c:crosses val="autoZero"/>
        <c:auto val="1"/>
        <c:lblAlgn val="ctr"/>
        <c:lblOffset val="100"/>
        <c:noMultiLvlLbl val="0"/>
      </c:catAx>
      <c:valAx>
        <c:axId val="130908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902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42848"/>
        <c:axId val="130944384"/>
      </c:barChart>
      <c:catAx>
        <c:axId val="13094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944384"/>
        <c:crosses val="autoZero"/>
        <c:auto val="1"/>
        <c:lblAlgn val="ctr"/>
        <c:lblOffset val="100"/>
        <c:noMultiLvlLbl val="0"/>
      </c:catAx>
      <c:valAx>
        <c:axId val="130944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942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71520"/>
        <c:axId val="130973056"/>
      </c:barChart>
      <c:catAx>
        <c:axId val="13097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973056"/>
        <c:crosses val="autoZero"/>
        <c:auto val="1"/>
        <c:lblAlgn val="ctr"/>
        <c:lblOffset val="100"/>
        <c:noMultiLvlLbl val="0"/>
      </c:catAx>
      <c:valAx>
        <c:axId val="130973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971520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22848"/>
        <c:axId val="131024384"/>
      </c:barChart>
      <c:catAx>
        <c:axId val="13102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024384"/>
        <c:crosses val="autoZero"/>
        <c:auto val="1"/>
        <c:lblAlgn val="ctr"/>
        <c:lblOffset val="100"/>
        <c:noMultiLvlLbl val="0"/>
      </c:catAx>
      <c:valAx>
        <c:axId val="131024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1022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46016"/>
        <c:axId val="131047808"/>
      </c:barChart>
      <c:catAx>
        <c:axId val="13104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047808"/>
        <c:crosses val="autoZero"/>
        <c:auto val="1"/>
        <c:lblAlgn val="ctr"/>
        <c:lblOffset val="100"/>
        <c:noMultiLvlLbl val="0"/>
      </c:catAx>
      <c:valAx>
        <c:axId val="131047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10460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1419224</xdr:colOff>
      <xdr:row>19</xdr:row>
      <xdr:rowOff>110289</xdr:rowOff>
    </xdr:from>
    <xdr:to>
      <xdr:col>10</xdr:col>
      <xdr:colOff>647699</xdr:colOff>
      <xdr:row>35</xdr:row>
      <xdr:rowOff>122522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1419224</xdr:colOff>
      <xdr:row>37</xdr:row>
      <xdr:rowOff>152400</xdr:rowOff>
    </xdr:from>
    <xdr:to>
      <xdr:col>10</xdr:col>
      <xdr:colOff>666749</xdr:colOff>
      <xdr:row>52</xdr:row>
      <xdr:rowOff>80720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514350</xdr:colOff>
      <xdr:row>21</xdr:row>
      <xdr:rowOff>19050</xdr:rowOff>
    </xdr:from>
    <xdr:to>
      <xdr:col>9</xdr:col>
      <xdr:colOff>914400</xdr:colOff>
      <xdr:row>21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562225" y="5505450"/>
          <a:ext cx="39528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3</xdr:col>
      <xdr:colOff>581025</xdr:colOff>
      <xdr:row>39</xdr:row>
      <xdr:rowOff>66674</xdr:rowOff>
    </xdr:from>
    <xdr:to>
      <xdr:col>10</xdr:col>
      <xdr:colOff>342900</xdr:colOff>
      <xdr:row>39</xdr:row>
      <xdr:rowOff>76199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000250" y="9010649"/>
          <a:ext cx="49911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0.08278</cdr:x>
      <cdr:y>0.0182</cdr:y>
    </cdr:from>
    <cdr:to>
      <cdr:x>0.99031</cdr:x>
      <cdr:y>0.0889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69" y="50702"/>
          <a:ext cx="5350774" cy="196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Percenatage change in selected  crimes,  2010 - 2015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28"/>
  <sheetViews>
    <sheetView tabSelected="1" zoomScaleNormal="100" zoomScaleSheetLayoutView="100" workbookViewId="0">
      <selection activeCell="M6" sqref="M6"/>
    </sheetView>
  </sheetViews>
  <sheetFormatPr defaultColWidth="9.140625" defaultRowHeight="15"/>
  <cols>
    <col min="1" max="1" width="21.28515625" style="1" customWidth="1"/>
    <col min="2" max="2" width="12" style="1" hidden="1" customWidth="1"/>
    <col min="3" max="3" width="8.42578125" style="1" hidden="1" customWidth="1"/>
    <col min="4" max="4" width="9.42578125" style="1" customWidth="1"/>
    <col min="5" max="5" width="9.7109375" style="1" customWidth="1"/>
    <col min="6" max="8" width="9.42578125" style="1" customWidth="1"/>
    <col min="9" max="9" width="15.28515625" style="1" customWidth="1"/>
    <col min="10" max="10" width="15.7109375" style="1" customWidth="1"/>
    <col min="11" max="11" width="21.5703125" style="1" customWidth="1"/>
    <col min="12" max="12" width="2.140625" style="1" customWidth="1"/>
    <col min="13" max="14" width="9.140625" style="1"/>
    <col min="15" max="27" width="9.140625" style="76"/>
    <col min="28" max="32" width="9.140625" style="1"/>
    <col min="33" max="33" width="13.28515625" style="1" customWidth="1"/>
    <col min="34" max="16384" width="9.140625" style="1"/>
  </cols>
  <sheetData>
    <row r="1" spans="1:33" ht="21.75">
      <c r="A1" s="79" t="s">
        <v>96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33" ht="21.75" customHeight="1">
      <c r="A2" s="95" t="s">
        <v>97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33" ht="51.75" customHeight="1">
      <c r="A3" s="80" t="s">
        <v>67</v>
      </c>
      <c r="B3" s="82">
        <v>2008</v>
      </c>
      <c r="C3" s="82">
        <v>2009</v>
      </c>
      <c r="D3" s="84">
        <v>2011</v>
      </c>
      <c r="E3" s="84">
        <v>2012</v>
      </c>
      <c r="F3" s="84">
        <v>2013</v>
      </c>
      <c r="G3" s="84">
        <v>2014</v>
      </c>
      <c r="H3" s="84">
        <v>2015</v>
      </c>
      <c r="I3" s="74" t="s">
        <v>68</v>
      </c>
      <c r="J3" s="74" t="s">
        <v>94</v>
      </c>
      <c r="K3" s="86" t="s">
        <v>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3" ht="23.25" customHeight="1">
      <c r="A4" s="81"/>
      <c r="B4" s="83"/>
      <c r="C4" s="83"/>
      <c r="D4" s="85"/>
      <c r="E4" s="85"/>
      <c r="F4" s="85"/>
      <c r="G4" s="85"/>
      <c r="H4" s="85"/>
      <c r="I4" s="70" t="s">
        <v>93</v>
      </c>
      <c r="J4" s="70" t="s">
        <v>95</v>
      </c>
      <c r="K4" s="8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 ht="19.5" customHeight="1">
      <c r="A5" s="21" t="s">
        <v>0</v>
      </c>
      <c r="B5" s="3">
        <v>17674</v>
      </c>
      <c r="C5" s="15">
        <v>19259</v>
      </c>
      <c r="D5" s="58">
        <f t="shared" ref="D5:G5" si="0">SUM(D6:D17)</f>
        <v>17803</v>
      </c>
      <c r="E5" s="58">
        <f t="shared" si="0"/>
        <v>20512</v>
      </c>
      <c r="F5" s="58">
        <f t="shared" si="0"/>
        <v>21885</v>
      </c>
      <c r="G5" s="58">
        <f t="shared" si="0"/>
        <v>18193</v>
      </c>
      <c r="H5" s="58">
        <v>16363</v>
      </c>
      <c r="I5" s="64">
        <f>H5/$H$5*100</f>
        <v>100</v>
      </c>
      <c r="J5" s="65">
        <f>((H5-G5)/G5)*100</f>
        <v>-10.058813829494859</v>
      </c>
      <c r="K5" s="11" t="s">
        <v>1</v>
      </c>
      <c r="M5" s="5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4</v>
      </c>
      <c r="AG5" s="63">
        <f>I6</f>
        <v>24.384281610951536</v>
      </c>
    </row>
    <row r="6" spans="1:33" ht="19.5" customHeight="1">
      <c r="A6" s="22" t="s">
        <v>4</v>
      </c>
      <c r="B6" s="5">
        <v>3903</v>
      </c>
      <c r="C6" s="16">
        <v>4007</v>
      </c>
      <c r="D6" s="77">
        <v>4734</v>
      </c>
      <c r="E6" s="77">
        <v>6571</v>
      </c>
      <c r="F6" s="77">
        <v>6683</v>
      </c>
      <c r="G6" s="77">
        <v>5080</v>
      </c>
      <c r="H6" s="77">
        <v>3990</v>
      </c>
      <c r="I6" s="66">
        <f>H6/$H$5*100</f>
        <v>24.384281610951536</v>
      </c>
      <c r="J6" s="67">
        <f t="shared" ref="J6:J17" si="1">((H6-G6)/G6)*100</f>
        <v>-21.456692913385826</v>
      </c>
      <c r="K6" s="13" t="s">
        <v>5</v>
      </c>
      <c r="M6" s="2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7</v>
      </c>
      <c r="AG6" s="63">
        <f t="shared" ref="AG6:AG16" si="2">I7</f>
        <v>12.497708244209498</v>
      </c>
    </row>
    <row r="7" spans="1:33" ht="19.5" customHeight="1">
      <c r="A7" s="22" t="s">
        <v>65</v>
      </c>
      <c r="B7" s="5">
        <v>3838</v>
      </c>
      <c r="C7" s="16">
        <v>3013</v>
      </c>
      <c r="D7" s="77">
        <v>2251</v>
      </c>
      <c r="E7" s="77">
        <v>1974</v>
      </c>
      <c r="F7" s="77">
        <v>1930</v>
      </c>
      <c r="G7" s="77">
        <v>2137</v>
      </c>
      <c r="H7" s="77">
        <v>2045</v>
      </c>
      <c r="I7" s="66">
        <f>H7/$H$5*100</f>
        <v>12.497708244209498</v>
      </c>
      <c r="J7" s="67">
        <f t="shared" si="1"/>
        <v>-4.3051006083294343</v>
      </c>
      <c r="K7" s="13" t="s">
        <v>6</v>
      </c>
      <c r="M7" s="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65</v>
      </c>
      <c r="AG7" s="63">
        <f t="shared" si="2"/>
        <v>12.699382753773758</v>
      </c>
    </row>
    <row r="8" spans="1:33" ht="19.5" customHeight="1">
      <c r="A8" s="22" t="s">
        <v>7</v>
      </c>
      <c r="B8" s="5">
        <v>2484</v>
      </c>
      <c r="C8" s="16">
        <v>2366</v>
      </c>
      <c r="D8" s="77">
        <v>1823</v>
      </c>
      <c r="E8" s="77">
        <v>2534</v>
      </c>
      <c r="F8" s="77">
        <v>3965</v>
      </c>
      <c r="G8" s="77">
        <v>3140</v>
      </c>
      <c r="H8" s="77">
        <v>2078</v>
      </c>
      <c r="I8" s="66">
        <f>H8/$H$5*100</f>
        <v>12.699382753773758</v>
      </c>
      <c r="J8" s="67">
        <f t="shared" si="1"/>
        <v>-33.821656050955411</v>
      </c>
      <c r="K8" s="13" t="s">
        <v>8</v>
      </c>
      <c r="M8" s="2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66</v>
      </c>
      <c r="AG8" s="63">
        <f t="shared" si="2"/>
        <v>10.493185846116237</v>
      </c>
    </row>
    <row r="9" spans="1:33" ht="19.5" customHeight="1">
      <c r="A9" s="22" t="s">
        <v>66</v>
      </c>
      <c r="B9" s="5">
        <v>1520</v>
      </c>
      <c r="C9" s="16">
        <v>2139</v>
      </c>
      <c r="D9" s="78">
        <v>1480</v>
      </c>
      <c r="E9" s="78">
        <v>1508</v>
      </c>
      <c r="F9" s="78">
        <v>1983</v>
      </c>
      <c r="G9" s="78">
        <v>2014</v>
      </c>
      <c r="H9" s="78">
        <v>1717</v>
      </c>
      <c r="I9" s="66">
        <f t="shared" ref="I9:I17" si="3">H9/$H$5*100</f>
        <v>10.493185846116237</v>
      </c>
      <c r="J9" s="67">
        <f t="shared" si="1"/>
        <v>-14.746772591857003</v>
      </c>
      <c r="K9" s="13" t="s">
        <v>9</v>
      </c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10</v>
      </c>
      <c r="AG9" s="63">
        <f t="shared" si="2"/>
        <v>5.7141111043207236</v>
      </c>
    </row>
    <row r="10" spans="1:33" ht="19.5" customHeight="1">
      <c r="A10" s="22" t="s">
        <v>10</v>
      </c>
      <c r="B10" s="5">
        <v>1602</v>
      </c>
      <c r="C10" s="16">
        <v>2000</v>
      </c>
      <c r="D10" s="77">
        <v>1320</v>
      </c>
      <c r="E10" s="77">
        <v>1264</v>
      </c>
      <c r="F10" s="77">
        <v>1289</v>
      </c>
      <c r="G10" s="77">
        <v>1062</v>
      </c>
      <c r="H10" s="77">
        <v>935</v>
      </c>
      <c r="I10" s="66">
        <f t="shared" si="3"/>
        <v>5.7141111043207236</v>
      </c>
      <c r="J10" s="67">
        <f t="shared" si="1"/>
        <v>-11.958568738229754</v>
      </c>
      <c r="K10" s="13" t="s">
        <v>11</v>
      </c>
      <c r="M10" s="2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14</v>
      </c>
      <c r="AG10" s="63">
        <f t="shared" si="2"/>
        <v>3.2634602456762209</v>
      </c>
    </row>
    <row r="11" spans="1:33" ht="19.5" customHeight="1">
      <c r="A11" s="22" t="s">
        <v>12</v>
      </c>
      <c r="B11" s="5">
        <v>648</v>
      </c>
      <c r="C11" s="16">
        <v>902</v>
      </c>
      <c r="D11" s="77">
        <v>775</v>
      </c>
      <c r="E11" s="77">
        <v>880</v>
      </c>
      <c r="F11" s="77">
        <v>728</v>
      </c>
      <c r="G11" s="77">
        <v>520</v>
      </c>
      <c r="H11" s="77">
        <v>534</v>
      </c>
      <c r="I11" s="66">
        <f>H11/$H$5*100</f>
        <v>3.2634602456762209</v>
      </c>
      <c r="J11" s="67">
        <f t="shared" si="1"/>
        <v>2.6923076923076925</v>
      </c>
      <c r="K11" s="13" t="s">
        <v>13</v>
      </c>
      <c r="M11" s="2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12</v>
      </c>
      <c r="AG11" s="63">
        <f t="shared" si="2"/>
        <v>3.3245737334229664</v>
      </c>
    </row>
    <row r="12" spans="1:33" ht="19.5" customHeight="1">
      <c r="A12" s="22" t="s">
        <v>14</v>
      </c>
      <c r="B12" s="5">
        <v>596</v>
      </c>
      <c r="C12" s="16">
        <v>589</v>
      </c>
      <c r="D12" s="77">
        <v>718</v>
      </c>
      <c r="E12" s="77">
        <v>972</v>
      </c>
      <c r="F12" s="77">
        <v>729</v>
      </c>
      <c r="G12" s="77">
        <v>620</v>
      </c>
      <c r="H12" s="77">
        <v>544</v>
      </c>
      <c r="I12" s="66">
        <f t="shared" si="3"/>
        <v>3.3245737334229664</v>
      </c>
      <c r="J12" s="67">
        <f t="shared" si="1"/>
        <v>-12.258064516129032</v>
      </c>
      <c r="K12" s="13" t="s">
        <v>15</v>
      </c>
      <c r="M12" s="2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16</v>
      </c>
      <c r="AG12" s="63">
        <f t="shared" si="2"/>
        <v>3.2451261993521969</v>
      </c>
    </row>
    <row r="13" spans="1:33" ht="19.5" customHeight="1">
      <c r="A13" s="22" t="s">
        <v>16</v>
      </c>
      <c r="B13" s="5">
        <v>455</v>
      </c>
      <c r="C13" s="16">
        <v>563</v>
      </c>
      <c r="D13" s="77">
        <v>642</v>
      </c>
      <c r="E13" s="77">
        <v>577</v>
      </c>
      <c r="F13" s="77">
        <v>573</v>
      </c>
      <c r="G13" s="77">
        <v>475</v>
      </c>
      <c r="H13" s="77">
        <v>531</v>
      </c>
      <c r="I13" s="66">
        <f t="shared" si="3"/>
        <v>3.2451261993521969</v>
      </c>
      <c r="J13" s="67">
        <f t="shared" si="1"/>
        <v>11.789473684210526</v>
      </c>
      <c r="K13" s="13" t="s">
        <v>17</v>
      </c>
      <c r="M13" s="2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18</v>
      </c>
      <c r="AG13" s="63">
        <f t="shared" si="2"/>
        <v>4.5285094420338563</v>
      </c>
    </row>
    <row r="14" spans="1:33" ht="19.5" customHeight="1">
      <c r="A14" s="22" t="s">
        <v>18</v>
      </c>
      <c r="B14" s="5">
        <v>313</v>
      </c>
      <c r="C14" s="16">
        <v>391</v>
      </c>
      <c r="D14" s="77">
        <v>364</v>
      </c>
      <c r="E14" s="77">
        <v>311</v>
      </c>
      <c r="F14" s="77">
        <v>391</v>
      </c>
      <c r="G14" s="77">
        <v>377</v>
      </c>
      <c r="H14" s="77">
        <v>741</v>
      </c>
      <c r="I14" s="66">
        <f t="shared" si="3"/>
        <v>4.5285094420338563</v>
      </c>
      <c r="J14" s="67">
        <f t="shared" si="1"/>
        <v>96.551724137931032</v>
      </c>
      <c r="K14" s="13" t="s">
        <v>19</v>
      </c>
      <c r="M14" s="2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20</v>
      </c>
      <c r="AG14" s="63">
        <f t="shared" si="2"/>
        <v>2.0656358858400048</v>
      </c>
    </row>
    <row r="15" spans="1:33" ht="19.5" customHeight="1">
      <c r="A15" s="22" t="s">
        <v>20</v>
      </c>
      <c r="B15" s="5">
        <v>172</v>
      </c>
      <c r="C15" s="16">
        <v>156</v>
      </c>
      <c r="D15" s="77">
        <v>146</v>
      </c>
      <c r="E15" s="77">
        <v>179</v>
      </c>
      <c r="F15" s="77">
        <v>207</v>
      </c>
      <c r="G15" s="77">
        <v>186</v>
      </c>
      <c r="H15" s="77">
        <v>338</v>
      </c>
      <c r="I15" s="66">
        <f t="shared" si="3"/>
        <v>2.0656358858400048</v>
      </c>
      <c r="J15" s="67">
        <f t="shared" si="1"/>
        <v>81.72043010752688</v>
      </c>
      <c r="K15" s="13" t="s">
        <v>21</v>
      </c>
      <c r="M15" s="2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91</v>
      </c>
      <c r="AG15" s="63">
        <f t="shared" si="2"/>
        <v>0.55613273849538591</v>
      </c>
    </row>
    <row r="16" spans="1:33" ht="19.5" customHeight="1">
      <c r="A16" s="22" t="s">
        <v>91</v>
      </c>
      <c r="B16" s="5">
        <v>98</v>
      </c>
      <c r="C16" s="16">
        <v>133</v>
      </c>
      <c r="D16" s="77">
        <v>136</v>
      </c>
      <c r="E16" s="77">
        <v>126</v>
      </c>
      <c r="F16" s="77">
        <v>97</v>
      </c>
      <c r="G16" s="77">
        <v>77</v>
      </c>
      <c r="H16" s="77">
        <v>91</v>
      </c>
      <c r="I16" s="66">
        <f>H16/$H$5*100</f>
        <v>0.55613273849538591</v>
      </c>
      <c r="J16" s="67">
        <f t="shared" si="1"/>
        <v>18.181818181818183</v>
      </c>
      <c r="K16" s="13" t="s">
        <v>92</v>
      </c>
      <c r="M16" s="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22</v>
      </c>
      <c r="AG16" s="63">
        <f t="shared" si="2"/>
        <v>17.227892195807616</v>
      </c>
    </row>
    <row r="17" spans="1:38" ht="19.5" customHeight="1">
      <c r="A17" s="23" t="s">
        <v>22</v>
      </c>
      <c r="B17" s="8">
        <v>1763</v>
      </c>
      <c r="C17" s="17">
        <v>2399</v>
      </c>
      <c r="D17" s="60">
        <v>3414</v>
      </c>
      <c r="E17" s="60">
        <v>3616</v>
      </c>
      <c r="F17" s="60">
        <v>3310</v>
      </c>
      <c r="G17" s="60">
        <v>2505</v>
      </c>
      <c r="H17" s="60">
        <v>2819</v>
      </c>
      <c r="I17" s="68">
        <f t="shared" si="3"/>
        <v>17.227892195807616</v>
      </c>
      <c r="J17" s="69">
        <f t="shared" si="1"/>
        <v>12.53493013972056</v>
      </c>
      <c r="K17" s="14" t="s">
        <v>23</v>
      </c>
      <c r="M17" s="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8" s="19" customFormat="1">
      <c r="A18" s="61" t="s">
        <v>24</v>
      </c>
      <c r="B18" s="18"/>
      <c r="C18" s="18"/>
      <c r="D18" s="18"/>
      <c r="E18" s="18"/>
      <c r="F18" s="18"/>
      <c r="G18" s="18"/>
      <c r="H18" s="18"/>
      <c r="I18" s="18"/>
      <c r="J18" s="18"/>
      <c r="K18" s="62" t="s">
        <v>26</v>
      </c>
      <c r="M18" s="75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38" s="19" customFormat="1">
      <c r="A19" s="71"/>
      <c r="B19" s="18"/>
      <c r="C19" s="18"/>
      <c r="D19" s="18"/>
      <c r="E19" s="18"/>
      <c r="F19" s="18"/>
      <c r="G19" s="18"/>
      <c r="H19" s="18"/>
      <c r="I19" s="18"/>
      <c r="J19" s="18"/>
      <c r="K19" s="72"/>
      <c r="M19" s="75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38">
      <c r="M20" s="10"/>
    </row>
    <row r="21" spans="1:38">
      <c r="AG21" s="1">
        <v>2010</v>
      </c>
      <c r="AH21" s="1">
        <v>2011</v>
      </c>
      <c r="AI21" s="1">
        <v>2012</v>
      </c>
      <c r="AJ21" s="1">
        <v>2013</v>
      </c>
      <c r="AK21" s="1">
        <v>2014</v>
      </c>
      <c r="AL21" s="1">
        <v>2015</v>
      </c>
    </row>
    <row r="22" spans="1:38"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2" t="s">
        <v>4</v>
      </c>
      <c r="AG22" s="73">
        <v>-0.14973795857249811</v>
      </c>
      <c r="AH22" s="73">
        <v>18.320419895026244</v>
      </c>
      <c r="AI22" s="73">
        <v>38.804393747359526</v>
      </c>
      <c r="AJ22" s="73">
        <v>1.7044589864556383</v>
      </c>
      <c r="AK22" s="73">
        <v>-23.986233727367949</v>
      </c>
      <c r="AL22" s="73">
        <f>((H6-G6)/G6)*100</f>
        <v>-21.456692913385826</v>
      </c>
    </row>
    <row r="23" spans="1:38"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2" t="s">
        <v>65</v>
      </c>
      <c r="AG23" s="73">
        <v>-19.349485562562229</v>
      </c>
      <c r="AH23" s="73">
        <v>-7.3662551440329223</v>
      </c>
      <c r="AI23" s="73">
        <v>-12.305641936916926</v>
      </c>
      <c r="AJ23" s="73">
        <v>-2.2289766970618032</v>
      </c>
      <c r="AK23" s="73">
        <v>10.725388601036268</v>
      </c>
      <c r="AL23" s="73">
        <f>((H7-G7)/G7)*100</f>
        <v>-4.3051006083294343</v>
      </c>
    </row>
    <row r="24" spans="1:38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2" t="s">
        <v>7</v>
      </c>
      <c r="AG24" s="73">
        <v>-31.65680473372781</v>
      </c>
      <c r="AH24" s="73">
        <v>12.739641311069882</v>
      </c>
      <c r="AI24" s="73">
        <v>39.001645639056498</v>
      </c>
      <c r="AJ24" s="73">
        <v>56.471981057616418</v>
      </c>
      <c r="AK24" s="73">
        <v>-20.807061790668349</v>
      </c>
      <c r="AL24" s="73">
        <f>((H8-G8)/G8)*100</f>
        <v>-33.821656050955411</v>
      </c>
    </row>
    <row r="25" spans="1:38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2" t="s">
        <v>66</v>
      </c>
      <c r="AG25" s="73">
        <v>-19.91584852734923</v>
      </c>
      <c r="AH25" s="73">
        <v>-13.601868067717454</v>
      </c>
      <c r="AI25" s="73">
        <v>1.8918918918918921</v>
      </c>
      <c r="AJ25" s="73">
        <v>31.49867374005305</v>
      </c>
      <c r="AK25" s="73">
        <v>1.5632879475542107</v>
      </c>
      <c r="AL25" s="73">
        <f>((H9-G9)/G9)*100</f>
        <v>-14.746772591857003</v>
      </c>
    </row>
    <row r="26" spans="1:38" ht="17.25">
      <c r="A26" s="4"/>
      <c r="B26" s="5"/>
      <c r="C26" s="5"/>
      <c r="D26" s="5"/>
      <c r="E26" s="5"/>
      <c r="F26" s="6"/>
      <c r="G26" s="6"/>
      <c r="H26" s="6"/>
      <c r="I26" s="6"/>
      <c r="J26" s="6"/>
      <c r="K26" s="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2" t="s">
        <v>10</v>
      </c>
      <c r="AG26" s="73">
        <v>-23.7</v>
      </c>
      <c r="AH26" s="73">
        <v>-13.499344692005241</v>
      </c>
      <c r="AI26" s="73">
        <v>-4.2424242424242431</v>
      </c>
      <c r="AJ26" s="73">
        <v>1.9778481012658229</v>
      </c>
      <c r="AK26" s="73">
        <v>-17.610550814584951</v>
      </c>
      <c r="AL26" s="73">
        <f>((H10-G10)/G10)*100</f>
        <v>-11.958568738229754</v>
      </c>
    </row>
    <row r="27" spans="1:38"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8"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</sheetData>
  <sortState ref="AF5:AG16">
    <sortCondition descending="1" ref="AG5"/>
  </sortState>
  <mergeCells count="11">
    <mergeCell ref="A1:K1"/>
    <mergeCell ref="A2:K2"/>
    <mergeCell ref="A3:A4"/>
    <mergeCell ref="B3:B4"/>
    <mergeCell ref="C3:C4"/>
    <mergeCell ref="D3:D4"/>
    <mergeCell ref="E3:E4"/>
    <mergeCell ref="K3:K4"/>
    <mergeCell ref="F3:F4"/>
    <mergeCell ref="G3:G4"/>
    <mergeCell ref="H3:H4"/>
  </mergeCells>
  <pageMargins left="0.17" right="0.16" top="0.25" bottom="0.28999999999999998" header="0.17" footer="0.3"/>
  <pageSetup paperSize="9" scale="87" orientation="landscape" r:id="rId1"/>
  <rowBreaks count="1" manualBreakCount="1">
    <brk id="19" max="11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9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2" customWidth="1"/>
    <col min="36" max="16384" width="12.28515625" style="1"/>
  </cols>
  <sheetData>
    <row r="1" spans="1:36" ht="21">
      <c r="A1" s="88" t="s">
        <v>76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</row>
    <row r="2" spans="1:36">
      <c r="A2" s="89" t="s">
        <v>69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36" ht="15" customHeight="1">
      <c r="A3" s="90"/>
      <c r="B3" s="90"/>
      <c r="C3" s="92" t="s">
        <v>61</v>
      </c>
      <c r="D3" s="92"/>
      <c r="E3" s="92"/>
      <c r="F3" s="92"/>
      <c r="G3" s="92"/>
      <c r="H3" s="49"/>
      <c r="I3" s="49"/>
      <c r="J3" s="93" t="s">
        <v>27</v>
      </c>
      <c r="K3" s="93"/>
      <c r="L3" s="93"/>
      <c r="M3" s="93"/>
      <c r="N3" s="93"/>
      <c r="O3" s="44"/>
      <c r="P3" s="93" t="s">
        <v>28</v>
      </c>
      <c r="Q3" s="93"/>
      <c r="R3" s="93"/>
      <c r="S3" s="93"/>
      <c r="T3" s="93"/>
      <c r="U3" s="26"/>
      <c r="V3" s="26"/>
      <c r="W3" s="26"/>
      <c r="X3" s="94" t="s">
        <v>29</v>
      </c>
      <c r="Y3" s="94"/>
      <c r="Z3" s="94"/>
      <c r="AA3" s="94"/>
      <c r="AB3" s="94"/>
      <c r="AC3" s="45"/>
      <c r="AD3" s="45"/>
      <c r="AE3" s="94" t="s">
        <v>30</v>
      </c>
      <c r="AF3" s="94"/>
      <c r="AG3" s="94"/>
      <c r="AH3" s="94"/>
      <c r="AI3" s="94"/>
    </row>
    <row r="4" spans="1:36" ht="25.5">
      <c r="A4" s="91"/>
      <c r="B4" s="91"/>
      <c r="C4" s="50" t="s">
        <v>31</v>
      </c>
      <c r="D4" s="50" t="s">
        <v>32</v>
      </c>
      <c r="E4" s="50" t="s">
        <v>25</v>
      </c>
      <c r="F4" s="51" t="s">
        <v>33</v>
      </c>
      <c r="G4" s="50" t="s">
        <v>34</v>
      </c>
      <c r="H4" s="50" t="s">
        <v>71</v>
      </c>
      <c r="I4" s="50" t="s">
        <v>77</v>
      </c>
      <c r="J4" s="33" t="s">
        <v>31</v>
      </c>
      <c r="K4" s="33" t="s">
        <v>32</v>
      </c>
      <c r="L4" s="33" t="s">
        <v>25</v>
      </c>
      <c r="M4" s="34" t="s">
        <v>33</v>
      </c>
      <c r="N4" s="33" t="s">
        <v>34</v>
      </c>
      <c r="O4" s="50" t="s">
        <v>71</v>
      </c>
      <c r="P4" s="33" t="s">
        <v>31</v>
      </c>
      <c r="Q4" s="33" t="s">
        <v>32</v>
      </c>
      <c r="R4" s="33" t="s">
        <v>25</v>
      </c>
      <c r="S4" s="34" t="s">
        <v>33</v>
      </c>
      <c r="T4" s="33" t="s">
        <v>34</v>
      </c>
      <c r="U4" s="50" t="s">
        <v>71</v>
      </c>
      <c r="V4" s="50"/>
      <c r="W4" s="50"/>
      <c r="X4" s="33" t="s">
        <v>31</v>
      </c>
      <c r="Y4" s="33" t="s">
        <v>32</v>
      </c>
      <c r="Z4" s="33" t="s">
        <v>25</v>
      </c>
      <c r="AA4" s="34" t="s">
        <v>33</v>
      </c>
      <c r="AB4" s="33" t="s">
        <v>34</v>
      </c>
      <c r="AC4" s="50" t="s">
        <v>71</v>
      </c>
      <c r="AD4" s="50"/>
      <c r="AE4" s="33" t="s">
        <v>31</v>
      </c>
      <c r="AF4" s="33" t="s">
        <v>32</v>
      </c>
      <c r="AG4" s="33" t="s">
        <v>25</v>
      </c>
      <c r="AH4" s="34" t="s">
        <v>33</v>
      </c>
      <c r="AI4" s="33" t="s">
        <v>34</v>
      </c>
      <c r="AJ4" s="50" t="s">
        <v>71</v>
      </c>
    </row>
    <row r="5" spans="1:36" ht="14.25" customHeight="1">
      <c r="A5" s="43"/>
      <c r="B5" s="47" t="s">
        <v>73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73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73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74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74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74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75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75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75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41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42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43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44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45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46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47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48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49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50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51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52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53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54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55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56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57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58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59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60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35</v>
      </c>
      <c r="B28" s="29" t="s">
        <v>36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35</v>
      </c>
      <c r="B29" s="29" t="s">
        <v>37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35</v>
      </c>
      <c r="B30" s="29" t="s">
        <v>38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35</v>
      </c>
      <c r="B31" s="29" t="s">
        <v>39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35</v>
      </c>
      <c r="B32" s="36" t="s">
        <v>40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2</v>
      </c>
      <c r="AI33" s="25" t="s">
        <v>70</v>
      </c>
    </row>
    <row r="36" spans="1:35">
      <c r="A36" s="1"/>
      <c r="B36" s="46" t="s">
        <v>71</v>
      </c>
    </row>
    <row r="37" spans="1:35">
      <c r="B37" s="47" t="s">
        <v>61</v>
      </c>
      <c r="C37" s="47" t="s">
        <v>72</v>
      </c>
      <c r="D37" s="47" t="s">
        <v>62</v>
      </c>
      <c r="E37" s="47"/>
      <c r="F37" s="47"/>
    </row>
    <row r="38" spans="1:35">
      <c r="A38" s="47" t="s">
        <v>73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74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75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78</v>
      </c>
      <c r="C42" s="54"/>
      <c r="D42" s="54"/>
    </row>
    <row r="43" spans="1:35">
      <c r="B43" s="47" t="s">
        <v>61</v>
      </c>
      <c r="C43" s="47" t="s">
        <v>72</v>
      </c>
      <c r="D43" s="47" t="s">
        <v>62</v>
      </c>
    </row>
    <row r="44" spans="1:35">
      <c r="A44" s="47" t="s">
        <v>73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74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75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79</v>
      </c>
      <c r="C49" s="54"/>
      <c r="D49" s="54"/>
    </row>
    <row r="50" spans="1:5">
      <c r="B50" s="47" t="s">
        <v>61</v>
      </c>
      <c r="C50" s="47" t="s">
        <v>72</v>
      </c>
      <c r="D50" s="47" t="s">
        <v>62</v>
      </c>
    </row>
    <row r="51" spans="1:5">
      <c r="A51" s="47" t="s">
        <v>73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74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75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64</v>
      </c>
      <c r="C56" s="54" t="s">
        <v>35</v>
      </c>
      <c r="D56" s="54" t="s">
        <v>63</v>
      </c>
    </row>
    <row r="57" spans="1:5">
      <c r="A57" s="54" t="s">
        <v>80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81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79</v>
      </c>
      <c r="B59" s="55">
        <v>14232</v>
      </c>
      <c r="C59" s="55">
        <v>6099</v>
      </c>
      <c r="D59" s="55">
        <v>8133</v>
      </c>
    </row>
    <row r="60" spans="1:5">
      <c r="A60" s="54" t="s">
        <v>78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82</v>
      </c>
    </row>
    <row r="67" spans="1:11">
      <c r="B67" s="54"/>
      <c r="H67" s="54" t="s">
        <v>83</v>
      </c>
    </row>
    <row r="68" spans="1:11">
      <c r="A68" s="1"/>
      <c r="B68" s="54"/>
      <c r="C68" s="54" t="s">
        <v>84</v>
      </c>
      <c r="D68" s="54" t="s">
        <v>85</v>
      </c>
      <c r="E68" s="54" t="s">
        <v>86</v>
      </c>
      <c r="F68" s="54" t="s">
        <v>87</v>
      </c>
      <c r="G68" s="54"/>
      <c r="H68" s="56" t="s">
        <v>88</v>
      </c>
      <c r="I68" s="54" t="s">
        <v>89</v>
      </c>
      <c r="J68" s="54" t="s">
        <v>90</v>
      </c>
      <c r="K68" s="54"/>
    </row>
    <row r="69" spans="1:11">
      <c r="A69" s="1"/>
      <c r="B69" s="54" t="s">
        <v>41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42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43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44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45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46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47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48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49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50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51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52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53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54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55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56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57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58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59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60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</vt:lpstr>
      <vt:lpstr>8.20 workings</vt:lpstr>
      <vt:lpstr>'8.1'!Print_Area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2016-08-16T08:25:10Z</cp:lastPrinted>
  <dcterms:created xsi:type="dcterms:W3CDTF">2013-04-04T04:05:16Z</dcterms:created>
  <dcterms:modified xsi:type="dcterms:W3CDTF">2016-08-16T08:25:41Z</dcterms:modified>
</cp:coreProperties>
</file>