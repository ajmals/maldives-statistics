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26" sheetId="46" r:id="rId2"/>
  </sheets>
  <externalReferences>
    <externalReference r:id="rId3"/>
    <externalReference r:id="rId4"/>
    <externalReference r:id="rId5"/>
  </externalReferences>
  <definedNames>
    <definedName name="_xlnm.Print_Area" localSheetId="1">'8.26'!$A$1:$I$16</definedName>
  </definedNames>
  <calcPr calcId="144525"/>
</workbook>
</file>

<file path=xl/calcChain.xml><?xml version="1.0" encoding="utf-8"?>
<calcChain xmlns="http://schemas.openxmlformats.org/spreadsheetml/2006/main">
  <c r="G6" i="46" l="1"/>
  <c r="F6" i="46"/>
  <c r="E6" i="46"/>
  <c r="D6" i="46"/>
  <c r="C6" i="46"/>
  <c r="B6" i="46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<sst xmlns="http://schemas.openxmlformats.org/spreadsheetml/2006/main" count="172" uniqueCount="78">
  <si>
    <t>Total</t>
  </si>
  <si>
    <t>Source: Department of Judicial Administration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</si>
  <si>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</si>
  <si>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</si>
  <si>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</si>
  <si>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</si>
  <si>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</si>
  <si>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</si>
  <si>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</si>
  <si>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</si>
  <si>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</si>
  <si>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</si>
  <si>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</si>
  <si>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</si>
  <si>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</si>
  <si>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</si>
  <si>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</si>
  <si>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</si>
  <si>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</si>
  <si>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</si>
  <si>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</si>
  <si>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</si>
  <si>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</si>
  <si>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</si>
  <si>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</si>
  <si>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</si>
  <si>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</si>
  <si>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</si>
  <si>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</si>
  <si>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</si>
  <si>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</si>
  <si>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</si>
  <si>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</si>
  <si>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</si>
  <si>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</si>
  <si>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</si>
  <si>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</si>
  <si>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</si>
  <si>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</si>
  <si>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</si>
  <si>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</si>
  <si>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</si>
  <si>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</si>
  <si>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Details</t>
  </si>
  <si>
    <t>ތަފްސީލް</t>
  </si>
  <si>
    <t>ފިރިހެން</t>
  </si>
  <si>
    <t>އަންހެން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</si>
  <si>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</si>
  <si>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</si>
  <si>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</si>
  <si>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</si>
  <si>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</si>
  <si>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</si>
  <si>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</si>
  <si>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</si>
  <si>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</si>
  <si>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</si>
  <si>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</si>
  <si>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</si>
  <si>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</si>
  <si>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</si>
  <si>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</si>
  <si>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</si>
  <si>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</si>
  <si>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</si>
  <si>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</si>
  <si>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</si>
  <si>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</si>
  <si>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</si>
  <si>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Source: Prosecutor General's office</t>
  </si>
  <si>
    <t>މަޢުލޫމާތު ދެއްވި ފަރާތް: ޕްރޮސިކިއުޓަރ ޖެނެރަލްގެ އޮފީސް</t>
  </si>
  <si>
    <t>ތާވަލު 8.26: ޕްރޮސިކިއުޓަރުންގެ އަދަދު އަދި ހިނގި ޚަރަދު، 2010 - 2015</t>
  </si>
  <si>
    <t>TABLE 8.26: PROSECUTION  PERSONNEL  BY SEX AND FINANCIAL RESOURCES, 2010 - 2015</t>
  </si>
  <si>
    <r>
      <t xml:space="preserve">Year       </t>
    </r>
    <r>
      <rPr>
        <b/>
        <sz val="11"/>
        <rFont val="Faruma"/>
      </rPr>
      <t xml:space="preserve">  އަހަރު</t>
    </r>
  </si>
  <si>
    <t>Total prosecution personnel (Lawyers)</t>
  </si>
  <si>
    <t xml:space="preserve">ޖުމްލަ ޕްރޮސިކިއުޓަރުންގެ އަދަދު </t>
  </si>
  <si>
    <t>Total  Expenditure (million MVR)</t>
  </si>
  <si>
    <t>ޖުމްލަ ޚަރަދުވި ވަރު (މިލިއަން ރުފިޔާ)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</si>
</sst>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69" formatCode="_(* #,##0.0_);_(* \(#,##0.0\);_(* &quot;-&quot;??_);_(@_)"/>
    <numFmt numFmtId="170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Faruma"/>
    </font>
    <font>
      <sz val="10"/>
      <name val="Faruma"/>
    </font>
    <font>
      <b/>
      <sz val="11"/>
      <name val="Faruma"/>
    </font>
    <font>
      <b/>
      <sz val="11"/>
      <color rgb="FF000000"/>
      <name val="Faruma"/>
    </font>
    <font>
      <b/>
      <sz val="10"/>
      <color rgb="FF000000"/>
      <name val="Faruma"/>
    </font>
    <font>
      <sz val="9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6" fillId="0" borderId="8" applyNumberFormat="0" applyFill="0" applyAlignment="0" applyProtection="0"/>
    <xf numFmtId="0" fontId="9" fillId="0" borderId="0"/>
    <xf numFmtId="166" fontId="1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13" applyNumberFormat="0" applyAlignment="0" applyProtection="0"/>
    <xf numFmtId="0" fontId="27" fillId="8" borderId="14" applyNumberFormat="0" applyAlignment="0" applyProtection="0"/>
    <xf numFmtId="0" fontId="28" fillId="8" borderId="13" applyNumberFormat="0" applyAlignment="0" applyProtection="0"/>
    <xf numFmtId="0" fontId="29" fillId="0" borderId="15" applyNumberFormat="0" applyFill="0" applyAlignment="0" applyProtection="0"/>
    <xf numFmtId="0" fontId="30" fillId="9" borderId="16" applyNumberFormat="0" applyAlignment="0" applyProtection="0"/>
    <xf numFmtId="0" fontId="18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31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3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2" fillId="34" borderId="0" applyNumberFormat="0" applyBorder="0" applyAlignment="0" applyProtection="0"/>
    <xf numFmtId="0" fontId="1" fillId="0" borderId="0"/>
    <xf numFmtId="0" fontId="9" fillId="0" borderId="0"/>
  </cellStyleXfs>
  <cellXfs count="73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7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9" fontId="12" fillId="2" borderId="4" xfId="1" applyNumberFormat="1" applyFont="1" applyFill="1" applyBorder="1" applyAlignment="1">
      <alignment horizontal="right" vertical="center"/>
    </xf>
    <xf numFmtId="0" fontId="12" fillId="2" borderId="4" xfId="0" applyNumberFormat="1" applyFont="1" applyFill="1" applyBorder="1" applyAlignment="1">
      <alignment horizontal="left" vertical="center"/>
    </xf>
    <xf numFmtId="0" fontId="10" fillId="2" borderId="0" xfId="0" applyNumberFormat="1" applyFont="1" applyFill="1" applyAlignment="1">
      <alignment vertical="top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/>
    <xf numFmtId="0" fontId="3" fillId="2" borderId="0" xfId="0" applyFont="1" applyFill="1" applyAlignment="1"/>
    <xf numFmtId="0" fontId="2" fillId="2" borderId="4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right" vertical="center"/>
    </xf>
    <xf numFmtId="0" fontId="37" fillId="2" borderId="6" xfId="0" applyNumberFormat="1" applyFont="1" applyFill="1" applyBorder="1" applyAlignment="1">
      <alignment vertical="center"/>
    </xf>
    <xf numFmtId="0" fontId="12" fillId="2" borderId="0" xfId="0" applyFont="1" applyFill="1" applyAlignment="1"/>
    <xf numFmtId="0" fontId="12" fillId="2" borderId="0" xfId="0" applyFont="1" applyFill="1" applyBorder="1" applyAlignment="1">
      <alignment horizontal="left" vertical="center" indent="3"/>
    </xf>
    <xf numFmtId="0" fontId="12" fillId="2" borderId="0" xfId="0" applyFont="1" applyFill="1" applyBorder="1" applyAlignment="1">
      <alignment horizontal="right" vertical="center"/>
    </xf>
    <xf numFmtId="0" fontId="15" fillId="2" borderId="6" xfId="0" applyNumberFormat="1" applyFont="1" applyFill="1" applyBorder="1" applyAlignment="1">
      <alignment horizontal="right" vertical="center" indent="2"/>
    </xf>
    <xf numFmtId="168" fontId="12" fillId="2" borderId="4" xfId="0" applyNumberFormat="1" applyFont="1" applyFill="1" applyBorder="1" applyAlignment="1">
      <alignment horizontal="right" vertical="center"/>
    </xf>
    <xf numFmtId="0" fontId="15" fillId="2" borderId="4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center"/>
    </xf>
    <xf numFmtId="0" fontId="38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/>
    <xf numFmtId="0" fontId="34" fillId="2" borderId="0" xfId="0" applyFont="1" applyFill="1" applyBorder="1" applyAlignment="1">
      <alignment horizontal="right" vertical="center" wrapText="1"/>
    </xf>
    <xf numFmtId="0" fontId="14" fillId="2" borderId="9" xfId="0" applyNumberFormat="1" applyFont="1" applyFill="1" applyBorder="1" applyAlignment="1">
      <alignment horizontal="center" vertical="center"/>
    </xf>
    <xf numFmtId="164" fontId="13" fillId="2" borderId="0" xfId="0" applyNumberFormat="1" applyFont="1" applyFill="1" applyAlignment="1">
      <alignment horizontal="center"/>
    </xf>
    <xf numFmtId="164" fontId="14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4" fontId="33" fillId="2" borderId="0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36" fillId="2" borderId="3" xfId="0" applyNumberFormat="1" applyFont="1" applyFill="1" applyBorder="1" applyAlignment="1">
      <alignment horizontal="right" vertical="center"/>
    </xf>
    <xf numFmtId="0" fontId="36" fillId="2" borderId="4" xfId="0" applyNumberFormat="1" applyFont="1" applyFill="1" applyBorder="1" applyAlignment="1">
      <alignment horizontal="right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574144"/>
        <c:axId val="123575680"/>
      </c:barChart>
      <c:catAx>
        <c:axId val="12357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575680"/>
        <c:crosses val="autoZero"/>
        <c:auto val="1"/>
        <c:lblAlgn val="ctr"/>
        <c:lblOffset val="100"/>
        <c:noMultiLvlLbl val="0"/>
      </c:catAx>
      <c:valAx>
        <c:axId val="1235756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3574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622912"/>
        <c:axId val="123624448"/>
      </c:barChart>
      <c:catAx>
        <c:axId val="12362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624448"/>
        <c:crosses val="autoZero"/>
        <c:auto val="1"/>
        <c:lblAlgn val="ctr"/>
        <c:lblOffset val="100"/>
        <c:noMultiLvlLbl val="0"/>
      </c:catAx>
      <c:valAx>
        <c:axId val="12362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622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659392"/>
        <c:axId val="123660928"/>
      </c:barChart>
      <c:catAx>
        <c:axId val="12365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660928"/>
        <c:crosses val="autoZero"/>
        <c:auto val="1"/>
        <c:lblAlgn val="ctr"/>
        <c:lblOffset val="100"/>
        <c:noMultiLvlLbl val="0"/>
      </c:catAx>
      <c:valAx>
        <c:axId val="123660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659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761408"/>
        <c:axId val="123762944"/>
      </c:barChart>
      <c:catAx>
        <c:axId val="12376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762944"/>
        <c:crosses val="autoZero"/>
        <c:auto val="1"/>
        <c:lblAlgn val="ctr"/>
        <c:lblOffset val="100"/>
        <c:noMultiLvlLbl val="0"/>
      </c:catAx>
      <c:valAx>
        <c:axId val="1237629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761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785984"/>
        <c:axId val="123787520"/>
      </c:barChart>
      <c:catAx>
        <c:axId val="12378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3787520"/>
        <c:crosses val="autoZero"/>
        <c:auto val="1"/>
        <c:lblAlgn val="ctr"/>
        <c:lblOffset val="100"/>
        <c:noMultiLvlLbl val="0"/>
      </c:catAx>
      <c:valAx>
        <c:axId val="123787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2378598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494784"/>
        <c:axId val="127504768"/>
      </c:barChart>
      <c:catAx>
        <c:axId val="12749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7504768"/>
        <c:crosses val="autoZero"/>
        <c:auto val="1"/>
        <c:lblAlgn val="ctr"/>
        <c:lblOffset val="100"/>
        <c:noMultiLvlLbl val="0"/>
      </c:catAx>
      <c:valAx>
        <c:axId val="1275047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7494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30496"/>
        <c:axId val="127532032"/>
      </c:barChart>
      <c:catAx>
        <c:axId val="12753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7532032"/>
        <c:crosses val="autoZero"/>
        <c:auto val="1"/>
        <c:lblAlgn val="ctr"/>
        <c:lblOffset val="100"/>
        <c:noMultiLvlLbl val="0"/>
      </c:catAx>
      <c:valAx>
        <c:axId val="1275320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75304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0" t="s">
        <v>54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</row>
    <row r="2" spans="1:36">
      <c r="A2" s="61" t="s">
        <v>47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ht="15" customHeight="1">
      <c r="A3" s="62"/>
      <c r="B3" s="62"/>
      <c r="C3" s="64" t="s">
        <v>39</v>
      </c>
      <c r="D3" s="64"/>
      <c r="E3" s="64"/>
      <c r="F3" s="64"/>
      <c r="G3" s="64"/>
      <c r="H3" s="29"/>
      <c r="I3" s="29"/>
      <c r="J3" s="65" t="s">
        <v>5</v>
      </c>
      <c r="K3" s="65"/>
      <c r="L3" s="65"/>
      <c r="M3" s="65"/>
      <c r="N3" s="65"/>
      <c r="O3" s="24"/>
      <c r="P3" s="65" t="s">
        <v>6</v>
      </c>
      <c r="Q3" s="65"/>
      <c r="R3" s="65"/>
      <c r="S3" s="65"/>
      <c r="T3" s="65"/>
      <c r="U3" s="6"/>
      <c r="V3" s="6"/>
      <c r="W3" s="6"/>
      <c r="X3" s="66" t="s">
        <v>7</v>
      </c>
      <c r="Y3" s="66"/>
      <c r="Z3" s="66"/>
      <c r="AA3" s="66"/>
      <c r="AB3" s="66"/>
      <c r="AC3" s="25"/>
      <c r="AD3" s="25"/>
      <c r="AE3" s="66" t="s">
        <v>8</v>
      </c>
      <c r="AF3" s="66"/>
      <c r="AG3" s="66"/>
      <c r="AH3" s="66"/>
      <c r="AI3" s="66"/>
    </row>
    <row r="4" spans="1:36" ht="25.5">
      <c r="A4" s="63"/>
      <c r="B4" s="63"/>
      <c r="C4" s="30" t="s">
        <v>9</v>
      </c>
      <c r="D4" s="30" t="s">
        <v>10</v>
      </c>
      <c r="E4" s="30" t="s">
        <v>4</v>
      </c>
      <c r="F4" s="31" t="s">
        <v>11</v>
      </c>
      <c r="G4" s="30" t="s">
        <v>12</v>
      </c>
      <c r="H4" s="30" t="s">
        <v>49</v>
      </c>
      <c r="I4" s="30" t="s">
        <v>55</v>
      </c>
      <c r="J4" s="13" t="s">
        <v>9</v>
      </c>
      <c r="K4" s="13" t="s">
        <v>10</v>
      </c>
      <c r="L4" s="13" t="s">
        <v>4</v>
      </c>
      <c r="M4" s="14" t="s">
        <v>11</v>
      </c>
      <c r="N4" s="13" t="s">
        <v>12</v>
      </c>
      <c r="O4" s="30" t="s">
        <v>49</v>
      </c>
      <c r="P4" s="13" t="s">
        <v>9</v>
      </c>
      <c r="Q4" s="13" t="s">
        <v>10</v>
      </c>
      <c r="R4" s="13" t="s">
        <v>4</v>
      </c>
      <c r="S4" s="14" t="s">
        <v>11</v>
      </c>
      <c r="T4" s="13" t="s">
        <v>12</v>
      </c>
      <c r="U4" s="30" t="s">
        <v>49</v>
      </c>
      <c r="V4" s="30"/>
      <c r="W4" s="30"/>
      <c r="X4" s="13" t="s">
        <v>9</v>
      </c>
      <c r="Y4" s="13" t="s">
        <v>10</v>
      </c>
      <c r="Z4" s="13" t="s">
        <v>4</v>
      </c>
      <c r="AA4" s="14" t="s">
        <v>11</v>
      </c>
      <c r="AB4" s="13" t="s">
        <v>12</v>
      </c>
      <c r="AC4" s="30" t="s">
        <v>49</v>
      </c>
      <c r="AD4" s="30"/>
      <c r="AE4" s="13" t="s">
        <v>9</v>
      </c>
      <c r="AF4" s="13" t="s">
        <v>10</v>
      </c>
      <c r="AG4" s="13" t="s">
        <v>4</v>
      </c>
      <c r="AH4" s="14" t="s">
        <v>11</v>
      </c>
      <c r="AI4" s="13" t="s">
        <v>12</v>
      </c>
      <c r="AJ4" s="30" t="s">
        <v>49</v>
      </c>
    </row>
    <row r="5" spans="1:36" ht="14.25" customHeight="1">
      <c r="A5" s="23"/>
      <c r="B5" s="27" t="s">
        <v>51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51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51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52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52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52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53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53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53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19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20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21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22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23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24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25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26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27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28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29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30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31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32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33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34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35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36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37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38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13</v>
      </c>
      <c r="B28" s="9" t="s">
        <v>14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13</v>
      </c>
      <c r="B29" s="9" t="s">
        <v>15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13</v>
      </c>
      <c r="B30" s="9" t="s">
        <v>16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13</v>
      </c>
      <c r="B31" s="9" t="s">
        <v>17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13</v>
      </c>
      <c r="B32" s="16" t="s">
        <v>18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48</v>
      </c>
    </row>
    <row r="36" spans="1:35">
      <c r="A36" s="1"/>
      <c r="B36" s="26" t="s">
        <v>49</v>
      </c>
    </row>
    <row r="37" spans="1:35">
      <c r="B37" s="27" t="s">
        <v>39</v>
      </c>
      <c r="C37" s="27" t="s">
        <v>50</v>
      </c>
      <c r="D37" s="27" t="s">
        <v>40</v>
      </c>
      <c r="E37" s="27"/>
      <c r="F37" s="27"/>
    </row>
    <row r="38" spans="1:35">
      <c r="A38" s="27" t="s">
        <v>51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52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53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56</v>
      </c>
      <c r="C42" s="34"/>
      <c r="D42" s="34"/>
    </row>
    <row r="43" spans="1:35">
      <c r="B43" s="27" t="s">
        <v>39</v>
      </c>
      <c r="C43" s="27" t="s">
        <v>50</v>
      </c>
      <c r="D43" s="27" t="s">
        <v>40</v>
      </c>
    </row>
    <row r="44" spans="1:35">
      <c r="A44" s="27" t="s">
        <v>51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52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53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57</v>
      </c>
      <c r="C49" s="34"/>
      <c r="D49" s="34"/>
    </row>
    <row r="50" spans="1:5">
      <c r="B50" s="27" t="s">
        <v>39</v>
      </c>
      <c r="C50" s="27" t="s">
        <v>50</v>
      </c>
      <c r="D50" s="27" t="s">
        <v>40</v>
      </c>
    </row>
    <row r="51" spans="1:5">
      <c r="A51" s="27" t="s">
        <v>51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52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53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42</v>
      </c>
      <c r="C56" s="34" t="s">
        <v>13</v>
      </c>
      <c r="D56" s="34" t="s">
        <v>41</v>
      </c>
    </row>
    <row r="57" spans="1:5">
      <c r="A57" s="34" t="s">
        <v>58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59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57</v>
      </c>
      <c r="B59" s="35">
        <v>14232</v>
      </c>
      <c r="C59" s="35">
        <v>6099</v>
      </c>
      <c r="D59" s="35">
        <v>8133</v>
      </c>
    </row>
    <row r="60" spans="1:5">
      <c r="A60" s="34" t="s">
        <v>56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60</v>
      </c>
    </row>
    <row r="67" spans="1:11">
      <c r="B67" s="34"/>
      <c r="H67" s="34" t="s">
        <v>61</v>
      </c>
    </row>
    <row r="68" spans="1:11">
      <c r="A68" s="1"/>
      <c r="B68" s="34"/>
      <c r="C68" s="34" t="s">
        <v>62</v>
      </c>
      <c r="D68" s="34" t="s">
        <v>63</v>
      </c>
      <c r="E68" s="34" t="s">
        <v>64</v>
      </c>
      <c r="F68" s="34" t="s">
        <v>65</v>
      </c>
      <c r="G68" s="34"/>
      <c r="H68" s="36" t="s">
        <v>66</v>
      </c>
      <c r="I68" s="34" t="s">
        <v>67</v>
      </c>
      <c r="J68" s="34" t="s">
        <v>68</v>
      </c>
      <c r="K68" s="34"/>
    </row>
    <row r="69" spans="1:11">
      <c r="A69" s="1"/>
      <c r="B69" s="34" t="s">
        <v>19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20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21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22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23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24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25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26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27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28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29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30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31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32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33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34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35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36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37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38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2:L16"/>
  <sheetViews>
    <sheetView tabSelected="1" zoomScaleNormal="100" workbookViewId="0">
      <selection activeCell="L20" sqref="L20"/>
    </sheetView>
  </sheetViews>
  <sheetFormatPr defaultColWidth="9.140625" defaultRowHeight="12.75"/>
  <cols>
    <col min="1" max="1" width="34.7109375" style="42" customWidth="1"/>
    <col min="2" max="6" width="9.5703125" style="42" customWidth="1"/>
    <col min="7" max="7" width="11.5703125" style="42" bestFit="1" customWidth="1"/>
    <col min="8" max="8" width="31.5703125" style="42" customWidth="1"/>
    <col min="9" max="9" width="4.140625" style="42" customWidth="1"/>
    <col min="10" max="11" width="9.140625" style="42"/>
    <col min="12" max="12" width="15.28515625" style="42" bestFit="1" customWidth="1"/>
    <col min="13" max="16384" width="9.140625" style="42"/>
  </cols>
  <sheetData>
    <row r="2" spans="1:12" s="41" customFormat="1" ht="21">
      <c r="A2" s="69" t="s">
        <v>71</v>
      </c>
      <c r="B2" s="69"/>
      <c r="C2" s="69"/>
      <c r="D2" s="69"/>
      <c r="E2" s="69"/>
      <c r="F2" s="69"/>
      <c r="G2" s="69"/>
      <c r="H2" s="69"/>
    </row>
    <row r="3" spans="1:12" ht="15">
      <c r="A3" s="70" t="s">
        <v>72</v>
      </c>
      <c r="B3" s="70"/>
      <c r="C3" s="70"/>
      <c r="D3" s="70"/>
      <c r="E3" s="70"/>
      <c r="F3" s="70"/>
      <c r="G3" s="70"/>
      <c r="H3" s="70"/>
    </row>
    <row r="4" spans="1:12" s="43" customFormat="1" ht="21">
      <c r="A4" s="67" t="s">
        <v>43</v>
      </c>
      <c r="B4" s="59" t="s">
        <v>73</v>
      </c>
      <c r="C4" s="59"/>
      <c r="D4" s="59"/>
      <c r="E4" s="59"/>
      <c r="F4" s="59"/>
      <c r="G4" s="59"/>
      <c r="H4" s="71" t="s">
        <v>44</v>
      </c>
    </row>
    <row r="5" spans="1:12" s="43" customFormat="1" ht="15">
      <c r="A5" s="68"/>
      <c r="B5" s="44">
        <v>2010</v>
      </c>
      <c r="C5" s="44">
        <v>2011</v>
      </c>
      <c r="D5" s="44">
        <v>2012</v>
      </c>
      <c r="E5" s="44">
        <v>2013</v>
      </c>
      <c r="F5" s="44">
        <v>2014</v>
      </c>
      <c r="G5" s="44">
        <v>2015</v>
      </c>
      <c r="H5" s="72"/>
    </row>
    <row r="6" spans="1:12" s="48" customFormat="1" ht="18.75">
      <c r="A6" s="45" t="s">
        <v>74</v>
      </c>
      <c r="B6" s="46">
        <f t="shared" ref="B6:G6" si="0">B8+B7</f>
        <v>39</v>
      </c>
      <c r="C6" s="46">
        <f t="shared" si="0"/>
        <v>45</v>
      </c>
      <c r="D6" s="46">
        <f t="shared" si="0"/>
        <v>45</v>
      </c>
      <c r="E6" s="46">
        <f t="shared" si="0"/>
        <v>46</v>
      </c>
      <c r="F6" s="46">
        <f t="shared" si="0"/>
        <v>48</v>
      </c>
      <c r="G6" s="46">
        <f t="shared" si="0"/>
        <v>62</v>
      </c>
      <c r="H6" s="47" t="s">
        <v>75</v>
      </c>
    </row>
    <row r="7" spans="1:12" s="48" customFormat="1" ht="21">
      <c r="A7" s="49" t="s">
        <v>2</v>
      </c>
      <c r="B7" s="50">
        <v>20</v>
      </c>
      <c r="C7" s="50">
        <v>21</v>
      </c>
      <c r="D7" s="50">
        <v>19</v>
      </c>
      <c r="E7" s="50">
        <v>24</v>
      </c>
      <c r="F7" s="50">
        <v>22</v>
      </c>
      <c r="G7" s="50">
        <v>30</v>
      </c>
      <c r="H7" s="51" t="s">
        <v>45</v>
      </c>
    </row>
    <row r="8" spans="1:12" s="48" customFormat="1" ht="21">
      <c r="A8" s="49" t="s">
        <v>3</v>
      </c>
      <c r="B8" s="50">
        <v>19</v>
      </c>
      <c r="C8" s="50">
        <v>24</v>
      </c>
      <c r="D8" s="50">
        <v>26</v>
      </c>
      <c r="E8" s="50">
        <v>22</v>
      </c>
      <c r="F8" s="50">
        <v>26</v>
      </c>
      <c r="G8" s="50">
        <v>32</v>
      </c>
      <c r="H8" s="51" t="s">
        <v>46</v>
      </c>
    </row>
    <row r="9" spans="1:12" s="48" customFormat="1" ht="21">
      <c r="A9" s="39" t="s">
        <v>76</v>
      </c>
      <c r="B9" s="52">
        <v>21.2</v>
      </c>
      <c r="C9" s="52">
        <v>24</v>
      </c>
      <c r="D9" s="52">
        <v>24.5</v>
      </c>
      <c r="E9" s="52">
        <v>24.4</v>
      </c>
      <c r="F9" s="52">
        <v>25.9</v>
      </c>
      <c r="G9" s="38">
        <v>41.6</v>
      </c>
      <c r="H9" s="53" t="s">
        <v>77</v>
      </c>
    </row>
    <row r="10" spans="1:12" s="41" customFormat="1" ht="17.25">
      <c r="A10" s="54" t="s">
        <v>69</v>
      </c>
      <c r="B10" s="55"/>
      <c r="C10" s="55"/>
      <c r="D10" s="55"/>
      <c r="E10" s="55"/>
      <c r="F10" s="55"/>
      <c r="G10" s="55"/>
      <c r="H10" s="56" t="s">
        <v>70</v>
      </c>
      <c r="K10" s="48"/>
      <c r="L10" s="48"/>
    </row>
    <row r="11" spans="1:12" ht="15">
      <c r="A11" s="57"/>
      <c r="B11" s="57"/>
      <c r="C11" s="57"/>
      <c r="D11" s="57"/>
      <c r="E11" s="57"/>
      <c r="F11" s="57"/>
      <c r="G11" s="57"/>
      <c r="K11" s="48"/>
      <c r="L11" s="48"/>
    </row>
    <row r="12" spans="1:12" ht="15">
      <c r="A12" s="40"/>
      <c r="K12" s="48"/>
      <c r="L12" s="48"/>
    </row>
    <row r="13" spans="1:12" s="57" customFormat="1" ht="18.75">
      <c r="D13" s="58"/>
      <c r="E13" s="58"/>
      <c r="F13" s="58"/>
      <c r="G13" s="58"/>
      <c r="H13" s="58"/>
      <c r="K13" s="48"/>
      <c r="L13" s="48"/>
    </row>
    <row r="14" spans="1:12" ht="15">
      <c r="K14" s="48"/>
      <c r="L14" s="48"/>
    </row>
    <row r="15" spans="1:12" ht="15">
      <c r="K15" s="48"/>
      <c r="L15" s="48"/>
    </row>
    <row r="16" spans="1:12" ht="15">
      <c r="K16" s="48"/>
      <c r="L16" s="48"/>
    </row>
  </sheetData>
  <mergeCells count="5">
    <mergeCell ref="A2:H2"/>
    <mergeCell ref="A3:H3"/>
    <mergeCell ref="A4:A5"/>
    <mergeCell ref="B4:G4"/>
    <mergeCell ref="H4:H5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 workings</vt:lpstr>
      <vt:lpstr>8.26</vt:lpstr>
      <vt:lpstr>'8.26'!Print_Area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2016-09-07T08:44:52Z</cp:lastPrinted>
  <dcterms:created xsi:type="dcterms:W3CDTF">2013-04-04T04:05:16Z</dcterms:created>
  <dcterms:modified xsi:type="dcterms:W3CDTF">2016-09-07T08:44:54Z</dcterms:modified>
</cp:coreProperties>
</file>