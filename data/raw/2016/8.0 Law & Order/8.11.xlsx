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8.11" sheetId="1" r:id="rId1"/>
  </sheets>
  <externalReferences>
    <externalReference r:id="rId2"/>
  </externalReferences>
  <definedNames>
    <definedName name="_xlnm.Print_Area" localSheetId="0">'8.11'!$A$1:$H$32</definedName>
  </definedNames>
  <calcPr calcId="144525"/>
</workbook>
</file>

<file path=xl/calcChain.xml><?xml version="1.0" encoding="utf-8"?>
<calcChain xmlns="http://schemas.openxmlformats.org/spreadsheetml/2006/main">
  <c r="G6" i="1" l="1"/>
  <c r="G5" i="1"/>
  <c r="G11" i="1"/>
  <c r="G10" i="1"/>
  <c r="G9" i="1"/>
  <c r="G8" i="1"/>
  <c r="G7" i="1"/>
  <c r="F5" i="1"/>
  <c r="D5" i="1"/>
  <c r="C5" i="1"/>
  <c r="B5" i="1"/>
</calcChain>
</file>

<file path=xl/sharedStrings.xml><?xml version="1.0" encoding="utf-8"?>
<sst xmlns="http://schemas.openxmlformats.org/spreadsheetml/2006/main" count="28" uniqueCount="22">
  <si>
    <t xml:space="preserve">Type </t>
  </si>
  <si>
    <t xml:space="preserve">  ކުރީ އަހަރާއި  އަޅާބަލާއިރު  އިތުރުވި މިންވަރު</t>
  </si>
  <si>
    <t xml:space="preserve"> މައްސަލައިގެ ބާވަތް</t>
  </si>
  <si>
    <t>% change over 2015</t>
  </si>
  <si>
    <t>Total</t>
  </si>
  <si>
    <t>ޖުމްލަ</t>
  </si>
  <si>
    <t>Homicide</t>
  </si>
  <si>
    <t>ގަސްތުގައި މީހުން މެރުން</t>
  </si>
  <si>
    <t>Suicide</t>
  </si>
  <si>
    <t>އަމިއްލައަށް މަރުވުން</t>
  </si>
  <si>
    <t>Diving/snorkeling  accidents</t>
  </si>
  <si>
    <t>ޑައިވިންގ / ސްނޯކްލިންގ އެކްސިޑެންޓް</t>
  </si>
  <si>
    <t>Traffic accidents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</si>
  <si>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</si>
  <si>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</si>
  <si>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</si>
  <si>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</si>
  <si>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</si>
  <si>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>Source: Maldives Police Service</t>
  </si>
  <si>
    <t>csivrws csilop cscviDclOm :Ivcaed utWmUluAwm</t>
  </si>
  <si>
    <t>ތާވަލު 8.11: ހުށަހެޅިފައިވާ މަރުގެ މައްސަލަތައް، 2011- 2015</t>
  </si>
  <si>
    <t>Table 8.11 : LOGGED CASES OF DEATH ,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</si>
</sst>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Faruma"/>
      <family val="3"/>
    </font>
    <font>
      <sz val="10"/>
      <color theme="1"/>
      <name val="Faruma"/>
      <family val="3"/>
    </font>
    <font>
      <b/>
      <sz val="10"/>
      <color theme="1"/>
      <name val="Faruma"/>
      <family val="3"/>
    </font>
    <font>
      <b/>
      <sz val="10"/>
      <color theme="1"/>
      <name val="Courier"/>
      <family val="3"/>
    </font>
    <font>
      <sz val="10"/>
      <color theme="1"/>
      <name val="Courier"/>
      <family val="3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ourier"/>
      <family val="3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/>
    <xf numFmtId="164" fontId="2" fillId="2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center" vertical="center" wrapText="1"/>
    </xf>
    <xf numFmtId="164" fontId="6" fillId="2" borderId="3" xfId="0" applyNumberFormat="1" applyFont="1" applyFill="1" applyBorder="1" applyAlignment="1" applyProtection="1">
      <alignment horizontal="right" vertical="center" wrapText="1"/>
    </xf>
    <xf numFmtId="164" fontId="6" fillId="2" borderId="0" xfId="0" applyNumberFormat="1" applyFont="1" applyFill="1" applyBorder="1" applyAlignment="1" applyProtection="1">
      <alignment horizontal="right" vertical="center" wrapText="1"/>
    </xf>
    <xf numFmtId="164" fontId="4" fillId="2" borderId="4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center"/>
    </xf>
    <xf numFmtId="165" fontId="5" fillId="2" borderId="3" xfId="1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/>
    <xf numFmtId="164" fontId="10" fillId="2" borderId="0" xfId="0" applyNumberFormat="1" applyFont="1" applyFill="1"/>
    <xf numFmtId="164" fontId="11" fillId="2" borderId="0" xfId="0" applyNumberFormat="1" applyFont="1" applyFill="1" applyBorder="1" applyAlignment="1">
      <alignment horizontal="left" vertical="center" indent="1"/>
    </xf>
    <xf numFmtId="165" fontId="11" fillId="2" borderId="0" xfId="1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vertical="center"/>
    </xf>
    <xf numFmtId="3" fontId="11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 applyProtection="1">
      <alignment horizontal="right" vertical="center"/>
    </xf>
    <xf numFmtId="166" fontId="10" fillId="2" borderId="0" xfId="0" applyNumberFormat="1" applyFont="1" applyFill="1"/>
    <xf numFmtId="164" fontId="11" fillId="2" borderId="4" xfId="0" applyNumberFormat="1" applyFont="1" applyFill="1" applyBorder="1" applyAlignment="1">
      <alignment horizontal="left" vertical="center" indent="1"/>
    </xf>
    <xf numFmtId="165" fontId="11" fillId="2" borderId="4" xfId="1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Border="1"/>
    <xf numFmtId="164" fontId="12" fillId="2" borderId="5" xfId="0" applyNumberFormat="1" applyFont="1" applyFill="1" applyBorder="1" applyAlignment="1" applyProtection="1">
      <alignment vertical="center"/>
    </xf>
    <xf numFmtId="164" fontId="13" fillId="2" borderId="0" xfId="0" applyNumberFormat="1" applyFont="1" applyFill="1"/>
    <xf numFmtId="164" fontId="14" fillId="2" borderId="5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/>
    </xf>
    <xf numFmtId="165" fontId="4" fillId="2" borderId="0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44119694959952"/>
          <c:y val="0.13888616557570407"/>
          <c:w val="0.44104652797334065"/>
          <c:h val="0.84826527623317471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27A09D"/>
              </a:solidFill>
            </c:spPr>
          </c:dPt>
          <c:dPt>
            <c:idx val="1"/>
            <c:bubble3D val="0"/>
            <c:explosion val="4"/>
            <c:spPr>
              <a:solidFill>
                <a:srgbClr val="77DFDD"/>
              </a:solidFill>
            </c:spPr>
          </c:dPt>
          <c:dPt>
            <c:idx val="2"/>
            <c:bubble3D val="0"/>
            <c:spPr>
              <a:solidFill>
                <a:srgbClr val="1DFFFF"/>
              </a:solidFill>
            </c:spPr>
          </c:dPt>
          <c:dPt>
            <c:idx val="3"/>
            <c:bubble3D val="0"/>
            <c:spPr>
              <a:solidFill>
                <a:srgbClr val="E7FFFF"/>
              </a:solidFill>
            </c:spPr>
          </c:dPt>
          <c:dPt>
            <c:idx val="5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-3.3860971326542054E-2"/>
                  <c:y val="0.133385139772127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7.5405485573361977E-2"/>
                  <c:y val="0.151055365725589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1.2177126172413543E-2"/>
                  <c:y val="7.11996937882764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528759216970782E-3"/>
                  <c:y val="2.75138524351122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0894872639635285"/>
                  <c:y val="-0.10308288408690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0.21011805908567732"/>
                  <c:y val="-0.127694952300584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'[1]8.11'!$R$6:$R$11</c:f>
              <c:strCache>
                <c:ptCount val="6"/>
                <c:pt idx="0">
                  <c:v>Homicide</c:v>
                </c:pt>
                <c:pt idx="1">
                  <c:v>Suicide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Drowning</c:v>
                </c:pt>
                <c:pt idx="5">
                  <c:v>Other death cases logged</c:v>
                </c:pt>
              </c:strCache>
            </c:strRef>
          </c:cat>
          <c:val>
            <c:numRef>
              <c:f>'[1]8.11'!$S$6:$S$11</c:f>
              <c:numCache>
                <c:formatCode>0.0</c:formatCode>
                <c:ptCount val="6"/>
                <c:pt idx="0">
                  <c:v>6.4327485380116958</c:v>
                </c:pt>
                <c:pt idx="1">
                  <c:v>8.7719298245614024</c:v>
                </c:pt>
                <c:pt idx="2">
                  <c:v>6.4327485380116958</c:v>
                </c:pt>
                <c:pt idx="3">
                  <c:v>6.4327485380116958</c:v>
                </c:pt>
                <c:pt idx="4">
                  <c:v>10.526315789473683</c:v>
                </c:pt>
                <c:pt idx="5">
                  <c:v>61.403508771929829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942781</xdr:colOff>
      <xdr:row>13</xdr:row>
      <xdr:rowOff>193221</xdr:rowOff>
    </xdr:from>
    <xdr:to>
      <xdr:col>7</xdr:col>
      <xdr:colOff>1224643</xdr:colOff>
      <xdr:row>31</xdr:row>
      <xdr:rowOff>19439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1545383</xdr:colOff>
      <xdr:row>14</xdr:row>
      <xdr:rowOff>48597</xdr:rowOff>
    </xdr:from>
    <xdr:to>
      <xdr:col>7</xdr:col>
      <xdr:colOff>1059413</xdr:colOff>
      <xdr:row>15</xdr:row>
      <xdr:rowOff>184668</xdr:rowOff>
    </xdr:to>
    <xdr:sp macro="" textlink="">
      <xdr:nvSpPr>
        <xdr:cNvPr id="3" name="TextBox 2"/>
        <xdr:cNvSpPr txBox="1"/>
      </xdr:nvSpPr>
      <xdr:spPr>
        <a:xfrm>
          <a:off x="1545383" y="3696672"/>
          <a:ext cx="6229155" cy="326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8.13: Percentage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share of death cases logged, 2015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1593979</xdr:colOff>
      <xdr:row>15</xdr:row>
      <xdr:rowOff>145595</xdr:rowOff>
    </xdr:from>
    <xdr:to>
      <xdr:col>7</xdr:col>
      <xdr:colOff>398495</xdr:colOff>
      <xdr:row>15</xdr:row>
      <xdr:rowOff>145790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593979" y="3984170"/>
          <a:ext cx="5519641" cy="19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%20Year%20Book\YEARBOOK%202017\8.%20LAW%20AND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working 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R6" t="str">
            <v>Homicide</v>
          </cell>
          <cell r="S6">
            <v>6.4327485380116958</v>
          </cell>
        </row>
        <row r="7">
          <cell r="R7" t="str">
            <v>Suicide</v>
          </cell>
          <cell r="S7">
            <v>8.7719298245614024</v>
          </cell>
        </row>
        <row r="8">
          <cell r="R8" t="str">
            <v>Diving/snorkeling  accidents</v>
          </cell>
          <cell r="S8">
            <v>6.4327485380116958</v>
          </cell>
        </row>
        <row r="9">
          <cell r="R9" t="str">
            <v>Traffic accidents</v>
          </cell>
          <cell r="S9">
            <v>6.4327485380116958</v>
          </cell>
        </row>
        <row r="10">
          <cell r="R10" t="str">
            <v>Drowning</v>
          </cell>
          <cell r="S10">
            <v>10.526315789473683</v>
          </cell>
        </row>
        <row r="11">
          <cell r="R11" t="str">
            <v>Other death cases logged</v>
          </cell>
          <cell r="S11">
            <v>61.403508771929829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zoomScaleNormal="100" workbookViewId="0">
      <selection activeCell="A2" sqref="A2:H2"/>
    </sheetView>
  </sheetViews>
  <sheetFormatPr defaultColWidth="9.140625" defaultRowHeight="15" x14ac:dyDescent="0.25"/>
  <cols>
    <col min="1" max="1" width="26.140625" style="3" customWidth="1"/>
    <col min="2" max="6" width="9.140625" style="3"/>
    <col min="7" max="7" width="22.140625" style="3" customWidth="1"/>
    <col min="8" max="8" width="24.85546875" style="3" customWidth="1"/>
    <col min="9" max="9" width="4.42578125" style="3" customWidth="1"/>
    <col min="10" max="15" width="24.85546875" style="3" customWidth="1"/>
    <col min="16" max="16" width="25.7109375" style="3" customWidth="1"/>
    <col min="17" max="16384" width="9.140625" style="3"/>
  </cols>
  <sheetData>
    <row r="1" spans="1:18" ht="21" x14ac:dyDescent="0.25">
      <c r="A1" s="1" t="s">
        <v>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</row>
    <row r="2" spans="1:18" x14ac:dyDescent="0.25">
      <c r="A2" s="4" t="s">
        <v>21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</row>
    <row r="3" spans="1:18" ht="51.75" x14ac:dyDescent="0.25">
      <c r="A3" s="6" t="s">
        <v>0</v>
      </c>
      <c r="B3" s="7">
        <v>2011</v>
      </c>
      <c r="C3" s="7">
        <v>2012</v>
      </c>
      <c r="D3" s="7">
        <v>2013</v>
      </c>
      <c r="E3" s="7">
        <v>2014</v>
      </c>
      <c r="F3" s="7">
        <v>2015</v>
      </c>
      <c r="G3" s="8" t="s">
        <v>1</v>
      </c>
      <c r="H3" s="9" t="s">
        <v>2</v>
      </c>
      <c r="I3" s="10"/>
      <c r="J3" s="10"/>
      <c r="K3" s="10"/>
      <c r="L3" s="10"/>
      <c r="M3" s="10"/>
      <c r="N3" s="10"/>
      <c r="O3" s="10"/>
    </row>
    <row r="4" spans="1:18" ht="18.75" x14ac:dyDescent="0.25">
      <c r="A4" s="11"/>
      <c r="B4" s="12"/>
      <c r="C4" s="12"/>
      <c r="D4" s="12"/>
      <c r="E4" s="12"/>
      <c r="F4" s="12"/>
      <c r="G4" s="13" t="s">
        <v>3</v>
      </c>
      <c r="H4" s="14"/>
      <c r="I4" s="15"/>
      <c r="J4" s="15"/>
      <c r="K4" s="15"/>
      <c r="L4" s="15"/>
      <c r="M4" s="15"/>
      <c r="N4" s="15"/>
      <c r="O4" s="15"/>
    </row>
    <row r="5" spans="1:18" s="21" customFormat="1" ht="18.75" x14ac:dyDescent="0.15">
      <c r="A5" s="16" t="s">
        <v>4</v>
      </c>
      <c r="B5" s="17">
        <f>SUM(B6:B11)</f>
        <v>171</v>
      </c>
      <c r="C5" s="17">
        <f>SUM(C6:C11)</f>
        <v>190</v>
      </c>
      <c r="D5" s="17">
        <f>SUM(D6:D11)</f>
        <v>183</v>
      </c>
      <c r="E5" s="18">
        <v>174</v>
      </c>
      <c r="F5" s="18">
        <f>SUM(F6:F11)</f>
        <v>171</v>
      </c>
      <c r="G5" s="19">
        <f>((F5-E5)/E5)*100</f>
        <v>-1.7241379310344827</v>
      </c>
      <c r="H5" s="20" t="s">
        <v>5</v>
      </c>
      <c r="I5" s="20"/>
      <c r="J5" s="20"/>
      <c r="K5" s="20"/>
      <c r="L5" s="20"/>
      <c r="M5" s="20"/>
      <c r="N5" s="20"/>
      <c r="O5" s="20"/>
      <c r="Q5" s="22"/>
    </row>
    <row r="6" spans="1:18" s="22" customFormat="1" ht="18.75" x14ac:dyDescent="0.15">
      <c r="A6" s="23" t="s">
        <v>6</v>
      </c>
      <c r="B6" s="24">
        <v>3</v>
      </c>
      <c r="C6" s="24">
        <v>10</v>
      </c>
      <c r="D6" s="25">
        <v>3</v>
      </c>
      <c r="E6" s="26">
        <v>3</v>
      </c>
      <c r="F6" s="26">
        <v>11</v>
      </c>
      <c r="G6" s="27">
        <f>((F6-E6)/E6*100)</f>
        <v>266.66666666666663</v>
      </c>
      <c r="H6" s="28" t="s">
        <v>7</v>
      </c>
      <c r="I6" s="28"/>
      <c r="J6" s="28"/>
      <c r="K6" s="28"/>
      <c r="L6" s="28"/>
      <c r="M6" s="28"/>
      <c r="N6" s="28"/>
      <c r="O6" s="28"/>
      <c r="Q6" s="23" t="s">
        <v>6</v>
      </c>
      <c r="R6" s="29">
        <v>6.4327485380116958</v>
      </c>
    </row>
    <row r="7" spans="1:18" s="22" customFormat="1" ht="18.75" x14ac:dyDescent="0.15">
      <c r="A7" s="23" t="s">
        <v>8</v>
      </c>
      <c r="B7" s="24">
        <v>13</v>
      </c>
      <c r="C7" s="24">
        <v>8</v>
      </c>
      <c r="D7" s="25">
        <v>19</v>
      </c>
      <c r="E7" s="26">
        <v>12</v>
      </c>
      <c r="F7" s="26">
        <v>15</v>
      </c>
      <c r="G7" s="27">
        <f>((F7-E7)/E7*100)</f>
        <v>25</v>
      </c>
      <c r="H7" s="28" t="s">
        <v>9</v>
      </c>
      <c r="I7" s="28"/>
      <c r="J7" s="28"/>
      <c r="K7" s="28"/>
      <c r="L7" s="28"/>
      <c r="M7" s="28"/>
      <c r="N7" s="28"/>
      <c r="O7" s="28"/>
      <c r="Q7" s="23" t="s">
        <v>8</v>
      </c>
      <c r="R7" s="29">
        <v>8.7719298245614024</v>
      </c>
    </row>
    <row r="8" spans="1:18" s="22" customFormat="1" ht="18.75" x14ac:dyDescent="0.15">
      <c r="A8" s="23" t="s">
        <v>10</v>
      </c>
      <c r="B8" s="24">
        <v>13</v>
      </c>
      <c r="C8" s="24">
        <v>12</v>
      </c>
      <c r="D8" s="25">
        <v>15</v>
      </c>
      <c r="E8" s="26">
        <v>14</v>
      </c>
      <c r="F8" s="26">
        <v>11</v>
      </c>
      <c r="G8" s="27">
        <f t="shared" ref="G8:G11" si="0">((F8-E8)/E8*100)</f>
        <v>-21.428571428571427</v>
      </c>
      <c r="H8" s="28" t="s">
        <v>11</v>
      </c>
      <c r="I8" s="28"/>
      <c r="J8" s="28"/>
      <c r="K8" s="28"/>
      <c r="L8" s="28"/>
      <c r="M8" s="28"/>
      <c r="N8" s="28"/>
      <c r="O8" s="28"/>
      <c r="Q8" s="23" t="s">
        <v>10</v>
      </c>
      <c r="R8" s="29">
        <v>6.4327485380116958</v>
      </c>
    </row>
    <row r="9" spans="1:18" s="22" customFormat="1" ht="18.75" x14ac:dyDescent="0.15">
      <c r="A9" s="23" t="s">
        <v>12</v>
      </c>
      <c r="B9" s="24">
        <v>7</v>
      </c>
      <c r="C9" s="24">
        <v>5</v>
      </c>
      <c r="D9" s="25">
        <v>2</v>
      </c>
      <c r="E9" s="26">
        <v>10</v>
      </c>
      <c r="F9" s="26">
        <v>11</v>
      </c>
      <c r="G9" s="27">
        <f>((F9-E9)/E9*100)</f>
        <v>10</v>
      </c>
      <c r="H9" s="28" t="s">
        <v>13</v>
      </c>
      <c r="I9" s="28"/>
      <c r="J9" s="28"/>
      <c r="K9" s="28"/>
      <c r="L9" s="28"/>
      <c r="M9" s="28"/>
      <c r="N9" s="28"/>
      <c r="O9" s="28"/>
      <c r="Q9" s="23" t="s">
        <v>12</v>
      </c>
      <c r="R9" s="29">
        <v>6.4327485380116958</v>
      </c>
    </row>
    <row r="10" spans="1:18" s="22" customFormat="1" ht="18.75" x14ac:dyDescent="0.15">
      <c r="A10" s="23" t="s">
        <v>14</v>
      </c>
      <c r="B10" s="24">
        <v>8</v>
      </c>
      <c r="C10" s="24">
        <v>30</v>
      </c>
      <c r="D10" s="25">
        <v>15</v>
      </c>
      <c r="E10" s="26">
        <v>13</v>
      </c>
      <c r="F10" s="26">
        <v>18</v>
      </c>
      <c r="G10" s="27">
        <f t="shared" si="0"/>
        <v>38.461538461538467</v>
      </c>
      <c r="H10" s="28" t="s">
        <v>15</v>
      </c>
      <c r="I10" s="28"/>
      <c r="J10" s="28"/>
      <c r="K10" s="28"/>
      <c r="L10" s="28"/>
      <c r="M10" s="28"/>
      <c r="N10" s="28"/>
      <c r="O10" s="28"/>
      <c r="Q10" s="23" t="s">
        <v>14</v>
      </c>
      <c r="R10" s="29">
        <v>10.526315789473683</v>
      </c>
    </row>
    <row r="11" spans="1:18" s="36" customFormat="1" ht="18.75" x14ac:dyDescent="0.15">
      <c r="A11" s="30" t="s">
        <v>16</v>
      </c>
      <c r="B11" s="31">
        <v>127</v>
      </c>
      <c r="C11" s="31">
        <v>125</v>
      </c>
      <c r="D11" s="32">
        <v>129</v>
      </c>
      <c r="E11" s="33">
        <v>122</v>
      </c>
      <c r="F11" s="33">
        <v>105</v>
      </c>
      <c r="G11" s="34">
        <f t="shared" si="0"/>
        <v>-13.934426229508196</v>
      </c>
      <c r="H11" s="35" t="s">
        <v>17</v>
      </c>
      <c r="I11" s="28"/>
      <c r="J11" s="28"/>
      <c r="K11" s="28"/>
      <c r="L11" s="28"/>
      <c r="M11" s="28"/>
      <c r="N11" s="28"/>
      <c r="O11" s="28"/>
      <c r="Q11" s="30" t="s">
        <v>16</v>
      </c>
      <c r="R11" s="29">
        <v>61.403508771929829</v>
      </c>
    </row>
    <row r="12" spans="1:18" x14ac:dyDescent="0.25">
      <c r="A12" s="37" t="s">
        <v>18</v>
      </c>
      <c r="B12" s="38"/>
      <c r="C12" s="38"/>
      <c r="D12" s="38"/>
      <c r="E12" s="38"/>
      <c r="F12" s="38"/>
      <c r="G12" s="38"/>
      <c r="H12" s="39" t="s">
        <v>19</v>
      </c>
      <c r="I12" s="40"/>
      <c r="J12" s="40"/>
      <c r="K12" s="40"/>
      <c r="L12" s="40"/>
      <c r="M12" s="40"/>
      <c r="N12" s="40"/>
      <c r="O12" s="40"/>
    </row>
    <row r="16" spans="1:18" x14ac:dyDescent="0.25">
      <c r="B16" s="41"/>
    </row>
  </sheetData>
  <mergeCells count="9">
    <mergeCell ref="A1:H1"/>
    <mergeCell ref="A2:H2"/>
    <mergeCell ref="A3:A4"/>
    <mergeCell ref="B3:B4"/>
    <mergeCell ref="C3:C4"/>
    <mergeCell ref="D3:D4"/>
    <mergeCell ref="E3:E4"/>
    <mergeCell ref="F3:F4"/>
    <mergeCell ref="H3:H4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8.11</vt:lpstr>
      <vt:lpstr>'8.11'!Print_Area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2017-01-16T06:11:12Z</cp:lastPrinted>
  <dcterms:created xsi:type="dcterms:W3CDTF">2017-01-16T06:07:17Z</dcterms:created>
  <dcterms:modified xsi:type="dcterms:W3CDTF">2017-01-16T06:11:14Z</dcterms:modified>
</cp:coreProperties>
</file>