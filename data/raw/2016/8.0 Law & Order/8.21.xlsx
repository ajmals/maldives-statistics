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1" sheetId="51" r:id="rId2"/>
  </sheets>
  <externalReferences>
    <externalReference r:id="rId3"/>
    <externalReference r:id="rId4"/>
    <externalReference r:id="rId5"/>
  </externalReferences>
  <definedNames>
    <definedName name="_xlnm.Print_Area" localSheetId="1">'8.21'!$A$1:$AC$70</definedName>
  </definedNames>
  <calcPr calcId="144525"/>
</workbook>
</file>

<file path=xl/calcChain.xml><?xml version="1.0" encoding="utf-8"?>
<calcChain xmlns="http://schemas.openxmlformats.org/spreadsheetml/2006/main">
  <c r="AA13" i="51" l="1"/>
  <c r="Z13" i="51"/>
  <c r="Y13" i="51"/>
  <c r="X13" i="51"/>
  <c r="W13" i="51"/>
  <c r="V13" i="51"/>
  <c r="AQ31" i="51" s="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F13" i="51"/>
  <c r="E13" i="51"/>
  <c r="D13" i="51"/>
  <c r="C13" i="51"/>
  <c r="B13" i="51"/>
  <c r="AA7" i="51"/>
  <c r="Z7" i="51"/>
  <c r="Z6" i="51" s="1"/>
  <c r="Y7" i="51"/>
  <c r="X7" i="51"/>
  <c r="W7" i="51"/>
  <c r="V7" i="51"/>
  <c r="U7" i="51"/>
  <c r="T7" i="51"/>
  <c r="S7" i="51"/>
  <c r="R7" i="51"/>
  <c r="R6" i="51" s="1"/>
  <c r="Q7" i="51"/>
  <c r="P7" i="51"/>
  <c r="O7" i="51"/>
  <c r="N7" i="51"/>
  <c r="N6" i="51" s="1"/>
  <c r="M7" i="51"/>
  <c r="L7" i="51"/>
  <c r="K7" i="51"/>
  <c r="J7" i="51"/>
  <c r="J6" i="51" s="1"/>
  <c r="I7" i="51"/>
  <c r="H7" i="51"/>
  <c r="F7" i="51"/>
  <c r="E7" i="51"/>
  <c r="E6" i="51" s="1"/>
  <c r="D7" i="51"/>
  <c r="C7" i="51"/>
  <c r="C6" i="51" s="1"/>
  <c r="B7" i="51"/>
  <c r="AA6" i="51"/>
  <c r="X6" i="51"/>
  <c r="T6" i="51"/>
  <c r="S6" i="51"/>
  <c r="P6" i="51"/>
  <c r="L6" i="51"/>
  <c r="K6" i="51"/>
  <c r="H6" i="51"/>
  <c r="B6" i="51"/>
  <c r="F6" i="51" l="1"/>
  <c r="O6" i="51"/>
  <c r="I6" i="51"/>
  <c r="Q6" i="51"/>
  <c r="Y6" i="51"/>
  <c r="D6" i="51"/>
  <c r="U6" i="51"/>
  <c r="V6" i="51"/>
  <c r="AQ29" i="51" s="1"/>
  <c r="AQ30" i="51"/>
  <c r="W6" i="51"/>
  <c r="M6" i="5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<sst xmlns="http://schemas.openxmlformats.org/spreadsheetml/2006/main" count="288" uniqueCount="111">
  <si>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</si>
  <si>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</si>
  <si>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</si>
  <si>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</si>
  <si>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</si>
  <si>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</si>
  <si>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</si>
  <si>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</si>
  <si>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</si>
  <si>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</si>
  <si>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</si>
  <si>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</si>
  <si>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</si>
  <si>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</si>
  <si>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</si>
  <si>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</si>
  <si>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</si>
  <si>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</si>
  <si>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</si>
  <si>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</si>
  <si>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</si>
  <si>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</si>
  <si>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</si>
  <si>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</si>
  <si>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</si>
  <si>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</si>
  <si>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</si>
  <si>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</si>
  <si>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</si>
  <si>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</si>
  <si>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</si>
  <si>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</si>
  <si>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</si>
  <si>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</si>
  <si>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</si>
  <si>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</si>
  <si>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</si>
  <si>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</si>
  <si>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</si>
  <si>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</si>
  <si>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</si>
  <si>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</si>
  <si>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</si>
  <si>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</si>
  <si>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</si>
  <si>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</si>
  <si>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</si>
  <si>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</si>
  <si>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</si>
  <si>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</si>
  <si>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</si>
  <si>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</si>
  <si>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</si>
  <si>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</si>
  <si>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</si>
  <si>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</si>
  <si>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</si>
  <si>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</si>
  <si>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</si>
  <si>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</si>
  <si>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</si>
  <si>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</si>
  <si>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</si>
  <si>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</si>
  <si>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</si>
  <si>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Juvenile court</t>
  </si>
  <si>
    <t>Family court</t>
  </si>
  <si>
    <t>Criminal court</t>
  </si>
  <si>
    <t>Civil court</t>
  </si>
  <si>
    <t>އަތޮޅޮތައް</t>
  </si>
  <si>
    <t>Marriage</t>
  </si>
  <si>
    <t>Divorce</t>
  </si>
  <si>
    <t>ކްރިމިނަލް މައްސަލަ</t>
  </si>
  <si>
    <t>ސިވިލް މައްސަލަ</t>
  </si>
  <si>
    <t>އާއިލީ މައްސަލަ</t>
  </si>
  <si>
    <t>ކައިވެނި</t>
  </si>
  <si>
    <t>ވަރި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</si>
  <si>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</si>
  <si>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</si>
  <si>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</si>
  <si>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</si>
  <si>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</si>
  <si>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 xml:space="preserve"> Atolls</t>
  </si>
  <si>
    <t>ކްރިމިނަލްކޯޓް</t>
  </si>
  <si>
    <t>ސިވިލް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</si>
  <si>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</si>
  <si>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</si>
  <si>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</si>
  <si>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</si>
  <si>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</si>
  <si>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</si>
  <si>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</si>
  <si>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</si>
  <si>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</si>
  <si>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</si>
  <si>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</si>
  <si>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</si>
  <si>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</si>
  <si>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</si>
  <si>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</si>
  <si>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</si>
  <si>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</si>
  <si>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</si>
  <si>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</si>
  <si>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</si>
  <si>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</si>
  <si>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ޖިނާއީ މައްސަލަ</t>
  </si>
  <si>
    <t>މަދަނީ މައްސަލަ</t>
  </si>
  <si>
    <t xml:space="preserve">ތާވަލް 8.21: މާލެއާއި ރަށްރަށުގެ ކޯޓުތަކަށް ހުށައެޅިފައިވާ މައްސަލަތައް، 2014 -2015 </t>
  </si>
  <si>
    <t>Table 8.21: SUMMARY OF ALL NEW CASES FILED IN COURTS IN MALE' AND ATOLLS, 2014 - 2015</t>
  </si>
  <si>
    <t>ފެމިލީކޯޓް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</si>
</sst>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Faruma"/>
    </font>
    <font>
      <b/>
      <sz val="10"/>
      <name val="Faruma"/>
    </font>
    <font>
      <sz val="4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1" fillId="0" borderId="20" applyNumberFormat="0" applyFill="0" applyAlignment="0" applyProtection="0"/>
    <xf numFmtId="0" fontId="7" fillId="0" borderId="0"/>
    <xf numFmtId="166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0" applyNumberFormat="0" applyFill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25" applyNumberFormat="0" applyAlignment="0" applyProtection="0"/>
    <xf numFmtId="0" fontId="22" fillId="8" borderId="26" applyNumberFormat="0" applyAlignment="0" applyProtection="0"/>
    <xf numFmtId="0" fontId="23" fillId="8" borderId="25" applyNumberFormat="0" applyAlignment="0" applyProtection="0"/>
    <xf numFmtId="0" fontId="24" fillId="0" borderId="27" applyNumberFormat="0" applyFill="0" applyAlignment="0" applyProtection="0"/>
    <xf numFmtId="0" fontId="25" fillId="9" borderId="28" applyNumberFormat="0" applyAlignment="0" applyProtection="0"/>
    <xf numFmtId="0" fontId="13" fillId="0" borderId="0" applyNumberFormat="0" applyFill="0" applyBorder="0" applyAlignment="0" applyProtection="0"/>
    <xf numFmtId="0" fontId="1" fillId="10" borderId="29" applyNumberFormat="0" applyFont="0" applyAlignment="0" applyProtection="0"/>
    <xf numFmtId="0" fontId="26" fillId="0" borderId="0" applyNumberFormat="0" applyFill="0" applyBorder="0" applyAlignment="0" applyProtection="0"/>
    <xf numFmtId="0" fontId="2" fillId="0" borderId="30" applyNumberFormat="0" applyFill="0" applyAlignment="0" applyProtection="0"/>
    <xf numFmtId="0" fontId="2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34" borderId="0" applyNumberFormat="0" applyBorder="0" applyAlignment="0" applyProtection="0"/>
    <xf numFmtId="0" fontId="1" fillId="0" borderId="0"/>
    <xf numFmtId="0" fontId="7" fillId="0" borderId="0"/>
  </cellStyleXfs>
  <cellXfs count="13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5" xfId="1" applyNumberFormat="1" applyFont="1" applyFill="1" applyBorder="1" applyAlignment="1">
      <alignment horizontal="right" vertical="center" wrapText="1"/>
    </xf>
    <xf numFmtId="166" fontId="3" fillId="2" borderId="5" xfId="1" applyNumberFormat="1" applyFont="1" applyFill="1" applyBorder="1" applyAlignment="1">
      <alignment horizontal="right" vertical="top" wrapText="1"/>
    </xf>
    <xf numFmtId="0" fontId="4" fillId="2" borderId="21" xfId="0" applyNumberFormat="1" applyFont="1" applyFill="1" applyBorder="1" applyAlignment="1">
      <alignment horizontal="center" vertical="center"/>
    </xf>
    <xf numFmtId="0" fontId="4" fillId="2" borderId="21" xfId="0" applyNumberFormat="1" applyFont="1" applyFill="1" applyBorder="1" applyAlignment="1">
      <alignment horizontal="left" vertical="center" wrapText="1"/>
    </xf>
    <xf numFmtId="3" fontId="4" fillId="2" borderId="21" xfId="1" applyNumberFormat="1" applyFont="1" applyFill="1" applyBorder="1" applyAlignment="1"/>
    <xf numFmtId="3" fontId="3" fillId="2" borderId="2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8" fillId="2" borderId="6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2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2" xfId="1" applyNumberFormat="1" applyFont="1" applyFill="1" applyBorder="1" applyAlignment="1">
      <alignment horizontal="center" vertical="center" wrapText="1"/>
    </xf>
    <xf numFmtId="166" fontId="3" fillId="3" borderId="5" xfId="1" applyNumberFormat="1" applyFont="1" applyFill="1" applyBorder="1" applyAlignment="1">
      <alignment horizontal="right" vertical="center" wrapText="1"/>
    </xf>
    <xf numFmtId="166" fontId="3" fillId="3" borderId="5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3" fillId="2" borderId="0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top"/>
    </xf>
    <xf numFmtId="164" fontId="3" fillId="2" borderId="44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right" vertical="center" wrapText="1"/>
    </xf>
    <xf numFmtId="164" fontId="3" fillId="2" borderId="46" xfId="0" applyNumberFormat="1" applyFont="1" applyFill="1" applyBorder="1" applyAlignment="1">
      <alignment horizontal="right" vertical="center" wrapText="1"/>
    </xf>
    <xf numFmtId="164" fontId="3" fillId="2" borderId="47" xfId="0" applyNumberFormat="1" applyFont="1" applyFill="1" applyBorder="1" applyAlignment="1">
      <alignment horizontal="right" vertical="center" wrapText="1"/>
    </xf>
    <xf numFmtId="164" fontId="3" fillId="2" borderId="48" xfId="0" applyNumberFormat="1" applyFont="1" applyFill="1" applyBorder="1" applyAlignment="1">
      <alignment horizontal="right" vertical="center" wrapText="1"/>
    </xf>
    <xf numFmtId="164" fontId="3" fillId="2" borderId="10" xfId="0" applyNumberFormat="1" applyFont="1" applyFill="1" applyBorder="1" applyAlignment="1">
      <alignment horizontal="right" vertical="center" wrapText="1"/>
    </xf>
    <xf numFmtId="164" fontId="3" fillId="2" borderId="13" xfId="0" applyNumberFormat="1" applyFont="1" applyFill="1" applyBorder="1" applyAlignment="1">
      <alignment horizontal="right" vertical="center" wrapText="1"/>
    </xf>
    <xf numFmtId="164" fontId="4" fillId="2" borderId="7" xfId="0" applyNumberFormat="1" applyFont="1" applyFill="1" applyBorder="1" applyAlignment="1">
      <alignment vertical="center"/>
    </xf>
    <xf numFmtId="164" fontId="29" fillId="2" borderId="18" xfId="0" applyNumberFormat="1" applyFont="1" applyFill="1" applyBorder="1" applyAlignment="1">
      <alignment horizontal="right" vertical="center"/>
    </xf>
    <xf numFmtId="164" fontId="29" fillId="2" borderId="8" xfId="0" applyNumberFormat="1" applyFont="1" applyFill="1" applyBorder="1" applyAlignment="1">
      <alignment horizontal="right" vertical="center"/>
    </xf>
    <xf numFmtId="164" fontId="29" fillId="2" borderId="19" xfId="0" applyNumberFormat="1" applyFont="1" applyFill="1" applyBorder="1" applyAlignment="1">
      <alignment horizontal="right" vertical="center"/>
    </xf>
    <xf numFmtId="164" fontId="29" fillId="2" borderId="49" xfId="0" applyNumberFormat="1" applyFont="1" applyFill="1" applyBorder="1" applyAlignment="1">
      <alignment horizontal="right" vertical="center"/>
    </xf>
    <xf numFmtId="164" fontId="29" fillId="2" borderId="17" xfId="0" applyNumberFormat="1" applyFont="1" applyFill="1" applyBorder="1" applyAlignment="1">
      <alignment horizontal="right" vertical="center"/>
    </xf>
    <xf numFmtId="164" fontId="29" fillId="2" borderId="5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 vertical="center" indent="1"/>
    </xf>
    <xf numFmtId="3" fontId="3" fillId="2" borderId="35" xfId="1" applyNumberFormat="1" applyFont="1" applyFill="1" applyBorder="1" applyAlignment="1">
      <alignment horizontal="right" vertical="center"/>
    </xf>
    <xf numFmtId="3" fontId="3" fillId="2" borderId="50" xfId="1" applyNumberFormat="1" applyFont="1" applyFill="1" applyBorder="1" applyAlignment="1">
      <alignment horizontal="right" vertical="center"/>
    </xf>
    <xf numFmtId="3" fontId="3" fillId="2" borderId="51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164" fontId="29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left" vertical="center"/>
    </xf>
    <xf numFmtId="3" fontId="3" fillId="2" borderId="37" xfId="1" applyNumberFormat="1" applyFont="1" applyFill="1" applyBorder="1" applyAlignment="1">
      <alignment horizontal="right" vertical="center"/>
    </xf>
    <xf numFmtId="3" fontId="3" fillId="2" borderId="52" xfId="1" applyNumberFormat="1" applyFont="1" applyFill="1" applyBorder="1" applyAlignment="1">
      <alignment horizontal="right" vertical="center"/>
    </xf>
    <xf numFmtId="3" fontId="3" fillId="2" borderId="53" xfId="1" applyNumberFormat="1" applyFont="1" applyFill="1" applyBorder="1" applyAlignment="1">
      <alignment horizontal="right" vertical="center"/>
    </xf>
    <xf numFmtId="3" fontId="3" fillId="2" borderId="54" xfId="1" applyNumberFormat="1" applyFont="1" applyFill="1" applyBorder="1" applyAlignment="1">
      <alignment horizontal="right" vertical="center"/>
    </xf>
    <xf numFmtId="164" fontId="29" fillId="2" borderId="32" xfId="0" applyNumberFormat="1" applyFont="1" applyFill="1" applyBorder="1" applyAlignment="1">
      <alignment horizontal="right" vertical="center"/>
    </xf>
    <xf numFmtId="164" fontId="4" fillId="2" borderId="32" xfId="0" applyNumberFormat="1" applyFont="1" applyFill="1" applyBorder="1" applyAlignment="1">
      <alignment horizontal="left" vertical="center"/>
    </xf>
    <xf numFmtId="164" fontId="4" fillId="2" borderId="32" xfId="0" applyNumberFormat="1" applyFont="1" applyFill="1" applyBorder="1" applyAlignment="1" applyProtection="1">
      <alignment horizontal="left" vertical="center" indent="2"/>
    </xf>
    <xf numFmtId="3" fontId="4" fillId="2" borderId="32" xfId="1" applyNumberFormat="1" applyFont="1" applyFill="1" applyBorder="1" applyAlignment="1">
      <alignment horizontal="right" vertical="center"/>
    </xf>
    <xf numFmtId="3" fontId="4" fillId="2" borderId="55" xfId="1" applyNumberFormat="1" applyFont="1" applyFill="1" applyBorder="1" applyAlignment="1">
      <alignment horizontal="right" vertical="center"/>
    </xf>
    <xf numFmtId="3" fontId="4" fillId="2" borderId="53" xfId="1" applyNumberFormat="1" applyFont="1" applyFill="1" applyBorder="1" applyAlignment="1">
      <alignment horizontal="right" vertical="center"/>
    </xf>
    <xf numFmtId="3" fontId="4" fillId="2" borderId="37" xfId="1" applyNumberFormat="1" applyFont="1" applyFill="1" applyBorder="1" applyAlignment="1">
      <alignment horizontal="right" vertical="center"/>
    </xf>
    <xf numFmtId="3" fontId="4" fillId="2" borderId="36" xfId="1" applyNumberFormat="1" applyFont="1" applyFill="1" applyBorder="1" applyAlignment="1">
      <alignment horizontal="right" vertical="center"/>
    </xf>
    <xf numFmtId="164" fontId="3" fillId="2" borderId="32" xfId="0" applyNumberFormat="1" applyFont="1" applyFill="1" applyBorder="1" applyAlignment="1" applyProtection="1">
      <alignment horizontal="left" vertical="center" indent="1"/>
    </xf>
    <xf numFmtId="164" fontId="4" fillId="2" borderId="38" xfId="0" applyNumberFormat="1" applyFont="1" applyFill="1" applyBorder="1" applyAlignment="1" applyProtection="1">
      <alignment horizontal="left" vertical="center" indent="2"/>
    </xf>
    <xf numFmtId="3" fontId="4" fillId="2" borderId="38" xfId="1" applyNumberFormat="1" applyFont="1" applyFill="1" applyBorder="1" applyAlignment="1">
      <alignment horizontal="right" vertical="center"/>
    </xf>
    <xf numFmtId="3" fontId="4" fillId="2" borderId="56" xfId="1" applyNumberFormat="1" applyFont="1" applyFill="1" applyBorder="1" applyAlignment="1">
      <alignment horizontal="right" vertical="center"/>
    </xf>
    <xf numFmtId="3" fontId="4" fillId="2" borderId="57" xfId="1" applyNumberFormat="1" applyFont="1" applyFill="1" applyBorder="1" applyAlignment="1">
      <alignment horizontal="right" vertical="center"/>
    </xf>
    <xf numFmtId="3" fontId="4" fillId="2" borderId="34" xfId="1" applyNumberFormat="1" applyFont="1" applyFill="1" applyBorder="1" applyAlignment="1">
      <alignment horizontal="right" vertical="center"/>
    </xf>
    <xf numFmtId="3" fontId="4" fillId="2" borderId="33" xfId="1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 applyProtection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4" fillId="2" borderId="32" xfId="0" applyNumberFormat="1" applyFont="1" applyFill="1" applyBorder="1" applyAlignment="1">
      <alignment vertical="center"/>
    </xf>
    <xf numFmtId="164" fontId="4" fillId="2" borderId="32" xfId="0" applyNumberFormat="1" applyFont="1" applyFill="1" applyBorder="1" applyAlignment="1">
      <alignment horizontal="right" vertical="center"/>
    </xf>
    <xf numFmtId="164" fontId="28" fillId="2" borderId="32" xfId="0" applyNumberFormat="1" applyFont="1" applyFill="1" applyBorder="1" applyAlignment="1">
      <alignment vertical="center"/>
    </xf>
    <xf numFmtId="164" fontId="30" fillId="2" borderId="40" xfId="0" applyNumberFormat="1" applyFont="1" applyFill="1" applyBorder="1" applyAlignment="1">
      <alignment vertical="center"/>
    </xf>
    <xf numFmtId="164" fontId="30" fillId="2" borderId="22" xfId="0" applyNumberFormat="1" applyFont="1" applyFill="1" applyBorder="1" applyAlignment="1">
      <alignment vertical="center"/>
    </xf>
    <xf numFmtId="164" fontId="30" fillId="2" borderId="41" xfId="0" applyNumberFormat="1" applyFont="1" applyFill="1" applyBorder="1" applyAlignment="1">
      <alignment vertical="center"/>
    </xf>
    <xf numFmtId="164" fontId="30" fillId="2" borderId="0" xfId="0" applyNumberFormat="1" applyFont="1" applyFill="1" applyBorder="1" applyAlignment="1">
      <alignment vertical="center"/>
    </xf>
    <xf numFmtId="164" fontId="30" fillId="2" borderId="31" xfId="0" applyNumberFormat="1" applyFont="1" applyFill="1" applyBorder="1" applyAlignment="1">
      <alignment vertical="center"/>
    </xf>
    <xf numFmtId="164" fontId="30" fillId="2" borderId="3" xfId="0" applyNumberFormat="1" applyFont="1" applyFill="1" applyBorder="1" applyAlignment="1">
      <alignment vertical="center"/>
    </xf>
    <xf numFmtId="164" fontId="28" fillId="2" borderId="32" xfId="0" applyNumberFormat="1" applyFont="1" applyFill="1" applyBorder="1" applyAlignment="1">
      <alignment horizontal="right" vertical="center" indent="1"/>
    </xf>
    <xf numFmtId="164" fontId="28" fillId="2" borderId="32" xfId="0" applyNumberFormat="1" applyFont="1" applyFill="1" applyBorder="1" applyAlignment="1">
      <alignment horizontal="right" vertical="center" indent="2"/>
    </xf>
    <xf numFmtId="164" fontId="28" fillId="2" borderId="38" xfId="0" applyNumberFormat="1" applyFont="1" applyFill="1" applyBorder="1" applyAlignment="1">
      <alignment horizontal="right" vertical="center" indent="2"/>
    </xf>
    <xf numFmtId="164" fontId="9" fillId="2" borderId="0" xfId="0" applyNumberFormat="1" applyFont="1" applyFill="1" applyAlignment="1">
      <alignment horizontal="center"/>
    </xf>
    <xf numFmtId="164" fontId="10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6" fontId="3" fillId="3" borderId="12" xfId="1" applyNumberFormat="1" applyFont="1" applyFill="1" applyBorder="1" applyAlignment="1">
      <alignment horizontal="center" vertical="center" wrapText="1"/>
    </xf>
    <xf numFmtId="166" fontId="3" fillId="2" borderId="12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29" fillId="2" borderId="0" xfId="0" applyNumberFormat="1" applyFont="1" applyFill="1" applyBorder="1" applyAlignment="1">
      <alignment horizontal="center" vertical="center"/>
    </xf>
    <xf numFmtId="164" fontId="3" fillId="2" borderId="39" xfId="0" applyNumberFormat="1" applyFont="1" applyFill="1" applyBorder="1" applyAlignment="1" applyProtection="1">
      <alignment horizontal="center" vertical="top" wrapText="1"/>
    </xf>
    <xf numFmtId="164" fontId="3" fillId="2" borderId="5" xfId="0" applyNumberFormat="1" applyFont="1" applyFill="1" applyBorder="1" applyAlignment="1" applyProtection="1">
      <alignment horizontal="center" vertical="top" wrapText="1"/>
    </xf>
    <xf numFmtId="164" fontId="3" fillId="2" borderId="15" xfId="0" applyNumberFormat="1" applyFont="1" applyFill="1" applyBorder="1" applyAlignment="1">
      <alignment horizontal="left" vertical="center"/>
    </xf>
    <xf numFmtId="164" fontId="3" fillId="2" borderId="16" xfId="0" applyNumberFormat="1" applyFont="1" applyFill="1" applyBorder="1" applyAlignment="1">
      <alignment horizontal="left" vertical="center"/>
    </xf>
    <xf numFmtId="164" fontId="3" fillId="2" borderId="17" xfId="0" applyNumberFormat="1" applyFont="1" applyFill="1" applyBorder="1" applyAlignment="1">
      <alignment horizontal="left" vertical="center"/>
    </xf>
    <xf numFmtId="164" fontId="3" fillId="2" borderId="42" xfId="0" applyNumberFormat="1" applyFont="1" applyFill="1" applyBorder="1" applyAlignment="1">
      <alignment horizontal="center" vertical="center"/>
    </xf>
    <xf numFmtId="164" fontId="3" fillId="2" borderId="43" xfId="0" applyNumberFormat="1" applyFont="1" applyFill="1" applyBorder="1" applyAlignment="1">
      <alignment horizontal="center" vertical="center"/>
    </xf>
    <xf numFmtId="164" fontId="3" fillId="2" borderId="45" xfId="0" applyNumberFormat="1" applyFont="1" applyFill="1" applyBorder="1" applyAlignment="1">
      <alignment horizontal="center" vertical="center"/>
    </xf>
    <xf numFmtId="164" fontId="3" fillId="2" borderId="44" xfId="0" applyNumberFormat="1" applyFont="1" applyFill="1" applyBorder="1" applyAlignment="1">
      <alignment horizontal="center" vertical="center"/>
    </xf>
    <xf numFmtId="164" fontId="29" fillId="2" borderId="4" xfId="0" applyNumberFormat="1" applyFont="1" applyFill="1" applyBorder="1" applyAlignment="1">
      <alignment horizontal="right" vertical="center"/>
    </xf>
    <xf numFmtId="164" fontId="29" fillId="2" borderId="0" xfId="0" applyNumberFormat="1" applyFont="1" applyFill="1" applyBorder="1" applyAlignment="1">
      <alignment horizontal="right" vertical="center"/>
    </xf>
    <xf numFmtId="164" fontId="29" fillId="2" borderId="5" xfId="0" applyNumberFormat="1" applyFont="1" applyFill="1" applyBorder="1" applyAlignment="1">
      <alignment horizontal="right" vertical="center"/>
    </xf>
    <xf numFmtId="164" fontId="4" fillId="2" borderId="9" xfId="0" applyNumberFormat="1" applyFont="1" applyFill="1" applyBorder="1" applyAlignment="1">
      <alignment vertical="center"/>
    </xf>
    <xf numFmtId="164" fontId="4" fillId="2" borderId="14" xfId="0" applyNumberFormat="1" applyFont="1" applyFill="1" applyBorder="1" applyAlignment="1">
      <alignment vertical="center"/>
    </xf>
    <xf numFmtId="164" fontId="4" fillId="2" borderId="11" xfId="0" applyNumberFormat="1" applyFont="1" applyFill="1" applyBorder="1" applyAlignment="1">
      <alignment horizontal="center"/>
    </xf>
    <xf numFmtId="164" fontId="4" fillId="2" borderId="31" xfId="0" applyNumberFormat="1" applyFont="1" applyFill="1" applyBorder="1" applyAlignment="1">
      <alignment horizontal="left" vertical="center"/>
    </xf>
    <xf numFmtId="164" fontId="4" fillId="2" borderId="36" xfId="0" applyNumberFormat="1" applyFont="1" applyFill="1" applyBorder="1" applyAlignment="1">
      <alignment horizontal="left" vertical="center"/>
    </xf>
    <xf numFmtId="164" fontId="4" fillId="2" borderId="36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29184"/>
        <c:axId val="142030720"/>
      </c:barChart>
      <c:catAx>
        <c:axId val="14202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030720"/>
        <c:crosses val="autoZero"/>
        <c:auto val="1"/>
        <c:lblAlgn val="ctr"/>
        <c:lblOffset val="100"/>
        <c:noMultiLvlLbl val="0"/>
      </c:catAx>
      <c:valAx>
        <c:axId val="142030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42029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61568"/>
        <c:axId val="142063104"/>
      </c:barChart>
      <c:catAx>
        <c:axId val="14206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063104"/>
        <c:crosses val="autoZero"/>
        <c:auto val="1"/>
        <c:lblAlgn val="ctr"/>
        <c:lblOffset val="100"/>
        <c:noMultiLvlLbl val="0"/>
      </c:catAx>
      <c:valAx>
        <c:axId val="14206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06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68832"/>
        <c:axId val="142574720"/>
      </c:barChart>
      <c:catAx>
        <c:axId val="14256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574720"/>
        <c:crosses val="autoZero"/>
        <c:auto val="1"/>
        <c:lblAlgn val="ctr"/>
        <c:lblOffset val="100"/>
        <c:noMultiLvlLbl val="0"/>
      </c:catAx>
      <c:valAx>
        <c:axId val="142574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568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601216"/>
        <c:axId val="142607104"/>
      </c:barChart>
      <c:catAx>
        <c:axId val="14260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607104"/>
        <c:crosses val="autoZero"/>
        <c:auto val="1"/>
        <c:lblAlgn val="ctr"/>
        <c:lblOffset val="100"/>
        <c:noMultiLvlLbl val="0"/>
      </c:catAx>
      <c:valAx>
        <c:axId val="142607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601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629888"/>
        <c:axId val="142635776"/>
      </c:barChart>
      <c:catAx>
        <c:axId val="14262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635776"/>
        <c:crosses val="autoZero"/>
        <c:auto val="1"/>
        <c:lblAlgn val="ctr"/>
        <c:lblOffset val="100"/>
        <c:noMultiLvlLbl val="0"/>
      </c:catAx>
      <c:valAx>
        <c:axId val="142635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262988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681216"/>
        <c:axId val="142682752"/>
      </c:barChart>
      <c:catAx>
        <c:axId val="1426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682752"/>
        <c:crosses val="autoZero"/>
        <c:auto val="1"/>
        <c:lblAlgn val="ctr"/>
        <c:lblOffset val="100"/>
        <c:noMultiLvlLbl val="0"/>
      </c:catAx>
      <c:valAx>
        <c:axId val="142682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2681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725120"/>
        <c:axId val="142726656"/>
      </c:barChart>
      <c:catAx>
        <c:axId val="1427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726656"/>
        <c:crosses val="autoZero"/>
        <c:auto val="1"/>
        <c:lblAlgn val="ctr"/>
        <c:lblOffset val="100"/>
        <c:noMultiLvlLbl val="0"/>
      </c:catAx>
      <c:valAx>
        <c:axId val="142726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27251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8.29:  Number</a:t>
            </a:r>
            <a:r>
              <a:rPr lang="en-US" sz="1050" baseline="0"/>
              <a:t> of </a:t>
            </a:r>
            <a:r>
              <a:rPr lang="en-US" sz="1050"/>
              <a:t>New cases filed at majistrate courts in islands, 2015 </a:t>
            </a:r>
          </a:p>
        </c:rich>
      </c:tx>
      <c:layout>
        <c:manualLayout>
          <c:xMode val="edge"/>
          <c:yMode val="edge"/>
          <c:x val="0.16855319001806568"/>
          <c:y val="2.91970914792388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63702585802825"/>
          <c:y val="0.12385425780110819"/>
          <c:w val="0.87518300275522476"/>
          <c:h val="0.74567048825737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'8.21'!$W$4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'8.21'!$A$14:$A$33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'8.21'!$W$14:$W$33</c:f>
              <c:numCache>
                <c:formatCode>#,##0</c:formatCode>
                <c:ptCount val="20"/>
                <c:pt idx="0">
                  <c:v>42</c:v>
                </c:pt>
                <c:pt idx="1">
                  <c:v>66</c:v>
                </c:pt>
                <c:pt idx="2">
                  <c:v>36</c:v>
                </c:pt>
                <c:pt idx="3">
                  <c:v>97</c:v>
                </c:pt>
                <c:pt idx="4">
                  <c:v>56</c:v>
                </c:pt>
                <c:pt idx="5">
                  <c:v>21</c:v>
                </c:pt>
                <c:pt idx="6">
                  <c:v>36</c:v>
                </c:pt>
                <c:pt idx="7">
                  <c:v>62</c:v>
                </c:pt>
                <c:pt idx="8">
                  <c:v>15</c:v>
                </c:pt>
                <c:pt idx="9">
                  <c:v>25</c:v>
                </c:pt>
                <c:pt idx="10">
                  <c:v>0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27</c:v>
                </c:pt>
                <c:pt idx="15">
                  <c:v>116</c:v>
                </c:pt>
                <c:pt idx="16">
                  <c:v>97</c:v>
                </c:pt>
                <c:pt idx="17">
                  <c:v>81</c:v>
                </c:pt>
                <c:pt idx="18">
                  <c:v>138</c:v>
                </c:pt>
                <c:pt idx="19">
                  <c:v>250</c:v>
                </c:pt>
              </c:numCache>
            </c:numRef>
          </c:val>
        </c:ser>
        <c:ser>
          <c:idx val="1"/>
          <c:order val="1"/>
          <c:tx>
            <c:strRef>
              <c:f>'8.21'!$X$4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rgbClr val="27A09D"/>
            </a:solidFill>
          </c:spPr>
          <c:invertIfNegative val="0"/>
          <c:cat>
            <c:strRef>
              <c:f>'8.21'!$A$14:$A$33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'8.21'!$X$14:$X$33</c:f>
              <c:numCache>
                <c:formatCode>#,##0</c:formatCode>
                <c:ptCount val="20"/>
                <c:pt idx="0">
                  <c:v>79</c:v>
                </c:pt>
                <c:pt idx="1">
                  <c:v>112</c:v>
                </c:pt>
                <c:pt idx="2">
                  <c:v>67</c:v>
                </c:pt>
                <c:pt idx="3">
                  <c:v>133</c:v>
                </c:pt>
                <c:pt idx="4">
                  <c:v>153</c:v>
                </c:pt>
                <c:pt idx="5">
                  <c:v>79</c:v>
                </c:pt>
                <c:pt idx="6">
                  <c:v>111</c:v>
                </c:pt>
                <c:pt idx="7">
                  <c:v>102</c:v>
                </c:pt>
                <c:pt idx="8">
                  <c:v>115</c:v>
                </c:pt>
                <c:pt idx="9">
                  <c:v>133</c:v>
                </c:pt>
                <c:pt idx="10">
                  <c:v>23</c:v>
                </c:pt>
                <c:pt idx="11">
                  <c:v>52</c:v>
                </c:pt>
                <c:pt idx="12">
                  <c:v>53</c:v>
                </c:pt>
                <c:pt idx="13">
                  <c:v>44</c:v>
                </c:pt>
                <c:pt idx="14">
                  <c:v>101</c:v>
                </c:pt>
                <c:pt idx="15">
                  <c:v>224</c:v>
                </c:pt>
                <c:pt idx="16">
                  <c:v>412</c:v>
                </c:pt>
                <c:pt idx="17">
                  <c:v>180</c:v>
                </c:pt>
                <c:pt idx="18">
                  <c:v>212</c:v>
                </c:pt>
                <c:pt idx="19">
                  <c:v>362</c:v>
                </c:pt>
              </c:numCache>
            </c:numRef>
          </c:val>
        </c:ser>
        <c:ser>
          <c:idx val="2"/>
          <c:order val="2"/>
          <c:tx>
            <c:strRef>
              <c:f>'8.21'!$Y$4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rgbClr val="47D4D1"/>
            </a:solidFill>
          </c:spPr>
          <c:invertIfNegative val="0"/>
          <c:cat>
            <c:strRef>
              <c:f>'8.21'!$A$14:$A$33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'8.21'!$Y$14:$Y$33</c:f>
              <c:numCache>
                <c:formatCode>#,##0</c:formatCode>
                <c:ptCount val="20"/>
                <c:pt idx="0">
                  <c:v>257</c:v>
                </c:pt>
                <c:pt idx="1">
                  <c:v>440</c:v>
                </c:pt>
                <c:pt idx="2">
                  <c:v>262</c:v>
                </c:pt>
                <c:pt idx="3">
                  <c:v>383</c:v>
                </c:pt>
                <c:pt idx="4">
                  <c:v>359</c:v>
                </c:pt>
                <c:pt idx="5">
                  <c:v>175</c:v>
                </c:pt>
                <c:pt idx="6">
                  <c:v>307</c:v>
                </c:pt>
                <c:pt idx="7">
                  <c:v>388</c:v>
                </c:pt>
                <c:pt idx="8">
                  <c:v>234</c:v>
                </c:pt>
                <c:pt idx="9">
                  <c:v>284</c:v>
                </c:pt>
                <c:pt idx="10">
                  <c:v>47</c:v>
                </c:pt>
                <c:pt idx="11">
                  <c:v>130</c:v>
                </c:pt>
                <c:pt idx="12">
                  <c:v>129</c:v>
                </c:pt>
                <c:pt idx="13">
                  <c:v>145</c:v>
                </c:pt>
                <c:pt idx="14">
                  <c:v>277</c:v>
                </c:pt>
                <c:pt idx="15">
                  <c:v>633</c:v>
                </c:pt>
                <c:pt idx="16">
                  <c:v>372</c:v>
                </c:pt>
                <c:pt idx="17">
                  <c:v>505</c:v>
                </c:pt>
                <c:pt idx="18">
                  <c:v>356</c:v>
                </c:pt>
                <c:pt idx="19">
                  <c:v>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43403648"/>
        <c:axId val="143405440"/>
      </c:barChart>
      <c:catAx>
        <c:axId val="14340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405440"/>
        <c:crosses val="autoZero"/>
        <c:auto val="1"/>
        <c:lblAlgn val="ctr"/>
        <c:lblOffset val="100"/>
        <c:noMultiLvlLbl val="0"/>
      </c:catAx>
      <c:valAx>
        <c:axId val="1434054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434036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1801344212485965"/>
          <c:y val="0.18050009789838414"/>
          <c:w val="0.54959617050182241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8.30: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2015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5351114630224294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814211544724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'8.21'!$AQ$16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27A09D"/>
            </a:solidFill>
          </c:spPr>
          <c:invertIfNegative val="0"/>
          <c:cat>
            <c:strRef>
              <c:f>'8.21'!$AR$15:$AS$15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'8.21'!$AR$16:$AS$16</c:f>
              <c:numCache>
                <c:formatCode>General_)</c:formatCode>
                <c:ptCount val="2"/>
                <c:pt idx="0">
                  <c:v>5763</c:v>
                </c:pt>
                <c:pt idx="1">
                  <c:v>3358</c:v>
                </c:pt>
              </c:numCache>
            </c:numRef>
          </c:val>
        </c:ser>
        <c:ser>
          <c:idx val="1"/>
          <c:order val="1"/>
          <c:tx>
            <c:strRef>
              <c:f>'8.21'!$AQ$17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'8.21'!$AR$15:$AS$15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'8.21'!$AR$17:$AS$17</c:f>
              <c:numCache>
                <c:formatCode>General_)</c:formatCode>
                <c:ptCount val="2"/>
                <c:pt idx="0">
                  <c:v>2610</c:v>
                </c:pt>
                <c:pt idx="1">
                  <c:v>1455</c:v>
                </c:pt>
              </c:numCache>
            </c:numRef>
          </c:val>
        </c:ser>
        <c:ser>
          <c:idx val="2"/>
          <c:order val="2"/>
          <c:tx>
            <c:strRef>
              <c:f>'8.21'!$AQ$18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'8.21'!$AR$15:$AS$15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'8.21'!$AR$18:$AS$18</c:f>
              <c:numCache>
                <c:formatCode>General_)</c:formatCode>
                <c:ptCount val="2"/>
                <c:pt idx="0">
                  <c:v>3153</c:v>
                </c:pt>
                <c:pt idx="1">
                  <c:v>1903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44224"/>
        <c:axId val="143450112"/>
      </c:barChart>
      <c:catAx>
        <c:axId val="143444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3450112"/>
        <c:crosses val="autoZero"/>
        <c:auto val="1"/>
        <c:lblAlgn val="ctr"/>
        <c:lblOffset val="100"/>
        <c:noMultiLvlLbl val="0"/>
      </c:catAx>
      <c:valAx>
        <c:axId val="14345011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344422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2258174542109"/>
          <c:y val="0.21464421114027538"/>
          <c:w val="0.31690330309345516"/>
          <c:h val="7.522564887722368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050"/>
              <a:t>Figure</a:t>
            </a:r>
            <a:r>
              <a:rPr lang="en-US" sz="1050" baseline="0"/>
              <a:t> 8.31: Number of Marriages by locality, 2014 - 2015</a:t>
            </a:r>
            <a:endParaRPr lang="en-US"/>
          </a:p>
        </c:rich>
      </c:tx>
      <c:layout>
        <c:manualLayout>
          <c:xMode val="edge"/>
          <c:yMode val="edge"/>
          <c:x val="0.2745988700564973"/>
          <c:y val="5.55555555555554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939187686284978"/>
          <c:y val="0.15776647710702996"/>
          <c:w val="0.84456408203211886"/>
          <c:h val="0.69185914260717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7A09D"/>
            </a:solidFill>
          </c:spPr>
          <c:invertIfNegative val="0"/>
          <c:cat>
            <c:strRef>
              <c:f>'8.21'!$AQ$16:$AQ$18</c:f>
              <c:strCache>
                <c:ptCount val="3"/>
                <c:pt idx="0">
                  <c:v>Republic</c:v>
                </c:pt>
                <c:pt idx="1">
                  <c:v> Male'</c:v>
                </c:pt>
                <c:pt idx="2">
                  <c:v> Atolls</c:v>
                </c:pt>
              </c:strCache>
            </c:strRef>
          </c:cat>
          <c:val>
            <c:numRef>
              <c:f>'8.21'!$AR$16:$AR$18</c:f>
              <c:numCache>
                <c:formatCode>General_)</c:formatCode>
                <c:ptCount val="3"/>
                <c:pt idx="0">
                  <c:v>5763</c:v>
                </c:pt>
                <c:pt idx="1">
                  <c:v>2610</c:v>
                </c:pt>
                <c:pt idx="2">
                  <c:v>3153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83264"/>
        <c:axId val="143484800"/>
      </c:barChart>
      <c:catAx>
        <c:axId val="1434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3484800"/>
        <c:crosses val="autoZero"/>
        <c:auto val="1"/>
        <c:lblAlgn val="ctr"/>
        <c:lblOffset val="100"/>
        <c:noMultiLvlLbl val="0"/>
      </c:catAx>
      <c:valAx>
        <c:axId val="143484800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5819209039548022E-2"/>
              <c:y val="0.3878627150772862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3483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8.32: Number of Divorces by locality, 2014 - 2015</a:t>
            </a:r>
          </a:p>
        </c:rich>
      </c:tx>
      <c:layout>
        <c:manualLayout>
          <c:xMode val="edge"/>
          <c:yMode val="edge"/>
          <c:x val="0.16786796388369199"/>
          <c:y val="3.26370162633780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'8.21'!$AP$29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27A09D"/>
            </a:solidFill>
          </c:spPr>
          <c:invertIfNegative val="0"/>
          <c:cat>
            <c:numRef>
              <c:f>'8.21'!$AQ$28:$AR$28</c:f>
              <c:numCache>
                <c:formatCode>General_)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'8.21'!$AQ$29:$AR$29</c:f>
              <c:numCache>
                <c:formatCode>General_)</c:formatCode>
                <c:ptCount val="2"/>
                <c:pt idx="0">
                  <c:v>3414</c:v>
                </c:pt>
                <c:pt idx="1">
                  <c:v>3358</c:v>
                </c:pt>
              </c:numCache>
            </c:numRef>
          </c:val>
        </c:ser>
        <c:ser>
          <c:idx val="1"/>
          <c:order val="1"/>
          <c:tx>
            <c:strRef>
              <c:f>'8.21'!$AP$30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numRef>
              <c:f>'8.21'!$AQ$28:$AR$28</c:f>
              <c:numCache>
                <c:formatCode>General_)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'8.21'!$AQ$30:$AR$30</c:f>
              <c:numCache>
                <c:formatCode>General_)</c:formatCode>
                <c:ptCount val="2"/>
                <c:pt idx="0">
                  <c:v>1524</c:v>
                </c:pt>
                <c:pt idx="1">
                  <c:v>1455</c:v>
                </c:pt>
              </c:numCache>
            </c:numRef>
          </c:val>
        </c:ser>
        <c:ser>
          <c:idx val="2"/>
          <c:order val="2"/>
          <c:tx>
            <c:strRef>
              <c:f>'8.21'!$AP$31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'8.21'!$AQ$28:$AR$28</c:f>
              <c:numCache>
                <c:formatCode>General_)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'8.21'!$AQ$31:$AR$31</c:f>
              <c:numCache>
                <c:formatCode>General_)</c:formatCode>
                <c:ptCount val="2"/>
                <c:pt idx="0">
                  <c:v>1890</c:v>
                </c:pt>
                <c:pt idx="1">
                  <c:v>1903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527296"/>
        <c:axId val="143533184"/>
      </c:barChart>
      <c:catAx>
        <c:axId val="14352729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43533184"/>
        <c:crosses val="autoZero"/>
        <c:auto val="1"/>
        <c:lblAlgn val="ctr"/>
        <c:lblOffset val="100"/>
        <c:noMultiLvlLbl val="0"/>
      </c:catAx>
      <c:valAx>
        <c:axId val="14353318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14352729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2403632545178063"/>
          <c:y val="0.19354834070398735"/>
          <c:w val="0.44539697998880001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8.33: Number of</a:t>
            </a:r>
            <a:r>
              <a:rPr lang="en-US" sz="1050" baseline="0"/>
              <a:t> Marriage and Divorce, Republic, 2014 - 2015</a:t>
            </a:r>
            <a:endParaRPr lang="en-US" sz="105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713198985720092"/>
          <c:y val="0.15364270187876075"/>
          <c:w val="0.84800925308065611"/>
          <c:h val="0.61728076798619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'8.21'!$AP$23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1C706E"/>
              </a:solidFill>
            </c:spPr>
          </c:dPt>
          <c:dPt>
            <c:idx val="3"/>
            <c:invertIfNegative val="0"/>
            <c:bubble3D val="0"/>
            <c:spPr>
              <a:solidFill>
                <a:srgbClr val="1C706E"/>
              </a:solidFill>
            </c:spPr>
          </c:dPt>
          <c:cat>
            <c:multiLvlStrRef>
              <c:f>'8.21'!$AQ$21:$AT$22</c:f>
              <c:multiLvlStrCache>
                <c:ptCount val="4"/>
                <c:lvl>
                  <c:pt idx="0">
                    <c:v>2014 </c:v>
                  </c:pt>
                  <c:pt idx="1">
                    <c:v>2015 </c:v>
                  </c:pt>
                  <c:pt idx="2">
                    <c:v>2014 </c:v>
                  </c:pt>
                  <c:pt idx="3">
                    <c:v>2015 </c:v>
                  </c:pt>
                </c:lvl>
                <c:lvl>
                  <c:pt idx="0">
                    <c:v>Marriage</c:v>
                  </c:pt>
                  <c:pt idx="2">
                    <c:v>Divorce</c:v>
                  </c:pt>
                </c:lvl>
              </c:multiLvlStrCache>
            </c:multiLvlStrRef>
          </c:cat>
          <c:val>
            <c:numRef>
              <c:f>'8.21'!$AQ$23:$AT$23</c:f>
              <c:numCache>
                <c:formatCode>General_)</c:formatCode>
                <c:ptCount val="4"/>
                <c:pt idx="0">
                  <c:v>5587</c:v>
                </c:pt>
                <c:pt idx="1">
                  <c:v>5763</c:v>
                </c:pt>
                <c:pt idx="2">
                  <c:v>3414</c:v>
                </c:pt>
                <c:pt idx="3">
                  <c:v>3358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16"/>
        <c:axId val="143550720"/>
        <c:axId val="143556608"/>
      </c:barChart>
      <c:catAx>
        <c:axId val="14355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3556608"/>
        <c:crosses val="autoZero"/>
        <c:auto val="1"/>
        <c:lblAlgn val="ctr"/>
        <c:lblOffset val="100"/>
        <c:noMultiLvlLbl val="0"/>
      </c:catAx>
      <c:valAx>
        <c:axId val="14355660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4772230790738939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35507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34</xdr:row>
      <xdr:rowOff>123825</xdr:rowOff>
    </xdr:from>
    <xdr:to>
      <xdr:col>21</xdr:col>
      <xdr:colOff>714375</xdr:colOff>
      <xdr:row>45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228600</xdr:colOff>
      <xdr:row>34</xdr:row>
      <xdr:rowOff>114300</xdr:rowOff>
    </xdr:from>
    <xdr:to>
      <xdr:col>27</xdr:col>
      <xdr:colOff>1038225</xdr:colOff>
      <xdr:row>45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46</xdr:row>
      <xdr:rowOff>238124</xdr:rowOff>
    </xdr:from>
    <xdr:to>
      <xdr:col>21</xdr:col>
      <xdr:colOff>714375</xdr:colOff>
      <xdr:row>59</xdr:row>
      <xdr:rowOff>238124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209550</xdr:colOff>
      <xdr:row>46</xdr:row>
      <xdr:rowOff>200025</xdr:rowOff>
    </xdr:from>
    <xdr:to>
      <xdr:col>27</xdr:col>
      <xdr:colOff>1085850</xdr:colOff>
      <xdr:row>59</xdr:row>
      <xdr:rowOff>200025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61</xdr:row>
      <xdr:rowOff>28576</xdr:rowOff>
    </xdr:from>
    <xdr:to>
      <xdr:col>21</xdr:col>
      <xdr:colOff>695325</xdr:colOff>
      <xdr:row>69</xdr:row>
      <xdr:rowOff>361951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99" t="s">
        <v>50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36">
      <c r="A2" s="100" t="s">
        <v>43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</row>
    <row r="3" spans="1:36" ht="15" customHeight="1">
      <c r="A3" s="101"/>
      <c r="B3" s="101"/>
      <c r="C3" s="103" t="s">
        <v>38</v>
      </c>
      <c r="D3" s="103"/>
      <c r="E3" s="103"/>
      <c r="F3" s="103"/>
      <c r="G3" s="103"/>
      <c r="H3" s="29"/>
      <c r="I3" s="29"/>
      <c r="J3" s="104" t="s">
        <v>4</v>
      </c>
      <c r="K3" s="104"/>
      <c r="L3" s="104"/>
      <c r="M3" s="104"/>
      <c r="N3" s="104"/>
      <c r="O3" s="24"/>
      <c r="P3" s="104" t="s">
        <v>5</v>
      </c>
      <c r="Q3" s="104"/>
      <c r="R3" s="104"/>
      <c r="S3" s="104"/>
      <c r="T3" s="104"/>
      <c r="U3" s="6"/>
      <c r="V3" s="6"/>
      <c r="W3" s="6"/>
      <c r="X3" s="105" t="s">
        <v>6</v>
      </c>
      <c r="Y3" s="105"/>
      <c r="Z3" s="105"/>
      <c r="AA3" s="105"/>
      <c r="AB3" s="105"/>
      <c r="AC3" s="25"/>
      <c r="AD3" s="25"/>
      <c r="AE3" s="105" t="s">
        <v>7</v>
      </c>
      <c r="AF3" s="105"/>
      <c r="AG3" s="105"/>
      <c r="AH3" s="105"/>
      <c r="AI3" s="105"/>
    </row>
    <row r="4" spans="1:36" ht="25.5">
      <c r="A4" s="102"/>
      <c r="B4" s="102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45</v>
      </c>
      <c r="I4" s="30" t="s">
        <v>51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45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45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45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38</v>
      </c>
      <c r="C37" s="27" t="s">
        <v>46</v>
      </c>
      <c r="D37" s="27" t="s">
        <v>39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38</v>
      </c>
      <c r="C43" s="27" t="s">
        <v>46</v>
      </c>
      <c r="D43" s="27" t="s">
        <v>39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38</v>
      </c>
      <c r="C50" s="27" t="s">
        <v>46</v>
      </c>
      <c r="D50" s="27" t="s">
        <v>39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12</v>
      </c>
      <c r="D56" s="34" t="s">
        <v>41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76"/>
  <sheetViews>
    <sheetView tabSelected="1" zoomScaleNormal="100" zoomScaleSheetLayoutView="100" workbookViewId="0">
      <selection activeCell="AD1" sqref="AD1:GP1048576"/>
    </sheetView>
  </sheetViews>
  <sheetFormatPr defaultColWidth="9.140625" defaultRowHeight="18.75"/>
  <cols>
    <col min="1" max="1" width="19.7109375" style="87" customWidth="1"/>
    <col min="2" max="2" width="13.7109375" style="88" hidden="1" customWidth="1"/>
    <col min="3" max="3" width="12.5703125" style="88" hidden="1" customWidth="1"/>
    <col min="4" max="4" width="13.28515625" style="88" hidden="1" customWidth="1"/>
    <col min="5" max="5" width="12.140625" style="88" hidden="1" customWidth="1"/>
    <col min="6" max="6" width="9.5703125" style="88" hidden="1" customWidth="1"/>
    <col min="7" max="7" width="1.140625" style="88" hidden="1" customWidth="1"/>
    <col min="8" max="8" width="13.28515625" style="88" hidden="1" customWidth="1"/>
    <col min="9" max="9" width="14.42578125" style="88" hidden="1" customWidth="1"/>
    <col min="10" max="10" width="14.28515625" style="88" hidden="1" customWidth="1"/>
    <col min="11" max="12" width="11.28515625" style="88" hidden="1" customWidth="1"/>
    <col min="13" max="13" width="13.28515625" style="88" hidden="1" customWidth="1"/>
    <col min="14" max="14" width="14.42578125" style="88" hidden="1" customWidth="1"/>
    <col min="15" max="15" width="14.28515625" style="88" hidden="1" customWidth="1"/>
    <col min="16" max="17" width="11.28515625" style="88" hidden="1" customWidth="1"/>
    <col min="18" max="18" width="13.28515625" style="88" customWidth="1"/>
    <col min="19" max="19" width="14.42578125" style="88" customWidth="1"/>
    <col min="20" max="20" width="14.28515625" style="88" customWidth="1"/>
    <col min="21" max="22" width="11.28515625" style="88" customWidth="1"/>
    <col min="23" max="23" width="13.28515625" style="88" customWidth="1"/>
    <col min="24" max="24" width="14.42578125" style="88" customWidth="1"/>
    <col min="25" max="25" width="14.28515625" style="88" customWidth="1"/>
    <col min="26" max="27" width="11.28515625" style="88" customWidth="1"/>
    <col min="28" max="28" width="17.5703125" style="89" customWidth="1"/>
    <col min="29" max="29" width="4.85546875" style="124" customWidth="1"/>
    <col min="30" max="198" width="9.140625" style="40"/>
    <col min="199" max="16384" width="9.140625" style="87"/>
  </cols>
  <sheetData>
    <row r="1" spans="1:198" s="40" customFormat="1">
      <c r="A1" s="106" t="s">
        <v>108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spans="1:198" s="42" customFormat="1" ht="18.75" customHeight="1">
      <c r="A2" s="107" t="s">
        <v>109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</row>
    <row r="3" spans="1:198" s="44" customFormat="1" ht="18.75" customHeight="1">
      <c r="A3" s="109" t="s">
        <v>41</v>
      </c>
      <c r="B3" s="112">
        <v>2011</v>
      </c>
      <c r="C3" s="113"/>
      <c r="D3" s="113"/>
      <c r="E3" s="113"/>
      <c r="F3" s="113"/>
      <c r="G3" s="43"/>
      <c r="H3" s="114">
        <v>2012</v>
      </c>
      <c r="I3" s="113"/>
      <c r="J3" s="113"/>
      <c r="K3" s="113"/>
      <c r="L3" s="115"/>
      <c r="M3" s="113">
        <v>2013</v>
      </c>
      <c r="N3" s="113"/>
      <c r="O3" s="113"/>
      <c r="P3" s="113"/>
      <c r="Q3" s="113"/>
      <c r="R3" s="114">
        <v>2014</v>
      </c>
      <c r="S3" s="113"/>
      <c r="T3" s="113"/>
      <c r="U3" s="113"/>
      <c r="V3" s="115"/>
      <c r="W3" s="113">
        <v>2015</v>
      </c>
      <c r="X3" s="113"/>
      <c r="Y3" s="113"/>
      <c r="Z3" s="113"/>
      <c r="AA3" s="113"/>
      <c r="AB3" s="116" t="s">
        <v>69</v>
      </c>
      <c r="AC3" s="119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  <c r="EL3" s="40"/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40"/>
      <c r="EX3" s="40"/>
      <c r="EY3" s="40"/>
      <c r="EZ3" s="40"/>
      <c r="FA3" s="40"/>
      <c r="FB3" s="40"/>
      <c r="FC3" s="40"/>
      <c r="FD3" s="40"/>
      <c r="FE3" s="40"/>
      <c r="FF3" s="40"/>
      <c r="FG3" s="40"/>
      <c r="FH3" s="40"/>
      <c r="FI3" s="40"/>
      <c r="FJ3" s="40"/>
      <c r="FK3" s="40"/>
      <c r="FL3" s="40"/>
      <c r="FM3" s="40"/>
      <c r="FN3" s="40"/>
      <c r="FO3" s="40"/>
      <c r="FP3" s="40"/>
      <c r="FQ3" s="40"/>
      <c r="FR3" s="40"/>
      <c r="FS3" s="40"/>
      <c r="FT3" s="40"/>
      <c r="FU3" s="40"/>
      <c r="FV3" s="40"/>
      <c r="FW3" s="40"/>
      <c r="FX3" s="40"/>
      <c r="FY3" s="40"/>
      <c r="FZ3" s="40"/>
      <c r="GA3" s="40"/>
      <c r="GB3" s="40"/>
      <c r="GC3" s="40"/>
      <c r="GD3" s="40"/>
      <c r="GE3" s="40"/>
      <c r="GF3" s="40"/>
      <c r="GG3" s="40"/>
      <c r="GH3" s="40"/>
      <c r="GI3" s="40"/>
      <c r="GJ3" s="40"/>
      <c r="GK3" s="40"/>
      <c r="GL3" s="40"/>
      <c r="GM3" s="40"/>
      <c r="GN3" s="40"/>
      <c r="GO3" s="40"/>
      <c r="GP3" s="40"/>
    </row>
    <row r="4" spans="1:198" s="51" customFormat="1" ht="18.75" customHeight="1">
      <c r="A4" s="110"/>
      <c r="B4" s="45" t="s">
        <v>38</v>
      </c>
      <c r="C4" s="45" t="s">
        <v>6</v>
      </c>
      <c r="D4" s="45" t="s">
        <v>39</v>
      </c>
      <c r="E4" s="45" t="s">
        <v>70</v>
      </c>
      <c r="F4" s="45" t="s">
        <v>71</v>
      </c>
      <c r="G4" s="46"/>
      <c r="H4" s="47" t="s">
        <v>38</v>
      </c>
      <c r="I4" s="45" t="s">
        <v>6</v>
      </c>
      <c r="J4" s="45" t="s">
        <v>39</v>
      </c>
      <c r="K4" s="45" t="s">
        <v>70</v>
      </c>
      <c r="L4" s="48" t="s">
        <v>71</v>
      </c>
      <c r="M4" s="49" t="s">
        <v>38</v>
      </c>
      <c r="N4" s="45" t="s">
        <v>6</v>
      </c>
      <c r="O4" s="45" t="s">
        <v>39</v>
      </c>
      <c r="P4" s="45" t="s">
        <v>70</v>
      </c>
      <c r="Q4" s="50" t="s">
        <v>71</v>
      </c>
      <c r="R4" s="47" t="s">
        <v>38</v>
      </c>
      <c r="S4" s="45" t="s">
        <v>6</v>
      </c>
      <c r="T4" s="45" t="s">
        <v>39</v>
      </c>
      <c r="U4" s="45" t="s">
        <v>70</v>
      </c>
      <c r="V4" s="48" t="s">
        <v>71</v>
      </c>
      <c r="W4" s="49" t="s">
        <v>38</v>
      </c>
      <c r="X4" s="45" t="s">
        <v>6</v>
      </c>
      <c r="Y4" s="45" t="s">
        <v>39</v>
      </c>
      <c r="Z4" s="45" t="s">
        <v>70</v>
      </c>
      <c r="AA4" s="45" t="s">
        <v>71</v>
      </c>
      <c r="AB4" s="117"/>
      <c r="AC4" s="12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</row>
    <row r="5" spans="1:198" s="58" customFormat="1">
      <c r="A5" s="111"/>
      <c r="B5" s="52" t="s">
        <v>72</v>
      </c>
      <c r="C5" s="52" t="s">
        <v>73</v>
      </c>
      <c r="D5" s="52" t="s">
        <v>74</v>
      </c>
      <c r="E5" s="53" t="s">
        <v>75</v>
      </c>
      <c r="F5" s="57" t="s">
        <v>76</v>
      </c>
      <c r="G5" s="54"/>
      <c r="H5" s="55" t="s">
        <v>72</v>
      </c>
      <c r="I5" s="52" t="s">
        <v>73</v>
      </c>
      <c r="J5" s="52" t="s">
        <v>74</v>
      </c>
      <c r="K5" s="53" t="s">
        <v>75</v>
      </c>
      <c r="L5" s="54" t="s">
        <v>76</v>
      </c>
      <c r="M5" s="56" t="s">
        <v>72</v>
      </c>
      <c r="N5" s="52" t="s">
        <v>73</v>
      </c>
      <c r="O5" s="52" t="s">
        <v>74</v>
      </c>
      <c r="P5" s="53" t="s">
        <v>75</v>
      </c>
      <c r="Q5" s="57" t="s">
        <v>76</v>
      </c>
      <c r="R5" s="55" t="s">
        <v>106</v>
      </c>
      <c r="S5" s="52" t="s">
        <v>107</v>
      </c>
      <c r="T5" s="52" t="s">
        <v>74</v>
      </c>
      <c r="U5" s="53" t="s">
        <v>75</v>
      </c>
      <c r="V5" s="54" t="s">
        <v>76</v>
      </c>
      <c r="W5" s="56" t="s">
        <v>106</v>
      </c>
      <c r="X5" s="52" t="s">
        <v>107</v>
      </c>
      <c r="Y5" s="52" t="s">
        <v>74</v>
      </c>
      <c r="Z5" s="53" t="s">
        <v>75</v>
      </c>
      <c r="AA5" s="57" t="s">
        <v>76</v>
      </c>
      <c r="AB5" s="118"/>
      <c r="AC5" s="121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6"/>
      <c r="AP5" s="127" t="s">
        <v>77</v>
      </c>
      <c r="AQ5" s="127"/>
      <c r="AR5" s="128" t="s">
        <v>78</v>
      </c>
      <c r="AS5" s="128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/>
      <c r="DP5" s="125"/>
      <c r="DQ5" s="125"/>
      <c r="DR5" s="125"/>
      <c r="DS5" s="125"/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/>
      <c r="EF5" s="125"/>
      <c r="EG5" s="125"/>
      <c r="EH5" s="125"/>
      <c r="EI5" s="125"/>
      <c r="EJ5" s="125"/>
      <c r="EK5" s="125"/>
      <c r="EL5" s="125"/>
      <c r="EM5" s="125"/>
      <c r="EN5" s="125"/>
      <c r="EO5" s="125"/>
      <c r="EP5" s="125"/>
      <c r="EQ5" s="125"/>
      <c r="ER5" s="125"/>
      <c r="ES5" s="125"/>
      <c r="ET5" s="125"/>
      <c r="EU5" s="125"/>
      <c r="EV5" s="125"/>
      <c r="EW5" s="125"/>
      <c r="EX5" s="125"/>
      <c r="EY5" s="125"/>
      <c r="EZ5" s="125"/>
      <c r="FA5" s="125"/>
      <c r="FB5" s="125"/>
      <c r="FC5" s="125"/>
      <c r="FD5" s="125"/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125"/>
      <c r="FP5" s="125"/>
      <c r="FQ5" s="125"/>
      <c r="FR5" s="125"/>
      <c r="FS5" s="125"/>
      <c r="FT5" s="125"/>
      <c r="FU5" s="125"/>
      <c r="FV5" s="125"/>
      <c r="FW5" s="125"/>
      <c r="FX5" s="125"/>
      <c r="FY5" s="125"/>
      <c r="FZ5" s="125"/>
      <c r="GA5" s="125"/>
      <c r="GB5" s="125"/>
      <c r="GC5" s="125"/>
      <c r="GD5" s="125"/>
      <c r="GE5" s="125"/>
      <c r="GF5" s="125"/>
      <c r="GG5" s="125"/>
      <c r="GH5" s="125"/>
      <c r="GI5" s="125"/>
      <c r="GJ5" s="125"/>
      <c r="GK5" s="125"/>
      <c r="GL5" s="125"/>
      <c r="GM5" s="125"/>
      <c r="GN5" s="125"/>
      <c r="GO5" s="125"/>
      <c r="GP5" s="125"/>
    </row>
    <row r="6" spans="1:198" s="65" customFormat="1">
      <c r="A6" s="59" t="s">
        <v>79</v>
      </c>
      <c r="B6" s="60">
        <f>B7+B13</f>
        <v>2766</v>
      </c>
      <c r="C6" s="60">
        <f>C7+C13</f>
        <v>7012</v>
      </c>
      <c r="D6" s="60">
        <f>D7+D13</f>
        <v>6309</v>
      </c>
      <c r="E6" s="60">
        <f>E7+E13</f>
        <v>6015</v>
      </c>
      <c r="F6" s="60">
        <f>F7+F13</f>
        <v>3013</v>
      </c>
      <c r="G6" s="61"/>
      <c r="H6" s="62">
        <f t="shared" ref="H6:AA6" si="0">H7+H13</f>
        <v>2381</v>
      </c>
      <c r="I6" s="60">
        <f t="shared" si="0"/>
        <v>6873</v>
      </c>
      <c r="J6" s="60">
        <f t="shared" si="0"/>
        <v>6097</v>
      </c>
      <c r="K6" s="60">
        <f t="shared" si="0"/>
        <v>5699</v>
      </c>
      <c r="L6" s="61">
        <f t="shared" si="0"/>
        <v>3011</v>
      </c>
      <c r="M6" s="60">
        <f t="shared" si="0"/>
        <v>5640</v>
      </c>
      <c r="N6" s="60">
        <f t="shared" si="0"/>
        <v>4177</v>
      </c>
      <c r="O6" s="60">
        <f t="shared" si="0"/>
        <v>6678</v>
      </c>
      <c r="P6" s="60">
        <f t="shared" si="0"/>
        <v>5628</v>
      </c>
      <c r="Q6" s="63">
        <f t="shared" si="0"/>
        <v>3331</v>
      </c>
      <c r="R6" s="62">
        <f t="shared" si="0"/>
        <v>2262</v>
      </c>
      <c r="S6" s="60">
        <f t="shared" si="0"/>
        <v>7414</v>
      </c>
      <c r="T6" s="60">
        <f t="shared" si="0"/>
        <v>8157</v>
      </c>
      <c r="U6" s="60">
        <f t="shared" si="0"/>
        <v>5587</v>
      </c>
      <c r="V6" s="61">
        <f t="shared" si="0"/>
        <v>3414</v>
      </c>
      <c r="W6" s="60">
        <f t="shared" si="0"/>
        <v>2033</v>
      </c>
      <c r="X6" s="60">
        <f t="shared" si="0"/>
        <v>5290</v>
      </c>
      <c r="Y6" s="60">
        <f t="shared" si="0"/>
        <v>9477</v>
      </c>
      <c r="Z6" s="60">
        <f t="shared" si="0"/>
        <v>5763</v>
      </c>
      <c r="AA6" s="60">
        <f t="shared" si="0"/>
        <v>3358</v>
      </c>
      <c r="AB6" s="64" t="s">
        <v>2</v>
      </c>
      <c r="AC6" s="122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30"/>
      <c r="AP6" s="126">
        <v>2011</v>
      </c>
      <c r="AQ6" s="126">
        <v>2012</v>
      </c>
      <c r="AR6" s="126">
        <v>2011</v>
      </c>
      <c r="AS6" s="126">
        <v>2012</v>
      </c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  <c r="DC6" s="129"/>
      <c r="DD6" s="129"/>
      <c r="DE6" s="129"/>
      <c r="DF6" s="129"/>
      <c r="DG6" s="129"/>
      <c r="DH6" s="129"/>
      <c r="DI6" s="129"/>
      <c r="DJ6" s="129"/>
      <c r="DK6" s="129"/>
      <c r="DL6" s="129"/>
      <c r="DM6" s="129"/>
      <c r="DN6" s="129"/>
      <c r="DO6" s="129"/>
      <c r="DP6" s="129"/>
      <c r="DQ6" s="129"/>
      <c r="DR6" s="129"/>
      <c r="DS6" s="129"/>
      <c r="DT6" s="129"/>
      <c r="DU6" s="129"/>
      <c r="DV6" s="129"/>
      <c r="DW6" s="129"/>
      <c r="DX6" s="129"/>
      <c r="DY6" s="129"/>
      <c r="DZ6" s="129"/>
      <c r="EA6" s="129"/>
      <c r="EB6" s="129"/>
      <c r="EC6" s="129"/>
      <c r="ED6" s="129"/>
      <c r="EE6" s="129"/>
      <c r="EF6" s="129"/>
      <c r="EG6" s="129"/>
      <c r="EH6" s="129"/>
      <c r="EI6" s="129"/>
      <c r="EJ6" s="129"/>
      <c r="EK6" s="129"/>
      <c r="EL6" s="129"/>
      <c r="EM6" s="129"/>
      <c r="EN6" s="129"/>
      <c r="EO6" s="129"/>
      <c r="EP6" s="129"/>
      <c r="EQ6" s="129"/>
      <c r="ER6" s="129"/>
      <c r="ES6" s="129"/>
      <c r="ET6" s="129"/>
      <c r="EU6" s="129"/>
      <c r="EV6" s="129"/>
      <c r="EW6" s="129"/>
      <c r="EX6" s="129"/>
      <c r="EY6" s="129"/>
      <c r="EZ6" s="129"/>
      <c r="FA6" s="129"/>
      <c r="FB6" s="129"/>
      <c r="FC6" s="129"/>
      <c r="FD6" s="129"/>
      <c r="FE6" s="129"/>
      <c r="FF6" s="129"/>
      <c r="FG6" s="129"/>
      <c r="FH6" s="129"/>
      <c r="FI6" s="129"/>
      <c r="FJ6" s="129"/>
      <c r="FK6" s="129"/>
      <c r="FL6" s="129"/>
      <c r="FM6" s="129"/>
      <c r="FN6" s="129"/>
      <c r="FO6" s="129"/>
      <c r="FP6" s="129"/>
      <c r="FQ6" s="129"/>
      <c r="FR6" s="129"/>
      <c r="FS6" s="129"/>
      <c r="FT6" s="129"/>
      <c r="FU6" s="129"/>
      <c r="FV6" s="129"/>
      <c r="FW6" s="129"/>
      <c r="FX6" s="129"/>
      <c r="FY6" s="129"/>
      <c r="FZ6" s="129"/>
      <c r="GA6" s="129"/>
      <c r="GB6" s="129"/>
      <c r="GC6" s="129"/>
      <c r="GD6" s="129"/>
      <c r="GE6" s="129"/>
      <c r="GF6" s="129"/>
      <c r="GG6" s="129"/>
      <c r="GH6" s="129"/>
      <c r="GI6" s="129"/>
      <c r="GJ6" s="129"/>
      <c r="GK6" s="129"/>
      <c r="GL6" s="129"/>
      <c r="GM6" s="129"/>
      <c r="GN6" s="129"/>
      <c r="GO6" s="129"/>
      <c r="GP6" s="129"/>
    </row>
    <row r="7" spans="1:198" s="71" customFormat="1">
      <c r="A7" s="59" t="s">
        <v>80</v>
      </c>
      <c r="B7" s="66">
        <f>SUM(B8:B12)</f>
        <v>1572</v>
      </c>
      <c r="C7" s="66">
        <f>SUM(C8:C12)</f>
        <v>2743</v>
      </c>
      <c r="D7" s="66">
        <f>SUM(D8:D12)</f>
        <v>2083</v>
      </c>
      <c r="E7" s="66">
        <f>SUM(E8:E12)</f>
        <v>2366</v>
      </c>
      <c r="F7" s="66">
        <f>SUM(F8:F12)</f>
        <v>1209</v>
      </c>
      <c r="G7" s="67"/>
      <c r="H7" s="68">
        <f t="shared" ref="H7:AA7" si="1">SUM(H8:H12)</f>
        <v>1246</v>
      </c>
      <c r="I7" s="66">
        <f t="shared" si="1"/>
        <v>2725</v>
      </c>
      <c r="J7" s="66">
        <f t="shared" si="1"/>
        <v>2367</v>
      </c>
      <c r="K7" s="66">
        <f t="shared" si="1"/>
        <v>2404</v>
      </c>
      <c r="L7" s="67">
        <f t="shared" si="1"/>
        <v>1320</v>
      </c>
      <c r="M7" s="66">
        <f t="shared" si="1"/>
        <v>1655</v>
      </c>
      <c r="N7" s="66">
        <f t="shared" si="1"/>
        <v>2861</v>
      </c>
      <c r="O7" s="66">
        <f t="shared" si="1"/>
        <v>2668</v>
      </c>
      <c r="P7" s="66">
        <f t="shared" si="1"/>
        <v>2463</v>
      </c>
      <c r="Q7" s="69">
        <f t="shared" si="1"/>
        <v>1508</v>
      </c>
      <c r="R7" s="68">
        <f t="shared" si="1"/>
        <v>985</v>
      </c>
      <c r="S7" s="66">
        <f t="shared" si="1"/>
        <v>2854</v>
      </c>
      <c r="T7" s="66">
        <f t="shared" si="1"/>
        <v>2855</v>
      </c>
      <c r="U7" s="66">
        <f t="shared" si="1"/>
        <v>2482</v>
      </c>
      <c r="V7" s="67">
        <f t="shared" si="1"/>
        <v>1524</v>
      </c>
      <c r="W7" s="66">
        <f t="shared" si="1"/>
        <v>855</v>
      </c>
      <c r="X7" s="66">
        <f t="shared" si="1"/>
        <v>2543</v>
      </c>
      <c r="Y7" s="66">
        <f t="shared" si="1"/>
        <v>3044</v>
      </c>
      <c r="Z7" s="66">
        <f t="shared" si="1"/>
        <v>2610</v>
      </c>
      <c r="AA7" s="66">
        <f t="shared" si="1"/>
        <v>1455</v>
      </c>
      <c r="AB7" s="70" t="s">
        <v>40</v>
      </c>
      <c r="AC7" s="123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30" t="s">
        <v>42</v>
      </c>
      <c r="AP7" s="38">
        <v>6015</v>
      </c>
      <c r="AQ7" s="38">
        <v>5701</v>
      </c>
      <c r="AR7" s="38">
        <v>3013</v>
      </c>
      <c r="AS7" s="38">
        <v>3011</v>
      </c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  <c r="DK7" s="129"/>
      <c r="DL7" s="129"/>
      <c r="DM7" s="129"/>
      <c r="DN7" s="129"/>
      <c r="DO7" s="129"/>
      <c r="DP7" s="129"/>
      <c r="DQ7" s="129"/>
      <c r="DR7" s="129"/>
      <c r="DS7" s="129"/>
      <c r="DT7" s="129"/>
      <c r="DU7" s="129"/>
      <c r="DV7" s="129"/>
      <c r="DW7" s="129"/>
      <c r="DX7" s="129"/>
      <c r="DY7" s="129"/>
      <c r="DZ7" s="129"/>
      <c r="EA7" s="129"/>
      <c r="EB7" s="129"/>
      <c r="EC7" s="129"/>
      <c r="ED7" s="129"/>
      <c r="EE7" s="129"/>
      <c r="EF7" s="129"/>
      <c r="EG7" s="129"/>
      <c r="EH7" s="129"/>
      <c r="EI7" s="129"/>
      <c r="EJ7" s="129"/>
      <c r="EK7" s="129"/>
      <c r="EL7" s="129"/>
      <c r="EM7" s="129"/>
      <c r="EN7" s="129"/>
      <c r="EO7" s="129"/>
      <c r="EP7" s="129"/>
      <c r="EQ7" s="129"/>
      <c r="ER7" s="129"/>
      <c r="ES7" s="129"/>
      <c r="ET7" s="129"/>
      <c r="EU7" s="129"/>
      <c r="EV7" s="129"/>
      <c r="EW7" s="129"/>
      <c r="EX7" s="129"/>
      <c r="EY7" s="129"/>
      <c r="EZ7" s="129"/>
      <c r="FA7" s="129"/>
      <c r="FB7" s="129"/>
      <c r="FC7" s="129"/>
      <c r="FD7" s="129"/>
      <c r="FE7" s="129"/>
      <c r="FF7" s="129"/>
      <c r="FG7" s="129"/>
      <c r="FH7" s="129"/>
      <c r="FI7" s="129"/>
      <c r="FJ7" s="129"/>
      <c r="FK7" s="129"/>
      <c r="FL7" s="129"/>
      <c r="FM7" s="129"/>
      <c r="FN7" s="129"/>
      <c r="FO7" s="129"/>
      <c r="FP7" s="129"/>
      <c r="FQ7" s="129"/>
      <c r="FR7" s="129"/>
      <c r="FS7" s="129"/>
      <c r="FT7" s="129"/>
      <c r="FU7" s="129"/>
      <c r="FV7" s="129"/>
      <c r="FW7" s="129"/>
      <c r="FX7" s="129"/>
      <c r="FY7" s="129"/>
      <c r="FZ7" s="129"/>
      <c r="GA7" s="129"/>
      <c r="GB7" s="129"/>
      <c r="GC7" s="129"/>
      <c r="GD7" s="129"/>
      <c r="GE7" s="129"/>
      <c r="GF7" s="129"/>
      <c r="GG7" s="129"/>
      <c r="GH7" s="129"/>
      <c r="GI7" s="129"/>
      <c r="GJ7" s="129"/>
      <c r="GK7" s="129"/>
      <c r="GL7" s="129"/>
      <c r="GM7" s="129"/>
      <c r="GN7" s="129"/>
      <c r="GO7" s="129"/>
      <c r="GP7" s="129"/>
    </row>
    <row r="8" spans="1:198" s="71" customFormat="1">
      <c r="A8" s="72" t="s">
        <v>65</v>
      </c>
      <c r="B8" s="73">
        <v>108</v>
      </c>
      <c r="C8" s="73">
        <v>0</v>
      </c>
      <c r="D8" s="73">
        <v>0</v>
      </c>
      <c r="E8" s="73">
        <v>0</v>
      </c>
      <c r="F8" s="73">
        <v>0</v>
      </c>
      <c r="G8" s="74"/>
      <c r="H8" s="75">
        <v>83</v>
      </c>
      <c r="I8" s="73">
        <v>0</v>
      </c>
      <c r="J8" s="73">
        <v>0</v>
      </c>
      <c r="K8" s="73">
        <v>0</v>
      </c>
      <c r="L8" s="74">
        <v>0</v>
      </c>
      <c r="M8" s="76">
        <v>103</v>
      </c>
      <c r="N8" s="73">
        <v>0</v>
      </c>
      <c r="O8" s="73">
        <v>0</v>
      </c>
      <c r="P8" s="73">
        <v>0</v>
      </c>
      <c r="Q8" s="77">
        <v>0</v>
      </c>
      <c r="R8" s="75">
        <v>64</v>
      </c>
      <c r="S8" s="73">
        <v>0</v>
      </c>
      <c r="T8" s="73">
        <v>0</v>
      </c>
      <c r="U8" s="73">
        <v>0</v>
      </c>
      <c r="V8" s="74">
        <v>0</v>
      </c>
      <c r="W8" s="76">
        <v>25</v>
      </c>
      <c r="X8" s="73">
        <v>0</v>
      </c>
      <c r="Y8" s="73">
        <v>0</v>
      </c>
      <c r="Z8" s="73">
        <v>0</v>
      </c>
      <c r="AA8" s="73">
        <v>0</v>
      </c>
      <c r="AB8" s="96" t="s">
        <v>81</v>
      </c>
      <c r="AC8" s="123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30" t="s">
        <v>80</v>
      </c>
      <c r="AP8" s="38">
        <v>2366</v>
      </c>
      <c r="AQ8" s="38">
        <v>2404</v>
      </c>
      <c r="AR8" s="38">
        <v>1209</v>
      </c>
      <c r="AS8" s="38">
        <v>1320</v>
      </c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  <c r="DB8" s="129"/>
      <c r="DC8" s="129"/>
      <c r="DD8" s="129"/>
      <c r="DE8" s="129"/>
      <c r="DF8" s="129"/>
      <c r="DG8" s="129"/>
      <c r="DH8" s="129"/>
      <c r="DI8" s="129"/>
      <c r="DJ8" s="129"/>
      <c r="DK8" s="129"/>
      <c r="DL8" s="129"/>
      <c r="DM8" s="129"/>
      <c r="DN8" s="129"/>
      <c r="DO8" s="129"/>
      <c r="DP8" s="129"/>
      <c r="DQ8" s="129"/>
      <c r="DR8" s="129"/>
      <c r="DS8" s="129"/>
      <c r="DT8" s="129"/>
      <c r="DU8" s="129"/>
      <c r="DV8" s="129"/>
      <c r="DW8" s="129"/>
      <c r="DX8" s="129"/>
      <c r="DY8" s="129"/>
      <c r="DZ8" s="129"/>
      <c r="EA8" s="129"/>
      <c r="EB8" s="129"/>
      <c r="EC8" s="129"/>
      <c r="ED8" s="129"/>
      <c r="EE8" s="129"/>
      <c r="EF8" s="129"/>
      <c r="EG8" s="129"/>
      <c r="EH8" s="129"/>
      <c r="EI8" s="129"/>
      <c r="EJ8" s="129"/>
      <c r="EK8" s="129"/>
      <c r="EL8" s="129"/>
      <c r="EM8" s="129"/>
      <c r="EN8" s="129"/>
      <c r="EO8" s="129"/>
      <c r="EP8" s="129"/>
      <c r="EQ8" s="129"/>
      <c r="ER8" s="129"/>
      <c r="ES8" s="129"/>
      <c r="ET8" s="129"/>
      <c r="EU8" s="129"/>
      <c r="EV8" s="129"/>
      <c r="EW8" s="129"/>
      <c r="EX8" s="129"/>
      <c r="EY8" s="129"/>
      <c r="EZ8" s="129"/>
      <c r="FA8" s="129"/>
      <c r="FB8" s="129"/>
      <c r="FC8" s="129"/>
      <c r="FD8" s="129"/>
      <c r="FE8" s="129"/>
      <c r="FF8" s="129"/>
      <c r="FG8" s="129"/>
      <c r="FH8" s="129"/>
      <c r="FI8" s="129"/>
      <c r="FJ8" s="129"/>
      <c r="FK8" s="129"/>
      <c r="FL8" s="129"/>
      <c r="FM8" s="129"/>
      <c r="FN8" s="129"/>
      <c r="FO8" s="129"/>
      <c r="FP8" s="129"/>
      <c r="FQ8" s="129"/>
      <c r="FR8" s="129"/>
      <c r="FS8" s="129"/>
      <c r="FT8" s="129"/>
      <c r="FU8" s="129"/>
      <c r="FV8" s="129"/>
      <c r="FW8" s="129"/>
      <c r="FX8" s="129"/>
      <c r="FY8" s="129"/>
      <c r="FZ8" s="129"/>
      <c r="GA8" s="129"/>
      <c r="GB8" s="129"/>
      <c r="GC8" s="129"/>
      <c r="GD8" s="129"/>
      <c r="GE8" s="129"/>
      <c r="GF8" s="129"/>
      <c r="GG8" s="129"/>
      <c r="GH8" s="129"/>
      <c r="GI8" s="129"/>
      <c r="GJ8" s="129"/>
      <c r="GK8" s="129"/>
      <c r="GL8" s="129"/>
      <c r="GM8" s="129"/>
      <c r="GN8" s="129"/>
      <c r="GO8" s="129"/>
      <c r="GP8" s="129"/>
    </row>
    <row r="9" spans="1:198" s="71" customFormat="1">
      <c r="A9" s="72" t="s">
        <v>66</v>
      </c>
      <c r="B9" s="73">
        <v>0</v>
      </c>
      <c r="C9" s="73">
        <v>0</v>
      </c>
      <c r="D9" s="73">
        <v>2038</v>
      </c>
      <c r="E9" s="73">
        <v>2311</v>
      </c>
      <c r="F9" s="73">
        <v>1181</v>
      </c>
      <c r="G9" s="74"/>
      <c r="H9" s="75">
        <v>0</v>
      </c>
      <c r="I9" s="73">
        <v>0</v>
      </c>
      <c r="J9" s="73">
        <v>2251</v>
      </c>
      <c r="K9" s="73">
        <v>2305</v>
      </c>
      <c r="L9" s="74">
        <v>1254</v>
      </c>
      <c r="M9" s="76">
        <v>0</v>
      </c>
      <c r="N9" s="73">
        <v>0</v>
      </c>
      <c r="O9" s="73">
        <v>2502</v>
      </c>
      <c r="P9" s="73">
        <v>2362</v>
      </c>
      <c r="Q9" s="77">
        <v>1411</v>
      </c>
      <c r="R9" s="75">
        <v>0</v>
      </c>
      <c r="S9" s="73">
        <v>0</v>
      </c>
      <c r="T9" s="73">
        <v>2603</v>
      </c>
      <c r="U9" s="73">
        <v>2357</v>
      </c>
      <c r="V9" s="74">
        <v>1426</v>
      </c>
      <c r="W9" s="76">
        <v>0</v>
      </c>
      <c r="X9" s="73">
        <v>0</v>
      </c>
      <c r="Y9" s="73">
        <v>2706</v>
      </c>
      <c r="Z9" s="73">
        <v>2417</v>
      </c>
      <c r="AA9" s="73">
        <v>1288</v>
      </c>
      <c r="AB9" s="96" t="s">
        <v>110</v>
      </c>
      <c r="AC9" s="123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30" t="s">
        <v>82</v>
      </c>
      <c r="AP9" s="38">
        <v>3649</v>
      </c>
      <c r="AQ9" s="38">
        <v>3297</v>
      </c>
      <c r="AR9" s="38">
        <v>1804</v>
      </c>
      <c r="AS9" s="38">
        <v>1691</v>
      </c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  <c r="DK9" s="129"/>
      <c r="DL9" s="129"/>
      <c r="DM9" s="129"/>
      <c r="DN9" s="129"/>
      <c r="DO9" s="129"/>
      <c r="DP9" s="129"/>
      <c r="DQ9" s="129"/>
      <c r="DR9" s="129"/>
      <c r="DS9" s="129"/>
      <c r="DT9" s="129"/>
      <c r="DU9" s="129"/>
      <c r="DV9" s="129"/>
      <c r="DW9" s="129"/>
      <c r="DX9" s="129"/>
      <c r="DY9" s="129"/>
      <c r="DZ9" s="129"/>
      <c r="EA9" s="129"/>
      <c r="EB9" s="129"/>
      <c r="EC9" s="129"/>
      <c r="ED9" s="129"/>
      <c r="EE9" s="129"/>
      <c r="EF9" s="129"/>
      <c r="EG9" s="129"/>
      <c r="EH9" s="129"/>
      <c r="EI9" s="129"/>
      <c r="EJ9" s="129"/>
      <c r="EK9" s="129"/>
      <c r="EL9" s="129"/>
      <c r="EM9" s="129"/>
      <c r="EN9" s="129"/>
      <c r="EO9" s="129"/>
      <c r="EP9" s="129"/>
      <c r="EQ9" s="129"/>
      <c r="ER9" s="129"/>
      <c r="ES9" s="129"/>
      <c r="ET9" s="129"/>
      <c r="EU9" s="129"/>
      <c r="EV9" s="129"/>
      <c r="EW9" s="129"/>
      <c r="EX9" s="129"/>
      <c r="EY9" s="129"/>
      <c r="EZ9" s="129"/>
      <c r="FA9" s="129"/>
      <c r="FB9" s="129"/>
      <c r="FC9" s="129"/>
      <c r="FD9" s="129"/>
      <c r="FE9" s="129"/>
      <c r="FF9" s="129"/>
      <c r="FG9" s="129"/>
      <c r="FH9" s="129"/>
      <c r="FI9" s="129"/>
      <c r="FJ9" s="129"/>
      <c r="FK9" s="129"/>
      <c r="FL9" s="129"/>
      <c r="FM9" s="129"/>
      <c r="FN9" s="129"/>
      <c r="FO9" s="129"/>
      <c r="FP9" s="129"/>
      <c r="FQ9" s="129"/>
      <c r="FR9" s="129"/>
      <c r="FS9" s="129"/>
      <c r="FT9" s="129"/>
      <c r="FU9" s="129"/>
      <c r="FV9" s="129"/>
      <c r="FW9" s="129"/>
      <c r="FX9" s="129"/>
      <c r="FY9" s="129"/>
      <c r="FZ9" s="129"/>
      <c r="GA9" s="129"/>
      <c r="GB9" s="129"/>
      <c r="GC9" s="129"/>
      <c r="GD9" s="129"/>
      <c r="GE9" s="129"/>
      <c r="GF9" s="129"/>
      <c r="GG9" s="129"/>
      <c r="GH9" s="129"/>
      <c r="GI9" s="129"/>
      <c r="GJ9" s="129"/>
      <c r="GK9" s="129"/>
      <c r="GL9" s="129"/>
      <c r="GM9" s="129"/>
      <c r="GN9" s="129"/>
      <c r="GO9" s="129"/>
      <c r="GP9" s="129"/>
    </row>
    <row r="10" spans="1:198" s="71" customFormat="1">
      <c r="A10" s="72" t="s">
        <v>67</v>
      </c>
      <c r="B10" s="73">
        <v>1462</v>
      </c>
      <c r="C10" s="73">
        <v>0</v>
      </c>
      <c r="D10" s="73">
        <v>0</v>
      </c>
      <c r="E10" s="73">
        <v>0</v>
      </c>
      <c r="F10" s="73">
        <v>0</v>
      </c>
      <c r="G10" s="74"/>
      <c r="H10" s="75">
        <v>1158</v>
      </c>
      <c r="I10" s="73">
        <v>0</v>
      </c>
      <c r="J10" s="73">
        <v>0</v>
      </c>
      <c r="K10" s="73">
        <v>0</v>
      </c>
      <c r="L10" s="74">
        <v>0</v>
      </c>
      <c r="M10" s="76">
        <v>1546</v>
      </c>
      <c r="N10" s="73">
        <v>0</v>
      </c>
      <c r="O10" s="73">
        <v>0</v>
      </c>
      <c r="P10" s="73">
        <v>0</v>
      </c>
      <c r="Q10" s="77">
        <v>0</v>
      </c>
      <c r="R10" s="75">
        <v>874</v>
      </c>
      <c r="S10" s="73">
        <v>0</v>
      </c>
      <c r="T10" s="73">
        <v>0</v>
      </c>
      <c r="U10" s="73">
        <v>0</v>
      </c>
      <c r="V10" s="74">
        <v>0</v>
      </c>
      <c r="W10" s="76">
        <v>806</v>
      </c>
      <c r="X10" s="73">
        <v>0</v>
      </c>
      <c r="Y10" s="73">
        <v>0</v>
      </c>
      <c r="Z10" s="73">
        <v>0</v>
      </c>
      <c r="AA10" s="73">
        <v>0</v>
      </c>
      <c r="AB10" s="96" t="s">
        <v>83</v>
      </c>
      <c r="AC10" s="123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29"/>
      <c r="DR10" s="129"/>
      <c r="DS10" s="129"/>
      <c r="DT10" s="129"/>
      <c r="DU10" s="129"/>
      <c r="DV10" s="129"/>
      <c r="DW10" s="129"/>
      <c r="DX10" s="129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129"/>
      <c r="EP10" s="129"/>
      <c r="EQ10" s="129"/>
      <c r="ER10" s="129"/>
      <c r="ES10" s="129"/>
      <c r="ET10" s="129"/>
      <c r="EU10" s="129"/>
      <c r="EV10" s="129"/>
      <c r="EW10" s="129"/>
      <c r="EX10" s="129"/>
      <c r="EY10" s="129"/>
      <c r="EZ10" s="129"/>
      <c r="FA10" s="129"/>
      <c r="FB10" s="129"/>
      <c r="FC10" s="129"/>
      <c r="FD10" s="129"/>
      <c r="FE10" s="129"/>
      <c r="FF10" s="129"/>
      <c r="FG10" s="129"/>
      <c r="FH10" s="129"/>
      <c r="FI10" s="129"/>
      <c r="FJ10" s="129"/>
      <c r="FK10" s="129"/>
      <c r="FL10" s="129"/>
      <c r="FM10" s="129"/>
      <c r="FN10" s="129"/>
      <c r="FO10" s="129"/>
      <c r="FP10" s="129"/>
      <c r="FQ10" s="129"/>
      <c r="FR10" s="129"/>
      <c r="FS10" s="129"/>
      <c r="FT10" s="129"/>
      <c r="FU10" s="129"/>
      <c r="FV10" s="129"/>
      <c r="FW10" s="129"/>
      <c r="FX10" s="129"/>
      <c r="FY10" s="129"/>
      <c r="FZ10" s="129"/>
      <c r="GA10" s="129"/>
      <c r="GB10" s="129"/>
      <c r="GC10" s="129"/>
      <c r="GD10" s="129"/>
      <c r="GE10" s="129"/>
      <c r="GF10" s="129"/>
      <c r="GG10" s="129"/>
      <c r="GH10" s="129"/>
      <c r="GI10" s="129"/>
      <c r="GJ10" s="129"/>
      <c r="GK10" s="129"/>
      <c r="GL10" s="129"/>
      <c r="GM10" s="129"/>
      <c r="GN10" s="129"/>
      <c r="GO10" s="129"/>
      <c r="GP10" s="129"/>
    </row>
    <row r="11" spans="1:198" s="71" customFormat="1">
      <c r="A11" s="72" t="s">
        <v>68</v>
      </c>
      <c r="B11" s="73">
        <v>0</v>
      </c>
      <c r="C11" s="73">
        <v>2558</v>
      </c>
      <c r="D11" s="73">
        <v>0</v>
      </c>
      <c r="E11" s="73">
        <v>0</v>
      </c>
      <c r="F11" s="73">
        <v>0</v>
      </c>
      <c r="G11" s="74"/>
      <c r="H11" s="75">
        <v>0</v>
      </c>
      <c r="I11" s="73">
        <v>2277</v>
      </c>
      <c r="J11" s="73">
        <v>0</v>
      </c>
      <c r="K11" s="73">
        <v>0</v>
      </c>
      <c r="L11" s="74">
        <v>0</v>
      </c>
      <c r="M11" s="76">
        <v>0</v>
      </c>
      <c r="N11" s="73">
        <v>2453</v>
      </c>
      <c r="O11" s="73">
        <v>0</v>
      </c>
      <c r="P11" s="73">
        <v>0</v>
      </c>
      <c r="Q11" s="77">
        <v>0</v>
      </c>
      <c r="R11" s="75">
        <v>0</v>
      </c>
      <c r="S11" s="73">
        <v>2589</v>
      </c>
      <c r="T11" s="73">
        <v>0</v>
      </c>
      <c r="U11" s="73">
        <v>0</v>
      </c>
      <c r="V11" s="74">
        <v>0</v>
      </c>
      <c r="W11" s="76">
        <v>0</v>
      </c>
      <c r="X11" s="73">
        <v>2377</v>
      </c>
      <c r="Y11" s="73">
        <v>0</v>
      </c>
      <c r="Z11" s="73">
        <v>0</v>
      </c>
      <c r="AA11" s="73">
        <v>0</v>
      </c>
      <c r="AB11" s="96" t="s">
        <v>84</v>
      </c>
      <c r="AC11" s="123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  <c r="DK11" s="129"/>
      <c r="DL11" s="129"/>
      <c r="DM11" s="129"/>
      <c r="DN11" s="129"/>
      <c r="DO11" s="129"/>
      <c r="DP11" s="129"/>
      <c r="DQ11" s="129"/>
      <c r="DR11" s="129"/>
      <c r="DS11" s="129"/>
      <c r="DT11" s="129"/>
      <c r="DU11" s="129"/>
      <c r="DV11" s="129"/>
      <c r="DW11" s="129"/>
      <c r="DX11" s="129"/>
      <c r="DY11" s="129"/>
      <c r="DZ11" s="129"/>
      <c r="EA11" s="129"/>
      <c r="EB11" s="129"/>
      <c r="EC11" s="129"/>
      <c r="ED11" s="129"/>
      <c r="EE11" s="129"/>
      <c r="EF11" s="129"/>
      <c r="EG11" s="129"/>
      <c r="EH11" s="129"/>
      <c r="EI11" s="129"/>
      <c r="EJ11" s="129"/>
      <c r="EK11" s="129"/>
      <c r="EL11" s="129"/>
      <c r="EM11" s="129"/>
      <c r="EN11" s="129"/>
      <c r="EO11" s="129"/>
      <c r="EP11" s="129"/>
      <c r="EQ11" s="129"/>
      <c r="ER11" s="129"/>
      <c r="ES11" s="129"/>
      <c r="ET11" s="129"/>
      <c r="EU11" s="129"/>
      <c r="EV11" s="129"/>
      <c r="EW11" s="129"/>
      <c r="EX11" s="129"/>
      <c r="EY11" s="129"/>
      <c r="EZ11" s="129"/>
      <c r="FA11" s="129"/>
      <c r="FB11" s="129"/>
      <c r="FC11" s="129"/>
      <c r="FD11" s="129"/>
      <c r="FE11" s="129"/>
      <c r="FF11" s="129"/>
      <c r="FG11" s="129"/>
      <c r="FH11" s="129"/>
      <c r="FI11" s="129"/>
      <c r="FJ11" s="129"/>
      <c r="FK11" s="129"/>
      <c r="FL11" s="129"/>
      <c r="FM11" s="129"/>
      <c r="FN11" s="129"/>
      <c r="FO11" s="129"/>
      <c r="FP11" s="129"/>
      <c r="FQ11" s="129"/>
      <c r="FR11" s="129"/>
      <c r="FS11" s="129"/>
      <c r="FT11" s="129"/>
      <c r="FU11" s="129"/>
      <c r="FV11" s="129"/>
      <c r="FW11" s="129"/>
      <c r="FX11" s="129"/>
      <c r="FY11" s="129"/>
      <c r="FZ11" s="129"/>
      <c r="GA11" s="129"/>
      <c r="GB11" s="129"/>
      <c r="GC11" s="129"/>
      <c r="GD11" s="129"/>
      <c r="GE11" s="129"/>
      <c r="GF11" s="129"/>
      <c r="GG11" s="129"/>
      <c r="GH11" s="129"/>
      <c r="GI11" s="129"/>
      <c r="GJ11" s="129"/>
      <c r="GK11" s="129"/>
      <c r="GL11" s="129"/>
      <c r="GM11" s="129"/>
      <c r="GN11" s="129"/>
      <c r="GO11" s="129"/>
      <c r="GP11" s="129"/>
    </row>
    <row r="12" spans="1:198" s="71" customFormat="1">
      <c r="A12" s="72" t="s">
        <v>17</v>
      </c>
      <c r="B12" s="73">
        <v>2</v>
      </c>
      <c r="C12" s="73">
        <v>185</v>
      </c>
      <c r="D12" s="73">
        <v>45</v>
      </c>
      <c r="E12" s="73">
        <v>55</v>
      </c>
      <c r="F12" s="73">
        <v>28</v>
      </c>
      <c r="G12" s="74"/>
      <c r="H12" s="75">
        <v>5</v>
      </c>
      <c r="I12" s="73">
        <v>448</v>
      </c>
      <c r="J12" s="73">
        <v>116</v>
      </c>
      <c r="K12" s="73">
        <v>99</v>
      </c>
      <c r="L12" s="74">
        <v>66</v>
      </c>
      <c r="M12" s="76">
        <v>6</v>
      </c>
      <c r="N12" s="73">
        <v>408</v>
      </c>
      <c r="O12" s="73">
        <v>166</v>
      </c>
      <c r="P12" s="73">
        <v>101</v>
      </c>
      <c r="Q12" s="77">
        <v>97</v>
      </c>
      <c r="R12" s="75">
        <v>47</v>
      </c>
      <c r="S12" s="73">
        <v>265</v>
      </c>
      <c r="T12" s="73">
        <v>252</v>
      </c>
      <c r="U12" s="73">
        <v>125</v>
      </c>
      <c r="V12" s="74">
        <v>98</v>
      </c>
      <c r="W12" s="76">
        <v>24</v>
      </c>
      <c r="X12" s="73">
        <v>166</v>
      </c>
      <c r="Y12" s="73">
        <v>338</v>
      </c>
      <c r="Z12" s="73">
        <v>193</v>
      </c>
      <c r="AA12" s="73">
        <v>167</v>
      </c>
      <c r="AB12" s="96" t="s">
        <v>85</v>
      </c>
      <c r="AC12" s="123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  <c r="DK12" s="129"/>
      <c r="DL12" s="129"/>
      <c r="DM12" s="129"/>
      <c r="DN12" s="129"/>
      <c r="DO12" s="129"/>
      <c r="DP12" s="129"/>
      <c r="DQ12" s="129"/>
      <c r="DR12" s="129"/>
      <c r="DS12" s="129"/>
      <c r="DT12" s="129"/>
      <c r="DU12" s="129"/>
      <c r="DV12" s="129"/>
      <c r="DW12" s="129"/>
      <c r="DX12" s="129"/>
      <c r="DY12" s="129"/>
      <c r="DZ12" s="129"/>
      <c r="EA12" s="129"/>
      <c r="EB12" s="129"/>
      <c r="EC12" s="129"/>
      <c r="ED12" s="129"/>
      <c r="EE12" s="129"/>
      <c r="EF12" s="129"/>
      <c r="EG12" s="129"/>
      <c r="EH12" s="129"/>
      <c r="EI12" s="129"/>
      <c r="EJ12" s="129"/>
      <c r="EK12" s="129"/>
      <c r="EL12" s="129"/>
      <c r="EM12" s="129"/>
      <c r="EN12" s="129"/>
      <c r="EO12" s="129"/>
      <c r="EP12" s="129"/>
      <c r="EQ12" s="129"/>
      <c r="ER12" s="129"/>
      <c r="ES12" s="129"/>
      <c r="ET12" s="129"/>
      <c r="EU12" s="129"/>
      <c r="EV12" s="129"/>
      <c r="EW12" s="129"/>
      <c r="EX12" s="129"/>
      <c r="EY12" s="129"/>
      <c r="EZ12" s="129"/>
      <c r="FA12" s="129"/>
      <c r="FB12" s="129"/>
      <c r="FC12" s="129"/>
      <c r="FD12" s="129"/>
      <c r="FE12" s="129"/>
      <c r="FF12" s="129"/>
      <c r="FG12" s="129"/>
      <c r="FH12" s="129"/>
      <c r="FI12" s="129"/>
      <c r="FJ12" s="129"/>
      <c r="FK12" s="129"/>
      <c r="FL12" s="129"/>
      <c r="FM12" s="129"/>
      <c r="FN12" s="129"/>
      <c r="FO12" s="129"/>
      <c r="FP12" s="129"/>
      <c r="FQ12" s="129"/>
      <c r="FR12" s="129"/>
      <c r="FS12" s="129"/>
      <c r="FT12" s="129"/>
      <c r="FU12" s="129"/>
      <c r="FV12" s="129"/>
      <c r="FW12" s="129"/>
      <c r="FX12" s="129"/>
      <c r="FY12" s="129"/>
      <c r="FZ12" s="129"/>
      <c r="GA12" s="129"/>
      <c r="GB12" s="129"/>
      <c r="GC12" s="129"/>
      <c r="GD12" s="129"/>
      <c r="GE12" s="129"/>
      <c r="GF12" s="129"/>
      <c r="GG12" s="129"/>
      <c r="GH12" s="129"/>
      <c r="GI12" s="129"/>
      <c r="GJ12" s="129"/>
      <c r="GK12" s="129"/>
      <c r="GL12" s="129"/>
      <c r="GM12" s="129"/>
      <c r="GN12" s="129"/>
      <c r="GO12" s="129"/>
      <c r="GP12" s="129"/>
    </row>
    <row r="13" spans="1:198" s="71" customFormat="1">
      <c r="A13" s="78" t="s">
        <v>41</v>
      </c>
      <c r="B13" s="66">
        <f>SUM(B14:B33)</f>
        <v>1194</v>
      </c>
      <c r="C13" s="66">
        <f>SUM(C14:C33)</f>
        <v>4269</v>
      </c>
      <c r="D13" s="66">
        <f>SUM(D14:D33)</f>
        <v>4226</v>
      </c>
      <c r="E13" s="66">
        <f>SUM(E14:E33)</f>
        <v>3649</v>
      </c>
      <c r="F13" s="66">
        <f>SUM(F14:F33)</f>
        <v>1804</v>
      </c>
      <c r="G13" s="67"/>
      <c r="H13" s="68">
        <f t="shared" ref="H13:AA13" si="2">SUM(H14:H33)</f>
        <v>1135</v>
      </c>
      <c r="I13" s="66">
        <f t="shared" si="2"/>
        <v>4148</v>
      </c>
      <c r="J13" s="66">
        <f t="shared" si="2"/>
        <v>3730</v>
      </c>
      <c r="K13" s="66">
        <f t="shared" si="2"/>
        <v>3295</v>
      </c>
      <c r="L13" s="67">
        <f t="shared" si="2"/>
        <v>1691</v>
      </c>
      <c r="M13" s="66">
        <f t="shared" si="2"/>
        <v>3985</v>
      </c>
      <c r="N13" s="66">
        <f t="shared" si="2"/>
        <v>1316</v>
      </c>
      <c r="O13" s="66">
        <f t="shared" si="2"/>
        <v>4010</v>
      </c>
      <c r="P13" s="66">
        <f t="shared" si="2"/>
        <v>3165</v>
      </c>
      <c r="Q13" s="69">
        <f t="shared" si="2"/>
        <v>1823</v>
      </c>
      <c r="R13" s="68">
        <f t="shared" si="2"/>
        <v>1277</v>
      </c>
      <c r="S13" s="66">
        <f t="shared" si="2"/>
        <v>4560</v>
      </c>
      <c r="T13" s="66">
        <f t="shared" si="2"/>
        <v>5302</v>
      </c>
      <c r="U13" s="66">
        <f t="shared" si="2"/>
        <v>3105</v>
      </c>
      <c r="V13" s="67">
        <f t="shared" si="2"/>
        <v>1890</v>
      </c>
      <c r="W13" s="66">
        <f t="shared" si="2"/>
        <v>1178</v>
      </c>
      <c r="X13" s="66">
        <f t="shared" si="2"/>
        <v>2747</v>
      </c>
      <c r="Y13" s="66">
        <f t="shared" si="2"/>
        <v>6433</v>
      </c>
      <c r="Z13" s="66">
        <f t="shared" si="2"/>
        <v>3153</v>
      </c>
      <c r="AA13" s="66">
        <f t="shared" si="2"/>
        <v>1903</v>
      </c>
      <c r="AB13" s="70" t="s">
        <v>69</v>
      </c>
      <c r="AC13" s="123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29"/>
      <c r="DR13" s="129"/>
      <c r="DS13" s="129"/>
      <c r="DT13" s="129"/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9"/>
      <c r="EF13" s="129"/>
      <c r="EG13" s="129"/>
      <c r="EH13" s="129"/>
      <c r="EI13" s="129"/>
      <c r="EJ13" s="129"/>
      <c r="EK13" s="129"/>
      <c r="EL13" s="129"/>
      <c r="EM13" s="129"/>
      <c r="EN13" s="129"/>
      <c r="EO13" s="129"/>
      <c r="EP13" s="129"/>
      <c r="EQ13" s="129"/>
      <c r="ER13" s="129"/>
      <c r="ES13" s="129"/>
      <c r="ET13" s="129"/>
      <c r="EU13" s="129"/>
      <c r="EV13" s="129"/>
      <c r="EW13" s="129"/>
      <c r="EX13" s="129"/>
      <c r="EY13" s="129"/>
      <c r="EZ13" s="129"/>
      <c r="FA13" s="129"/>
      <c r="FB13" s="129"/>
      <c r="FC13" s="129"/>
      <c r="FD13" s="129"/>
      <c r="FE13" s="129"/>
      <c r="FF13" s="129"/>
      <c r="FG13" s="129"/>
      <c r="FH13" s="129"/>
      <c r="FI13" s="129"/>
      <c r="FJ13" s="129"/>
      <c r="FK13" s="129"/>
      <c r="FL13" s="129"/>
      <c r="FM13" s="129"/>
      <c r="FN13" s="129"/>
      <c r="FO13" s="129"/>
      <c r="FP13" s="129"/>
      <c r="FQ13" s="129"/>
      <c r="FR13" s="129"/>
      <c r="FS13" s="129"/>
      <c r="FT13" s="129"/>
      <c r="FU13" s="129"/>
      <c r="FV13" s="129"/>
      <c r="FW13" s="129"/>
      <c r="FX13" s="129"/>
      <c r="FY13" s="129"/>
      <c r="FZ13" s="129"/>
      <c r="GA13" s="129"/>
      <c r="GB13" s="129"/>
      <c r="GC13" s="129"/>
      <c r="GD13" s="129"/>
      <c r="GE13" s="129"/>
      <c r="GF13" s="129"/>
      <c r="GG13" s="129"/>
      <c r="GH13" s="129"/>
      <c r="GI13" s="129"/>
      <c r="GJ13" s="129"/>
      <c r="GK13" s="129"/>
      <c r="GL13" s="129"/>
      <c r="GM13" s="129"/>
      <c r="GN13" s="129"/>
      <c r="GO13" s="129"/>
      <c r="GP13" s="129"/>
    </row>
    <row r="14" spans="1:198" s="71" customFormat="1" ht="15.75" customHeight="1">
      <c r="A14" s="72" t="s">
        <v>18</v>
      </c>
      <c r="B14" s="73">
        <v>59</v>
      </c>
      <c r="C14" s="73">
        <v>193</v>
      </c>
      <c r="D14" s="73">
        <v>176</v>
      </c>
      <c r="E14" s="73">
        <v>219</v>
      </c>
      <c r="F14" s="73">
        <v>67</v>
      </c>
      <c r="G14" s="74"/>
      <c r="H14" s="75">
        <v>28</v>
      </c>
      <c r="I14" s="73">
        <v>181</v>
      </c>
      <c r="J14" s="73">
        <v>169</v>
      </c>
      <c r="K14" s="73">
        <v>236</v>
      </c>
      <c r="L14" s="74">
        <v>87</v>
      </c>
      <c r="M14" s="76">
        <v>196</v>
      </c>
      <c r="N14" s="73">
        <v>75</v>
      </c>
      <c r="O14" s="73">
        <v>176</v>
      </c>
      <c r="P14" s="73">
        <v>206</v>
      </c>
      <c r="Q14" s="77">
        <v>86</v>
      </c>
      <c r="R14" s="75">
        <v>61</v>
      </c>
      <c r="S14" s="73">
        <v>177</v>
      </c>
      <c r="T14" s="73">
        <v>204</v>
      </c>
      <c r="U14" s="73">
        <v>177</v>
      </c>
      <c r="V14" s="74">
        <v>89</v>
      </c>
      <c r="W14" s="76">
        <v>42</v>
      </c>
      <c r="X14" s="73">
        <v>79</v>
      </c>
      <c r="Y14" s="73">
        <v>257</v>
      </c>
      <c r="Z14" s="73">
        <v>169</v>
      </c>
      <c r="AA14" s="73">
        <v>91</v>
      </c>
      <c r="AB14" s="97" t="s">
        <v>86</v>
      </c>
      <c r="AC14" s="123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29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  <c r="DK14" s="129"/>
      <c r="DL14" s="129"/>
      <c r="DM14" s="129"/>
      <c r="DN14" s="129"/>
      <c r="DO14" s="129"/>
      <c r="DP14" s="129"/>
      <c r="DQ14" s="129"/>
      <c r="DR14" s="129"/>
      <c r="DS14" s="129"/>
      <c r="DT14" s="129"/>
      <c r="DU14" s="129"/>
      <c r="DV14" s="129"/>
      <c r="DW14" s="129"/>
      <c r="DX14" s="129"/>
      <c r="DY14" s="129"/>
      <c r="DZ14" s="129"/>
      <c r="EA14" s="129"/>
      <c r="EB14" s="129"/>
      <c r="EC14" s="129"/>
      <c r="ED14" s="129"/>
      <c r="EE14" s="129"/>
      <c r="EF14" s="129"/>
      <c r="EG14" s="129"/>
      <c r="EH14" s="129"/>
      <c r="EI14" s="129"/>
      <c r="EJ14" s="129"/>
      <c r="EK14" s="129"/>
      <c r="EL14" s="129"/>
      <c r="EM14" s="129"/>
      <c r="EN14" s="129"/>
      <c r="EO14" s="129"/>
      <c r="EP14" s="129"/>
      <c r="EQ14" s="129"/>
      <c r="ER14" s="129"/>
      <c r="ES14" s="129"/>
      <c r="ET14" s="129"/>
      <c r="EU14" s="129"/>
      <c r="EV14" s="129"/>
      <c r="EW14" s="129"/>
      <c r="EX14" s="129"/>
      <c r="EY14" s="129"/>
      <c r="EZ14" s="129"/>
      <c r="FA14" s="129"/>
      <c r="FB14" s="129"/>
      <c r="FC14" s="129"/>
      <c r="FD14" s="129"/>
      <c r="FE14" s="129"/>
      <c r="FF14" s="129"/>
      <c r="FG14" s="129"/>
      <c r="FH14" s="129"/>
      <c r="FI14" s="129"/>
      <c r="FJ14" s="129"/>
      <c r="FK14" s="129"/>
      <c r="FL14" s="129"/>
      <c r="FM14" s="129"/>
      <c r="FN14" s="129"/>
      <c r="FO14" s="129"/>
      <c r="FP14" s="129"/>
      <c r="FQ14" s="129"/>
      <c r="FR14" s="129"/>
      <c r="FS14" s="129"/>
      <c r="FT14" s="129"/>
      <c r="FU14" s="129"/>
      <c r="FV14" s="129"/>
      <c r="FW14" s="129"/>
      <c r="FX14" s="129"/>
      <c r="FY14" s="129"/>
      <c r="FZ14" s="129"/>
      <c r="GA14" s="129"/>
      <c r="GB14" s="129"/>
      <c r="GC14" s="129"/>
      <c r="GD14" s="129"/>
      <c r="GE14" s="129"/>
      <c r="GF14" s="129"/>
      <c r="GG14" s="129"/>
      <c r="GH14" s="129"/>
      <c r="GI14" s="129"/>
      <c r="GJ14" s="129"/>
      <c r="GK14" s="129"/>
      <c r="GL14" s="129"/>
      <c r="GM14" s="129"/>
      <c r="GN14" s="129"/>
      <c r="GO14" s="129"/>
      <c r="GP14" s="129"/>
    </row>
    <row r="15" spans="1:198" s="71" customFormat="1" ht="15.75" customHeight="1">
      <c r="A15" s="72" t="s">
        <v>19</v>
      </c>
      <c r="B15" s="73">
        <v>112</v>
      </c>
      <c r="C15" s="73">
        <v>177</v>
      </c>
      <c r="D15" s="73">
        <v>277</v>
      </c>
      <c r="E15" s="73">
        <v>339</v>
      </c>
      <c r="F15" s="73">
        <v>153</v>
      </c>
      <c r="G15" s="74"/>
      <c r="H15" s="75">
        <v>73</v>
      </c>
      <c r="I15" s="73">
        <v>178</v>
      </c>
      <c r="J15" s="73">
        <v>233</v>
      </c>
      <c r="K15" s="73">
        <v>287</v>
      </c>
      <c r="L15" s="74">
        <v>120</v>
      </c>
      <c r="M15" s="76">
        <v>135</v>
      </c>
      <c r="N15" s="73">
        <v>232</v>
      </c>
      <c r="O15" s="73">
        <v>273</v>
      </c>
      <c r="P15" s="73">
        <v>279</v>
      </c>
      <c r="Q15" s="77">
        <v>149</v>
      </c>
      <c r="R15" s="75">
        <v>183</v>
      </c>
      <c r="S15" s="73">
        <v>205</v>
      </c>
      <c r="T15" s="73">
        <v>339</v>
      </c>
      <c r="U15" s="73">
        <v>279</v>
      </c>
      <c r="V15" s="74">
        <v>126</v>
      </c>
      <c r="W15" s="76">
        <v>66</v>
      </c>
      <c r="X15" s="73">
        <v>112</v>
      </c>
      <c r="Y15" s="73">
        <v>440</v>
      </c>
      <c r="Z15" s="73">
        <v>274</v>
      </c>
      <c r="AA15" s="73">
        <v>170</v>
      </c>
      <c r="AB15" s="97" t="s">
        <v>87</v>
      </c>
      <c r="AC15" s="123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 t="s">
        <v>70</v>
      </c>
      <c r="AS15" s="129" t="s">
        <v>71</v>
      </c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29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  <c r="DK15" s="129"/>
      <c r="DL15" s="129"/>
      <c r="DM15" s="129"/>
      <c r="DN15" s="129"/>
      <c r="DO15" s="129"/>
      <c r="DP15" s="129"/>
      <c r="DQ15" s="129"/>
      <c r="DR15" s="129"/>
      <c r="DS15" s="129"/>
      <c r="DT15" s="129"/>
      <c r="DU15" s="129"/>
      <c r="DV15" s="129"/>
      <c r="DW15" s="129"/>
      <c r="DX15" s="129"/>
      <c r="DY15" s="129"/>
      <c r="DZ15" s="129"/>
      <c r="EA15" s="129"/>
      <c r="EB15" s="129"/>
      <c r="EC15" s="129"/>
      <c r="ED15" s="129"/>
      <c r="EE15" s="129"/>
      <c r="EF15" s="129"/>
      <c r="EG15" s="129"/>
      <c r="EH15" s="129"/>
      <c r="EI15" s="129"/>
      <c r="EJ15" s="129"/>
      <c r="EK15" s="129"/>
      <c r="EL15" s="129"/>
      <c r="EM15" s="129"/>
      <c r="EN15" s="129"/>
      <c r="EO15" s="129"/>
      <c r="EP15" s="129"/>
      <c r="EQ15" s="129"/>
      <c r="ER15" s="129"/>
      <c r="ES15" s="129"/>
      <c r="ET15" s="129"/>
      <c r="EU15" s="129"/>
      <c r="EV15" s="129"/>
      <c r="EW15" s="129"/>
      <c r="EX15" s="129"/>
      <c r="EY15" s="129"/>
      <c r="EZ15" s="129"/>
      <c r="FA15" s="129"/>
      <c r="FB15" s="129"/>
      <c r="FC15" s="129"/>
      <c r="FD15" s="129"/>
      <c r="FE15" s="129"/>
      <c r="FF15" s="129"/>
      <c r="FG15" s="129"/>
      <c r="FH15" s="129"/>
      <c r="FI15" s="129"/>
      <c r="FJ15" s="129"/>
      <c r="FK15" s="129"/>
      <c r="FL15" s="129"/>
      <c r="FM15" s="129"/>
      <c r="FN15" s="129"/>
      <c r="FO15" s="129"/>
      <c r="FP15" s="129"/>
      <c r="FQ15" s="129"/>
      <c r="FR15" s="129"/>
      <c r="FS15" s="129"/>
      <c r="FT15" s="129"/>
      <c r="FU15" s="129"/>
      <c r="FV15" s="129"/>
      <c r="FW15" s="129"/>
      <c r="FX15" s="129"/>
      <c r="FY15" s="129"/>
      <c r="FZ15" s="129"/>
      <c r="GA15" s="129"/>
      <c r="GB15" s="129"/>
      <c r="GC15" s="129"/>
      <c r="GD15" s="129"/>
      <c r="GE15" s="129"/>
      <c r="GF15" s="129"/>
      <c r="GG15" s="129"/>
      <c r="GH15" s="129"/>
      <c r="GI15" s="129"/>
      <c r="GJ15" s="129"/>
      <c r="GK15" s="129"/>
      <c r="GL15" s="129"/>
      <c r="GM15" s="129"/>
      <c r="GN15" s="129"/>
      <c r="GO15" s="129"/>
      <c r="GP15" s="129"/>
    </row>
    <row r="16" spans="1:198" s="71" customFormat="1" ht="15.75" customHeight="1">
      <c r="A16" s="72" t="s">
        <v>20</v>
      </c>
      <c r="B16" s="73">
        <v>57</v>
      </c>
      <c r="C16" s="73">
        <v>182</v>
      </c>
      <c r="D16" s="73">
        <v>151</v>
      </c>
      <c r="E16" s="73">
        <v>193</v>
      </c>
      <c r="F16" s="73">
        <v>73</v>
      </c>
      <c r="G16" s="74"/>
      <c r="H16" s="75">
        <v>24</v>
      </c>
      <c r="I16" s="73">
        <v>145</v>
      </c>
      <c r="J16" s="73">
        <v>162</v>
      </c>
      <c r="K16" s="73">
        <v>199</v>
      </c>
      <c r="L16" s="74">
        <v>88</v>
      </c>
      <c r="M16" s="76">
        <v>148</v>
      </c>
      <c r="N16" s="73">
        <v>30</v>
      </c>
      <c r="O16" s="73">
        <v>164</v>
      </c>
      <c r="P16" s="73">
        <v>188</v>
      </c>
      <c r="Q16" s="77">
        <v>75</v>
      </c>
      <c r="R16" s="75">
        <v>23</v>
      </c>
      <c r="S16" s="73">
        <v>138</v>
      </c>
      <c r="T16" s="73">
        <v>195</v>
      </c>
      <c r="U16" s="73">
        <v>148</v>
      </c>
      <c r="V16" s="74">
        <v>95</v>
      </c>
      <c r="W16" s="76">
        <v>36</v>
      </c>
      <c r="X16" s="73">
        <v>67</v>
      </c>
      <c r="Y16" s="73">
        <v>262</v>
      </c>
      <c r="Z16" s="73">
        <v>166</v>
      </c>
      <c r="AA16" s="73">
        <v>82</v>
      </c>
      <c r="AB16" s="97" t="s">
        <v>88</v>
      </c>
      <c r="AC16" s="123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 t="s">
        <v>42</v>
      </c>
      <c r="AR16" s="129">
        <v>5763</v>
      </c>
      <c r="AS16" s="129">
        <v>3358</v>
      </c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29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  <c r="DK16" s="129"/>
      <c r="DL16" s="129"/>
      <c r="DM16" s="129"/>
      <c r="DN16" s="129"/>
      <c r="DO16" s="129"/>
      <c r="DP16" s="129"/>
      <c r="DQ16" s="129"/>
      <c r="DR16" s="129"/>
      <c r="DS16" s="129"/>
      <c r="DT16" s="129"/>
      <c r="DU16" s="129"/>
      <c r="DV16" s="129"/>
      <c r="DW16" s="129"/>
      <c r="DX16" s="129"/>
      <c r="DY16" s="129"/>
      <c r="DZ16" s="129"/>
      <c r="EA16" s="129"/>
      <c r="EB16" s="129"/>
      <c r="EC16" s="129"/>
      <c r="ED16" s="129"/>
      <c r="EE16" s="129"/>
      <c r="EF16" s="129"/>
      <c r="EG16" s="129"/>
      <c r="EH16" s="129"/>
      <c r="EI16" s="129"/>
      <c r="EJ16" s="129"/>
      <c r="EK16" s="129"/>
      <c r="EL16" s="129"/>
      <c r="EM16" s="129"/>
      <c r="EN16" s="129"/>
      <c r="EO16" s="129"/>
      <c r="EP16" s="129"/>
      <c r="EQ16" s="129"/>
      <c r="ER16" s="129"/>
      <c r="ES16" s="129"/>
      <c r="ET16" s="129"/>
      <c r="EU16" s="129"/>
      <c r="EV16" s="129"/>
      <c r="EW16" s="129"/>
      <c r="EX16" s="129"/>
      <c r="EY16" s="129"/>
      <c r="EZ16" s="129"/>
      <c r="FA16" s="129"/>
      <c r="FB16" s="129"/>
      <c r="FC16" s="129"/>
      <c r="FD16" s="129"/>
      <c r="FE16" s="129"/>
      <c r="FF16" s="129"/>
      <c r="FG16" s="129"/>
      <c r="FH16" s="129"/>
      <c r="FI16" s="129"/>
      <c r="FJ16" s="129"/>
      <c r="FK16" s="129"/>
      <c r="FL16" s="129"/>
      <c r="FM16" s="129"/>
      <c r="FN16" s="129"/>
      <c r="FO16" s="129"/>
      <c r="FP16" s="129"/>
      <c r="FQ16" s="129"/>
      <c r="FR16" s="129"/>
      <c r="FS16" s="129"/>
      <c r="FT16" s="129"/>
      <c r="FU16" s="129"/>
      <c r="FV16" s="129"/>
      <c r="FW16" s="129"/>
      <c r="FX16" s="129"/>
      <c r="FY16" s="129"/>
      <c r="FZ16" s="129"/>
      <c r="GA16" s="129"/>
      <c r="GB16" s="129"/>
      <c r="GC16" s="129"/>
      <c r="GD16" s="129"/>
      <c r="GE16" s="129"/>
      <c r="GF16" s="129"/>
      <c r="GG16" s="129"/>
      <c r="GH16" s="129"/>
      <c r="GI16" s="129"/>
      <c r="GJ16" s="129"/>
      <c r="GK16" s="129"/>
      <c r="GL16" s="129"/>
      <c r="GM16" s="129"/>
      <c r="GN16" s="129"/>
      <c r="GO16" s="129"/>
      <c r="GP16" s="129"/>
    </row>
    <row r="17" spans="1:198" s="71" customFormat="1">
      <c r="A17" s="72" t="s">
        <v>21</v>
      </c>
      <c r="B17" s="73">
        <v>54</v>
      </c>
      <c r="C17" s="73">
        <v>194</v>
      </c>
      <c r="D17" s="73">
        <v>236</v>
      </c>
      <c r="E17" s="73">
        <v>195</v>
      </c>
      <c r="F17" s="73">
        <v>107</v>
      </c>
      <c r="G17" s="74"/>
      <c r="H17" s="75">
        <v>62</v>
      </c>
      <c r="I17" s="73">
        <v>186</v>
      </c>
      <c r="J17" s="73">
        <v>215</v>
      </c>
      <c r="K17" s="73">
        <v>193</v>
      </c>
      <c r="L17" s="74">
        <v>95</v>
      </c>
      <c r="M17" s="76">
        <v>175</v>
      </c>
      <c r="N17" s="73">
        <v>52</v>
      </c>
      <c r="O17" s="73">
        <v>213</v>
      </c>
      <c r="P17" s="73">
        <v>187</v>
      </c>
      <c r="Q17" s="77">
        <v>101</v>
      </c>
      <c r="R17" s="75">
        <v>97</v>
      </c>
      <c r="S17" s="73">
        <v>219</v>
      </c>
      <c r="T17" s="73">
        <v>290</v>
      </c>
      <c r="U17" s="73">
        <v>167</v>
      </c>
      <c r="V17" s="74">
        <v>104</v>
      </c>
      <c r="W17" s="76">
        <v>97</v>
      </c>
      <c r="X17" s="73">
        <v>133</v>
      </c>
      <c r="Y17" s="73">
        <v>383</v>
      </c>
      <c r="Z17" s="73">
        <v>171</v>
      </c>
      <c r="AA17" s="73">
        <v>103</v>
      </c>
      <c r="AB17" s="97" t="s">
        <v>89</v>
      </c>
      <c r="AC17" s="123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 t="s">
        <v>80</v>
      </c>
      <c r="AR17" s="129">
        <v>2610</v>
      </c>
      <c r="AS17" s="129">
        <v>1455</v>
      </c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29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  <c r="DK17" s="129"/>
      <c r="DL17" s="129"/>
      <c r="DM17" s="129"/>
      <c r="DN17" s="129"/>
      <c r="DO17" s="129"/>
      <c r="DP17" s="129"/>
      <c r="DQ17" s="129"/>
      <c r="DR17" s="129"/>
      <c r="DS17" s="129"/>
      <c r="DT17" s="129"/>
      <c r="DU17" s="129"/>
      <c r="DV17" s="129"/>
      <c r="DW17" s="129"/>
      <c r="DX17" s="129"/>
      <c r="DY17" s="129"/>
      <c r="DZ17" s="129"/>
      <c r="EA17" s="129"/>
      <c r="EB17" s="129"/>
      <c r="EC17" s="129"/>
      <c r="ED17" s="129"/>
      <c r="EE17" s="129"/>
      <c r="EF17" s="129"/>
      <c r="EG17" s="129"/>
      <c r="EH17" s="129"/>
      <c r="EI17" s="129"/>
      <c r="EJ17" s="129"/>
      <c r="EK17" s="129"/>
      <c r="EL17" s="129"/>
      <c r="EM17" s="129"/>
      <c r="EN17" s="129"/>
      <c r="EO17" s="129"/>
      <c r="EP17" s="129"/>
      <c r="EQ17" s="129"/>
      <c r="ER17" s="129"/>
      <c r="ES17" s="129"/>
      <c r="ET17" s="129"/>
      <c r="EU17" s="129"/>
      <c r="EV17" s="129"/>
      <c r="EW17" s="129"/>
      <c r="EX17" s="129"/>
      <c r="EY17" s="129"/>
      <c r="EZ17" s="129"/>
      <c r="FA17" s="129"/>
      <c r="FB17" s="129"/>
      <c r="FC17" s="129"/>
      <c r="FD17" s="129"/>
      <c r="FE17" s="129"/>
      <c r="FF17" s="129"/>
      <c r="FG17" s="129"/>
      <c r="FH17" s="129"/>
      <c r="FI17" s="129"/>
      <c r="FJ17" s="129"/>
      <c r="FK17" s="129"/>
      <c r="FL17" s="129"/>
      <c r="FM17" s="129"/>
      <c r="FN17" s="129"/>
      <c r="FO17" s="129"/>
      <c r="FP17" s="129"/>
      <c r="FQ17" s="129"/>
      <c r="FR17" s="129"/>
      <c r="FS17" s="129"/>
      <c r="FT17" s="129"/>
      <c r="FU17" s="129"/>
      <c r="FV17" s="129"/>
      <c r="FW17" s="129"/>
      <c r="FX17" s="129"/>
      <c r="FY17" s="129"/>
      <c r="FZ17" s="129"/>
      <c r="GA17" s="129"/>
      <c r="GB17" s="129"/>
      <c r="GC17" s="129"/>
      <c r="GD17" s="129"/>
      <c r="GE17" s="129"/>
      <c r="GF17" s="129"/>
      <c r="GG17" s="129"/>
      <c r="GH17" s="129"/>
      <c r="GI17" s="129"/>
      <c r="GJ17" s="129"/>
      <c r="GK17" s="129"/>
      <c r="GL17" s="129"/>
      <c r="GM17" s="129"/>
      <c r="GN17" s="129"/>
      <c r="GO17" s="129"/>
      <c r="GP17" s="129"/>
    </row>
    <row r="18" spans="1:198" s="71" customFormat="1">
      <c r="A18" s="72" t="s">
        <v>22</v>
      </c>
      <c r="B18" s="73">
        <v>128</v>
      </c>
      <c r="C18" s="73">
        <v>191</v>
      </c>
      <c r="D18" s="73">
        <v>231</v>
      </c>
      <c r="E18" s="73">
        <v>270</v>
      </c>
      <c r="F18" s="73">
        <v>100</v>
      </c>
      <c r="G18" s="74"/>
      <c r="H18" s="75">
        <v>84</v>
      </c>
      <c r="I18" s="73">
        <v>202</v>
      </c>
      <c r="J18" s="73">
        <v>231</v>
      </c>
      <c r="K18" s="73">
        <v>259</v>
      </c>
      <c r="L18" s="74">
        <v>118</v>
      </c>
      <c r="M18" s="76">
        <v>201</v>
      </c>
      <c r="N18" s="73">
        <v>67</v>
      </c>
      <c r="O18" s="73">
        <v>219</v>
      </c>
      <c r="P18" s="73">
        <v>233</v>
      </c>
      <c r="Q18" s="77">
        <v>117</v>
      </c>
      <c r="R18" s="75">
        <v>99</v>
      </c>
      <c r="S18" s="73">
        <v>225</v>
      </c>
      <c r="T18" s="73">
        <v>326</v>
      </c>
      <c r="U18" s="73">
        <v>254</v>
      </c>
      <c r="V18" s="74">
        <v>113</v>
      </c>
      <c r="W18" s="76">
        <v>56</v>
      </c>
      <c r="X18" s="73">
        <v>153</v>
      </c>
      <c r="Y18" s="73">
        <v>359</v>
      </c>
      <c r="Z18" s="73">
        <v>255</v>
      </c>
      <c r="AA18" s="73">
        <v>103</v>
      </c>
      <c r="AB18" s="97" t="s">
        <v>90</v>
      </c>
      <c r="AC18" s="123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 t="s">
        <v>82</v>
      </c>
      <c r="AR18" s="129">
        <v>3153</v>
      </c>
      <c r="AS18" s="129">
        <v>1903</v>
      </c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29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  <c r="DK18" s="129"/>
      <c r="DL18" s="129"/>
      <c r="DM18" s="129"/>
      <c r="DN18" s="129"/>
      <c r="DO18" s="129"/>
      <c r="DP18" s="129"/>
      <c r="DQ18" s="129"/>
      <c r="DR18" s="129"/>
      <c r="DS18" s="129"/>
      <c r="DT18" s="129"/>
      <c r="DU18" s="129"/>
      <c r="DV18" s="129"/>
      <c r="DW18" s="129"/>
      <c r="DX18" s="129"/>
      <c r="DY18" s="129"/>
      <c r="DZ18" s="129"/>
      <c r="EA18" s="129"/>
      <c r="EB18" s="129"/>
      <c r="EC18" s="129"/>
      <c r="ED18" s="129"/>
      <c r="EE18" s="129"/>
      <c r="EF18" s="129"/>
      <c r="EG18" s="129"/>
      <c r="EH18" s="129"/>
      <c r="EI18" s="129"/>
      <c r="EJ18" s="129"/>
      <c r="EK18" s="129"/>
      <c r="EL18" s="129"/>
      <c r="EM18" s="129"/>
      <c r="EN18" s="129"/>
      <c r="EO18" s="129"/>
      <c r="EP18" s="129"/>
      <c r="EQ18" s="129"/>
      <c r="ER18" s="129"/>
      <c r="ES18" s="129"/>
      <c r="ET18" s="129"/>
      <c r="EU18" s="129"/>
      <c r="EV18" s="129"/>
      <c r="EW18" s="129"/>
      <c r="EX18" s="129"/>
      <c r="EY18" s="129"/>
      <c r="EZ18" s="129"/>
      <c r="FA18" s="129"/>
      <c r="FB18" s="129"/>
      <c r="FC18" s="129"/>
      <c r="FD18" s="129"/>
      <c r="FE18" s="129"/>
      <c r="FF18" s="129"/>
      <c r="FG18" s="129"/>
      <c r="FH18" s="129"/>
      <c r="FI18" s="129"/>
      <c r="FJ18" s="129"/>
      <c r="FK18" s="129"/>
      <c r="FL18" s="129"/>
      <c r="FM18" s="129"/>
      <c r="FN18" s="129"/>
      <c r="FO18" s="129"/>
      <c r="FP18" s="129"/>
      <c r="FQ18" s="129"/>
      <c r="FR18" s="129"/>
      <c r="FS18" s="129"/>
      <c r="FT18" s="129"/>
      <c r="FU18" s="129"/>
      <c r="FV18" s="129"/>
      <c r="FW18" s="129"/>
      <c r="FX18" s="129"/>
      <c r="FY18" s="129"/>
      <c r="FZ18" s="129"/>
      <c r="GA18" s="129"/>
      <c r="GB18" s="129"/>
      <c r="GC18" s="129"/>
      <c r="GD18" s="129"/>
      <c r="GE18" s="129"/>
      <c r="GF18" s="129"/>
      <c r="GG18" s="129"/>
      <c r="GH18" s="129"/>
      <c r="GI18" s="129"/>
      <c r="GJ18" s="129"/>
      <c r="GK18" s="129"/>
      <c r="GL18" s="129"/>
      <c r="GM18" s="129"/>
      <c r="GN18" s="129"/>
      <c r="GO18" s="129"/>
      <c r="GP18" s="129"/>
    </row>
    <row r="19" spans="1:198" s="71" customFormat="1">
      <c r="A19" s="72" t="s">
        <v>23</v>
      </c>
      <c r="B19" s="73">
        <v>29</v>
      </c>
      <c r="C19" s="73">
        <v>97</v>
      </c>
      <c r="D19" s="73">
        <v>137</v>
      </c>
      <c r="E19" s="73">
        <v>158</v>
      </c>
      <c r="F19" s="73">
        <v>63</v>
      </c>
      <c r="G19" s="74"/>
      <c r="H19" s="75">
        <v>26</v>
      </c>
      <c r="I19" s="73">
        <v>183</v>
      </c>
      <c r="J19" s="73">
        <v>135</v>
      </c>
      <c r="K19" s="73">
        <v>151</v>
      </c>
      <c r="L19" s="74">
        <v>57</v>
      </c>
      <c r="M19" s="76">
        <v>133</v>
      </c>
      <c r="N19" s="73">
        <v>27</v>
      </c>
      <c r="O19" s="73">
        <v>136</v>
      </c>
      <c r="P19" s="73">
        <v>125</v>
      </c>
      <c r="Q19" s="77">
        <v>63</v>
      </c>
      <c r="R19" s="75">
        <v>43</v>
      </c>
      <c r="S19" s="73">
        <v>119</v>
      </c>
      <c r="T19" s="73">
        <v>171</v>
      </c>
      <c r="U19" s="73">
        <v>124</v>
      </c>
      <c r="V19" s="74">
        <v>64</v>
      </c>
      <c r="W19" s="76">
        <v>21</v>
      </c>
      <c r="X19" s="73">
        <v>79</v>
      </c>
      <c r="Y19" s="73">
        <v>175</v>
      </c>
      <c r="Z19" s="73">
        <v>111</v>
      </c>
      <c r="AA19" s="73">
        <v>62</v>
      </c>
      <c r="AB19" s="97" t="s">
        <v>91</v>
      </c>
      <c r="AC19" s="123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29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  <c r="DK19" s="129"/>
      <c r="DL19" s="129"/>
      <c r="DM19" s="129"/>
      <c r="DN19" s="129"/>
      <c r="DO19" s="129"/>
      <c r="DP19" s="129"/>
      <c r="DQ19" s="129"/>
      <c r="DR19" s="129"/>
      <c r="DS19" s="129"/>
      <c r="DT19" s="129"/>
      <c r="DU19" s="129"/>
      <c r="DV19" s="129"/>
      <c r="DW19" s="129"/>
      <c r="DX19" s="129"/>
      <c r="DY19" s="129"/>
      <c r="DZ19" s="129"/>
      <c r="EA19" s="129"/>
      <c r="EB19" s="129"/>
      <c r="EC19" s="129"/>
      <c r="ED19" s="129"/>
      <c r="EE19" s="129"/>
      <c r="EF19" s="129"/>
      <c r="EG19" s="129"/>
      <c r="EH19" s="129"/>
      <c r="EI19" s="129"/>
      <c r="EJ19" s="129"/>
      <c r="EK19" s="129"/>
      <c r="EL19" s="129"/>
      <c r="EM19" s="129"/>
      <c r="EN19" s="129"/>
      <c r="EO19" s="129"/>
      <c r="EP19" s="129"/>
      <c r="EQ19" s="129"/>
      <c r="ER19" s="129"/>
      <c r="ES19" s="129"/>
      <c r="ET19" s="129"/>
      <c r="EU19" s="129"/>
      <c r="EV19" s="129"/>
      <c r="EW19" s="129"/>
      <c r="EX19" s="129"/>
      <c r="EY19" s="129"/>
      <c r="EZ19" s="129"/>
      <c r="FA19" s="129"/>
      <c r="FB19" s="129"/>
      <c r="FC19" s="129"/>
      <c r="FD19" s="129"/>
      <c r="FE19" s="129"/>
      <c r="FF19" s="129"/>
      <c r="FG19" s="129"/>
      <c r="FH19" s="129"/>
      <c r="FI19" s="129"/>
      <c r="FJ19" s="129"/>
      <c r="FK19" s="129"/>
      <c r="FL19" s="129"/>
      <c r="FM19" s="129"/>
      <c r="FN19" s="129"/>
      <c r="FO19" s="129"/>
      <c r="FP19" s="129"/>
      <c r="FQ19" s="129"/>
      <c r="FR19" s="129"/>
      <c r="FS19" s="129"/>
      <c r="FT19" s="129"/>
      <c r="FU19" s="129"/>
      <c r="FV19" s="129"/>
      <c r="FW19" s="129"/>
      <c r="FX19" s="129"/>
      <c r="FY19" s="129"/>
      <c r="FZ19" s="129"/>
      <c r="GA19" s="129"/>
      <c r="GB19" s="129"/>
      <c r="GC19" s="129"/>
      <c r="GD19" s="129"/>
      <c r="GE19" s="129"/>
      <c r="GF19" s="129"/>
      <c r="GG19" s="129"/>
      <c r="GH19" s="129"/>
      <c r="GI19" s="129"/>
      <c r="GJ19" s="129"/>
      <c r="GK19" s="129"/>
      <c r="GL19" s="129"/>
      <c r="GM19" s="129"/>
      <c r="GN19" s="129"/>
      <c r="GO19" s="129"/>
      <c r="GP19" s="129"/>
    </row>
    <row r="20" spans="1:198" s="71" customFormat="1">
      <c r="A20" s="72" t="s">
        <v>24</v>
      </c>
      <c r="B20" s="73">
        <v>71</v>
      </c>
      <c r="C20" s="73">
        <v>99</v>
      </c>
      <c r="D20" s="73">
        <v>165</v>
      </c>
      <c r="E20" s="73">
        <v>168</v>
      </c>
      <c r="F20" s="73">
        <v>72</v>
      </c>
      <c r="G20" s="74"/>
      <c r="H20" s="75">
        <v>61</v>
      </c>
      <c r="I20" s="73">
        <v>124</v>
      </c>
      <c r="J20" s="73">
        <v>178</v>
      </c>
      <c r="K20" s="73">
        <v>160</v>
      </c>
      <c r="L20" s="74">
        <v>93</v>
      </c>
      <c r="M20" s="76">
        <v>201</v>
      </c>
      <c r="N20" s="73">
        <v>68</v>
      </c>
      <c r="O20" s="73">
        <v>180</v>
      </c>
      <c r="P20" s="73">
        <v>141</v>
      </c>
      <c r="Q20" s="77">
        <v>85</v>
      </c>
      <c r="R20" s="75">
        <v>60</v>
      </c>
      <c r="S20" s="73">
        <v>171</v>
      </c>
      <c r="T20" s="73">
        <v>244</v>
      </c>
      <c r="U20" s="73">
        <v>127</v>
      </c>
      <c r="V20" s="74">
        <v>82</v>
      </c>
      <c r="W20" s="76">
        <v>36</v>
      </c>
      <c r="X20" s="73">
        <v>111</v>
      </c>
      <c r="Y20" s="73">
        <v>307</v>
      </c>
      <c r="Z20" s="73">
        <v>129</v>
      </c>
      <c r="AA20" s="73">
        <v>96</v>
      </c>
      <c r="AB20" s="97" t="s">
        <v>92</v>
      </c>
      <c r="AC20" s="123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29"/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29"/>
      <c r="CB20" s="129"/>
      <c r="CC20" s="129"/>
      <c r="CD20" s="129"/>
      <c r="CE20" s="129"/>
      <c r="CF20" s="129"/>
      <c r="CG20" s="129"/>
      <c r="CH20" s="129"/>
      <c r="CI20" s="129"/>
      <c r="CJ20" s="129"/>
      <c r="CK20" s="129"/>
      <c r="CL20" s="129"/>
      <c r="CM20" s="129"/>
      <c r="CN20" s="129"/>
      <c r="CO20" s="129"/>
      <c r="CP20" s="129"/>
      <c r="CQ20" s="129"/>
      <c r="CR20" s="129"/>
      <c r="CS20" s="129"/>
      <c r="CT20" s="129"/>
      <c r="CU20" s="129"/>
      <c r="CV20" s="129"/>
      <c r="CW20" s="129"/>
      <c r="CX20" s="129"/>
      <c r="CY20" s="129"/>
      <c r="CZ20" s="129"/>
      <c r="DA20" s="129"/>
      <c r="DB20" s="129"/>
      <c r="DC20" s="129"/>
      <c r="DD20" s="129"/>
      <c r="DE20" s="129"/>
      <c r="DF20" s="129"/>
      <c r="DG20" s="129"/>
      <c r="DH20" s="129"/>
      <c r="DI20" s="129"/>
      <c r="DJ20" s="129"/>
      <c r="DK20" s="129"/>
      <c r="DL20" s="129"/>
      <c r="DM20" s="129"/>
      <c r="DN20" s="129"/>
      <c r="DO20" s="129"/>
      <c r="DP20" s="129"/>
      <c r="DQ20" s="129"/>
      <c r="DR20" s="129"/>
      <c r="DS20" s="129"/>
      <c r="DT20" s="129"/>
      <c r="DU20" s="129"/>
      <c r="DV20" s="129"/>
      <c r="DW20" s="129"/>
      <c r="DX20" s="129"/>
      <c r="DY20" s="129"/>
      <c r="DZ20" s="129"/>
      <c r="EA20" s="129"/>
      <c r="EB20" s="129"/>
      <c r="EC20" s="129"/>
      <c r="ED20" s="129"/>
      <c r="EE20" s="129"/>
      <c r="EF20" s="129"/>
      <c r="EG20" s="129"/>
      <c r="EH20" s="129"/>
      <c r="EI20" s="129"/>
      <c r="EJ20" s="129"/>
      <c r="EK20" s="129"/>
      <c r="EL20" s="129"/>
      <c r="EM20" s="129"/>
      <c r="EN20" s="129"/>
      <c r="EO20" s="129"/>
      <c r="EP20" s="129"/>
      <c r="EQ20" s="129"/>
      <c r="ER20" s="129"/>
      <c r="ES20" s="129"/>
      <c r="ET20" s="129"/>
      <c r="EU20" s="129"/>
      <c r="EV20" s="129"/>
      <c r="EW20" s="129"/>
      <c r="EX20" s="129"/>
      <c r="EY20" s="129"/>
      <c r="EZ20" s="129"/>
      <c r="FA20" s="129"/>
      <c r="FB20" s="129"/>
      <c r="FC20" s="129"/>
      <c r="FD20" s="129"/>
      <c r="FE20" s="129"/>
      <c r="FF20" s="129"/>
      <c r="FG20" s="129"/>
      <c r="FH20" s="129"/>
      <c r="FI20" s="129"/>
      <c r="FJ20" s="129"/>
      <c r="FK20" s="129"/>
      <c r="FL20" s="129"/>
      <c r="FM20" s="129"/>
      <c r="FN20" s="129"/>
      <c r="FO20" s="129"/>
      <c r="FP20" s="129"/>
      <c r="FQ20" s="129"/>
      <c r="FR20" s="129"/>
      <c r="FS20" s="129"/>
      <c r="FT20" s="129"/>
      <c r="FU20" s="129"/>
      <c r="FV20" s="129"/>
      <c r="FW20" s="129"/>
      <c r="FX20" s="129"/>
      <c r="FY20" s="129"/>
      <c r="FZ20" s="129"/>
      <c r="GA20" s="129"/>
      <c r="GB20" s="129"/>
      <c r="GC20" s="129"/>
      <c r="GD20" s="129"/>
      <c r="GE20" s="129"/>
      <c r="GF20" s="129"/>
      <c r="GG20" s="129"/>
      <c r="GH20" s="129"/>
      <c r="GI20" s="129"/>
      <c r="GJ20" s="129"/>
      <c r="GK20" s="129"/>
      <c r="GL20" s="129"/>
      <c r="GM20" s="129"/>
      <c r="GN20" s="129"/>
      <c r="GO20" s="129"/>
      <c r="GP20" s="129"/>
    </row>
    <row r="21" spans="1:198" s="71" customFormat="1">
      <c r="A21" s="72" t="s">
        <v>25</v>
      </c>
      <c r="B21" s="73">
        <v>52</v>
      </c>
      <c r="C21" s="73">
        <v>183</v>
      </c>
      <c r="D21" s="73">
        <v>258</v>
      </c>
      <c r="E21" s="73">
        <v>226</v>
      </c>
      <c r="F21" s="73">
        <v>133</v>
      </c>
      <c r="G21" s="74"/>
      <c r="H21" s="75">
        <v>41</v>
      </c>
      <c r="I21" s="73">
        <v>145</v>
      </c>
      <c r="J21" s="73">
        <v>218</v>
      </c>
      <c r="K21" s="73">
        <v>213</v>
      </c>
      <c r="L21" s="74">
        <v>112</v>
      </c>
      <c r="M21" s="76">
        <v>207</v>
      </c>
      <c r="N21" s="73">
        <v>42</v>
      </c>
      <c r="O21" s="73">
        <v>259</v>
      </c>
      <c r="P21" s="73">
        <v>201</v>
      </c>
      <c r="Q21" s="77">
        <v>129</v>
      </c>
      <c r="R21" s="75">
        <v>26</v>
      </c>
      <c r="S21" s="73">
        <v>263</v>
      </c>
      <c r="T21" s="73">
        <v>300</v>
      </c>
      <c r="U21" s="73">
        <v>247</v>
      </c>
      <c r="V21" s="74">
        <v>126</v>
      </c>
      <c r="W21" s="76">
        <v>62</v>
      </c>
      <c r="X21" s="73">
        <v>102</v>
      </c>
      <c r="Y21" s="73">
        <v>388</v>
      </c>
      <c r="Z21" s="73">
        <v>222</v>
      </c>
      <c r="AA21" s="73">
        <v>151</v>
      </c>
      <c r="AB21" s="97" t="s">
        <v>93</v>
      </c>
      <c r="AC21" s="123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 t="s">
        <v>70</v>
      </c>
      <c r="AR21" s="129"/>
      <c r="AS21" s="129" t="s">
        <v>71</v>
      </c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29"/>
      <c r="CB21" s="129"/>
      <c r="CC21" s="129"/>
      <c r="CD21" s="129"/>
      <c r="CE21" s="129"/>
      <c r="CF21" s="129"/>
      <c r="CG21" s="129"/>
      <c r="CH21" s="129"/>
      <c r="CI21" s="129"/>
      <c r="CJ21" s="129"/>
      <c r="CK21" s="129"/>
      <c r="CL21" s="129"/>
      <c r="CM21" s="129"/>
      <c r="CN21" s="129"/>
      <c r="CO21" s="129"/>
      <c r="CP21" s="129"/>
      <c r="CQ21" s="129"/>
      <c r="CR21" s="129"/>
      <c r="CS21" s="129"/>
      <c r="CT21" s="129"/>
      <c r="CU21" s="129"/>
      <c r="CV21" s="129"/>
      <c r="CW21" s="129"/>
      <c r="CX21" s="129"/>
      <c r="CY21" s="129"/>
      <c r="CZ21" s="129"/>
      <c r="DA21" s="129"/>
      <c r="DB21" s="129"/>
      <c r="DC21" s="129"/>
      <c r="DD21" s="129"/>
      <c r="DE21" s="129"/>
      <c r="DF21" s="129"/>
      <c r="DG21" s="129"/>
      <c r="DH21" s="129"/>
      <c r="DI21" s="129"/>
      <c r="DJ21" s="129"/>
      <c r="DK21" s="129"/>
      <c r="DL21" s="129"/>
      <c r="DM21" s="129"/>
      <c r="DN21" s="129"/>
      <c r="DO21" s="129"/>
      <c r="DP21" s="129"/>
      <c r="DQ21" s="129"/>
      <c r="DR21" s="129"/>
      <c r="DS21" s="129"/>
      <c r="DT21" s="129"/>
      <c r="DU21" s="129"/>
      <c r="DV21" s="129"/>
      <c r="DW21" s="129"/>
      <c r="DX21" s="129"/>
      <c r="DY21" s="129"/>
      <c r="DZ21" s="129"/>
      <c r="EA21" s="129"/>
      <c r="EB21" s="129"/>
      <c r="EC21" s="129"/>
      <c r="ED21" s="129"/>
      <c r="EE21" s="129"/>
      <c r="EF21" s="129"/>
      <c r="EG21" s="129"/>
      <c r="EH21" s="129"/>
      <c r="EI21" s="129"/>
      <c r="EJ21" s="129"/>
      <c r="EK21" s="129"/>
      <c r="EL21" s="129"/>
      <c r="EM21" s="129"/>
      <c r="EN21" s="129"/>
      <c r="EO21" s="129"/>
      <c r="EP21" s="129"/>
      <c r="EQ21" s="129"/>
      <c r="ER21" s="129"/>
      <c r="ES21" s="129"/>
      <c r="ET21" s="129"/>
      <c r="EU21" s="129"/>
      <c r="EV21" s="129"/>
      <c r="EW21" s="129"/>
      <c r="EX21" s="129"/>
      <c r="EY21" s="129"/>
      <c r="EZ21" s="129"/>
      <c r="FA21" s="129"/>
      <c r="FB21" s="129"/>
      <c r="FC21" s="129"/>
      <c r="FD21" s="129"/>
      <c r="FE21" s="129"/>
      <c r="FF21" s="129"/>
      <c r="FG21" s="129"/>
      <c r="FH21" s="129"/>
      <c r="FI21" s="129"/>
      <c r="FJ21" s="129"/>
      <c r="FK21" s="129"/>
      <c r="FL21" s="129"/>
      <c r="FM21" s="129"/>
      <c r="FN21" s="129"/>
      <c r="FO21" s="129"/>
      <c r="FP21" s="129"/>
      <c r="FQ21" s="129"/>
      <c r="FR21" s="129"/>
      <c r="FS21" s="129"/>
      <c r="FT21" s="129"/>
      <c r="FU21" s="129"/>
      <c r="FV21" s="129"/>
      <c r="FW21" s="129"/>
      <c r="FX21" s="129"/>
      <c r="FY21" s="129"/>
      <c r="FZ21" s="129"/>
      <c r="GA21" s="129"/>
      <c r="GB21" s="129"/>
      <c r="GC21" s="129"/>
      <c r="GD21" s="129"/>
      <c r="GE21" s="129"/>
      <c r="GF21" s="129"/>
      <c r="GG21" s="129"/>
      <c r="GH21" s="129"/>
      <c r="GI21" s="129"/>
      <c r="GJ21" s="129"/>
      <c r="GK21" s="129"/>
      <c r="GL21" s="129"/>
      <c r="GM21" s="129"/>
      <c r="GN21" s="129"/>
      <c r="GO21" s="129"/>
      <c r="GP21" s="129"/>
    </row>
    <row r="22" spans="1:198" s="71" customFormat="1">
      <c r="A22" s="72" t="s">
        <v>26</v>
      </c>
      <c r="B22" s="73">
        <v>32</v>
      </c>
      <c r="C22" s="73">
        <v>110</v>
      </c>
      <c r="D22" s="73">
        <v>127</v>
      </c>
      <c r="E22" s="73">
        <v>116</v>
      </c>
      <c r="F22" s="73">
        <v>69</v>
      </c>
      <c r="G22" s="74"/>
      <c r="H22" s="75">
        <v>13</v>
      </c>
      <c r="I22" s="73">
        <v>123</v>
      </c>
      <c r="J22" s="73">
        <v>123</v>
      </c>
      <c r="K22" s="73">
        <v>99</v>
      </c>
      <c r="L22" s="74">
        <v>68</v>
      </c>
      <c r="M22" s="76">
        <v>140</v>
      </c>
      <c r="N22" s="73">
        <v>7</v>
      </c>
      <c r="O22" s="73">
        <v>142</v>
      </c>
      <c r="P22" s="73">
        <v>102</v>
      </c>
      <c r="Q22" s="77">
        <v>71</v>
      </c>
      <c r="R22" s="75">
        <v>18</v>
      </c>
      <c r="S22" s="73">
        <v>120</v>
      </c>
      <c r="T22" s="73">
        <v>155</v>
      </c>
      <c r="U22" s="73">
        <v>86</v>
      </c>
      <c r="V22" s="74">
        <v>65</v>
      </c>
      <c r="W22" s="76">
        <v>15</v>
      </c>
      <c r="X22" s="73">
        <v>115</v>
      </c>
      <c r="Y22" s="73">
        <v>234</v>
      </c>
      <c r="Z22" s="73">
        <v>102</v>
      </c>
      <c r="AA22" s="73">
        <v>70</v>
      </c>
      <c r="AB22" s="97" t="s">
        <v>94</v>
      </c>
      <c r="AC22" s="123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>
        <v>2014</v>
      </c>
      <c r="AR22" s="129">
        <v>2015</v>
      </c>
      <c r="AS22" s="129">
        <v>2014</v>
      </c>
      <c r="AT22" s="129">
        <v>2015</v>
      </c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29"/>
      <c r="CB22" s="129"/>
      <c r="CC22" s="129"/>
      <c r="CD22" s="129"/>
      <c r="CE22" s="129"/>
      <c r="CF22" s="129"/>
      <c r="CG22" s="129"/>
      <c r="CH22" s="129"/>
      <c r="CI22" s="129"/>
      <c r="CJ22" s="129"/>
      <c r="CK22" s="129"/>
      <c r="CL22" s="129"/>
      <c r="CM22" s="129"/>
      <c r="CN22" s="129"/>
      <c r="CO22" s="129"/>
      <c r="CP22" s="129"/>
      <c r="CQ22" s="129"/>
      <c r="CR22" s="129"/>
      <c r="CS22" s="129"/>
      <c r="CT22" s="129"/>
      <c r="CU22" s="129"/>
      <c r="CV22" s="129"/>
      <c r="CW22" s="129"/>
      <c r="CX22" s="129"/>
      <c r="CY22" s="129"/>
      <c r="CZ22" s="129"/>
      <c r="DA22" s="129"/>
      <c r="DB22" s="129"/>
      <c r="DC22" s="129"/>
      <c r="DD22" s="129"/>
      <c r="DE22" s="129"/>
      <c r="DF22" s="129"/>
      <c r="DG22" s="129"/>
      <c r="DH22" s="129"/>
      <c r="DI22" s="129"/>
      <c r="DJ22" s="129"/>
      <c r="DK22" s="129"/>
      <c r="DL22" s="129"/>
      <c r="DM22" s="129"/>
      <c r="DN22" s="129"/>
      <c r="DO22" s="129"/>
      <c r="DP22" s="129"/>
      <c r="DQ22" s="129"/>
      <c r="DR22" s="129"/>
      <c r="DS22" s="129"/>
      <c r="DT22" s="129"/>
      <c r="DU22" s="129"/>
      <c r="DV22" s="129"/>
      <c r="DW22" s="129"/>
      <c r="DX22" s="129"/>
      <c r="DY22" s="129"/>
      <c r="DZ22" s="129"/>
      <c r="EA22" s="129"/>
      <c r="EB22" s="129"/>
      <c r="EC22" s="129"/>
      <c r="ED22" s="129"/>
      <c r="EE22" s="129"/>
      <c r="EF22" s="129"/>
      <c r="EG22" s="129"/>
      <c r="EH22" s="129"/>
      <c r="EI22" s="129"/>
      <c r="EJ22" s="129"/>
      <c r="EK22" s="129"/>
      <c r="EL22" s="129"/>
      <c r="EM22" s="129"/>
      <c r="EN22" s="129"/>
      <c r="EO22" s="129"/>
      <c r="EP22" s="129"/>
      <c r="EQ22" s="129"/>
      <c r="ER22" s="129"/>
      <c r="ES22" s="129"/>
      <c r="ET22" s="129"/>
      <c r="EU22" s="129"/>
      <c r="EV22" s="129"/>
      <c r="EW22" s="129"/>
      <c r="EX22" s="129"/>
      <c r="EY22" s="129"/>
      <c r="EZ22" s="129"/>
      <c r="FA22" s="129"/>
      <c r="FB22" s="129"/>
      <c r="FC22" s="129"/>
      <c r="FD22" s="129"/>
      <c r="FE22" s="129"/>
      <c r="FF22" s="129"/>
      <c r="FG22" s="129"/>
      <c r="FH22" s="129"/>
      <c r="FI22" s="129"/>
      <c r="FJ22" s="129"/>
      <c r="FK22" s="129"/>
      <c r="FL22" s="129"/>
      <c r="FM22" s="129"/>
      <c r="FN22" s="129"/>
      <c r="FO22" s="129"/>
      <c r="FP22" s="129"/>
      <c r="FQ22" s="129"/>
      <c r="FR22" s="129"/>
      <c r="FS22" s="129"/>
      <c r="FT22" s="129"/>
      <c r="FU22" s="129"/>
      <c r="FV22" s="129"/>
      <c r="FW22" s="129"/>
      <c r="FX22" s="129"/>
      <c r="FY22" s="129"/>
      <c r="FZ22" s="129"/>
      <c r="GA22" s="129"/>
      <c r="GB22" s="129"/>
      <c r="GC22" s="129"/>
      <c r="GD22" s="129"/>
      <c r="GE22" s="129"/>
      <c r="GF22" s="129"/>
      <c r="GG22" s="129"/>
      <c r="GH22" s="129"/>
      <c r="GI22" s="129"/>
      <c r="GJ22" s="129"/>
      <c r="GK22" s="129"/>
      <c r="GL22" s="129"/>
      <c r="GM22" s="129"/>
      <c r="GN22" s="129"/>
      <c r="GO22" s="129"/>
      <c r="GP22" s="129"/>
    </row>
    <row r="23" spans="1:198" s="71" customFormat="1">
      <c r="A23" s="72" t="s">
        <v>27</v>
      </c>
      <c r="B23" s="73">
        <v>20</v>
      </c>
      <c r="C23" s="73">
        <v>104</v>
      </c>
      <c r="D23" s="73">
        <v>166</v>
      </c>
      <c r="E23" s="73">
        <v>169</v>
      </c>
      <c r="F23" s="73">
        <v>85</v>
      </c>
      <c r="G23" s="74"/>
      <c r="H23" s="75">
        <v>18</v>
      </c>
      <c r="I23" s="73">
        <v>145</v>
      </c>
      <c r="J23" s="73">
        <v>141</v>
      </c>
      <c r="K23" s="73">
        <v>152</v>
      </c>
      <c r="L23" s="74">
        <v>74</v>
      </c>
      <c r="M23" s="76">
        <v>142</v>
      </c>
      <c r="N23" s="73">
        <v>20</v>
      </c>
      <c r="O23" s="73">
        <v>189</v>
      </c>
      <c r="P23" s="73">
        <v>148</v>
      </c>
      <c r="Q23" s="77">
        <v>110</v>
      </c>
      <c r="R23" s="75">
        <v>16</v>
      </c>
      <c r="S23" s="73">
        <v>253</v>
      </c>
      <c r="T23" s="73">
        <v>189</v>
      </c>
      <c r="U23" s="73">
        <v>139</v>
      </c>
      <c r="V23" s="74">
        <v>76</v>
      </c>
      <c r="W23" s="76">
        <v>25</v>
      </c>
      <c r="X23" s="73">
        <v>133</v>
      </c>
      <c r="Y23" s="73">
        <v>284</v>
      </c>
      <c r="Z23" s="73">
        <v>121</v>
      </c>
      <c r="AA23" s="73">
        <v>84</v>
      </c>
      <c r="AB23" s="97" t="s">
        <v>95</v>
      </c>
      <c r="AC23" s="123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 t="s">
        <v>42</v>
      </c>
      <c r="AQ23" s="129">
        <v>5587</v>
      </c>
      <c r="AR23" s="129">
        <v>5763</v>
      </c>
      <c r="AS23" s="129">
        <v>3414</v>
      </c>
      <c r="AT23" s="129">
        <v>3358</v>
      </c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  <c r="DC23" s="129"/>
      <c r="DD23" s="129"/>
      <c r="DE23" s="129"/>
      <c r="DF23" s="129"/>
      <c r="DG23" s="129"/>
      <c r="DH23" s="129"/>
      <c r="DI23" s="129"/>
      <c r="DJ23" s="129"/>
      <c r="DK23" s="129"/>
      <c r="DL23" s="129"/>
      <c r="DM23" s="129"/>
      <c r="DN23" s="129"/>
      <c r="DO23" s="129"/>
      <c r="DP23" s="129"/>
      <c r="DQ23" s="129"/>
      <c r="DR23" s="129"/>
      <c r="DS23" s="129"/>
      <c r="DT23" s="129"/>
      <c r="DU23" s="129"/>
      <c r="DV23" s="129"/>
      <c r="DW23" s="129"/>
      <c r="DX23" s="129"/>
      <c r="DY23" s="129"/>
      <c r="DZ23" s="129"/>
      <c r="EA23" s="129"/>
      <c r="EB23" s="129"/>
      <c r="EC23" s="129"/>
      <c r="ED23" s="129"/>
      <c r="EE23" s="129"/>
      <c r="EF23" s="129"/>
      <c r="EG23" s="129"/>
      <c r="EH23" s="129"/>
      <c r="EI23" s="129"/>
      <c r="EJ23" s="129"/>
      <c r="EK23" s="129"/>
      <c r="EL23" s="129"/>
      <c r="EM23" s="129"/>
      <c r="EN23" s="129"/>
      <c r="EO23" s="129"/>
      <c r="EP23" s="129"/>
      <c r="EQ23" s="129"/>
      <c r="ER23" s="129"/>
      <c r="ES23" s="129"/>
      <c r="ET23" s="129"/>
      <c r="EU23" s="129"/>
      <c r="EV23" s="129"/>
      <c r="EW23" s="129"/>
      <c r="EX23" s="129"/>
      <c r="EY23" s="129"/>
      <c r="EZ23" s="129"/>
      <c r="FA23" s="129"/>
      <c r="FB23" s="129"/>
      <c r="FC23" s="129"/>
      <c r="FD23" s="129"/>
      <c r="FE23" s="129"/>
      <c r="FF23" s="129"/>
      <c r="FG23" s="129"/>
      <c r="FH23" s="129"/>
      <c r="FI23" s="129"/>
      <c r="FJ23" s="129"/>
      <c r="FK23" s="129"/>
      <c r="FL23" s="129"/>
      <c r="FM23" s="129"/>
      <c r="FN23" s="129"/>
      <c r="FO23" s="129"/>
      <c r="FP23" s="129"/>
      <c r="FQ23" s="129"/>
      <c r="FR23" s="129"/>
      <c r="FS23" s="129"/>
      <c r="FT23" s="129"/>
      <c r="FU23" s="129"/>
      <c r="FV23" s="129"/>
      <c r="FW23" s="129"/>
      <c r="FX23" s="129"/>
      <c r="FY23" s="129"/>
      <c r="FZ23" s="129"/>
      <c r="GA23" s="129"/>
      <c r="GB23" s="129"/>
      <c r="GC23" s="129"/>
      <c r="GD23" s="129"/>
      <c r="GE23" s="129"/>
      <c r="GF23" s="129"/>
      <c r="GG23" s="129"/>
      <c r="GH23" s="129"/>
      <c r="GI23" s="129"/>
      <c r="GJ23" s="129"/>
      <c r="GK23" s="129"/>
      <c r="GL23" s="129"/>
      <c r="GM23" s="129"/>
      <c r="GN23" s="129"/>
      <c r="GO23" s="129"/>
      <c r="GP23" s="129"/>
    </row>
    <row r="24" spans="1:198" s="71" customFormat="1">
      <c r="A24" s="72" t="s">
        <v>28</v>
      </c>
      <c r="B24" s="73">
        <v>1</v>
      </c>
      <c r="C24" s="73">
        <v>21</v>
      </c>
      <c r="D24" s="73">
        <v>29</v>
      </c>
      <c r="E24" s="73">
        <v>14</v>
      </c>
      <c r="F24" s="73">
        <v>17</v>
      </c>
      <c r="G24" s="74"/>
      <c r="H24" s="75">
        <v>1</v>
      </c>
      <c r="I24" s="73">
        <v>33</v>
      </c>
      <c r="J24" s="73">
        <v>19</v>
      </c>
      <c r="K24" s="73">
        <v>13</v>
      </c>
      <c r="L24" s="74">
        <v>12</v>
      </c>
      <c r="M24" s="76">
        <v>60</v>
      </c>
      <c r="N24" s="73">
        <v>9</v>
      </c>
      <c r="O24" s="73">
        <v>24</v>
      </c>
      <c r="P24" s="73">
        <v>24</v>
      </c>
      <c r="Q24" s="77">
        <v>16</v>
      </c>
      <c r="R24" s="75">
        <v>1</v>
      </c>
      <c r="S24" s="73">
        <v>55</v>
      </c>
      <c r="T24" s="73">
        <v>28</v>
      </c>
      <c r="U24" s="73">
        <v>18</v>
      </c>
      <c r="V24" s="74">
        <v>11</v>
      </c>
      <c r="W24" s="76">
        <v>0</v>
      </c>
      <c r="X24" s="73">
        <v>23</v>
      </c>
      <c r="Y24" s="73">
        <v>47</v>
      </c>
      <c r="Z24" s="73">
        <v>20</v>
      </c>
      <c r="AA24" s="73">
        <v>18</v>
      </c>
      <c r="AB24" s="97" t="s">
        <v>96</v>
      </c>
      <c r="AC24" s="123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 t="s">
        <v>80</v>
      </c>
      <c r="AQ24" s="129">
        <v>2482</v>
      </c>
      <c r="AR24" s="129">
        <v>2610</v>
      </c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  <c r="CF24" s="129"/>
      <c r="CG24" s="129"/>
      <c r="CH24" s="129"/>
      <c r="CI24" s="129"/>
      <c r="CJ24" s="129"/>
      <c r="CK24" s="129"/>
      <c r="CL24" s="129"/>
      <c r="CM24" s="129"/>
      <c r="CN24" s="129"/>
      <c r="CO24" s="129"/>
      <c r="CP24" s="129"/>
      <c r="CQ24" s="129"/>
      <c r="CR24" s="129"/>
      <c r="CS24" s="129"/>
      <c r="CT24" s="129"/>
      <c r="CU24" s="129"/>
      <c r="CV24" s="129"/>
      <c r="CW24" s="129"/>
      <c r="CX24" s="129"/>
      <c r="CY24" s="129"/>
      <c r="CZ24" s="129"/>
      <c r="DA24" s="129"/>
      <c r="DB24" s="129"/>
      <c r="DC24" s="129"/>
      <c r="DD24" s="129"/>
      <c r="DE24" s="129"/>
      <c r="DF24" s="129"/>
      <c r="DG24" s="129"/>
      <c r="DH24" s="129"/>
      <c r="DI24" s="129"/>
      <c r="DJ24" s="129"/>
      <c r="DK24" s="129"/>
      <c r="DL24" s="129"/>
      <c r="DM24" s="129"/>
      <c r="DN24" s="129"/>
      <c r="DO24" s="129"/>
      <c r="DP24" s="129"/>
      <c r="DQ24" s="129"/>
      <c r="DR24" s="129"/>
      <c r="DS24" s="129"/>
      <c r="DT24" s="129"/>
      <c r="DU24" s="129"/>
      <c r="DV24" s="129"/>
      <c r="DW24" s="129"/>
      <c r="DX24" s="129"/>
      <c r="DY24" s="129"/>
      <c r="DZ24" s="129"/>
      <c r="EA24" s="129"/>
      <c r="EB24" s="129"/>
      <c r="EC24" s="129"/>
      <c r="ED24" s="129"/>
      <c r="EE24" s="129"/>
      <c r="EF24" s="129"/>
      <c r="EG24" s="129"/>
      <c r="EH24" s="129"/>
      <c r="EI24" s="129"/>
      <c r="EJ24" s="129"/>
      <c r="EK24" s="129"/>
      <c r="EL24" s="129"/>
      <c r="EM24" s="129"/>
      <c r="EN24" s="129"/>
      <c r="EO24" s="129"/>
      <c r="EP24" s="129"/>
      <c r="EQ24" s="129"/>
      <c r="ER24" s="129"/>
      <c r="ES24" s="129"/>
      <c r="ET24" s="129"/>
      <c r="EU24" s="129"/>
      <c r="EV24" s="129"/>
      <c r="EW24" s="129"/>
      <c r="EX24" s="129"/>
      <c r="EY24" s="129"/>
      <c r="EZ24" s="129"/>
      <c r="FA24" s="129"/>
      <c r="FB24" s="129"/>
      <c r="FC24" s="129"/>
      <c r="FD24" s="129"/>
      <c r="FE24" s="129"/>
      <c r="FF24" s="129"/>
      <c r="FG24" s="129"/>
      <c r="FH24" s="129"/>
      <c r="FI24" s="129"/>
      <c r="FJ24" s="129"/>
      <c r="FK24" s="129"/>
      <c r="FL24" s="129"/>
      <c r="FM24" s="129"/>
      <c r="FN24" s="129"/>
      <c r="FO24" s="129"/>
      <c r="FP24" s="129"/>
      <c r="FQ24" s="129"/>
      <c r="FR24" s="129"/>
      <c r="FS24" s="129"/>
      <c r="FT24" s="129"/>
      <c r="FU24" s="129"/>
      <c r="FV24" s="129"/>
      <c r="FW24" s="129"/>
      <c r="FX24" s="129"/>
      <c r="FY24" s="129"/>
      <c r="FZ24" s="129"/>
      <c r="GA24" s="129"/>
      <c r="GB24" s="129"/>
      <c r="GC24" s="129"/>
      <c r="GD24" s="129"/>
      <c r="GE24" s="129"/>
      <c r="GF24" s="129"/>
      <c r="GG24" s="129"/>
      <c r="GH24" s="129"/>
      <c r="GI24" s="129"/>
      <c r="GJ24" s="129"/>
      <c r="GK24" s="129"/>
      <c r="GL24" s="129"/>
      <c r="GM24" s="129"/>
      <c r="GN24" s="129"/>
      <c r="GO24" s="129"/>
      <c r="GP24" s="129"/>
    </row>
    <row r="25" spans="1:198" s="71" customFormat="1">
      <c r="A25" s="72" t="s">
        <v>29</v>
      </c>
      <c r="B25" s="73">
        <v>15</v>
      </c>
      <c r="C25" s="73">
        <v>136</v>
      </c>
      <c r="D25" s="73">
        <v>84</v>
      </c>
      <c r="E25" s="73">
        <v>82</v>
      </c>
      <c r="F25" s="73">
        <v>34</v>
      </c>
      <c r="G25" s="74"/>
      <c r="H25" s="75">
        <v>4</v>
      </c>
      <c r="I25" s="73">
        <v>62</v>
      </c>
      <c r="J25" s="73">
        <v>72</v>
      </c>
      <c r="K25" s="73">
        <v>70</v>
      </c>
      <c r="L25" s="74">
        <v>32</v>
      </c>
      <c r="M25" s="76">
        <v>99</v>
      </c>
      <c r="N25" s="73">
        <v>24</v>
      </c>
      <c r="O25" s="73">
        <v>65</v>
      </c>
      <c r="P25" s="73">
        <v>69</v>
      </c>
      <c r="Q25" s="77">
        <v>30</v>
      </c>
      <c r="R25" s="75">
        <v>23</v>
      </c>
      <c r="S25" s="73">
        <v>75</v>
      </c>
      <c r="T25" s="73">
        <v>88</v>
      </c>
      <c r="U25" s="73">
        <v>66</v>
      </c>
      <c r="V25" s="74">
        <v>40</v>
      </c>
      <c r="W25" s="76">
        <v>5</v>
      </c>
      <c r="X25" s="73">
        <v>52</v>
      </c>
      <c r="Y25" s="73">
        <v>130</v>
      </c>
      <c r="Z25" s="73">
        <v>71</v>
      </c>
      <c r="AA25" s="73">
        <v>42</v>
      </c>
      <c r="AB25" s="97" t="s">
        <v>97</v>
      </c>
      <c r="AC25" s="123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 t="s">
        <v>82</v>
      </c>
      <c r="AQ25" s="129">
        <v>3105</v>
      </c>
      <c r="AR25" s="129">
        <v>3153</v>
      </c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29"/>
      <c r="CB25" s="129"/>
      <c r="CC25" s="129"/>
      <c r="CD25" s="129"/>
      <c r="CE25" s="129"/>
      <c r="CF25" s="129"/>
      <c r="CG25" s="129"/>
      <c r="CH25" s="129"/>
      <c r="CI25" s="129"/>
      <c r="CJ25" s="129"/>
      <c r="CK25" s="129"/>
      <c r="CL25" s="129"/>
      <c r="CM25" s="129"/>
      <c r="CN25" s="129"/>
      <c r="CO25" s="129"/>
      <c r="CP25" s="129"/>
      <c r="CQ25" s="129"/>
      <c r="CR25" s="129"/>
      <c r="CS25" s="129"/>
      <c r="CT25" s="129"/>
      <c r="CU25" s="129"/>
      <c r="CV25" s="129"/>
      <c r="CW25" s="129"/>
      <c r="CX25" s="129"/>
      <c r="CY25" s="129"/>
      <c r="CZ25" s="129"/>
      <c r="DA25" s="129"/>
      <c r="DB25" s="129"/>
      <c r="DC25" s="129"/>
      <c r="DD25" s="129"/>
      <c r="DE25" s="129"/>
      <c r="DF25" s="129"/>
      <c r="DG25" s="129"/>
      <c r="DH25" s="129"/>
      <c r="DI25" s="129"/>
      <c r="DJ25" s="129"/>
      <c r="DK25" s="129"/>
      <c r="DL25" s="129"/>
      <c r="DM25" s="129"/>
      <c r="DN25" s="129"/>
      <c r="DO25" s="129"/>
      <c r="DP25" s="129"/>
      <c r="DQ25" s="129"/>
      <c r="DR25" s="129"/>
      <c r="DS25" s="129"/>
      <c r="DT25" s="129"/>
      <c r="DU25" s="129"/>
      <c r="DV25" s="129"/>
      <c r="DW25" s="129"/>
      <c r="DX25" s="129"/>
      <c r="DY25" s="129"/>
      <c r="DZ25" s="129"/>
      <c r="EA25" s="129"/>
      <c r="EB25" s="129"/>
      <c r="EC25" s="129"/>
      <c r="ED25" s="129"/>
      <c r="EE25" s="129"/>
      <c r="EF25" s="129"/>
      <c r="EG25" s="129"/>
      <c r="EH25" s="129"/>
      <c r="EI25" s="129"/>
      <c r="EJ25" s="129"/>
      <c r="EK25" s="129"/>
      <c r="EL25" s="129"/>
      <c r="EM25" s="129"/>
      <c r="EN25" s="129"/>
      <c r="EO25" s="129"/>
      <c r="EP25" s="129"/>
      <c r="EQ25" s="129"/>
      <c r="ER25" s="129"/>
      <c r="ES25" s="129"/>
      <c r="ET25" s="129"/>
      <c r="EU25" s="129"/>
      <c r="EV25" s="129"/>
      <c r="EW25" s="129"/>
      <c r="EX25" s="129"/>
      <c r="EY25" s="129"/>
      <c r="EZ25" s="129"/>
      <c r="FA25" s="129"/>
      <c r="FB25" s="129"/>
      <c r="FC25" s="129"/>
      <c r="FD25" s="129"/>
      <c r="FE25" s="129"/>
      <c r="FF25" s="129"/>
      <c r="FG25" s="129"/>
      <c r="FH25" s="129"/>
      <c r="FI25" s="129"/>
      <c r="FJ25" s="129"/>
      <c r="FK25" s="129"/>
      <c r="FL25" s="129"/>
      <c r="FM25" s="129"/>
      <c r="FN25" s="129"/>
      <c r="FO25" s="129"/>
      <c r="FP25" s="129"/>
      <c r="FQ25" s="129"/>
      <c r="FR25" s="129"/>
      <c r="FS25" s="129"/>
      <c r="FT25" s="129"/>
      <c r="FU25" s="129"/>
      <c r="FV25" s="129"/>
      <c r="FW25" s="129"/>
      <c r="FX25" s="129"/>
      <c r="FY25" s="129"/>
      <c r="FZ25" s="129"/>
      <c r="GA25" s="129"/>
      <c r="GB25" s="129"/>
      <c r="GC25" s="129"/>
      <c r="GD25" s="129"/>
      <c r="GE25" s="129"/>
      <c r="GF25" s="129"/>
      <c r="GG25" s="129"/>
      <c r="GH25" s="129"/>
      <c r="GI25" s="129"/>
      <c r="GJ25" s="129"/>
      <c r="GK25" s="129"/>
      <c r="GL25" s="129"/>
      <c r="GM25" s="129"/>
      <c r="GN25" s="129"/>
      <c r="GO25" s="129"/>
      <c r="GP25" s="129"/>
    </row>
    <row r="26" spans="1:198" s="71" customFormat="1">
      <c r="A26" s="72" t="s">
        <v>30</v>
      </c>
      <c r="B26" s="73">
        <v>15</v>
      </c>
      <c r="C26" s="73">
        <v>86</v>
      </c>
      <c r="D26" s="73">
        <v>84</v>
      </c>
      <c r="E26" s="73">
        <v>94</v>
      </c>
      <c r="F26" s="73">
        <v>50</v>
      </c>
      <c r="G26" s="74"/>
      <c r="H26" s="75">
        <v>14</v>
      </c>
      <c r="I26" s="73">
        <v>83</v>
      </c>
      <c r="J26" s="73">
        <v>70</v>
      </c>
      <c r="K26" s="73">
        <v>76</v>
      </c>
      <c r="L26" s="74">
        <v>33</v>
      </c>
      <c r="M26" s="76">
        <v>106</v>
      </c>
      <c r="N26" s="73">
        <v>12</v>
      </c>
      <c r="O26" s="73">
        <v>87</v>
      </c>
      <c r="P26" s="73">
        <v>87</v>
      </c>
      <c r="Q26" s="77">
        <v>39</v>
      </c>
      <c r="R26" s="75">
        <v>21</v>
      </c>
      <c r="S26" s="73">
        <v>74</v>
      </c>
      <c r="T26" s="73">
        <v>106</v>
      </c>
      <c r="U26" s="73">
        <v>62</v>
      </c>
      <c r="V26" s="74">
        <v>32</v>
      </c>
      <c r="W26" s="76">
        <v>4</v>
      </c>
      <c r="X26" s="73">
        <v>53</v>
      </c>
      <c r="Y26" s="73">
        <v>129</v>
      </c>
      <c r="Z26" s="73">
        <v>68</v>
      </c>
      <c r="AA26" s="73">
        <v>33</v>
      </c>
      <c r="AB26" s="97" t="s">
        <v>98</v>
      </c>
      <c r="AC26" s="123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  <c r="CD26" s="129"/>
      <c r="CE26" s="129"/>
      <c r="CF26" s="129"/>
      <c r="CG26" s="129"/>
      <c r="CH26" s="129"/>
      <c r="CI26" s="129"/>
      <c r="CJ26" s="129"/>
      <c r="CK26" s="129"/>
      <c r="CL26" s="129"/>
      <c r="CM26" s="129"/>
      <c r="CN26" s="129"/>
      <c r="CO26" s="129"/>
      <c r="CP26" s="129"/>
      <c r="CQ26" s="129"/>
      <c r="CR26" s="129"/>
      <c r="CS26" s="129"/>
      <c r="CT26" s="129"/>
      <c r="CU26" s="129"/>
      <c r="CV26" s="129"/>
      <c r="CW26" s="129"/>
      <c r="CX26" s="129"/>
      <c r="CY26" s="129"/>
      <c r="CZ26" s="129"/>
      <c r="DA26" s="129"/>
      <c r="DB26" s="129"/>
      <c r="DC26" s="129"/>
      <c r="DD26" s="129"/>
      <c r="DE26" s="129"/>
      <c r="DF26" s="129"/>
      <c r="DG26" s="129"/>
      <c r="DH26" s="129"/>
      <c r="DI26" s="129"/>
      <c r="DJ26" s="129"/>
      <c r="DK26" s="129"/>
      <c r="DL26" s="129"/>
      <c r="DM26" s="129"/>
      <c r="DN26" s="129"/>
      <c r="DO26" s="129"/>
      <c r="DP26" s="129"/>
      <c r="DQ26" s="129"/>
      <c r="DR26" s="129"/>
      <c r="DS26" s="129"/>
      <c r="DT26" s="129"/>
      <c r="DU26" s="129"/>
      <c r="DV26" s="129"/>
      <c r="DW26" s="129"/>
      <c r="DX26" s="129"/>
      <c r="DY26" s="129"/>
      <c r="DZ26" s="129"/>
      <c r="EA26" s="129"/>
      <c r="EB26" s="129"/>
      <c r="EC26" s="129"/>
      <c r="ED26" s="129"/>
      <c r="EE26" s="129"/>
      <c r="EF26" s="129"/>
      <c r="EG26" s="129"/>
      <c r="EH26" s="129"/>
      <c r="EI26" s="129"/>
      <c r="EJ26" s="129"/>
      <c r="EK26" s="129"/>
      <c r="EL26" s="129"/>
      <c r="EM26" s="129"/>
      <c r="EN26" s="129"/>
      <c r="EO26" s="129"/>
      <c r="EP26" s="129"/>
      <c r="EQ26" s="129"/>
      <c r="ER26" s="129"/>
      <c r="ES26" s="129"/>
      <c r="ET26" s="129"/>
      <c r="EU26" s="129"/>
      <c r="EV26" s="129"/>
      <c r="EW26" s="129"/>
      <c r="EX26" s="129"/>
      <c r="EY26" s="129"/>
      <c r="EZ26" s="129"/>
      <c r="FA26" s="129"/>
      <c r="FB26" s="129"/>
      <c r="FC26" s="129"/>
      <c r="FD26" s="129"/>
      <c r="FE26" s="129"/>
      <c r="FF26" s="129"/>
      <c r="FG26" s="129"/>
      <c r="FH26" s="129"/>
      <c r="FI26" s="129"/>
      <c r="FJ26" s="129"/>
      <c r="FK26" s="129"/>
      <c r="FL26" s="129"/>
      <c r="FM26" s="129"/>
      <c r="FN26" s="129"/>
      <c r="FO26" s="129"/>
      <c r="FP26" s="129"/>
      <c r="FQ26" s="129"/>
      <c r="FR26" s="129"/>
      <c r="FS26" s="129"/>
      <c r="FT26" s="129"/>
      <c r="FU26" s="129"/>
      <c r="FV26" s="129"/>
      <c r="FW26" s="129"/>
      <c r="FX26" s="129"/>
      <c r="FY26" s="129"/>
      <c r="FZ26" s="129"/>
      <c r="GA26" s="129"/>
      <c r="GB26" s="129"/>
      <c r="GC26" s="129"/>
      <c r="GD26" s="129"/>
      <c r="GE26" s="129"/>
      <c r="GF26" s="129"/>
      <c r="GG26" s="129"/>
      <c r="GH26" s="129"/>
      <c r="GI26" s="129"/>
      <c r="GJ26" s="129"/>
      <c r="GK26" s="129"/>
      <c r="GL26" s="129"/>
      <c r="GM26" s="129"/>
      <c r="GN26" s="129"/>
      <c r="GO26" s="129"/>
      <c r="GP26" s="129"/>
    </row>
    <row r="27" spans="1:198" s="71" customFormat="1">
      <c r="A27" s="72" t="s">
        <v>31</v>
      </c>
      <c r="B27" s="73">
        <v>12</v>
      </c>
      <c r="C27" s="73">
        <v>134</v>
      </c>
      <c r="D27" s="73">
        <v>87</v>
      </c>
      <c r="E27" s="73">
        <v>92</v>
      </c>
      <c r="F27" s="73">
        <v>40</v>
      </c>
      <c r="G27" s="74"/>
      <c r="H27" s="75">
        <v>4</v>
      </c>
      <c r="I27" s="73">
        <v>89</v>
      </c>
      <c r="J27" s="73">
        <v>85</v>
      </c>
      <c r="K27" s="73">
        <v>64</v>
      </c>
      <c r="L27" s="74">
        <v>44</v>
      </c>
      <c r="M27" s="76">
        <v>65</v>
      </c>
      <c r="N27" s="73">
        <v>20</v>
      </c>
      <c r="O27" s="73">
        <v>86</v>
      </c>
      <c r="P27" s="73">
        <v>80</v>
      </c>
      <c r="Q27" s="77">
        <v>33</v>
      </c>
      <c r="R27" s="75">
        <v>8</v>
      </c>
      <c r="S27" s="73">
        <v>80</v>
      </c>
      <c r="T27" s="73">
        <v>130</v>
      </c>
      <c r="U27" s="73">
        <v>71</v>
      </c>
      <c r="V27" s="74">
        <v>40</v>
      </c>
      <c r="W27" s="76">
        <v>4</v>
      </c>
      <c r="X27" s="73">
        <v>44</v>
      </c>
      <c r="Y27" s="73">
        <v>145</v>
      </c>
      <c r="Z27" s="73">
        <v>66</v>
      </c>
      <c r="AA27" s="73">
        <v>27</v>
      </c>
      <c r="AB27" s="97" t="s">
        <v>99</v>
      </c>
      <c r="AC27" s="123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 t="s">
        <v>71</v>
      </c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  <c r="CE27" s="129"/>
      <c r="CF27" s="129"/>
      <c r="CG27" s="129"/>
      <c r="CH27" s="129"/>
      <c r="CI27" s="129"/>
      <c r="CJ27" s="129"/>
      <c r="CK27" s="129"/>
      <c r="CL27" s="129"/>
      <c r="CM27" s="129"/>
      <c r="CN27" s="129"/>
      <c r="CO27" s="129"/>
      <c r="CP27" s="129"/>
      <c r="CQ27" s="129"/>
      <c r="CR27" s="129"/>
      <c r="CS27" s="129"/>
      <c r="CT27" s="129"/>
      <c r="CU27" s="129"/>
      <c r="CV27" s="129"/>
      <c r="CW27" s="129"/>
      <c r="CX27" s="129"/>
      <c r="CY27" s="129"/>
      <c r="CZ27" s="129"/>
      <c r="DA27" s="129"/>
      <c r="DB27" s="129"/>
      <c r="DC27" s="129"/>
      <c r="DD27" s="129"/>
      <c r="DE27" s="129"/>
      <c r="DF27" s="129"/>
      <c r="DG27" s="129"/>
      <c r="DH27" s="129"/>
      <c r="DI27" s="129"/>
      <c r="DJ27" s="129"/>
      <c r="DK27" s="129"/>
      <c r="DL27" s="129"/>
      <c r="DM27" s="129"/>
      <c r="DN27" s="129"/>
      <c r="DO27" s="129"/>
      <c r="DP27" s="129"/>
      <c r="DQ27" s="129"/>
      <c r="DR27" s="129"/>
      <c r="DS27" s="129"/>
      <c r="DT27" s="129"/>
      <c r="DU27" s="129"/>
      <c r="DV27" s="129"/>
      <c r="DW27" s="129"/>
      <c r="DX27" s="129"/>
      <c r="DY27" s="129"/>
      <c r="DZ27" s="129"/>
      <c r="EA27" s="129"/>
      <c r="EB27" s="129"/>
      <c r="EC27" s="129"/>
      <c r="ED27" s="129"/>
      <c r="EE27" s="129"/>
      <c r="EF27" s="129"/>
      <c r="EG27" s="129"/>
      <c r="EH27" s="129"/>
      <c r="EI27" s="129"/>
      <c r="EJ27" s="129"/>
      <c r="EK27" s="129"/>
      <c r="EL27" s="129"/>
      <c r="EM27" s="129"/>
      <c r="EN27" s="129"/>
      <c r="EO27" s="129"/>
      <c r="EP27" s="129"/>
      <c r="EQ27" s="129"/>
      <c r="ER27" s="129"/>
      <c r="ES27" s="129"/>
      <c r="ET27" s="129"/>
      <c r="EU27" s="129"/>
      <c r="EV27" s="129"/>
      <c r="EW27" s="129"/>
      <c r="EX27" s="129"/>
      <c r="EY27" s="129"/>
      <c r="EZ27" s="129"/>
      <c r="FA27" s="129"/>
      <c r="FB27" s="129"/>
      <c r="FC27" s="129"/>
      <c r="FD27" s="129"/>
      <c r="FE27" s="129"/>
      <c r="FF27" s="129"/>
      <c r="FG27" s="129"/>
      <c r="FH27" s="129"/>
      <c r="FI27" s="129"/>
      <c r="FJ27" s="129"/>
      <c r="FK27" s="129"/>
      <c r="FL27" s="129"/>
      <c r="FM27" s="129"/>
      <c r="FN27" s="129"/>
      <c r="FO27" s="129"/>
      <c r="FP27" s="129"/>
      <c r="FQ27" s="129"/>
      <c r="FR27" s="129"/>
      <c r="FS27" s="129"/>
      <c r="FT27" s="129"/>
      <c r="FU27" s="129"/>
      <c r="FV27" s="129"/>
      <c r="FW27" s="129"/>
      <c r="FX27" s="129"/>
      <c r="FY27" s="129"/>
      <c r="FZ27" s="129"/>
      <c r="GA27" s="129"/>
      <c r="GB27" s="129"/>
      <c r="GC27" s="129"/>
      <c r="GD27" s="129"/>
      <c r="GE27" s="129"/>
      <c r="GF27" s="129"/>
      <c r="GG27" s="129"/>
      <c r="GH27" s="129"/>
      <c r="GI27" s="129"/>
      <c r="GJ27" s="129"/>
      <c r="GK27" s="129"/>
      <c r="GL27" s="129"/>
      <c r="GM27" s="129"/>
      <c r="GN27" s="129"/>
      <c r="GO27" s="129"/>
      <c r="GP27" s="129"/>
    </row>
    <row r="28" spans="1:198" s="71" customFormat="1">
      <c r="A28" s="72" t="s">
        <v>32</v>
      </c>
      <c r="B28" s="73">
        <v>34</v>
      </c>
      <c r="C28" s="73">
        <v>211</v>
      </c>
      <c r="D28" s="73">
        <v>155</v>
      </c>
      <c r="E28" s="73">
        <v>166</v>
      </c>
      <c r="F28" s="73">
        <v>80</v>
      </c>
      <c r="G28" s="74"/>
      <c r="H28" s="75">
        <v>76</v>
      </c>
      <c r="I28" s="73">
        <v>177</v>
      </c>
      <c r="J28" s="73">
        <v>171</v>
      </c>
      <c r="K28" s="73">
        <v>146</v>
      </c>
      <c r="L28" s="74">
        <v>85</v>
      </c>
      <c r="M28" s="76">
        <v>184</v>
      </c>
      <c r="N28" s="73">
        <v>56</v>
      </c>
      <c r="O28" s="73">
        <v>152</v>
      </c>
      <c r="P28" s="73">
        <v>118</v>
      </c>
      <c r="Q28" s="77">
        <v>71</v>
      </c>
      <c r="R28" s="75">
        <v>66</v>
      </c>
      <c r="S28" s="73">
        <v>164</v>
      </c>
      <c r="T28" s="73">
        <v>213</v>
      </c>
      <c r="U28" s="73">
        <v>126</v>
      </c>
      <c r="V28" s="74">
        <v>97</v>
      </c>
      <c r="W28" s="76">
        <v>27</v>
      </c>
      <c r="X28" s="73">
        <v>101</v>
      </c>
      <c r="Y28" s="73">
        <v>277</v>
      </c>
      <c r="Z28" s="73">
        <v>135</v>
      </c>
      <c r="AA28" s="73">
        <v>102</v>
      </c>
      <c r="AB28" s="97" t="s">
        <v>100</v>
      </c>
      <c r="AC28" s="123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>
        <v>2014</v>
      </c>
      <c r="AR28" s="129">
        <v>2015</v>
      </c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29"/>
      <c r="CB28" s="129"/>
      <c r="CC28" s="129"/>
      <c r="CD28" s="129"/>
      <c r="CE28" s="129"/>
      <c r="CF28" s="129"/>
      <c r="CG28" s="129"/>
      <c r="CH28" s="129"/>
      <c r="CI28" s="129"/>
      <c r="CJ28" s="129"/>
      <c r="CK28" s="129"/>
      <c r="CL28" s="129"/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29"/>
      <c r="CZ28" s="129"/>
      <c r="DA28" s="129"/>
      <c r="DB28" s="129"/>
      <c r="DC28" s="129"/>
      <c r="DD28" s="129"/>
      <c r="DE28" s="129"/>
      <c r="DF28" s="129"/>
      <c r="DG28" s="129"/>
      <c r="DH28" s="129"/>
      <c r="DI28" s="129"/>
      <c r="DJ28" s="129"/>
      <c r="DK28" s="129"/>
      <c r="DL28" s="129"/>
      <c r="DM28" s="129"/>
      <c r="DN28" s="129"/>
      <c r="DO28" s="129"/>
      <c r="DP28" s="129"/>
      <c r="DQ28" s="129"/>
      <c r="DR28" s="129"/>
      <c r="DS28" s="129"/>
      <c r="DT28" s="129"/>
      <c r="DU28" s="129"/>
      <c r="DV28" s="129"/>
      <c r="DW28" s="129"/>
      <c r="DX28" s="129"/>
      <c r="DY28" s="129"/>
      <c r="DZ28" s="129"/>
      <c r="EA28" s="129"/>
      <c r="EB28" s="129"/>
      <c r="EC28" s="129"/>
      <c r="ED28" s="129"/>
      <c r="EE28" s="129"/>
      <c r="EF28" s="129"/>
      <c r="EG28" s="129"/>
      <c r="EH28" s="129"/>
      <c r="EI28" s="129"/>
      <c r="EJ28" s="129"/>
      <c r="EK28" s="129"/>
      <c r="EL28" s="129"/>
      <c r="EM28" s="129"/>
      <c r="EN28" s="129"/>
      <c r="EO28" s="129"/>
      <c r="EP28" s="129"/>
      <c r="EQ28" s="129"/>
      <c r="ER28" s="129"/>
      <c r="ES28" s="129"/>
      <c r="ET28" s="129"/>
      <c r="EU28" s="129"/>
      <c r="EV28" s="129"/>
      <c r="EW28" s="129"/>
      <c r="EX28" s="129"/>
      <c r="EY28" s="129"/>
      <c r="EZ28" s="129"/>
      <c r="FA28" s="129"/>
      <c r="FB28" s="129"/>
      <c r="FC28" s="129"/>
      <c r="FD28" s="129"/>
      <c r="FE28" s="129"/>
      <c r="FF28" s="129"/>
      <c r="FG28" s="129"/>
      <c r="FH28" s="129"/>
      <c r="FI28" s="129"/>
      <c r="FJ28" s="129"/>
      <c r="FK28" s="129"/>
      <c r="FL28" s="129"/>
      <c r="FM28" s="129"/>
      <c r="FN28" s="129"/>
      <c r="FO28" s="129"/>
      <c r="FP28" s="129"/>
      <c r="FQ28" s="129"/>
      <c r="FR28" s="129"/>
      <c r="FS28" s="129"/>
      <c r="FT28" s="129"/>
      <c r="FU28" s="129"/>
      <c r="FV28" s="129"/>
      <c r="FW28" s="129"/>
      <c r="FX28" s="129"/>
      <c r="FY28" s="129"/>
      <c r="FZ28" s="129"/>
      <c r="GA28" s="129"/>
      <c r="GB28" s="129"/>
      <c r="GC28" s="129"/>
      <c r="GD28" s="129"/>
      <c r="GE28" s="129"/>
      <c r="GF28" s="129"/>
      <c r="GG28" s="129"/>
      <c r="GH28" s="129"/>
      <c r="GI28" s="129"/>
      <c r="GJ28" s="129"/>
      <c r="GK28" s="129"/>
      <c r="GL28" s="129"/>
      <c r="GM28" s="129"/>
      <c r="GN28" s="129"/>
      <c r="GO28" s="129"/>
      <c r="GP28" s="129"/>
    </row>
    <row r="29" spans="1:198" s="71" customFormat="1">
      <c r="A29" s="72" t="s">
        <v>33</v>
      </c>
      <c r="B29" s="73">
        <v>75</v>
      </c>
      <c r="C29" s="73">
        <v>515</v>
      </c>
      <c r="D29" s="73">
        <v>331</v>
      </c>
      <c r="E29" s="73">
        <v>250</v>
      </c>
      <c r="F29" s="73">
        <v>142</v>
      </c>
      <c r="G29" s="74"/>
      <c r="H29" s="75">
        <v>108</v>
      </c>
      <c r="I29" s="73">
        <v>374</v>
      </c>
      <c r="J29" s="73">
        <v>291</v>
      </c>
      <c r="K29" s="73">
        <v>242</v>
      </c>
      <c r="L29" s="74">
        <v>117</v>
      </c>
      <c r="M29" s="76">
        <v>289</v>
      </c>
      <c r="N29" s="73">
        <v>139</v>
      </c>
      <c r="O29" s="73">
        <v>347</v>
      </c>
      <c r="P29" s="73">
        <v>230</v>
      </c>
      <c r="Q29" s="77">
        <v>149</v>
      </c>
      <c r="R29" s="75">
        <v>113</v>
      </c>
      <c r="S29" s="73">
        <v>350</v>
      </c>
      <c r="T29" s="73">
        <v>502</v>
      </c>
      <c r="U29" s="73">
        <v>230</v>
      </c>
      <c r="V29" s="74">
        <v>152</v>
      </c>
      <c r="W29" s="76">
        <v>116</v>
      </c>
      <c r="X29" s="73">
        <v>224</v>
      </c>
      <c r="Y29" s="73">
        <v>633</v>
      </c>
      <c r="Z29" s="73">
        <v>256</v>
      </c>
      <c r="AA29" s="73">
        <v>173</v>
      </c>
      <c r="AB29" s="97" t="s">
        <v>101</v>
      </c>
      <c r="AC29" s="123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 t="s">
        <v>42</v>
      </c>
      <c r="AQ29" s="129">
        <f>V6</f>
        <v>3414</v>
      </c>
      <c r="AR29" s="129">
        <v>3358</v>
      </c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  <c r="CD29" s="129"/>
      <c r="CE29" s="129"/>
      <c r="CF29" s="129"/>
      <c r="CG29" s="129"/>
      <c r="CH29" s="129"/>
      <c r="CI29" s="129"/>
      <c r="CJ29" s="129"/>
      <c r="CK29" s="129"/>
      <c r="CL29" s="129"/>
      <c r="CM29" s="129"/>
      <c r="CN29" s="129"/>
      <c r="CO29" s="129"/>
      <c r="CP29" s="129"/>
      <c r="CQ29" s="129"/>
      <c r="CR29" s="129"/>
      <c r="CS29" s="129"/>
      <c r="CT29" s="129"/>
      <c r="CU29" s="129"/>
      <c r="CV29" s="129"/>
      <c r="CW29" s="129"/>
      <c r="CX29" s="129"/>
      <c r="CY29" s="129"/>
      <c r="CZ29" s="129"/>
      <c r="DA29" s="129"/>
      <c r="DB29" s="129"/>
      <c r="DC29" s="129"/>
      <c r="DD29" s="129"/>
      <c r="DE29" s="129"/>
      <c r="DF29" s="129"/>
      <c r="DG29" s="129"/>
      <c r="DH29" s="129"/>
      <c r="DI29" s="129"/>
      <c r="DJ29" s="129"/>
      <c r="DK29" s="129"/>
      <c r="DL29" s="129"/>
      <c r="DM29" s="129"/>
      <c r="DN29" s="129"/>
      <c r="DO29" s="129"/>
      <c r="DP29" s="129"/>
      <c r="DQ29" s="129"/>
      <c r="DR29" s="129"/>
      <c r="DS29" s="129"/>
      <c r="DT29" s="129"/>
      <c r="DU29" s="129"/>
      <c r="DV29" s="129"/>
      <c r="DW29" s="129"/>
      <c r="DX29" s="129"/>
      <c r="DY29" s="129"/>
      <c r="DZ29" s="129"/>
      <c r="EA29" s="129"/>
      <c r="EB29" s="129"/>
      <c r="EC29" s="129"/>
      <c r="ED29" s="129"/>
      <c r="EE29" s="129"/>
      <c r="EF29" s="129"/>
      <c r="EG29" s="129"/>
      <c r="EH29" s="129"/>
      <c r="EI29" s="129"/>
      <c r="EJ29" s="129"/>
      <c r="EK29" s="129"/>
      <c r="EL29" s="129"/>
      <c r="EM29" s="129"/>
      <c r="EN29" s="129"/>
      <c r="EO29" s="129"/>
      <c r="EP29" s="129"/>
      <c r="EQ29" s="129"/>
      <c r="ER29" s="129"/>
      <c r="ES29" s="129"/>
      <c r="ET29" s="129"/>
      <c r="EU29" s="129"/>
      <c r="EV29" s="129"/>
      <c r="EW29" s="129"/>
      <c r="EX29" s="129"/>
      <c r="EY29" s="129"/>
      <c r="EZ29" s="129"/>
      <c r="FA29" s="129"/>
      <c r="FB29" s="129"/>
      <c r="FC29" s="129"/>
      <c r="FD29" s="129"/>
      <c r="FE29" s="129"/>
      <c r="FF29" s="129"/>
      <c r="FG29" s="129"/>
      <c r="FH29" s="129"/>
      <c r="FI29" s="129"/>
      <c r="FJ29" s="129"/>
      <c r="FK29" s="129"/>
      <c r="FL29" s="129"/>
      <c r="FM29" s="129"/>
      <c r="FN29" s="129"/>
      <c r="FO29" s="129"/>
      <c r="FP29" s="129"/>
      <c r="FQ29" s="129"/>
      <c r="FR29" s="129"/>
      <c r="FS29" s="129"/>
      <c r="FT29" s="129"/>
      <c r="FU29" s="129"/>
      <c r="FV29" s="129"/>
      <c r="FW29" s="129"/>
      <c r="FX29" s="129"/>
      <c r="FY29" s="129"/>
      <c r="FZ29" s="129"/>
      <c r="GA29" s="129"/>
      <c r="GB29" s="129"/>
      <c r="GC29" s="129"/>
      <c r="GD29" s="129"/>
      <c r="GE29" s="129"/>
      <c r="GF29" s="129"/>
      <c r="GG29" s="129"/>
      <c r="GH29" s="129"/>
      <c r="GI29" s="129"/>
      <c r="GJ29" s="129"/>
      <c r="GK29" s="129"/>
      <c r="GL29" s="129"/>
      <c r="GM29" s="129"/>
      <c r="GN29" s="129"/>
      <c r="GO29" s="129"/>
      <c r="GP29" s="129"/>
    </row>
    <row r="30" spans="1:198" s="71" customFormat="1">
      <c r="A30" s="72" t="s">
        <v>34</v>
      </c>
      <c r="B30" s="73">
        <v>43</v>
      </c>
      <c r="C30" s="73">
        <v>470</v>
      </c>
      <c r="D30" s="73">
        <v>313</v>
      </c>
      <c r="E30" s="73">
        <v>149</v>
      </c>
      <c r="F30" s="73">
        <v>92</v>
      </c>
      <c r="G30" s="74"/>
      <c r="H30" s="75">
        <v>48</v>
      </c>
      <c r="I30" s="73">
        <v>652</v>
      </c>
      <c r="J30" s="73">
        <v>238</v>
      </c>
      <c r="K30" s="73">
        <v>114</v>
      </c>
      <c r="L30" s="74">
        <v>74</v>
      </c>
      <c r="M30" s="76">
        <v>403</v>
      </c>
      <c r="N30" s="73">
        <v>90</v>
      </c>
      <c r="O30" s="73">
        <v>228</v>
      </c>
      <c r="P30" s="73">
        <v>135</v>
      </c>
      <c r="Q30" s="77">
        <v>73</v>
      </c>
      <c r="R30" s="75">
        <v>84</v>
      </c>
      <c r="S30" s="73">
        <v>587</v>
      </c>
      <c r="T30" s="73">
        <v>282</v>
      </c>
      <c r="U30" s="73">
        <v>130</v>
      </c>
      <c r="V30" s="74">
        <v>96</v>
      </c>
      <c r="W30" s="76">
        <v>97</v>
      </c>
      <c r="X30" s="73">
        <v>412</v>
      </c>
      <c r="Y30" s="73">
        <v>372</v>
      </c>
      <c r="Z30" s="73">
        <v>178</v>
      </c>
      <c r="AA30" s="73">
        <v>87</v>
      </c>
      <c r="AB30" s="97" t="s">
        <v>102</v>
      </c>
      <c r="AC30" s="123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 t="s">
        <v>80</v>
      </c>
      <c r="AQ30" s="129">
        <f>V7</f>
        <v>1524</v>
      </c>
      <c r="AR30" s="129">
        <v>1455</v>
      </c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  <c r="CD30" s="129"/>
      <c r="CE30" s="129"/>
      <c r="CF30" s="129"/>
      <c r="CG30" s="129"/>
      <c r="CH30" s="129"/>
      <c r="CI30" s="129"/>
      <c r="CJ30" s="129"/>
      <c r="CK30" s="129"/>
      <c r="CL30" s="129"/>
      <c r="CM30" s="129"/>
      <c r="CN30" s="129"/>
      <c r="CO30" s="129"/>
      <c r="CP30" s="129"/>
      <c r="CQ30" s="129"/>
      <c r="CR30" s="129"/>
      <c r="CS30" s="129"/>
      <c r="CT30" s="129"/>
      <c r="CU30" s="129"/>
      <c r="CV30" s="129"/>
      <c r="CW30" s="129"/>
      <c r="CX30" s="129"/>
      <c r="CY30" s="129"/>
      <c r="CZ30" s="129"/>
      <c r="DA30" s="129"/>
      <c r="DB30" s="129"/>
      <c r="DC30" s="129"/>
      <c r="DD30" s="129"/>
      <c r="DE30" s="129"/>
      <c r="DF30" s="129"/>
      <c r="DG30" s="129"/>
      <c r="DH30" s="129"/>
      <c r="DI30" s="129"/>
      <c r="DJ30" s="129"/>
      <c r="DK30" s="129"/>
      <c r="DL30" s="129"/>
      <c r="DM30" s="129"/>
      <c r="DN30" s="129"/>
      <c r="DO30" s="129"/>
      <c r="DP30" s="129"/>
      <c r="DQ30" s="129"/>
      <c r="DR30" s="129"/>
      <c r="DS30" s="129"/>
      <c r="DT30" s="129"/>
      <c r="DU30" s="129"/>
      <c r="DV30" s="129"/>
      <c r="DW30" s="129"/>
      <c r="DX30" s="129"/>
      <c r="DY30" s="129"/>
      <c r="DZ30" s="129"/>
      <c r="EA30" s="129"/>
      <c r="EB30" s="129"/>
      <c r="EC30" s="129"/>
      <c r="ED30" s="129"/>
      <c r="EE30" s="129"/>
      <c r="EF30" s="129"/>
      <c r="EG30" s="129"/>
      <c r="EH30" s="129"/>
      <c r="EI30" s="129"/>
      <c r="EJ30" s="129"/>
      <c r="EK30" s="129"/>
      <c r="EL30" s="129"/>
      <c r="EM30" s="129"/>
      <c r="EN30" s="129"/>
      <c r="EO30" s="129"/>
      <c r="EP30" s="129"/>
      <c r="EQ30" s="129"/>
      <c r="ER30" s="129"/>
      <c r="ES30" s="129"/>
      <c r="ET30" s="129"/>
      <c r="EU30" s="129"/>
      <c r="EV30" s="129"/>
      <c r="EW30" s="129"/>
      <c r="EX30" s="129"/>
      <c r="EY30" s="129"/>
      <c r="EZ30" s="129"/>
      <c r="FA30" s="129"/>
      <c r="FB30" s="129"/>
      <c r="FC30" s="129"/>
      <c r="FD30" s="129"/>
      <c r="FE30" s="129"/>
      <c r="FF30" s="129"/>
      <c r="FG30" s="129"/>
      <c r="FH30" s="129"/>
      <c r="FI30" s="129"/>
      <c r="FJ30" s="129"/>
      <c r="FK30" s="129"/>
      <c r="FL30" s="129"/>
      <c r="FM30" s="129"/>
      <c r="FN30" s="129"/>
      <c r="FO30" s="129"/>
      <c r="FP30" s="129"/>
      <c r="FQ30" s="129"/>
      <c r="FR30" s="129"/>
      <c r="FS30" s="129"/>
      <c r="FT30" s="129"/>
      <c r="FU30" s="129"/>
      <c r="FV30" s="129"/>
      <c r="FW30" s="129"/>
      <c r="FX30" s="129"/>
      <c r="FY30" s="129"/>
      <c r="FZ30" s="129"/>
      <c r="GA30" s="129"/>
      <c r="GB30" s="129"/>
      <c r="GC30" s="129"/>
      <c r="GD30" s="129"/>
      <c r="GE30" s="129"/>
      <c r="GF30" s="129"/>
      <c r="GG30" s="129"/>
      <c r="GH30" s="129"/>
      <c r="GI30" s="129"/>
      <c r="GJ30" s="129"/>
      <c r="GK30" s="129"/>
      <c r="GL30" s="129"/>
      <c r="GM30" s="129"/>
      <c r="GN30" s="129"/>
      <c r="GO30" s="129"/>
      <c r="GP30" s="129"/>
    </row>
    <row r="31" spans="1:198" s="71" customFormat="1">
      <c r="A31" s="72" t="s">
        <v>35</v>
      </c>
      <c r="B31" s="73">
        <v>33</v>
      </c>
      <c r="C31" s="73">
        <v>352</v>
      </c>
      <c r="D31" s="73">
        <v>370</v>
      </c>
      <c r="E31" s="73">
        <v>213</v>
      </c>
      <c r="F31" s="73">
        <v>141</v>
      </c>
      <c r="G31" s="74"/>
      <c r="H31" s="75">
        <v>57</v>
      </c>
      <c r="I31" s="73">
        <v>381</v>
      </c>
      <c r="J31" s="73">
        <v>309</v>
      </c>
      <c r="K31" s="73">
        <v>192</v>
      </c>
      <c r="L31" s="74">
        <v>122</v>
      </c>
      <c r="M31" s="76">
        <v>325</v>
      </c>
      <c r="N31" s="73">
        <v>47</v>
      </c>
      <c r="O31" s="73">
        <v>358</v>
      </c>
      <c r="P31" s="73">
        <v>209</v>
      </c>
      <c r="Q31" s="77">
        <v>142</v>
      </c>
      <c r="R31" s="75">
        <v>92</v>
      </c>
      <c r="S31" s="73">
        <v>348</v>
      </c>
      <c r="T31" s="73">
        <v>477</v>
      </c>
      <c r="U31" s="73">
        <v>203</v>
      </c>
      <c r="V31" s="74">
        <v>135</v>
      </c>
      <c r="W31" s="76">
        <v>81</v>
      </c>
      <c r="X31" s="73">
        <v>180</v>
      </c>
      <c r="Y31" s="73">
        <v>505</v>
      </c>
      <c r="Z31" s="73">
        <v>182</v>
      </c>
      <c r="AA31" s="73">
        <v>116</v>
      </c>
      <c r="AB31" s="97" t="s">
        <v>103</v>
      </c>
      <c r="AC31" s="123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 t="s">
        <v>82</v>
      </c>
      <c r="AQ31" s="129">
        <f>V13</f>
        <v>1890</v>
      </c>
      <c r="AR31" s="129">
        <v>1903</v>
      </c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29"/>
      <c r="CB31" s="129"/>
      <c r="CC31" s="129"/>
      <c r="CD31" s="129"/>
      <c r="CE31" s="129"/>
      <c r="CF31" s="129"/>
      <c r="CG31" s="129"/>
      <c r="CH31" s="129"/>
      <c r="CI31" s="129"/>
      <c r="CJ31" s="129"/>
      <c r="CK31" s="129"/>
      <c r="CL31" s="129"/>
      <c r="CM31" s="129"/>
      <c r="CN31" s="129"/>
      <c r="CO31" s="129"/>
      <c r="CP31" s="129"/>
      <c r="CQ31" s="129"/>
      <c r="CR31" s="129"/>
      <c r="CS31" s="129"/>
      <c r="CT31" s="129"/>
      <c r="CU31" s="129"/>
      <c r="CV31" s="129"/>
      <c r="CW31" s="129"/>
      <c r="CX31" s="129"/>
      <c r="CY31" s="129"/>
      <c r="CZ31" s="129"/>
      <c r="DA31" s="129"/>
      <c r="DB31" s="129"/>
      <c r="DC31" s="129"/>
      <c r="DD31" s="129"/>
      <c r="DE31" s="129"/>
      <c r="DF31" s="129"/>
      <c r="DG31" s="129"/>
      <c r="DH31" s="129"/>
      <c r="DI31" s="129"/>
      <c r="DJ31" s="129"/>
      <c r="DK31" s="129"/>
      <c r="DL31" s="129"/>
      <c r="DM31" s="129"/>
      <c r="DN31" s="129"/>
      <c r="DO31" s="129"/>
      <c r="DP31" s="129"/>
      <c r="DQ31" s="129"/>
      <c r="DR31" s="129"/>
      <c r="DS31" s="129"/>
      <c r="DT31" s="129"/>
      <c r="DU31" s="129"/>
      <c r="DV31" s="129"/>
      <c r="DW31" s="129"/>
      <c r="DX31" s="129"/>
      <c r="DY31" s="129"/>
      <c r="DZ31" s="129"/>
      <c r="EA31" s="129"/>
      <c r="EB31" s="129"/>
      <c r="EC31" s="129"/>
      <c r="ED31" s="129"/>
      <c r="EE31" s="129"/>
      <c r="EF31" s="129"/>
      <c r="EG31" s="129"/>
      <c r="EH31" s="129"/>
      <c r="EI31" s="129"/>
      <c r="EJ31" s="129"/>
      <c r="EK31" s="129"/>
      <c r="EL31" s="129"/>
      <c r="EM31" s="129"/>
      <c r="EN31" s="129"/>
      <c r="EO31" s="129"/>
      <c r="EP31" s="129"/>
      <c r="EQ31" s="129"/>
      <c r="ER31" s="129"/>
      <c r="ES31" s="129"/>
      <c r="ET31" s="129"/>
      <c r="EU31" s="129"/>
      <c r="EV31" s="129"/>
      <c r="EW31" s="129"/>
      <c r="EX31" s="129"/>
      <c r="EY31" s="129"/>
      <c r="EZ31" s="129"/>
      <c r="FA31" s="129"/>
      <c r="FB31" s="129"/>
      <c r="FC31" s="129"/>
      <c r="FD31" s="129"/>
      <c r="FE31" s="129"/>
      <c r="FF31" s="129"/>
      <c r="FG31" s="129"/>
      <c r="FH31" s="129"/>
      <c r="FI31" s="129"/>
      <c r="FJ31" s="129"/>
      <c r="FK31" s="129"/>
      <c r="FL31" s="129"/>
      <c r="FM31" s="129"/>
      <c r="FN31" s="129"/>
      <c r="FO31" s="129"/>
      <c r="FP31" s="129"/>
      <c r="FQ31" s="129"/>
      <c r="FR31" s="129"/>
      <c r="FS31" s="129"/>
      <c r="FT31" s="129"/>
      <c r="FU31" s="129"/>
      <c r="FV31" s="129"/>
      <c r="FW31" s="129"/>
      <c r="FX31" s="129"/>
      <c r="FY31" s="129"/>
      <c r="FZ31" s="129"/>
      <c r="GA31" s="129"/>
      <c r="GB31" s="129"/>
      <c r="GC31" s="129"/>
      <c r="GD31" s="129"/>
      <c r="GE31" s="129"/>
      <c r="GF31" s="129"/>
      <c r="GG31" s="129"/>
      <c r="GH31" s="129"/>
      <c r="GI31" s="129"/>
      <c r="GJ31" s="129"/>
      <c r="GK31" s="129"/>
      <c r="GL31" s="129"/>
      <c r="GM31" s="129"/>
      <c r="GN31" s="129"/>
      <c r="GO31" s="129"/>
      <c r="GP31" s="129"/>
    </row>
    <row r="32" spans="1:198" s="71" customFormat="1">
      <c r="A32" s="72" t="s">
        <v>36</v>
      </c>
      <c r="B32" s="73">
        <v>138</v>
      </c>
      <c r="C32" s="73">
        <v>287</v>
      </c>
      <c r="D32" s="73">
        <v>278</v>
      </c>
      <c r="E32" s="73">
        <v>147</v>
      </c>
      <c r="F32" s="73">
        <v>92</v>
      </c>
      <c r="G32" s="74"/>
      <c r="H32" s="75">
        <v>149</v>
      </c>
      <c r="I32" s="73">
        <v>295</v>
      </c>
      <c r="J32" s="73">
        <v>242</v>
      </c>
      <c r="K32" s="73">
        <v>146</v>
      </c>
      <c r="L32" s="74">
        <v>82</v>
      </c>
      <c r="M32" s="76">
        <v>279</v>
      </c>
      <c r="N32" s="73">
        <v>114</v>
      </c>
      <c r="O32" s="73">
        <v>213</v>
      </c>
      <c r="P32" s="73">
        <v>117</v>
      </c>
      <c r="Q32" s="77">
        <v>83</v>
      </c>
      <c r="R32" s="75">
        <v>105</v>
      </c>
      <c r="S32" s="73">
        <v>377</v>
      </c>
      <c r="T32" s="73">
        <v>348</v>
      </c>
      <c r="U32" s="73">
        <v>119</v>
      </c>
      <c r="V32" s="74">
        <v>115</v>
      </c>
      <c r="W32" s="76">
        <v>138</v>
      </c>
      <c r="X32" s="73">
        <v>212</v>
      </c>
      <c r="Y32" s="73">
        <v>356</v>
      </c>
      <c r="Z32" s="73">
        <v>160</v>
      </c>
      <c r="AA32" s="73">
        <v>87</v>
      </c>
      <c r="AB32" s="97" t="s">
        <v>104</v>
      </c>
      <c r="AC32" s="123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129"/>
      <c r="CD32" s="129"/>
      <c r="CE32" s="129"/>
      <c r="CF32" s="129"/>
      <c r="CG32" s="129"/>
      <c r="CH32" s="129"/>
      <c r="CI32" s="129"/>
      <c r="CJ32" s="129"/>
      <c r="CK32" s="129"/>
      <c r="CL32" s="129"/>
      <c r="CM32" s="129"/>
      <c r="CN32" s="129"/>
      <c r="CO32" s="129"/>
      <c r="CP32" s="129"/>
      <c r="CQ32" s="129"/>
      <c r="CR32" s="129"/>
      <c r="CS32" s="129"/>
      <c r="CT32" s="129"/>
      <c r="CU32" s="129"/>
      <c r="CV32" s="129"/>
      <c r="CW32" s="129"/>
      <c r="CX32" s="129"/>
      <c r="CY32" s="129"/>
      <c r="CZ32" s="129"/>
      <c r="DA32" s="129"/>
      <c r="DB32" s="129"/>
      <c r="DC32" s="129"/>
      <c r="DD32" s="129"/>
      <c r="DE32" s="129"/>
      <c r="DF32" s="129"/>
      <c r="DG32" s="129"/>
      <c r="DH32" s="129"/>
      <c r="DI32" s="129"/>
      <c r="DJ32" s="129"/>
      <c r="DK32" s="129"/>
      <c r="DL32" s="129"/>
      <c r="DM32" s="129"/>
      <c r="DN32" s="129"/>
      <c r="DO32" s="129"/>
      <c r="DP32" s="129"/>
      <c r="DQ32" s="129"/>
      <c r="DR32" s="129"/>
      <c r="DS32" s="129"/>
      <c r="DT32" s="129"/>
      <c r="DU32" s="129"/>
      <c r="DV32" s="129"/>
      <c r="DW32" s="129"/>
      <c r="DX32" s="129"/>
      <c r="DY32" s="129"/>
      <c r="DZ32" s="129"/>
      <c r="EA32" s="129"/>
      <c r="EB32" s="129"/>
      <c r="EC32" s="129"/>
      <c r="ED32" s="129"/>
      <c r="EE32" s="129"/>
      <c r="EF32" s="129"/>
      <c r="EG32" s="129"/>
      <c r="EH32" s="129"/>
      <c r="EI32" s="129"/>
      <c r="EJ32" s="129"/>
      <c r="EK32" s="129"/>
      <c r="EL32" s="129"/>
      <c r="EM32" s="129"/>
      <c r="EN32" s="129"/>
      <c r="EO32" s="129"/>
      <c r="EP32" s="129"/>
      <c r="EQ32" s="129"/>
      <c r="ER32" s="129"/>
      <c r="ES32" s="129"/>
      <c r="ET32" s="129"/>
      <c r="EU32" s="129"/>
      <c r="EV32" s="129"/>
      <c r="EW32" s="129"/>
      <c r="EX32" s="129"/>
      <c r="EY32" s="129"/>
      <c r="EZ32" s="129"/>
      <c r="FA32" s="129"/>
      <c r="FB32" s="129"/>
      <c r="FC32" s="129"/>
      <c r="FD32" s="129"/>
      <c r="FE32" s="129"/>
      <c r="FF32" s="129"/>
      <c r="FG32" s="129"/>
      <c r="FH32" s="129"/>
      <c r="FI32" s="129"/>
      <c r="FJ32" s="129"/>
      <c r="FK32" s="129"/>
      <c r="FL32" s="129"/>
      <c r="FM32" s="129"/>
      <c r="FN32" s="129"/>
      <c r="FO32" s="129"/>
      <c r="FP32" s="129"/>
      <c r="FQ32" s="129"/>
      <c r="FR32" s="129"/>
      <c r="FS32" s="129"/>
      <c r="FT32" s="129"/>
      <c r="FU32" s="129"/>
      <c r="FV32" s="129"/>
      <c r="FW32" s="129"/>
      <c r="FX32" s="129"/>
      <c r="FY32" s="129"/>
      <c r="FZ32" s="129"/>
      <c r="GA32" s="129"/>
      <c r="GB32" s="129"/>
      <c r="GC32" s="129"/>
      <c r="GD32" s="129"/>
      <c r="GE32" s="129"/>
      <c r="GF32" s="129"/>
      <c r="GG32" s="129"/>
      <c r="GH32" s="129"/>
      <c r="GI32" s="129"/>
      <c r="GJ32" s="129"/>
      <c r="GK32" s="129"/>
      <c r="GL32" s="129"/>
      <c r="GM32" s="129"/>
      <c r="GN32" s="129"/>
      <c r="GO32" s="129"/>
      <c r="GP32" s="129"/>
    </row>
    <row r="33" spans="1:198" s="71" customFormat="1">
      <c r="A33" s="79" t="s">
        <v>37</v>
      </c>
      <c r="B33" s="80">
        <v>214</v>
      </c>
      <c r="C33" s="80">
        <v>527</v>
      </c>
      <c r="D33" s="80">
        <v>571</v>
      </c>
      <c r="E33" s="80">
        <v>389</v>
      </c>
      <c r="F33" s="80">
        <v>194</v>
      </c>
      <c r="G33" s="81"/>
      <c r="H33" s="82">
        <v>244</v>
      </c>
      <c r="I33" s="80">
        <v>390</v>
      </c>
      <c r="J33" s="80">
        <v>428</v>
      </c>
      <c r="K33" s="80">
        <v>283</v>
      </c>
      <c r="L33" s="81">
        <v>178</v>
      </c>
      <c r="M33" s="83">
        <v>497</v>
      </c>
      <c r="N33" s="80">
        <v>185</v>
      </c>
      <c r="O33" s="80">
        <v>499</v>
      </c>
      <c r="P33" s="80">
        <v>286</v>
      </c>
      <c r="Q33" s="84">
        <v>201</v>
      </c>
      <c r="R33" s="82">
        <v>138</v>
      </c>
      <c r="S33" s="80">
        <v>560</v>
      </c>
      <c r="T33" s="80">
        <v>715</v>
      </c>
      <c r="U33" s="80">
        <v>332</v>
      </c>
      <c r="V33" s="81">
        <v>232</v>
      </c>
      <c r="W33" s="83">
        <v>250</v>
      </c>
      <c r="X33" s="80">
        <v>362</v>
      </c>
      <c r="Y33" s="80">
        <v>750</v>
      </c>
      <c r="Z33" s="80">
        <v>297</v>
      </c>
      <c r="AA33" s="80">
        <v>206</v>
      </c>
      <c r="AB33" s="98" t="s">
        <v>105</v>
      </c>
      <c r="AC33" s="123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29"/>
      <c r="CB33" s="129"/>
      <c r="CC33" s="129"/>
      <c r="CD33" s="129"/>
      <c r="CE33" s="129"/>
      <c r="CF33" s="129"/>
      <c r="CG33" s="129"/>
      <c r="CH33" s="129"/>
      <c r="CI33" s="129"/>
      <c r="CJ33" s="129"/>
      <c r="CK33" s="129"/>
      <c r="CL33" s="129"/>
      <c r="CM33" s="129"/>
      <c r="CN33" s="129"/>
      <c r="CO33" s="129"/>
      <c r="CP33" s="129"/>
      <c r="CQ33" s="129"/>
      <c r="CR33" s="129"/>
      <c r="CS33" s="129"/>
      <c r="CT33" s="129"/>
      <c r="CU33" s="129"/>
      <c r="CV33" s="129"/>
      <c r="CW33" s="129"/>
      <c r="CX33" s="129"/>
      <c r="CY33" s="129"/>
      <c r="CZ33" s="129"/>
      <c r="DA33" s="129"/>
      <c r="DB33" s="129"/>
      <c r="DC33" s="129"/>
      <c r="DD33" s="129"/>
      <c r="DE33" s="129"/>
      <c r="DF33" s="129"/>
      <c r="DG33" s="129"/>
      <c r="DH33" s="129"/>
      <c r="DI33" s="129"/>
      <c r="DJ33" s="129"/>
      <c r="DK33" s="129"/>
      <c r="DL33" s="129"/>
      <c r="DM33" s="129"/>
      <c r="DN33" s="129"/>
      <c r="DO33" s="129"/>
      <c r="DP33" s="129"/>
      <c r="DQ33" s="129"/>
      <c r="DR33" s="129"/>
      <c r="DS33" s="129"/>
      <c r="DT33" s="129"/>
      <c r="DU33" s="129"/>
      <c r="DV33" s="129"/>
      <c r="DW33" s="129"/>
      <c r="DX33" s="129"/>
      <c r="DY33" s="129"/>
      <c r="DZ33" s="129"/>
      <c r="EA33" s="129"/>
      <c r="EB33" s="129"/>
      <c r="EC33" s="129"/>
      <c r="ED33" s="129"/>
      <c r="EE33" s="129"/>
      <c r="EF33" s="129"/>
      <c r="EG33" s="129"/>
      <c r="EH33" s="129"/>
      <c r="EI33" s="129"/>
      <c r="EJ33" s="129"/>
      <c r="EK33" s="129"/>
      <c r="EL33" s="129"/>
      <c r="EM33" s="129"/>
      <c r="EN33" s="129"/>
      <c r="EO33" s="129"/>
      <c r="EP33" s="129"/>
      <c r="EQ33" s="129"/>
      <c r="ER33" s="129"/>
      <c r="ES33" s="129"/>
      <c r="ET33" s="129"/>
      <c r="EU33" s="129"/>
      <c r="EV33" s="129"/>
      <c r="EW33" s="129"/>
      <c r="EX33" s="129"/>
      <c r="EY33" s="129"/>
      <c r="EZ33" s="129"/>
      <c r="FA33" s="129"/>
      <c r="FB33" s="129"/>
      <c r="FC33" s="129"/>
      <c r="FD33" s="129"/>
      <c r="FE33" s="129"/>
      <c r="FF33" s="129"/>
      <c r="FG33" s="129"/>
      <c r="FH33" s="129"/>
      <c r="FI33" s="129"/>
      <c r="FJ33" s="129"/>
      <c r="FK33" s="129"/>
      <c r="FL33" s="129"/>
      <c r="FM33" s="129"/>
      <c r="FN33" s="129"/>
      <c r="FO33" s="129"/>
      <c r="FP33" s="129"/>
      <c r="FQ33" s="129"/>
      <c r="FR33" s="129"/>
      <c r="FS33" s="129"/>
      <c r="FT33" s="129"/>
      <c r="FU33" s="129"/>
      <c r="FV33" s="129"/>
      <c r="FW33" s="129"/>
      <c r="FX33" s="129"/>
      <c r="FY33" s="129"/>
      <c r="FZ33" s="129"/>
      <c r="GA33" s="129"/>
      <c r="GB33" s="129"/>
      <c r="GC33" s="129"/>
      <c r="GD33" s="129"/>
      <c r="GE33" s="129"/>
      <c r="GF33" s="129"/>
      <c r="GG33" s="129"/>
      <c r="GH33" s="129"/>
      <c r="GI33" s="129"/>
      <c r="GJ33" s="129"/>
      <c r="GK33" s="129"/>
      <c r="GL33" s="129"/>
      <c r="GM33" s="129"/>
      <c r="GN33" s="129"/>
      <c r="GO33" s="129"/>
      <c r="GP33" s="129"/>
    </row>
    <row r="34" spans="1:198" ht="15">
      <c r="A34" s="85" t="s">
        <v>1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41" t="s">
        <v>44</v>
      </c>
    </row>
    <row r="36" spans="1:198">
      <c r="AO36" s="131"/>
      <c r="AP36" s="126"/>
      <c r="AQ36" s="126"/>
      <c r="AR36" s="126"/>
    </row>
    <row r="37" spans="1:198">
      <c r="AO37" s="131"/>
      <c r="AP37" s="39"/>
      <c r="AQ37" s="39"/>
      <c r="AR37" s="39"/>
    </row>
    <row r="38" spans="1:198">
      <c r="AO38" s="131"/>
      <c r="AP38" s="39"/>
      <c r="AQ38" s="39"/>
      <c r="AR38" s="39"/>
    </row>
    <row r="39" spans="1:198">
      <c r="AO39" s="131"/>
      <c r="AP39" s="39"/>
      <c r="AQ39" s="39"/>
      <c r="AR39" s="39"/>
    </row>
    <row r="40" spans="1:198">
      <c r="AO40" s="131"/>
      <c r="AP40" s="39"/>
      <c r="AQ40" s="39"/>
      <c r="AR40" s="39"/>
    </row>
    <row r="41" spans="1:198">
      <c r="AO41" s="131"/>
      <c r="AP41" s="39"/>
      <c r="AQ41" s="39"/>
      <c r="AR41" s="39"/>
    </row>
    <row r="42" spans="1:198">
      <c r="AO42" s="131"/>
      <c r="AP42" s="39"/>
      <c r="AQ42" s="39"/>
      <c r="AR42" s="39"/>
    </row>
    <row r="43" spans="1:198">
      <c r="AO43" s="131"/>
      <c r="AP43" s="39"/>
      <c r="AQ43" s="39"/>
      <c r="AR43" s="39"/>
    </row>
    <row r="44" spans="1:198">
      <c r="AO44" s="131"/>
      <c r="AP44" s="39"/>
      <c r="AQ44" s="39"/>
      <c r="AR44" s="39"/>
    </row>
    <row r="45" spans="1:198">
      <c r="AO45" s="131"/>
      <c r="AP45" s="39"/>
      <c r="AQ45" s="39"/>
      <c r="AR45" s="39"/>
    </row>
    <row r="46" spans="1:198">
      <c r="AO46" s="131"/>
      <c r="AP46" s="39"/>
      <c r="AQ46" s="39"/>
      <c r="AR46" s="39"/>
    </row>
    <row r="47" spans="1:198">
      <c r="AO47" s="131"/>
      <c r="AP47" s="39"/>
      <c r="AQ47" s="39"/>
      <c r="AR47" s="39"/>
    </row>
    <row r="48" spans="1:198">
      <c r="AO48" s="131"/>
      <c r="AP48" s="39"/>
      <c r="AQ48" s="39"/>
      <c r="AR48" s="39"/>
    </row>
    <row r="49" spans="2:44" ht="12.75"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O49" s="131"/>
      <c r="AP49" s="39"/>
      <c r="AQ49" s="39"/>
      <c r="AR49" s="39"/>
    </row>
    <row r="50" spans="2:44" ht="12.75"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O50" s="131"/>
      <c r="AP50" s="39"/>
      <c r="AQ50" s="39"/>
      <c r="AR50" s="39"/>
    </row>
    <row r="51" spans="2:44" ht="12.75"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O51" s="131"/>
      <c r="AP51" s="39"/>
      <c r="AQ51" s="39"/>
      <c r="AR51" s="39"/>
    </row>
    <row r="52" spans="2:44" ht="12.75"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O52" s="131"/>
      <c r="AP52" s="39"/>
      <c r="AQ52" s="39"/>
      <c r="AR52" s="39"/>
    </row>
    <row r="53" spans="2:44" ht="12.75"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O53" s="131"/>
      <c r="AP53" s="39"/>
      <c r="AQ53" s="39"/>
      <c r="AR53" s="39"/>
    </row>
    <row r="54" spans="2:44" ht="12.75"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O54" s="131"/>
      <c r="AP54" s="39"/>
      <c r="AQ54" s="39"/>
      <c r="AR54" s="39"/>
    </row>
    <row r="55" spans="2:44" ht="12.75"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O55" s="131"/>
      <c r="AP55" s="39"/>
      <c r="AQ55" s="39"/>
      <c r="AR55" s="39"/>
    </row>
    <row r="56" spans="2:44" ht="12.75"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O56" s="131"/>
      <c r="AP56" s="39"/>
      <c r="AQ56" s="39"/>
      <c r="AR56" s="39"/>
    </row>
    <row r="57" spans="2:44" ht="12.75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O57" s="130"/>
      <c r="AP57" s="38"/>
      <c r="AQ57" s="38"/>
      <c r="AR57" s="38"/>
    </row>
    <row r="69" spans="2:30" ht="61.5"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90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3"/>
    </row>
    <row r="70" spans="2:30" ht="39" customHeight="1"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92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</row>
    <row r="71" spans="2:30" ht="61.5"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92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</row>
    <row r="72" spans="2:30" ht="61.5"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92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</row>
    <row r="73" spans="2:30" ht="61.5"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92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</row>
    <row r="74" spans="2:30" ht="61.5"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92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</row>
    <row r="75" spans="2:30" ht="61.5"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92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</row>
    <row r="76" spans="2:30" ht="61.5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94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3"/>
    </row>
  </sheetData>
  <mergeCells count="10">
    <mergeCell ref="AP5:AQ5"/>
    <mergeCell ref="A1:AB1"/>
    <mergeCell ref="A2:AB2"/>
    <mergeCell ref="A3:A5"/>
    <mergeCell ref="B3:F3"/>
    <mergeCell ref="H3:L3"/>
    <mergeCell ref="M3:Q3"/>
    <mergeCell ref="R3:V3"/>
    <mergeCell ref="W3:AA3"/>
    <mergeCell ref="AB3:AB5"/>
  </mergeCells>
  <pageMargins left="0.7" right="0.7" top="0.75" bottom="0.75" header="0.3" footer="0.3"/>
  <pageSetup paperSize="9" scale="71" orientation="landscape" r:id="rId1"/>
  <rowBreaks count="2" manualBreakCount="2">
    <brk id="34" max="28" man="1"/>
    <brk id="70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8.21</vt:lpstr>
      <vt:lpstr>'8.21'!Print_Area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2016-09-07T08:45:50Z</cp:lastPrinted>
  <dcterms:created xsi:type="dcterms:W3CDTF">2013-04-04T04:05:16Z</dcterms:created>
  <dcterms:modified xsi:type="dcterms:W3CDTF">2016-09-07T08:46:12Z</dcterms:modified>
</cp:coreProperties>
</file>