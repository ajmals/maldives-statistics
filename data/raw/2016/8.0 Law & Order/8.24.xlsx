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drawings/drawing14.xml" ContentType="application/vnd.openxmlformats-officedocument.drawingml.chartshapes+xml"/>
  <Override PartName="/xl/charts/chart11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2.xml" ContentType="application/vnd.openxmlformats-officedocument.drawingml.chart+xml"/>
  <Override PartName="/xl/drawings/drawing17.xml" ContentType="application/vnd.openxmlformats-officedocument.drawingml.chartshapes+xml"/>
  <Override PartName="/xl/charts/chart13.xml" ContentType="application/vnd.openxmlformats-officedocument.drawingml.chart+xml"/>
  <Override PartName="/xl/drawings/drawing18.xml" ContentType="application/vnd.openxmlformats-officedocument.drawing+xml"/>
  <Override PartName="/xl/comments1.xml" ContentType="application/vnd.openxmlformats-officedocument.spreadsheetml.comments+xml"/>
  <Override PartName="/xl/charts/chart14.xml" ContentType="application/vnd.openxmlformats-officedocument.drawingml.chart+xml"/>
  <Override PartName="/xl/drawings/drawing19.xml" ContentType="application/vnd.openxmlformats-officedocument.drawing+xml"/>
  <Override PartName="/xl/charts/chart15.xml" ContentType="application/vnd.openxmlformats-officedocument.drawingml.chart+xml"/>
  <Override PartName="/xl/drawings/drawing20.xml" ContentType="application/vnd.openxmlformats-officedocument.drawing+xml"/>
  <Override PartName="/xl/charts/chart16.xml" ContentType="application/vnd.openxmlformats-officedocument.drawingml.chart+xml"/>
  <Override PartName="/xl/drawings/drawing21.xml" ContentType="application/vnd.openxmlformats-officedocument.drawing+xml"/>
  <Override PartName="/xl/charts/chart17.xml" ContentType="application/vnd.openxmlformats-officedocument.drawingml.chart+xml"/>
  <Override PartName="/xl/drawings/drawing22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1.xml" ContentType="application/vnd.openxmlformats-officedocument.drawingml.chart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27.xml" ContentType="application/vnd.openxmlformats-officedocument.drawing+xml"/>
  <Override PartName="/xl/comments2.xml" ContentType="application/vnd.openxmlformats-officedocument.spreadsheetml.comments+xml"/>
  <Override PartName="/xl/charts/chart29.xml" ContentType="application/vnd.openxmlformats-officedocument.drawingml.chart+xml"/>
  <Override PartName="/xl/drawings/drawing28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29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omments3.xml" ContentType="application/vnd.openxmlformats-officedocument.spreadsheetml.comments+xml"/>
  <Override PartName="/xl/drawings/drawing30.xml" ContentType="application/vnd.openxmlformats-officedocument.drawing+xml"/>
  <Override PartName="/xl/charts/chart42.xml" ContentType="application/vnd.openxmlformats-officedocument.drawingml.chart+xml"/>
  <Override PartName="/xl/drawings/drawing31.xml" ContentType="application/vnd.openxmlformats-officedocument.drawingml.chartshapes+xml"/>
  <Override PartName="/xl/charts/chart43.xml" ContentType="application/vnd.openxmlformats-officedocument.drawingml.chart+xml"/>
  <Override PartName="/xl/drawings/drawing32.xml" ContentType="application/vnd.openxmlformats-officedocument.drawing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activeTab="16"/>
  </bookViews>
  <sheets>
    <sheet name="8.1" sheetId="2" r:id="rId1"/>
    <sheet name="8.2" sheetId="42" r:id="rId2"/>
    <sheet name="8.3" sheetId="43" r:id="rId3"/>
    <sheet name="8.4" sheetId="41" r:id="rId4"/>
    <sheet name="8.5" sheetId="3" r:id="rId5"/>
    <sheet name="8.6" sheetId="13" r:id="rId6"/>
    <sheet name="8.7" sheetId="40" r:id="rId7"/>
    <sheet name="8.8" sheetId="39" r:id="rId8"/>
    <sheet name="8.9" sheetId="14" r:id="rId9"/>
    <sheet name="8.10" sheetId="38" r:id="rId10"/>
    <sheet name="8.11" sheetId="44" r:id="rId11"/>
    <sheet name="8.12" sheetId="45" r:id="rId12"/>
    <sheet name="8.13" sheetId="5" r:id="rId13"/>
    <sheet name="8.14" sheetId="6" r:id="rId14"/>
    <sheet name="8.15" sheetId="7" r:id="rId15"/>
    <sheet name="8.16" sheetId="8" r:id="rId16"/>
    <sheet name="8.17" sheetId="16" r:id="rId17"/>
    <sheet name="8.20 workings" sheetId="36" state="hidden" r:id="rId18"/>
    <sheet name="8.18" sheetId="49" r:id="rId19"/>
    <sheet name="8.19" sheetId="57" r:id="rId20"/>
    <sheet name="8.20" sheetId="50" r:id="rId21"/>
    <sheet name="8.21" sheetId="51" r:id="rId22"/>
    <sheet name="8.22" sheetId="52" r:id="rId23"/>
    <sheet name="8.23" sheetId="53" r:id="rId24"/>
    <sheet name="8.24" sheetId="48" r:id="rId25"/>
    <sheet name="8.25" sheetId="47" r:id="rId26"/>
    <sheet name="8.26" sheetId="46" r:id="rId27"/>
    <sheet name="8.27" sheetId="55" r:id="rId28"/>
    <sheet name="8.28" sheetId="54" r:id="rId29"/>
  </sheets>
  <externalReferences>
    <externalReference r:id="rId30"/>
    <externalReference r:id="rId31"/>
    <externalReference r:id="rId32"/>
    <externalReference r:id="rId33"/>
  </externalReferences>
  <definedNames>
    <definedName name="_xlnm.Print_Area" localSheetId="0">'8.1'!$A$1:$L$54</definedName>
    <definedName name="_xlnm.Print_Area" localSheetId="9">'8.10'!$A$1:$J$48</definedName>
    <definedName name="_xlnm.Print_Area" localSheetId="10">'8.11'!$A$1:$I$16</definedName>
    <definedName name="_xlnm.Print_Area" localSheetId="11">'8.12'!$A$1:$N$36</definedName>
    <definedName name="_xlnm.Print_Area" localSheetId="12">'8.13'!$A$1:$L$44</definedName>
    <definedName name="_xlnm.Print_Area" localSheetId="13">'8.14'!$A$1:$I$33</definedName>
    <definedName name="_xlnm.Print_Area" localSheetId="14">'8.15'!$A$1:$P$63</definedName>
    <definedName name="_xlnm.Print_Area" localSheetId="15">'8.16'!$A$1:$T$36</definedName>
    <definedName name="_xlnm.Print_Area" localSheetId="16">'8.17'!$A$1:$H$11</definedName>
    <definedName name="_xlnm.Print_Area" localSheetId="19">'8.19'!$A$1:$T$15</definedName>
    <definedName name="_xlnm.Print_Area" localSheetId="1">'8.2'!$A$1:$K$68</definedName>
    <definedName name="_xlnm.Print_Area" localSheetId="21">'8.21'!$A$1:$AC$70</definedName>
    <definedName name="_xlnm.Print_Area" localSheetId="2">'8.3'!$A$1:$J$45</definedName>
    <definedName name="_xlnm.Print_Area" localSheetId="3">'8.4'!$A$1:$W$37</definedName>
    <definedName name="_xlnm.Print_Area" localSheetId="4">'8.5'!$A$1:$I$37</definedName>
    <definedName name="_xlnm.Print_Area" localSheetId="5">'8.6'!$A$1:$F$43</definedName>
    <definedName name="_xlnm.Print_Area" localSheetId="6">'8.7'!$A$1:$J$30</definedName>
    <definedName name="_xlnm.Print_Area" localSheetId="7">'8.8'!$A$1:$J$54</definedName>
    <definedName name="_xlnm.Print_Area" localSheetId="8">'8.9'!$A$1:$I$11</definedName>
  </definedNames>
  <calcPr calcId="144525"/>
</workbook>
</file>

<file path=xl/calcChain.xml><?xml version="1.0" encoding="utf-8"?>
<calcChain xmlns="http://schemas.openxmlformats.org/spreadsheetml/2006/main">
  <c r="AB24" i="7" l="1"/>
  <c r="AA24" i="7"/>
  <c r="AA23" i="7"/>
  <c r="H10" i="38"/>
  <c r="H7" i="38"/>
  <c r="H8" i="38"/>
  <c r="H9" i="38"/>
  <c r="H6" i="38"/>
  <c r="H5" i="38"/>
  <c r="F8" i="43"/>
  <c r="F6" i="43" s="1"/>
  <c r="I29" i="43"/>
  <c r="D7" i="42" l="1"/>
  <c r="J5" i="2"/>
  <c r="I7" i="2"/>
  <c r="I6" i="2"/>
  <c r="I5" i="2"/>
  <c r="W33" i="5" l="1"/>
  <c r="V33" i="5"/>
  <c r="C6" i="50" l="1"/>
  <c r="AX36" i="50"/>
  <c r="AX35" i="50"/>
  <c r="AX34" i="50"/>
  <c r="AX33" i="50"/>
  <c r="AX32" i="50"/>
  <c r="AX31" i="50"/>
  <c r="AX30" i="50"/>
  <c r="AX29" i="50"/>
  <c r="AX28" i="50"/>
  <c r="AX26" i="50"/>
  <c r="AX25" i="50"/>
  <c r="AX24" i="50"/>
  <c r="AX23" i="50"/>
  <c r="AX22" i="50"/>
  <c r="AX21" i="50"/>
  <c r="AX20" i="50"/>
  <c r="AX19" i="50"/>
  <c r="AX18" i="50"/>
  <c r="AX17" i="50"/>
  <c r="AX16" i="50"/>
  <c r="X278" i="50"/>
  <c r="AA16" i="54" l="1"/>
  <c r="Z16" i="54"/>
  <c r="AA15" i="54"/>
  <c r="Z15" i="54"/>
  <c r="F6" i="54"/>
  <c r="AA17" i="54" s="1"/>
  <c r="E6" i="54"/>
  <c r="D6" i="54"/>
  <c r="Y17" i="54" s="1"/>
  <c r="C6" i="54"/>
  <c r="X17" i="54" s="1"/>
  <c r="B6" i="54"/>
  <c r="W17" i="54" s="1"/>
  <c r="F12" i="53"/>
  <c r="F11" i="53"/>
  <c r="F10" i="53"/>
  <c r="F9" i="53"/>
  <c r="F8" i="53"/>
  <c r="F7" i="53"/>
  <c r="F6" i="53"/>
  <c r="F5" i="53"/>
  <c r="J4" i="53"/>
  <c r="I4" i="53"/>
  <c r="H4" i="53"/>
  <c r="G4" i="53"/>
  <c r="E4" i="53"/>
  <c r="D4" i="53"/>
  <c r="C4" i="53"/>
  <c r="B4" i="53"/>
  <c r="J4" i="52"/>
  <c r="I4" i="52"/>
  <c r="H4" i="52"/>
  <c r="G4" i="52"/>
  <c r="F4" i="52"/>
  <c r="E4" i="52"/>
  <c r="D4" i="52"/>
  <c r="C4" i="52"/>
  <c r="B4" i="52"/>
  <c r="AA13" i="51"/>
  <c r="Z13" i="51"/>
  <c r="Y13" i="51"/>
  <c r="X13" i="51"/>
  <c r="W13" i="51"/>
  <c r="V13" i="51"/>
  <c r="AQ31" i="51" s="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F13" i="51"/>
  <c r="E13" i="51"/>
  <c r="D13" i="51"/>
  <c r="C13" i="51"/>
  <c r="B13" i="51"/>
  <c r="AA7" i="51"/>
  <c r="Z7" i="51"/>
  <c r="Z6" i="51" s="1"/>
  <c r="Y7" i="51"/>
  <c r="X7" i="51"/>
  <c r="W7" i="51"/>
  <c r="V7" i="51"/>
  <c r="U7" i="51"/>
  <c r="T7" i="51"/>
  <c r="S7" i="51"/>
  <c r="R7" i="51"/>
  <c r="R6" i="51" s="1"/>
  <c r="Q7" i="51"/>
  <c r="P7" i="51"/>
  <c r="O7" i="51"/>
  <c r="N7" i="51"/>
  <c r="N6" i="51" s="1"/>
  <c r="M7" i="51"/>
  <c r="L7" i="51"/>
  <c r="K7" i="51"/>
  <c r="J7" i="51"/>
  <c r="J6" i="51" s="1"/>
  <c r="I7" i="51"/>
  <c r="H7" i="51"/>
  <c r="F7" i="51"/>
  <c r="E7" i="51"/>
  <c r="E6" i="51" s="1"/>
  <c r="D7" i="51"/>
  <c r="C7" i="51"/>
  <c r="C6" i="51" s="1"/>
  <c r="B7" i="51"/>
  <c r="AA6" i="51"/>
  <c r="X6" i="51"/>
  <c r="T6" i="51"/>
  <c r="S6" i="51"/>
  <c r="P6" i="51"/>
  <c r="L6" i="51"/>
  <c r="K6" i="51"/>
  <c r="H6" i="51"/>
  <c r="B6" i="51"/>
  <c r="Y217" i="50"/>
  <c r="X217" i="50"/>
  <c r="W217" i="50"/>
  <c r="V217" i="50"/>
  <c r="U217" i="50"/>
  <c r="S217" i="50"/>
  <c r="R217" i="50"/>
  <c r="Q217" i="50"/>
  <c r="P217" i="50"/>
  <c r="O217" i="50"/>
  <c r="M217" i="50"/>
  <c r="L217" i="50"/>
  <c r="K217" i="50"/>
  <c r="J217" i="50"/>
  <c r="I217" i="50"/>
  <c r="G217" i="50"/>
  <c r="F217" i="50"/>
  <c r="E217" i="50"/>
  <c r="D217" i="50"/>
  <c r="C217" i="50"/>
  <c r="Y215" i="50"/>
  <c r="X215" i="50"/>
  <c r="W215" i="50"/>
  <c r="V215" i="50"/>
  <c r="U215" i="50"/>
  <c r="S215" i="50"/>
  <c r="R215" i="50"/>
  <c r="Q215" i="50"/>
  <c r="P215" i="50"/>
  <c r="O215" i="50"/>
  <c r="M215" i="50"/>
  <c r="L215" i="50"/>
  <c r="K215" i="50"/>
  <c r="J215" i="50"/>
  <c r="I215" i="50"/>
  <c r="G215" i="50"/>
  <c r="F215" i="50"/>
  <c r="E215" i="50"/>
  <c r="D215" i="50"/>
  <c r="C215" i="50"/>
  <c r="Y205" i="50"/>
  <c r="X205" i="50"/>
  <c r="W205" i="50"/>
  <c r="V205" i="50"/>
  <c r="U205" i="50"/>
  <c r="S205" i="50"/>
  <c r="R205" i="50"/>
  <c r="Q205" i="50"/>
  <c r="P205" i="50"/>
  <c r="O205" i="50"/>
  <c r="M205" i="50"/>
  <c r="L205" i="50"/>
  <c r="K205" i="50"/>
  <c r="J205" i="50"/>
  <c r="I205" i="50"/>
  <c r="G205" i="50"/>
  <c r="F205" i="50"/>
  <c r="E205" i="50"/>
  <c r="D205" i="50"/>
  <c r="C205" i="50"/>
  <c r="Y195" i="50"/>
  <c r="X195" i="50"/>
  <c r="W195" i="50"/>
  <c r="V195" i="50"/>
  <c r="U195" i="50"/>
  <c r="S195" i="50"/>
  <c r="R195" i="50"/>
  <c r="Q195" i="50"/>
  <c r="P195" i="50"/>
  <c r="O195" i="50"/>
  <c r="M195" i="50"/>
  <c r="L195" i="50"/>
  <c r="K195" i="50"/>
  <c r="J195" i="50"/>
  <c r="I195" i="50"/>
  <c r="G195" i="50"/>
  <c r="F195" i="50"/>
  <c r="E195" i="50"/>
  <c r="D195" i="50"/>
  <c r="C195" i="50"/>
  <c r="Y180" i="50"/>
  <c r="X180" i="50"/>
  <c r="W180" i="50"/>
  <c r="V180" i="50"/>
  <c r="U180" i="50"/>
  <c r="S180" i="50"/>
  <c r="R180" i="50"/>
  <c r="Q180" i="50"/>
  <c r="P180" i="50"/>
  <c r="O180" i="50"/>
  <c r="M180" i="50"/>
  <c r="L180" i="50"/>
  <c r="K180" i="50"/>
  <c r="J180" i="50"/>
  <c r="I180" i="50"/>
  <c r="G180" i="50"/>
  <c r="F180" i="50"/>
  <c r="E180" i="50"/>
  <c r="D180" i="50"/>
  <c r="C180" i="50"/>
  <c r="Y166" i="50"/>
  <c r="X166" i="50"/>
  <c r="W166" i="50"/>
  <c r="V166" i="50"/>
  <c r="U166" i="50"/>
  <c r="S166" i="50"/>
  <c r="R166" i="50"/>
  <c r="Q166" i="50"/>
  <c r="P166" i="50"/>
  <c r="O166" i="50"/>
  <c r="M166" i="50"/>
  <c r="L166" i="50"/>
  <c r="K166" i="50"/>
  <c r="J166" i="50"/>
  <c r="I166" i="50"/>
  <c r="G166" i="50"/>
  <c r="F166" i="50"/>
  <c r="E166" i="50"/>
  <c r="D166" i="50"/>
  <c r="C166" i="50"/>
  <c r="Y159" i="50"/>
  <c r="X159" i="50"/>
  <c r="W159" i="50"/>
  <c r="V159" i="50"/>
  <c r="U159" i="50"/>
  <c r="S159" i="50"/>
  <c r="R159" i="50"/>
  <c r="Q159" i="50"/>
  <c r="P159" i="50"/>
  <c r="O159" i="50"/>
  <c r="M159" i="50"/>
  <c r="L159" i="50"/>
  <c r="K159" i="50"/>
  <c r="J159" i="50"/>
  <c r="I159" i="50"/>
  <c r="G159" i="50"/>
  <c r="F159" i="50"/>
  <c r="E159" i="50"/>
  <c r="D159" i="50"/>
  <c r="C159" i="50"/>
  <c r="Y153" i="50"/>
  <c r="X153" i="50"/>
  <c r="W153" i="50"/>
  <c r="V153" i="50"/>
  <c r="U153" i="50"/>
  <c r="S153" i="50"/>
  <c r="R153" i="50"/>
  <c r="Q153" i="50"/>
  <c r="P153" i="50"/>
  <c r="O153" i="50"/>
  <c r="M153" i="50"/>
  <c r="L153" i="50"/>
  <c r="K153" i="50"/>
  <c r="J153" i="50"/>
  <c r="I153" i="50"/>
  <c r="G153" i="50"/>
  <c r="F153" i="50"/>
  <c r="E153" i="50"/>
  <c r="D153" i="50"/>
  <c r="C153" i="50"/>
  <c r="Y144" i="50"/>
  <c r="X144" i="50"/>
  <c r="W144" i="50"/>
  <c r="V144" i="50"/>
  <c r="U144" i="50"/>
  <c r="S144" i="50"/>
  <c r="R144" i="50"/>
  <c r="Q144" i="50"/>
  <c r="P144" i="50"/>
  <c r="O144" i="50"/>
  <c r="M144" i="50"/>
  <c r="L144" i="50"/>
  <c r="K144" i="50"/>
  <c r="J144" i="50"/>
  <c r="I144" i="50"/>
  <c r="G144" i="50"/>
  <c r="F144" i="50"/>
  <c r="E144" i="50"/>
  <c r="D144" i="50"/>
  <c r="C144" i="50"/>
  <c r="Y138" i="50"/>
  <c r="X138" i="50"/>
  <c r="W138" i="50"/>
  <c r="V138" i="50"/>
  <c r="U138" i="50"/>
  <c r="S138" i="50"/>
  <c r="R138" i="50"/>
  <c r="Q138" i="50"/>
  <c r="P138" i="50"/>
  <c r="O138" i="50"/>
  <c r="M138" i="50"/>
  <c r="L138" i="50"/>
  <c r="K138" i="50"/>
  <c r="J138" i="50"/>
  <c r="I138" i="50"/>
  <c r="G138" i="50"/>
  <c r="F138" i="50"/>
  <c r="E138" i="50"/>
  <c r="D138" i="50"/>
  <c r="C138" i="50"/>
  <c r="Y127" i="50"/>
  <c r="X127" i="50"/>
  <c r="W127" i="50"/>
  <c r="V127" i="50"/>
  <c r="U127" i="50"/>
  <c r="S127" i="50"/>
  <c r="R127" i="50"/>
  <c r="Q127" i="50"/>
  <c r="P127" i="50"/>
  <c r="O127" i="50"/>
  <c r="M127" i="50"/>
  <c r="L127" i="50"/>
  <c r="K127" i="50"/>
  <c r="J127" i="50"/>
  <c r="I127" i="50"/>
  <c r="G127" i="50"/>
  <c r="F127" i="50"/>
  <c r="E127" i="50"/>
  <c r="D127" i="50"/>
  <c r="C127" i="50"/>
  <c r="Y118" i="50"/>
  <c r="X118" i="50"/>
  <c r="W118" i="50"/>
  <c r="V118" i="50"/>
  <c r="U118" i="50"/>
  <c r="S118" i="50"/>
  <c r="R118" i="50"/>
  <c r="Q118" i="50"/>
  <c r="P118" i="50"/>
  <c r="O118" i="50"/>
  <c r="M118" i="50"/>
  <c r="L118" i="50"/>
  <c r="K118" i="50"/>
  <c r="J118" i="50"/>
  <c r="I118" i="50"/>
  <c r="G118" i="50"/>
  <c r="F118" i="50"/>
  <c r="E118" i="50"/>
  <c r="D118" i="50"/>
  <c r="C118" i="50"/>
  <c r="Y108" i="50"/>
  <c r="X108" i="50"/>
  <c r="W108" i="50"/>
  <c r="V108" i="50"/>
  <c r="U108" i="50"/>
  <c r="S108" i="50"/>
  <c r="R108" i="50"/>
  <c r="Q108" i="50"/>
  <c r="P108" i="50"/>
  <c r="O108" i="50"/>
  <c r="M108" i="50"/>
  <c r="L108" i="50"/>
  <c r="K108" i="50"/>
  <c r="J108" i="50"/>
  <c r="I108" i="50"/>
  <c r="G108" i="50"/>
  <c r="F108" i="50"/>
  <c r="E108" i="50"/>
  <c r="D108" i="50"/>
  <c r="C108" i="50"/>
  <c r="Y103" i="50"/>
  <c r="X103" i="50"/>
  <c r="W103" i="50"/>
  <c r="V103" i="50"/>
  <c r="U103" i="50"/>
  <c r="S103" i="50"/>
  <c r="R103" i="50"/>
  <c r="Q103" i="50"/>
  <c r="P103" i="50"/>
  <c r="O103" i="50"/>
  <c r="M103" i="50"/>
  <c r="L103" i="50"/>
  <c r="K103" i="50"/>
  <c r="J103" i="50"/>
  <c r="I103" i="50"/>
  <c r="G103" i="50"/>
  <c r="F103" i="50"/>
  <c r="E103" i="50"/>
  <c r="D103" i="50"/>
  <c r="C103" i="50"/>
  <c r="Y89" i="50"/>
  <c r="X89" i="50"/>
  <c r="W89" i="50"/>
  <c r="V89" i="50"/>
  <c r="U89" i="50"/>
  <c r="S89" i="50"/>
  <c r="R89" i="50"/>
  <c r="Q89" i="50"/>
  <c r="P89" i="50"/>
  <c r="O89" i="50"/>
  <c r="M89" i="50"/>
  <c r="L89" i="50"/>
  <c r="K89" i="50"/>
  <c r="J89" i="50"/>
  <c r="I89" i="50"/>
  <c r="G89" i="50"/>
  <c r="F89" i="50"/>
  <c r="E89" i="50"/>
  <c r="D89" i="50"/>
  <c r="C89" i="50"/>
  <c r="Y73" i="50"/>
  <c r="X73" i="50"/>
  <c r="W73" i="50"/>
  <c r="V73" i="50"/>
  <c r="U73" i="50"/>
  <c r="S73" i="50"/>
  <c r="R73" i="50"/>
  <c r="Q73" i="50"/>
  <c r="P73" i="50"/>
  <c r="O73" i="50"/>
  <c r="M73" i="50"/>
  <c r="L73" i="50"/>
  <c r="K73" i="50"/>
  <c r="J73" i="50"/>
  <c r="I73" i="50"/>
  <c r="G73" i="50"/>
  <c r="F73" i="50"/>
  <c r="E73" i="50"/>
  <c r="D73" i="50"/>
  <c r="C73" i="50"/>
  <c r="Y58" i="50"/>
  <c r="X58" i="50"/>
  <c r="W58" i="50"/>
  <c r="V58" i="50"/>
  <c r="U58" i="50"/>
  <c r="S58" i="50"/>
  <c r="R58" i="50"/>
  <c r="Q58" i="50"/>
  <c r="P58" i="50"/>
  <c r="O58" i="50"/>
  <c r="M58" i="50"/>
  <c r="L58" i="50"/>
  <c r="K58" i="50"/>
  <c r="J58" i="50"/>
  <c r="I58" i="50"/>
  <c r="G58" i="50"/>
  <c r="F58" i="50"/>
  <c r="E58" i="50"/>
  <c r="D58" i="50"/>
  <c r="C58" i="50"/>
  <c r="Y43" i="50"/>
  <c r="X43" i="50"/>
  <c r="W43" i="50"/>
  <c r="V43" i="50"/>
  <c r="U43" i="50"/>
  <c r="S43" i="50"/>
  <c r="R43" i="50"/>
  <c r="Q43" i="50"/>
  <c r="P43" i="50"/>
  <c r="O43" i="50"/>
  <c r="M43" i="50"/>
  <c r="L43" i="50"/>
  <c r="K43" i="50"/>
  <c r="J43" i="50"/>
  <c r="I43" i="50"/>
  <c r="G43" i="50"/>
  <c r="F43" i="50"/>
  <c r="E43" i="50"/>
  <c r="D43" i="50"/>
  <c r="C43" i="50"/>
  <c r="Y29" i="50"/>
  <c r="X29" i="50"/>
  <c r="W29" i="50"/>
  <c r="V29" i="50"/>
  <c r="U29" i="50"/>
  <c r="S29" i="50"/>
  <c r="R29" i="50"/>
  <c r="Q29" i="50"/>
  <c r="P29" i="50"/>
  <c r="O29" i="50"/>
  <c r="M29" i="50"/>
  <c r="L29" i="50"/>
  <c r="K29" i="50"/>
  <c r="J29" i="50"/>
  <c r="I29" i="50"/>
  <c r="G29" i="50"/>
  <c r="F29" i="50"/>
  <c r="E29" i="50"/>
  <c r="D29" i="50"/>
  <c r="C29" i="50"/>
  <c r="Y14" i="50"/>
  <c r="X14" i="50"/>
  <c r="W14" i="50"/>
  <c r="V14" i="50"/>
  <c r="U14" i="50"/>
  <c r="S14" i="50"/>
  <c r="R14" i="50"/>
  <c r="Q14" i="50"/>
  <c r="P14" i="50"/>
  <c r="O14" i="50"/>
  <c r="M14" i="50"/>
  <c r="L14" i="50"/>
  <c r="K14" i="50"/>
  <c r="J14" i="50"/>
  <c r="I14" i="50"/>
  <c r="G14" i="50"/>
  <c r="F14" i="50"/>
  <c r="E14" i="50"/>
  <c r="D14" i="50"/>
  <c r="C14" i="50"/>
  <c r="V13" i="50"/>
  <c r="Y6" i="50"/>
  <c r="AG249" i="50" s="1"/>
  <c r="X6" i="50"/>
  <c r="AG257" i="50" s="1"/>
  <c r="W6" i="50"/>
  <c r="AG232" i="50" s="1"/>
  <c r="V6" i="50"/>
  <c r="U6" i="50"/>
  <c r="S6" i="50"/>
  <c r="AF249" i="50" s="1"/>
  <c r="R6" i="50"/>
  <c r="AF257" i="50" s="1"/>
  <c r="Q6" i="50"/>
  <c r="AF232" i="50" s="1"/>
  <c r="P6" i="50"/>
  <c r="O6" i="50"/>
  <c r="M6" i="50"/>
  <c r="L6" i="50"/>
  <c r="K6" i="50"/>
  <c r="J6" i="50"/>
  <c r="I6" i="50"/>
  <c r="G6" i="50"/>
  <c r="F6" i="50"/>
  <c r="E6" i="50"/>
  <c r="D6" i="50"/>
  <c r="O24" i="49"/>
  <c r="N24" i="49"/>
  <c r="M24" i="49"/>
  <c r="L24" i="49"/>
  <c r="K24" i="49"/>
  <c r="J24" i="49"/>
  <c r="O23" i="49"/>
  <c r="N23" i="49"/>
  <c r="M23" i="49"/>
  <c r="L23" i="49"/>
  <c r="K23" i="49"/>
  <c r="J23" i="49"/>
  <c r="I23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O21" i="49"/>
  <c r="N21" i="49"/>
  <c r="M21" i="49"/>
  <c r="L21" i="49"/>
  <c r="K21" i="49"/>
  <c r="J21" i="49"/>
  <c r="I21" i="49"/>
  <c r="H21" i="49"/>
  <c r="G21" i="49"/>
  <c r="F21" i="49"/>
  <c r="E21" i="49"/>
  <c r="D21" i="49"/>
  <c r="C21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C20" i="49"/>
  <c r="O19" i="49"/>
  <c r="N19" i="49"/>
  <c r="M19" i="49"/>
  <c r="L19" i="49"/>
  <c r="K19" i="49"/>
  <c r="J19" i="49"/>
  <c r="I19" i="49"/>
  <c r="H19" i="49"/>
  <c r="G19" i="49"/>
  <c r="F19" i="49"/>
  <c r="E19" i="49"/>
  <c r="D19" i="49"/>
  <c r="C19" i="49"/>
  <c r="M14" i="49"/>
  <c r="O4" i="49"/>
  <c r="O14" i="49" s="1"/>
  <c r="N4" i="49"/>
  <c r="N15" i="49" s="1"/>
  <c r="M4" i="49"/>
  <c r="M17" i="49" s="1"/>
  <c r="L4" i="49"/>
  <c r="L17" i="49" s="1"/>
  <c r="K4" i="49"/>
  <c r="K16" i="49" s="1"/>
  <c r="J4" i="49"/>
  <c r="J17" i="49" s="1"/>
  <c r="I4" i="49"/>
  <c r="I15" i="49" s="1"/>
  <c r="H4" i="49"/>
  <c r="G4" i="49"/>
  <c r="G14" i="49" s="1"/>
  <c r="F4" i="49"/>
  <c r="F15" i="49" s="1"/>
  <c r="E4" i="49"/>
  <c r="E13" i="49" s="1"/>
  <c r="D4" i="49"/>
  <c r="D13" i="49" s="1"/>
  <c r="C4" i="49"/>
  <c r="C16" i="49" s="1"/>
  <c r="B4" i="49"/>
  <c r="B13" i="49" s="1"/>
  <c r="N12" i="49" l="1"/>
  <c r="G13" i="49"/>
  <c r="F18" i="49"/>
  <c r="H18" i="49"/>
  <c r="B12" i="49"/>
  <c r="I13" i="49"/>
  <c r="B16" i="49"/>
  <c r="J18" i="49"/>
  <c r="E12" i="49"/>
  <c r="B14" i="49"/>
  <c r="E16" i="49"/>
  <c r="N18" i="49"/>
  <c r="F6" i="51"/>
  <c r="O6" i="51"/>
  <c r="F12" i="49"/>
  <c r="E14" i="49"/>
  <c r="F16" i="49"/>
  <c r="I6" i="51"/>
  <c r="Q6" i="51"/>
  <c r="Y6" i="51"/>
  <c r="I12" i="49"/>
  <c r="F14" i="49"/>
  <c r="I16" i="49"/>
  <c r="J12" i="49"/>
  <c r="I14" i="49"/>
  <c r="J16" i="49"/>
  <c r="M12" i="49"/>
  <c r="J14" i="49"/>
  <c r="M16" i="49"/>
  <c r="N16" i="49"/>
  <c r="D6" i="51"/>
  <c r="U6" i="51"/>
  <c r="N14" i="49"/>
  <c r="AF243" i="50"/>
  <c r="V6" i="51"/>
  <c r="AQ29" i="51" s="1"/>
  <c r="AQ30" i="51"/>
  <c r="F4" i="53"/>
  <c r="W6" i="51"/>
  <c r="AF262" i="50"/>
  <c r="AF263" i="50"/>
  <c r="AE232" i="50"/>
  <c r="AF265" i="50"/>
  <c r="AE249" i="50"/>
  <c r="C13" i="50"/>
  <c r="AF264" i="50"/>
  <c r="AE257" i="50"/>
  <c r="Y13" i="50"/>
  <c r="D13" i="50"/>
  <c r="M13" i="50"/>
  <c r="M5" i="50" s="1"/>
  <c r="W13" i="50"/>
  <c r="F13" i="50"/>
  <c r="P13" i="50"/>
  <c r="I13" i="50"/>
  <c r="I5" i="50" s="1"/>
  <c r="R13" i="50"/>
  <c r="P5" i="50"/>
  <c r="L13" i="50"/>
  <c r="E13" i="50"/>
  <c r="O13" i="50"/>
  <c r="O5" i="50" s="1"/>
  <c r="X13" i="50"/>
  <c r="AG258" i="50" s="1"/>
  <c r="G13" i="50"/>
  <c r="Q13" i="50"/>
  <c r="AE243" i="50"/>
  <c r="C5" i="50"/>
  <c r="V5" i="50"/>
  <c r="S13" i="50"/>
  <c r="AF250" i="50" s="1"/>
  <c r="K13" i="50"/>
  <c r="K5" i="50" s="1"/>
  <c r="U13" i="50"/>
  <c r="U5" i="50" s="1"/>
  <c r="Z17" i="54"/>
  <c r="AA13" i="54"/>
  <c r="AB16" i="54" s="1"/>
  <c r="M6" i="51"/>
  <c r="E5" i="50"/>
  <c r="G5" i="50"/>
  <c r="AG243" i="50"/>
  <c r="J13" i="50"/>
  <c r="J5" i="50" s="1"/>
  <c r="F5" i="50"/>
  <c r="K13" i="49"/>
  <c r="O15" i="49"/>
  <c r="D12" i="49"/>
  <c r="L12" i="49"/>
  <c r="F13" i="49"/>
  <c r="N13" i="49"/>
  <c r="H14" i="49"/>
  <c r="B15" i="49"/>
  <c r="J15" i="49"/>
  <c r="D16" i="49"/>
  <c r="L16" i="49"/>
  <c r="N17" i="49"/>
  <c r="I18" i="49"/>
  <c r="O13" i="49"/>
  <c r="O17" i="49"/>
  <c r="H13" i="49"/>
  <c r="D15" i="49"/>
  <c r="C18" i="49"/>
  <c r="K18" i="49"/>
  <c r="C15" i="49"/>
  <c r="L15" i="49"/>
  <c r="G12" i="49"/>
  <c r="O12" i="49"/>
  <c r="C14" i="49"/>
  <c r="E15" i="49"/>
  <c r="M15" i="49"/>
  <c r="G16" i="49"/>
  <c r="O16" i="49"/>
  <c r="D18" i="49"/>
  <c r="L18" i="49"/>
  <c r="K15" i="49"/>
  <c r="K14" i="49"/>
  <c r="H12" i="49"/>
  <c r="J13" i="49"/>
  <c r="D14" i="49"/>
  <c r="L14" i="49"/>
  <c r="H16" i="49"/>
  <c r="E18" i="49"/>
  <c r="M18" i="49"/>
  <c r="K17" i="49"/>
  <c r="C13" i="49"/>
  <c r="H15" i="49"/>
  <c r="G18" i="49"/>
  <c r="G15" i="49"/>
  <c r="L13" i="49"/>
  <c r="O18" i="49"/>
  <c r="C12" i="49"/>
  <c r="K12" i="49"/>
  <c r="M13" i="49"/>
  <c r="X5" i="50" l="1"/>
  <c r="AG256" i="50" s="1"/>
  <c r="AE262" i="50"/>
  <c r="S5" i="50"/>
  <c r="AF248" i="50" s="1"/>
  <c r="R5" i="50"/>
  <c r="AF256" i="50" s="1"/>
  <c r="AF258" i="50"/>
  <c r="Y5" i="50"/>
  <c r="AG248" i="50" s="1"/>
  <c r="AG250" i="50"/>
  <c r="AE231" i="50"/>
  <c r="W5" i="50"/>
  <c r="AG231" i="50" s="1"/>
  <c r="AG242" i="50" s="1"/>
  <c r="AG233" i="50"/>
  <c r="AG244" i="50" s="1"/>
  <c r="Q5" i="50"/>
  <c r="AF231" i="50" s="1"/>
  <c r="AF233" i="50"/>
  <c r="AG262" i="50"/>
  <c r="L5" i="50"/>
  <c r="AE256" i="50"/>
  <c r="AE242" i="50" s="1"/>
  <c r="AE233" i="50"/>
  <c r="AG264" i="50"/>
  <c r="AE258" i="50"/>
  <c r="AE244" i="50" s="1"/>
  <c r="D5" i="50"/>
  <c r="AE263" i="50" s="1"/>
  <c r="AG263" i="50"/>
  <c r="AE248" i="50"/>
  <c r="AG265" i="50"/>
  <c r="AE250" i="50"/>
  <c r="AB15" i="54"/>
  <c r="AE265" i="50" l="1"/>
  <c r="AF244" i="50"/>
  <c r="AF242" i="50"/>
  <c r="AE264" i="50"/>
  <c r="G6" i="46"/>
  <c r="F6" i="46"/>
  <c r="E6" i="46"/>
  <c r="D6" i="46"/>
  <c r="C6" i="46"/>
  <c r="B6" i="46"/>
  <c r="E6" i="38" l="1"/>
  <c r="AE20" i="45" l="1"/>
  <c r="AD20" i="45"/>
  <c r="R31" i="39"/>
  <c r="H9" i="40"/>
  <c r="H7" i="40"/>
  <c r="J6" i="2" l="1"/>
  <c r="I16" i="2"/>
  <c r="I11" i="2"/>
  <c r="I8" i="2"/>
  <c r="W5" i="2"/>
  <c r="G6" i="16" l="1"/>
  <c r="S7" i="8" l="1"/>
  <c r="D10" i="7"/>
  <c r="C10" i="7"/>
  <c r="G10" i="7"/>
  <c r="V34" i="5"/>
  <c r="V35" i="5"/>
  <c r="V36" i="5"/>
  <c r="V37" i="5"/>
  <c r="V38" i="5"/>
  <c r="V39" i="5"/>
  <c r="V40" i="5"/>
  <c r="V41" i="5"/>
  <c r="V42" i="5"/>
  <c r="V43" i="5"/>
  <c r="V44" i="5"/>
  <c r="AB22" i="2"/>
  <c r="W6" i="2"/>
  <c r="W7" i="2"/>
  <c r="I9" i="2"/>
  <c r="W8" i="2" s="1"/>
  <c r="I10" i="2"/>
  <c r="W9" i="2" s="1"/>
  <c r="W10" i="2"/>
  <c r="I12" i="2"/>
  <c r="W11" i="2" s="1"/>
  <c r="I13" i="2"/>
  <c r="W12" i="2" s="1"/>
  <c r="I14" i="2"/>
  <c r="W13" i="2" s="1"/>
  <c r="I15" i="2"/>
  <c r="W14" i="2" s="1"/>
  <c r="W15" i="2"/>
  <c r="I17" i="2"/>
  <c r="W16" i="2" s="1"/>
  <c r="W44" i="5" l="1"/>
  <c r="W42" i="5"/>
  <c r="W40" i="5"/>
  <c r="W38" i="5"/>
  <c r="W36" i="5"/>
  <c r="W43" i="5"/>
  <c r="W41" i="5"/>
  <c r="W39" i="5"/>
  <c r="W37" i="5"/>
  <c r="W35" i="5"/>
  <c r="W34" i="5"/>
  <c r="G8" i="5"/>
  <c r="J8" i="5"/>
  <c r="K8" i="5"/>
  <c r="AD21" i="45"/>
  <c r="AD22" i="45"/>
  <c r="AD23" i="45"/>
  <c r="AD24" i="45"/>
  <c r="AD25" i="45"/>
  <c r="AD26" i="45"/>
  <c r="AD27" i="45"/>
  <c r="AD28" i="45"/>
  <c r="AD29" i="45"/>
  <c r="AD30" i="45"/>
  <c r="AD31" i="45"/>
  <c r="AE21" i="45"/>
  <c r="AE22" i="45"/>
  <c r="AE23" i="45"/>
  <c r="AE24" i="45"/>
  <c r="AE25" i="45"/>
  <c r="AE26" i="45"/>
  <c r="AE27" i="45"/>
  <c r="AE28" i="45"/>
  <c r="AE29" i="45"/>
  <c r="AE30" i="45"/>
  <c r="AE31" i="45"/>
  <c r="I8" i="5" l="1"/>
  <c r="G8" i="43"/>
  <c r="B30" i="42" l="1"/>
  <c r="E7" i="42"/>
  <c r="AB23" i="2"/>
  <c r="AB24" i="2"/>
  <c r="AB25" i="2"/>
  <c r="AB26" i="2"/>
  <c r="H10" i="44" l="1"/>
  <c r="H6" i="44"/>
  <c r="Q19" i="8" l="1"/>
  <c r="Q18" i="8"/>
  <c r="Q17" i="8"/>
  <c r="Q16" i="8"/>
  <c r="Q15" i="8"/>
  <c r="Q14" i="8"/>
  <c r="Q13" i="8"/>
  <c r="Q12" i="8"/>
  <c r="Q11" i="8"/>
  <c r="Q10" i="8"/>
  <c r="Q9" i="8"/>
  <c r="Q8" i="8"/>
  <c r="R7" i="8"/>
  <c r="M9" i="7"/>
  <c r="AB22" i="7" s="1"/>
  <c r="L11" i="7"/>
  <c r="L12" i="7"/>
  <c r="L13" i="7"/>
  <c r="L14" i="7"/>
  <c r="L15" i="7"/>
  <c r="L16" i="7"/>
  <c r="L17" i="7"/>
  <c r="L18" i="7"/>
  <c r="L19" i="7"/>
  <c r="L20" i="7"/>
  <c r="L21" i="7"/>
  <c r="L10" i="7"/>
  <c r="B10" i="7" s="1"/>
  <c r="E10" i="7"/>
  <c r="C11" i="7"/>
  <c r="D11" i="7"/>
  <c r="E11" i="7"/>
  <c r="C12" i="7"/>
  <c r="D12" i="7"/>
  <c r="E12" i="7"/>
  <c r="C13" i="7"/>
  <c r="D13" i="7"/>
  <c r="E13" i="7"/>
  <c r="C14" i="7"/>
  <c r="D14" i="7"/>
  <c r="E14" i="7"/>
  <c r="C15" i="7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G21" i="7"/>
  <c r="G20" i="7"/>
  <c r="G19" i="7"/>
  <c r="B19" i="7" s="1"/>
  <c r="G18" i="7"/>
  <c r="G17" i="7"/>
  <c r="G16" i="7"/>
  <c r="G15" i="7"/>
  <c r="B15" i="7" s="1"/>
  <c r="G14" i="7"/>
  <c r="G13" i="7"/>
  <c r="B13" i="7" s="1"/>
  <c r="G12" i="7"/>
  <c r="G11" i="7"/>
  <c r="B11" i="7" s="1"/>
  <c r="O9" i="7"/>
  <c r="N9" i="7"/>
  <c r="AB23" i="7" s="1"/>
  <c r="J9" i="7"/>
  <c r="I9" i="7"/>
  <c r="H9" i="7"/>
  <c r="AA22" i="7" s="1"/>
  <c r="H5" i="6"/>
  <c r="J17" i="45"/>
  <c r="J16" i="45"/>
  <c r="J15" i="45"/>
  <c r="J14" i="45"/>
  <c r="J13" i="45"/>
  <c r="J12" i="45"/>
  <c r="J11" i="45"/>
  <c r="J10" i="45"/>
  <c r="J9" i="45"/>
  <c r="J8" i="45"/>
  <c r="J7" i="45"/>
  <c r="J6" i="45"/>
  <c r="I5" i="45"/>
  <c r="H11" i="44"/>
  <c r="H9" i="44"/>
  <c r="H8" i="44"/>
  <c r="H7" i="44"/>
  <c r="F5" i="44"/>
  <c r="H5" i="44" s="1"/>
  <c r="I10" i="38"/>
  <c r="I9" i="38"/>
  <c r="I8" i="38"/>
  <c r="I7" i="38"/>
  <c r="F6" i="38"/>
  <c r="H6" i="14"/>
  <c r="H21" i="39"/>
  <c r="H20" i="39"/>
  <c r="H19" i="39"/>
  <c r="H18" i="39"/>
  <c r="H17" i="39"/>
  <c r="H16" i="39"/>
  <c r="H15" i="39"/>
  <c r="H12" i="39"/>
  <c r="H11" i="39"/>
  <c r="H10" i="39"/>
  <c r="H9" i="39"/>
  <c r="H8" i="39"/>
  <c r="F14" i="39"/>
  <c r="R30" i="39" s="1"/>
  <c r="H13" i="40"/>
  <c r="H12" i="40"/>
  <c r="H11" i="40"/>
  <c r="H10" i="40"/>
  <c r="H8" i="40"/>
  <c r="F6" i="40"/>
  <c r="H5" i="3"/>
  <c r="B30" i="13" s="1"/>
  <c r="I28" i="43"/>
  <c r="I27" i="43"/>
  <c r="I26" i="43"/>
  <c r="I25" i="43"/>
  <c r="I24" i="43"/>
  <c r="I23" i="43"/>
  <c r="I22" i="43"/>
  <c r="I21" i="43"/>
  <c r="I20" i="43"/>
  <c r="I19" i="43"/>
  <c r="I18" i="43"/>
  <c r="I17" i="43"/>
  <c r="I16" i="43"/>
  <c r="I15" i="43"/>
  <c r="I14" i="43"/>
  <c r="I13" i="43"/>
  <c r="I12" i="43"/>
  <c r="I11" i="43"/>
  <c r="I10" i="43"/>
  <c r="I9" i="43"/>
  <c r="I7" i="43"/>
  <c r="G6" i="43"/>
  <c r="J30" i="42"/>
  <c r="I30" i="42"/>
  <c r="J29" i="42"/>
  <c r="I29" i="42"/>
  <c r="J28" i="42"/>
  <c r="I28" i="42"/>
  <c r="J27" i="42"/>
  <c r="I27" i="42"/>
  <c r="J26" i="42"/>
  <c r="I26" i="42"/>
  <c r="J25" i="42"/>
  <c r="I25" i="42"/>
  <c r="J24" i="42"/>
  <c r="I24" i="42"/>
  <c r="J23" i="42"/>
  <c r="I23" i="42"/>
  <c r="J22" i="42"/>
  <c r="I22" i="42"/>
  <c r="J21" i="42"/>
  <c r="I21" i="42"/>
  <c r="J20" i="42"/>
  <c r="I20" i="42"/>
  <c r="J18" i="42"/>
  <c r="I18" i="42"/>
  <c r="J17" i="42"/>
  <c r="I17" i="42"/>
  <c r="J16" i="42"/>
  <c r="I16" i="42"/>
  <c r="J15" i="42"/>
  <c r="I15" i="42"/>
  <c r="J14" i="42"/>
  <c r="I14" i="42"/>
  <c r="J13" i="42"/>
  <c r="I13" i="42"/>
  <c r="J12" i="42"/>
  <c r="I12" i="42"/>
  <c r="J11" i="42"/>
  <c r="I11" i="42"/>
  <c r="J10" i="42"/>
  <c r="I10" i="42"/>
  <c r="J9" i="42"/>
  <c r="I9" i="42"/>
  <c r="J8" i="42"/>
  <c r="I8" i="42"/>
  <c r="E30" i="42"/>
  <c r="H30" i="42" s="1"/>
  <c r="E29" i="42"/>
  <c r="E28" i="42"/>
  <c r="E27" i="42"/>
  <c r="E26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2"/>
  <c r="E8" i="42"/>
  <c r="J17" i="2"/>
  <c r="J16" i="2"/>
  <c r="J15" i="2"/>
  <c r="J14" i="2"/>
  <c r="J13" i="2"/>
  <c r="J12" i="2"/>
  <c r="J11" i="2"/>
  <c r="J10" i="2"/>
  <c r="J9" i="2"/>
  <c r="J8" i="2"/>
  <c r="J7" i="2"/>
  <c r="I10" i="40" l="1"/>
  <c r="I12" i="40"/>
  <c r="I7" i="40"/>
  <c r="I6" i="40"/>
  <c r="I8" i="40"/>
  <c r="I13" i="40"/>
  <c r="I11" i="40"/>
  <c r="I9" i="40"/>
  <c r="Q7" i="8"/>
  <c r="X7" i="8" s="1"/>
  <c r="W7" i="8"/>
  <c r="L7" i="45"/>
  <c r="L5" i="45"/>
  <c r="J5" i="45"/>
  <c r="B17" i="7"/>
  <c r="B14" i="7"/>
  <c r="F5" i="38"/>
  <c r="O31" i="38" s="1"/>
  <c r="B21" i="7"/>
  <c r="L9" i="7"/>
  <c r="AA17" i="7" s="1"/>
  <c r="L6" i="45"/>
  <c r="L14" i="45"/>
  <c r="L10" i="45"/>
  <c r="L17" i="45"/>
  <c r="L13" i="45"/>
  <c r="L9" i="45"/>
  <c r="L16" i="45"/>
  <c r="L12" i="45"/>
  <c r="L8" i="45"/>
  <c r="L15" i="45"/>
  <c r="L11" i="45"/>
  <c r="B16" i="7"/>
  <c r="B18" i="7"/>
  <c r="B12" i="7"/>
  <c r="B20" i="7"/>
  <c r="E9" i="7"/>
  <c r="AB13" i="7" s="1"/>
  <c r="C9" i="7"/>
  <c r="Z13" i="7" s="1"/>
  <c r="D9" i="7"/>
  <c r="AA13" i="7" s="1"/>
  <c r="G9" i="7"/>
  <c r="O30" i="38" l="1"/>
  <c r="AA16" i="7"/>
  <c r="B9" i="7"/>
  <c r="AA15" i="7" l="1"/>
  <c r="AB16" i="7" s="1"/>
  <c r="AB17" i="7"/>
  <c r="G5" i="2" l="1"/>
  <c r="I8" i="43"/>
  <c r="G9" i="44" l="1"/>
  <c r="G6" i="44"/>
  <c r="E14" i="39"/>
  <c r="E6" i="39" s="1"/>
  <c r="E7" i="39"/>
  <c r="H14" i="39" l="1"/>
  <c r="D19" i="42" l="1"/>
  <c r="C19" i="42"/>
  <c r="C7" i="42" l="1"/>
  <c r="I19" i="42"/>
  <c r="J19" i="42"/>
  <c r="J7" i="42" l="1"/>
  <c r="I7" i="42"/>
  <c r="G5" i="6"/>
  <c r="G5" i="3" l="1"/>
  <c r="B8" i="43"/>
  <c r="F6" i="16" l="1"/>
  <c r="N19" i="8"/>
  <c r="N18" i="8"/>
  <c r="N17" i="8"/>
  <c r="N16" i="8"/>
  <c r="N15" i="8"/>
  <c r="N14" i="8"/>
  <c r="N13" i="8"/>
  <c r="N12" i="8"/>
  <c r="N11" i="8"/>
  <c r="N10" i="8"/>
  <c r="N9" i="8"/>
  <c r="N8" i="8"/>
  <c r="P7" i="8"/>
  <c r="O7" i="8"/>
  <c r="D10" i="5"/>
  <c r="D11" i="5"/>
  <c r="D12" i="5"/>
  <c r="D13" i="5"/>
  <c r="D14" i="5"/>
  <c r="D15" i="5"/>
  <c r="D16" i="5"/>
  <c r="D17" i="5"/>
  <c r="D18" i="5"/>
  <c r="D19" i="5"/>
  <c r="D20" i="5"/>
  <c r="D9" i="5"/>
  <c r="F8" i="5"/>
  <c r="E8" i="5"/>
  <c r="B8" i="5"/>
  <c r="G8" i="44"/>
  <c r="G7" i="44"/>
  <c r="G10" i="44"/>
  <c r="G11" i="44"/>
  <c r="I6" i="38"/>
  <c r="G6" i="14"/>
  <c r="E6" i="40"/>
  <c r="H6" i="40" s="1"/>
  <c r="I6" i="43"/>
  <c r="B29" i="42"/>
  <c r="H29" i="42" s="1"/>
  <c r="B28" i="42"/>
  <c r="H28" i="42" s="1"/>
  <c r="B27" i="42"/>
  <c r="H27" i="42" s="1"/>
  <c r="B26" i="42"/>
  <c r="H26" i="42" s="1"/>
  <c r="B25" i="42"/>
  <c r="H25" i="42" s="1"/>
  <c r="B24" i="42"/>
  <c r="H24" i="42" s="1"/>
  <c r="B23" i="42"/>
  <c r="H23" i="42" s="1"/>
  <c r="B22" i="42"/>
  <c r="H22" i="42" s="1"/>
  <c r="B21" i="42"/>
  <c r="H21" i="42" s="1"/>
  <c r="B20" i="42"/>
  <c r="H20" i="42" s="1"/>
  <c r="B19" i="42"/>
  <c r="B18" i="42"/>
  <c r="B17" i="42"/>
  <c r="B16" i="42"/>
  <c r="B15" i="42"/>
  <c r="B14" i="42"/>
  <c r="B13" i="42"/>
  <c r="B12" i="42"/>
  <c r="B11" i="42"/>
  <c r="B10" i="42"/>
  <c r="B9" i="42"/>
  <c r="B8" i="42"/>
  <c r="B7" i="42"/>
  <c r="D6" i="38"/>
  <c r="D5" i="38" s="1"/>
  <c r="C6" i="38"/>
  <c r="C5" i="38" s="1"/>
  <c r="B6" i="38"/>
  <c r="B5" i="38" s="1"/>
  <c r="H7" i="42" l="1"/>
  <c r="H11" i="42"/>
  <c r="H15" i="42"/>
  <c r="H19" i="42"/>
  <c r="H8" i="42"/>
  <c r="H12" i="42"/>
  <c r="H16" i="42"/>
  <c r="H9" i="42"/>
  <c r="H13" i="42"/>
  <c r="H17" i="42"/>
  <c r="H10" i="42"/>
  <c r="H14" i="42"/>
  <c r="H18" i="42"/>
  <c r="D8" i="5"/>
  <c r="N7" i="8"/>
  <c r="E5" i="38"/>
  <c r="I5" i="38" s="1"/>
  <c r="F5" i="2" l="1"/>
  <c r="D7" i="39"/>
  <c r="D14" i="39"/>
  <c r="B5" i="3"/>
  <c r="C5" i="3"/>
  <c r="D5" i="3"/>
  <c r="E5" i="3"/>
  <c r="F5" i="3"/>
  <c r="E5" i="2"/>
  <c r="D5" i="2"/>
  <c r="D6" i="39" l="1"/>
  <c r="F5" i="6"/>
  <c r="C14" i="39" l="1"/>
  <c r="B14" i="39"/>
  <c r="C7" i="39"/>
  <c r="B7" i="39"/>
  <c r="B6" i="39" s="1"/>
  <c r="C6" i="40"/>
  <c r="B6" i="40"/>
  <c r="C6" i="39" l="1"/>
  <c r="E8" i="43" l="1"/>
  <c r="E6" i="43" l="1"/>
  <c r="F6" i="14"/>
  <c r="E6" i="16" l="1"/>
  <c r="C6" i="16"/>
  <c r="D6" i="16"/>
  <c r="B6" i="16"/>
  <c r="K19" i="8"/>
  <c r="K18" i="8"/>
  <c r="K17" i="8"/>
  <c r="K16" i="8"/>
  <c r="K15" i="8"/>
  <c r="K14" i="8"/>
  <c r="K13" i="8"/>
  <c r="K12" i="8"/>
  <c r="K11" i="8"/>
  <c r="K10" i="8"/>
  <c r="K9" i="8"/>
  <c r="K8" i="8"/>
  <c r="M7" i="8"/>
  <c r="L7" i="8"/>
  <c r="K7" i="8" s="1"/>
  <c r="E5" i="6"/>
  <c r="D5" i="6"/>
  <c r="C5" i="6"/>
  <c r="B5" i="6"/>
  <c r="C5" i="44"/>
  <c r="D5" i="44"/>
  <c r="G5" i="44" s="1"/>
  <c r="B5" i="44"/>
  <c r="D6" i="40" l="1"/>
  <c r="B6" i="43" l="1"/>
  <c r="C8" i="43"/>
  <c r="C6" i="43" s="1"/>
  <c r="D8" i="43"/>
  <c r="D6" i="43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  <c r="E6" i="14" l="1"/>
  <c r="D6" i="14"/>
  <c r="C6" i="14" l="1"/>
  <c r="B6" i="14"/>
  <c r="H19" i="8" l="1"/>
  <c r="H18" i="8"/>
  <c r="H17" i="8"/>
  <c r="H16" i="8"/>
  <c r="H15" i="8"/>
  <c r="H14" i="8"/>
  <c r="H13" i="8"/>
  <c r="H12" i="8"/>
  <c r="H11" i="8"/>
  <c r="H10" i="8"/>
  <c r="H9" i="8"/>
  <c r="H8" i="8" l="1"/>
  <c r="J7" i="8"/>
  <c r="I7" i="8"/>
  <c r="H7" i="8" l="1"/>
  <c r="G7" i="8" l="1"/>
  <c r="F7" i="8"/>
  <c r="E7" i="8"/>
  <c r="D7" i="8"/>
  <c r="C5" i="41" l="1"/>
  <c r="V5" i="41"/>
  <c r="T5" i="41"/>
  <c r="F5" i="41"/>
  <c r="O5" i="41"/>
  <c r="Q5" i="41"/>
  <c r="N5" i="41"/>
  <c r="I5" i="41"/>
  <c r="L5" i="41"/>
  <c r="S5" i="41"/>
  <c r="U5" i="41"/>
  <c r="D5" i="41"/>
  <c r="R5" i="41"/>
  <c r="G5" i="41"/>
  <c r="E5" i="41"/>
  <c r="J5" i="41"/>
  <c r="M5" i="41"/>
  <c r="B12" i="41"/>
  <c r="B15" i="41"/>
  <c r="B9" i="41"/>
  <c r="B11" i="41"/>
  <c r="B7" i="41"/>
  <c r="K5" i="41"/>
  <c r="B13" i="41"/>
  <c r="P5" i="41"/>
  <c r="H5" i="41"/>
  <c r="B10" i="41"/>
  <c r="B8" i="41"/>
  <c r="B6" i="41"/>
  <c r="B17" i="41"/>
  <c r="B16" i="41"/>
  <c r="B14" i="41"/>
  <c r="H13" i="39"/>
  <c r="F7" i="39"/>
  <c r="R29" i="39" l="1"/>
  <c r="H7" i="39"/>
  <c r="B5" i="41"/>
  <c r="F6" i="39"/>
  <c r="I6" i="39" l="1"/>
  <c r="H6" i="39"/>
  <c r="I7" i="39"/>
  <c r="R28" i="39"/>
  <c r="I16" i="39"/>
  <c r="I12" i="39"/>
  <c r="I18" i="39"/>
  <c r="I19" i="39"/>
  <c r="I13" i="39"/>
  <c r="I20" i="39"/>
  <c r="I17" i="39"/>
  <c r="I10" i="39"/>
  <c r="I8" i="39"/>
  <c r="I14" i="39"/>
  <c r="I21" i="39"/>
  <c r="I11" i="39"/>
  <c r="I9" i="39"/>
  <c r="I15" i="39"/>
  <c r="S30" i="39" l="1"/>
  <c r="S31" i="39"/>
  <c r="S28" i="39"/>
  <c r="S29" i="39"/>
</calcChain>
</file>

<file path=xl/comments1.xml><?xml version="1.0" encoding="utf-8"?>
<comments xmlns="http://schemas.openxmlformats.org/spreadsheetml/2006/main">
  <authors>
    <author>Fathmath Shifaza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Fathmath Shifaza:</t>
        </r>
        <r>
          <rPr>
            <sz val="9"/>
            <color indexed="81"/>
            <rFont val="Tahoma"/>
            <family val="2"/>
          </rPr>
          <t xml:space="preserve">
Others figure too big compared to total…. What kinds of death cases are they??  Are these normal ones … 
Need to give an explanation as a footnote or breakdown others</t>
        </r>
      </text>
    </comment>
  </commentList>
</comments>
</file>

<file path=xl/comments2.xml><?xml version="1.0" encoding="utf-8"?>
<comments xmlns="http://schemas.openxmlformats.org/spreadsheetml/2006/main">
  <authors>
    <author>Suhad</author>
  </authors>
  <commentList>
    <comment ref="O9" authorId="0">
      <text>
        <r>
          <rPr>
            <sz val="9"/>
            <color indexed="81"/>
            <rFont val="Tahoma"/>
            <family val="2"/>
          </rPr>
          <t xml:space="preserve">Including Hulhumale magistrate Court
</t>
        </r>
      </text>
    </comment>
  </commentList>
</comments>
</file>

<file path=xl/comments3.xml><?xml version="1.0" encoding="utf-8"?>
<comments xmlns="http://schemas.openxmlformats.org/spreadsheetml/2006/main">
  <authors>
    <author>Suhad</author>
  </authors>
  <commentList>
    <comment ref="K6" authorId="0">
      <text>
        <r>
          <rPr>
            <sz val="9"/>
            <color indexed="81"/>
            <rFont val="A_Faruma"/>
            <charset val="1"/>
          </rPr>
          <t>ފެބްރުވަރީ މަހުން ފެށިގެން މި ކެޓަގަރީގެ މައްސަލަތަކަކީ އާއިލީ މައްސަލަތަކެއް ކަމުގައި ސުޕްރީމް ކޯޓުން ވަނީ ކަނޑައަޅުއްވާފައި
( މިބައިގައި މިވާ 82 މައްސަލައަކީ އާއިލީ މައްސަލަތަކެއް ކަމުގައި ސުޕްރީމް ކޯޓުން ކަނޑައެޅުމުގެ ކުރިން ކޯޓުތަކަށް ހުށަހެޅިފައިވާ މައްސަލތަކެވެ.</t>
        </r>
      </text>
    </comment>
  </commentList>
</comments>
</file>

<file path=xl/sharedStrings.xml><?xml version="1.0" encoding="utf-8"?>
<sst xmlns="http://schemas.openxmlformats.org/spreadsheetml/2006/main" count="2010" uniqueCount="809">
  <si>
    <t>Total</t>
  </si>
  <si>
    <t>wlcmuj</t>
  </si>
  <si>
    <t>Source: Department of Judicial Administration</t>
  </si>
  <si>
    <t>Number of cases logged</t>
  </si>
  <si>
    <t>ހުށަހެޅިފައިވާ މައްސަލަތައް</t>
  </si>
  <si>
    <t>Theft</t>
  </si>
  <si>
    <t>ވައްކަން</t>
  </si>
  <si>
    <t>Traffic</t>
  </si>
  <si>
    <t>ޓްރެފިކް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</si>
  <si>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</si>
  <si>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</si>
  <si>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</si>
  <si>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</si>
  <si>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</si>
  <si>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</si>
  <si>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</si>
  <si>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</si>
  <si>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</si>
  <si>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</si>
  <si>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</si>
  <si>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</si>
  <si>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Embezzelment</t>
  </si>
  <si>
    <t>މަކަރާއި ޙީލަތް</t>
  </si>
  <si>
    <t>Domestic violence</t>
  </si>
  <si>
    <t>އާއިލީ</t>
  </si>
  <si>
    <t>Counterfiet</t>
  </si>
  <si>
    <t>ވަގުފައިސާ</t>
  </si>
  <si>
    <t>Others</t>
  </si>
  <si>
    <t>އެހެނިހެން</t>
  </si>
  <si>
    <t>Source: Maldives Police Service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</si>
  <si>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</si>
  <si>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</si>
  <si>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</si>
  <si>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</si>
  <si>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</si>
  <si>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</si>
  <si>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</si>
  <si>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</si>
  <si>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</si>
  <si>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</si>
  <si>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</si>
  <si>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</si>
  <si>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</si>
  <si>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</si>
  <si>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</si>
  <si>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</si>
  <si>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</si>
  <si>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</si>
  <si>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</si>
  <si>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</si>
  <si>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</si>
  <si>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</si>
  <si>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</si>
  <si>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</si>
  <si>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Type of offence</t>
  </si>
  <si>
    <t>ކުށުގެ ބާވަތް</t>
  </si>
  <si>
    <t xml:space="preserve">ހުށަހެޅިފައިވާ މައްސަލަތަކުގެ އަދަދު </t>
  </si>
  <si>
    <t>Both Sexes</t>
  </si>
  <si>
    <t>Male</t>
  </si>
  <si>
    <t>Female</t>
  </si>
  <si>
    <t>ދެޖިންސް</t>
  </si>
  <si>
    <t xml:space="preserve">ފިރިހެން </t>
  </si>
  <si>
    <t xml:space="preserve">އަންހެން </t>
  </si>
  <si>
    <t>ޖުމްލަ</t>
  </si>
  <si>
    <t>Sexual Offences</t>
  </si>
  <si>
    <t>ޖިންސީ މައްސަލަ</t>
  </si>
  <si>
    <t>Counterfeit and forgery</t>
  </si>
  <si>
    <t>Embezzlement</t>
  </si>
  <si>
    <t>No. of times arrested</t>
  </si>
  <si>
    <t>ހައްޔަރު ކުރެވުނު އަދަދު</t>
  </si>
  <si>
    <t>&lt; 18</t>
  </si>
  <si>
    <t>18 - 34</t>
  </si>
  <si>
    <t>35 +</t>
  </si>
  <si>
    <t>ދިވެހިން</t>
  </si>
  <si>
    <t>ބިދޭސީ</t>
  </si>
  <si>
    <t xml:space="preserve">Total </t>
  </si>
  <si>
    <t xml:space="preserve">Locals </t>
  </si>
  <si>
    <t>Foreign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</si>
  <si>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</si>
  <si>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</si>
  <si>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</si>
  <si>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</si>
  <si>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</si>
  <si>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</si>
  <si>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</si>
  <si>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</si>
  <si>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</si>
  <si>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</si>
  <si>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</si>
  <si>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</si>
  <si>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</si>
  <si>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</si>
  <si>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</si>
  <si>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</si>
  <si>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</si>
  <si>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</si>
  <si>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</si>
  <si>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</si>
  <si>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</si>
  <si>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</si>
  <si>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</si>
  <si>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</si>
  <si>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</si>
  <si>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</si>
  <si>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</si>
  <si>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</si>
  <si>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</si>
  <si>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</si>
  <si>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</si>
  <si>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</si>
  <si>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</si>
  <si>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</si>
  <si>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</si>
  <si>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</si>
  <si>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</si>
  <si>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މާލެ</t>
  </si>
  <si>
    <t>Year</t>
  </si>
  <si>
    <t>No. of Cases Logged</t>
  </si>
  <si>
    <t>އަހަރު</t>
  </si>
  <si>
    <t>ހުށަހެޅުނު އަދަދު</t>
  </si>
  <si>
    <t>Opiates</t>
  </si>
  <si>
    <t>Heroin</t>
  </si>
  <si>
    <t>Cannabis</t>
  </si>
  <si>
    <t>Benzodyziphine</t>
  </si>
  <si>
    <t>Atolls</t>
  </si>
  <si>
    <t>Total police personnel</t>
  </si>
  <si>
    <t>Republic</t>
  </si>
  <si>
    <t>Traffic accidents</t>
  </si>
  <si>
    <t xml:space="preserve">Type </t>
  </si>
  <si>
    <t>ބާވަތް</t>
  </si>
  <si>
    <t>ކެނަބިސް</t>
  </si>
  <si>
    <t>ބެންޒޮޑީޒިފައިން</t>
  </si>
  <si>
    <t>އަދަދު (ގްރާމްއިން)</t>
  </si>
  <si>
    <t>Type of Drug</t>
  </si>
  <si>
    <t>Details</t>
  </si>
  <si>
    <t>ތަފްސީލް</t>
  </si>
  <si>
    <t>ހެރޮއިން</t>
  </si>
  <si>
    <t>މަޢުލޫމާތު ދެއްވީ: މޯލްޑިވްސް ޕޮލިސް ސަރވިސް</t>
  </si>
  <si>
    <t>އޯޕިއޭޓްސް</t>
  </si>
  <si>
    <t>Lost Items</t>
  </si>
  <si>
    <t>Logged Cases</t>
  </si>
  <si>
    <t>Type of Offence</t>
  </si>
  <si>
    <t>ފިރިހެން</t>
  </si>
  <si>
    <t>އަންހެން</t>
  </si>
  <si>
    <t>Locality</t>
  </si>
  <si>
    <t>އަތޮޅުތައް</t>
  </si>
  <si>
    <t xml:space="preserve">ޖުމްލަ ފުލުހުންގެ އަދަދު </t>
  </si>
  <si>
    <r>
      <t xml:space="preserve">Year       </t>
    </r>
    <r>
      <rPr>
        <b/>
        <sz val="11"/>
        <rFont val="Faruma"/>
        <family val="3"/>
      </rPr>
      <t xml:space="preserve">  އަހަރު</t>
    </r>
  </si>
  <si>
    <t>ބެހިފައިވާ ގޮތް އިންސައްތައިން</t>
  </si>
  <si>
    <t>Table 8.9: CASES FILED, CONCLUDED AND PENDING BY CASE TYPE, 2012</t>
  </si>
  <si>
    <t>cnwxErcTcsinimcDea clwxiDuj cfoa cTcnwmcTWpiD : utWmUluAwm</t>
  </si>
  <si>
    <t>މައްސަލައިގެ ބާވަތް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</si>
  <si>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</si>
  <si>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</si>
  <si>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</si>
  <si>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</si>
  <si>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</si>
  <si>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</si>
  <si>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</si>
  <si>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</si>
  <si>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</si>
  <si>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</si>
  <si>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</si>
  <si>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</si>
  <si>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</si>
  <si>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</si>
  <si>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</si>
  <si>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</si>
  <si>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</si>
  <si>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</si>
  <si>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</si>
  <si>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</si>
  <si>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ކުރީ އަހަރާއި  އަޅާ</t>
  </si>
  <si>
    <t>ތަން</t>
  </si>
  <si>
    <t>ބަލާއިރު އިތުރުވި މިންވަރު</t>
  </si>
  <si>
    <t>ejcaWriLum</t>
  </si>
  <si>
    <t>elWm</t>
  </si>
  <si>
    <t>ah</t>
  </si>
  <si>
    <t>dh</t>
  </si>
  <si>
    <t>n</t>
  </si>
  <si>
    <t>r</t>
  </si>
  <si>
    <t>b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</si>
  <si>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</si>
  <si>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</si>
  <si>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</si>
  <si>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</si>
  <si>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</si>
  <si>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</si>
  <si>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</si>
  <si>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</si>
  <si>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</si>
  <si>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</si>
  <si>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</si>
  <si>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s</t>
  </si>
  <si>
    <t>Type of case</t>
  </si>
  <si>
    <t>Traffic Accidents</t>
  </si>
  <si>
    <t>ޓްރެފިކް އެކްސިޑެންޓްސް</t>
  </si>
  <si>
    <t>Threatening</t>
  </si>
  <si>
    <t>Fire incidents</t>
  </si>
  <si>
    <t>Environmental offences</t>
  </si>
  <si>
    <t>ތިމާވެއްޓާއި ގުޅުންހުރި މައްސަލަތައް</t>
  </si>
  <si>
    <t>Illegal immigration</t>
  </si>
  <si>
    <t>ރާއްޖެއަށް ނުވަތަ ރާއްޖޭގެ ސަރަހައްދަކަށް ޤަވާއިދާއި ހިލާފަށް ވަނުން</t>
  </si>
  <si>
    <t>Arson</t>
  </si>
  <si>
    <t>ހުޅުޖެހުން</t>
  </si>
  <si>
    <t>Obstruction of Justice</t>
  </si>
  <si>
    <t>ފުލުހުންގެ ވާޖިބަށް ހުރަސް އެޅުން</t>
  </si>
  <si>
    <t>Illegally entering households</t>
  </si>
  <si>
    <t>ޤަވާއިދާއި ޚިލާފަށް ގޯތިގެދޮރަށް ވަނުން</t>
  </si>
  <si>
    <t>Sudden death</t>
  </si>
  <si>
    <t>ކުއްލި މަރު</t>
  </si>
  <si>
    <t>Attempt to suicide</t>
  </si>
  <si>
    <t>އަމިއްލައަށް މަރުވާން އުޅުން</t>
  </si>
  <si>
    <t>Unlawful posession of weapons</t>
  </si>
  <si>
    <t>ހަތިޔާރު ގެންގުޅުން</t>
  </si>
  <si>
    <t xml:space="preserve"> މައްސަލައިގެ ބާވަތް</t>
  </si>
  <si>
    <t>އިންސައްތަ</t>
  </si>
  <si>
    <t>Percenatge share</t>
  </si>
  <si>
    <t>Theft from  places (not by forced entry)</t>
  </si>
  <si>
    <t>ތަންތަނުން ކޮށްފައިވާ ވައްކަން (ފަޅާލައިގެންނޫން ގޮތްގޮތަށް)</t>
  </si>
  <si>
    <t>Vehicles</t>
  </si>
  <si>
    <t>ދުއްވާތަކެތީގެ ވައްކަން</t>
  </si>
  <si>
    <t>Mobile phones</t>
  </si>
  <si>
    <t>މޯބަލް ފޯން</t>
  </si>
  <si>
    <t>Money</t>
  </si>
  <si>
    <t>ފައިސާ</t>
  </si>
  <si>
    <t>Electronic items (except mobile phones)</t>
  </si>
  <si>
    <t>އިލެކްޓްރޯނިކް ސާމާނު</t>
  </si>
  <si>
    <t>ފަޅާލައިގެންވަދެ ތަންތަނުން ކޮށްފައިވާ ވައްކަން</t>
  </si>
  <si>
    <t>Other theft</t>
  </si>
  <si>
    <t>އެހެނިހެން ވައްކަން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</si>
  <si>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</si>
  <si>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</si>
  <si>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</si>
  <si>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</si>
  <si>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</si>
  <si>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</si>
  <si>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</si>
  <si>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</si>
  <si>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</si>
  <si>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Alcohol</t>
  </si>
  <si>
    <t>ރަލުގެ މައްސަލަތައް</t>
  </si>
  <si>
    <t>Production</t>
  </si>
  <si>
    <t xml:space="preserve">   އުފެއްދުން</t>
  </si>
  <si>
    <t xml:space="preserve">  ކުރީ އަހަރާއި  އަޅާބަލާއިރު  އިތުރުވި މިންވަރު</t>
  </si>
  <si>
    <t>Assault by group of persons</t>
  </si>
  <si>
    <t>ގްރޫޕް މާރާމާރީ</t>
  </si>
  <si>
    <t>Using weapons</t>
  </si>
  <si>
    <t xml:space="preserve">   ހަތިޔާރު ބޭނުންކޮށްގެން</t>
  </si>
  <si>
    <t>Using sharp weapons</t>
  </si>
  <si>
    <t>Without use of weapons</t>
  </si>
  <si>
    <t xml:space="preserve">   ތޫނު ހަތިޔާރު ބޭނުންކޮށްގެން</t>
  </si>
  <si>
    <t>Other Assault</t>
  </si>
  <si>
    <t>އެހެނިހެން މާރާމާރީ</t>
  </si>
  <si>
    <t>Logged cases</t>
  </si>
  <si>
    <t>Homicide</t>
  </si>
  <si>
    <t>ގަސްތުގައި މީހުން މެރުން</t>
  </si>
  <si>
    <t>Suicide</t>
  </si>
  <si>
    <t>އަމިއްލައަށް މަރުވުން</t>
  </si>
  <si>
    <t>Diving/snorkeling  accidents</t>
  </si>
  <si>
    <t>ޑައިވިންގ / ސްނޯކްލިންގ އެކްސިޑެންޓް</t>
  </si>
  <si>
    <t>ޓްރެފިކް އެކްސިޑެންޓް</t>
  </si>
  <si>
    <t>Drowning</t>
  </si>
  <si>
    <t>ގެނބިގެން</t>
  </si>
  <si>
    <t>Other death cases logged</t>
  </si>
  <si>
    <t xml:space="preserve">އެހެނިހެން </t>
  </si>
  <si>
    <t xml:space="preserve">  ބިރުދެއްކުން</t>
  </si>
  <si>
    <t xml:space="preserve">  އަލިފާނުގެ ހާދިސާ</t>
  </si>
  <si>
    <t>cawtwlwscawm WviwފiLehwSuh</t>
  </si>
  <si>
    <t xml:space="preserve">                  Quantity ( grams )                                                                              </t>
  </si>
  <si>
    <t>Number of Logged cases</t>
  </si>
  <si>
    <t>Foreigners</t>
  </si>
  <si>
    <t>Other cases related to drug offences</t>
  </si>
  <si>
    <t>ޑްރަގްސް އާއި ގުޅުން ހުރި އެހެނިހެން މައްސަލަތައް</t>
  </si>
  <si>
    <t>others</t>
  </si>
  <si>
    <t>-</t>
  </si>
  <si>
    <t>ރާއްޖެ</t>
  </si>
  <si>
    <t>Completed cases</t>
  </si>
  <si>
    <r>
      <rPr>
        <b/>
        <sz val="9"/>
        <color theme="1"/>
        <rFont val="Calibri"/>
        <family val="2"/>
        <scheme val="minor"/>
      </rPr>
      <t>Number of Detainees</t>
    </r>
    <r>
      <rPr>
        <b/>
        <sz val="9"/>
        <color theme="1"/>
        <rFont val="Faruma"/>
        <family val="3"/>
      </rPr>
      <t xml:space="preserve">  ހައްޔަރުކުރެވުނު މީހުންގެ އަދަދު</t>
    </r>
  </si>
  <si>
    <t>Both sexes</t>
  </si>
  <si>
    <t>% change over 2013</t>
  </si>
  <si>
    <t>Counterfiet and forgery</t>
  </si>
  <si>
    <t>ވަގުފައިސާ އަދި ފޯރޖްކުރުން</t>
  </si>
  <si>
    <t>18 އަހަރުންދަށް</t>
  </si>
  <si>
    <t>35 އަހަރުން މަތި</t>
  </si>
  <si>
    <t>more than 6</t>
  </si>
  <si>
    <t>ކުރީ އަހަރާއި  އަޅާ ބަލާއިރު އިތުރުވި މިންވަރު</t>
  </si>
  <si>
    <t xml:space="preserve">   ހަތިޔާރު ބޭނުންނުކޮށް</t>
  </si>
  <si>
    <t xml:space="preserve">Total police expenditure (million  MVR) </t>
  </si>
  <si>
    <t>ފުލުހުންނަށް ހިނގި ޚަރަދު (މިލިއަން ރުފިޔާ)</t>
  </si>
  <si>
    <t>% share 2015</t>
  </si>
  <si>
    <t>2014އާއި އަޅާބަލާއިރު 2015ގައި އިތުރުވި މިންވަރު (%)</t>
  </si>
  <si>
    <t>% change over 2014</t>
  </si>
  <si>
    <t>ތާވަލު 8.4: އަތޮޅުތަކުން ހުށަހެޅިފައިވާ މައްސަލަތައް، 2015</t>
  </si>
  <si>
    <t>Table 8.4 : LOGGED CASES BY TYPE AND ATOLL,  2015</t>
  </si>
  <si>
    <t>Table 8.5: LOGGED CASES  2009 - 2015</t>
  </si>
  <si>
    <t>2015 - 2009 ,cawtwlwscawm WviawfiLehwSuh : 8.5 ulwvWt</t>
  </si>
  <si>
    <t>Table 8.6: TREND SHOWING LOGGED CASES, 1992 - 2015</t>
  </si>
  <si>
    <t>ތާވަލު 8.6: 1992 އިން 2015 ށް މައްސަލަ ހުށަހެޅުމުން އައިގޮތް</t>
  </si>
  <si>
    <t>Table 8.7:  THEFT CASES LOGGED BY TYPE, 2011 - 2015</t>
  </si>
  <si>
    <t>ތާވަލު 8.7: ހުށަހެޅިފައިވާ ވައްކަމުގެ މައްސަލަތަކުގެ ބާވަތް، 2011- 2015</t>
  </si>
  <si>
    <t>%change over 2014</t>
  </si>
  <si>
    <t>ތާވަލު 8.8: ހުށަހެޅިފައިވާ މަސްތުވާތަކެތީގެ މައްސަލަތަކާއި އަދި ބާވަތް، 2011- 2015</t>
  </si>
  <si>
    <t>Table 8.8:  DRUG CASES LOGGED BY TYPE, 2011 - 2015</t>
  </si>
  <si>
    <t>ތާވަލު 8.9: މޯލްޑިވްސް ޕޮލިސް ސަރވިސްގެ ފަރާތުން އަތުލައިގަތް މަސްތުވާތަކެތީގެ އަދަދު، 2009 - 2015</t>
  </si>
  <si>
    <t>Table 8.9: DRUG CEASED BY MALDIVES POLICE SERVICE, 2009 - 2015</t>
  </si>
  <si>
    <t>ތާވަލު 8.10: ހުށަހެޅިފައިވާ މާރާމާރީގެ މައްސަލަތައް، 2011- 2015</t>
  </si>
  <si>
    <t>Table 8.10:  ASSAULT CASES LOGGED BY TYPE, 2011 - 2015</t>
  </si>
  <si>
    <t>Break down: other death cases logged</t>
  </si>
  <si>
    <t>ތާވަލު 8.11: ހުށަހެޅިފައިވާ މަރުގެ މައްސަލަތައް، 2011- 2015</t>
  </si>
  <si>
    <t>Table 8.11 : LOGGED CASES OF DEATH , 2011 - 2015</t>
  </si>
  <si>
    <t>ތާވަލު 8.12: ނިންމުނު މައްސަލަތައް، 2008- 2015</t>
  </si>
  <si>
    <t>Table  8.12: COMPLETED CASES BY TYPE, 2008 - 2015</t>
  </si>
  <si>
    <t xml:space="preserve">2015 - 2009 ތާވަލު 8.14:  އެކިއެކި މައްސަލަތަކުގައި ހައްޔަރުކުރެވުނު މީހުންގެ ތެރޭން ތަކުރާރުކޮށް ހައްޔަރުކުރެވުނު މީހުންގެ އަދަދު، </t>
  </si>
  <si>
    <t xml:space="preserve"> Table 8.14: NUMBER OF  DETAINEES BY NUMBER OF TIMES ARRESTED, 2009 - 2015</t>
  </si>
  <si>
    <t>ތާވަލު 8.15: ހުށަހެޅިފައިވާ މައްސަލަތަކުގެ ތެރެއިން ހައްޔަރުކުރެވުނު މީހުންގެ އަދަދު ޖިންސް އަދި އުމުރުފުރާއިން، 2015</t>
  </si>
  <si>
    <t>Table 8.15: NUMBER OF DETAINEES REPORTED BY TYPE OF OFFENCES, GENDER AND AGE GROUP, 2015</t>
  </si>
  <si>
    <t xml:space="preserve">ތާވަލް 8.16: ހައްޔަރު ކުރެވުނު ދިވެހިންނާއި ބިދޭސީންގެ އަދަދު، 2011 - 2015 </t>
  </si>
  <si>
    <t>Table: 8.16  NUMBER OF LOCAL AND FOREIGN DETAINEES BY TYPE OF OFFENCES, 2011 - 2015</t>
  </si>
  <si>
    <t>TABLE 8.17: POLICE PERSONNEL BY SEX AND FINANCIAL RESOURCES, 2010 - 2015</t>
  </si>
  <si>
    <t>ތާވަލު 8.17: ފުލުހުންގެ ޚިދުމަތުގައި ތިބީ މީހުންގެ އަދަދު އަދި ހިނގި ޚަރަދު، 2010 - 2015</t>
  </si>
  <si>
    <t>ތާވަލު 8.1: ހުށަހެޅިފައިވާ މައްސަލަތައް، 2011- 2015</t>
  </si>
  <si>
    <t>Table 8.1: LOGGED CASES FROM THE YEAR, 2011 - 2015</t>
  </si>
  <si>
    <t>ތާވަލު 8.2: މާލެ އަދި އަތޮޅުތަކުން ހުށަހެޅިފައިވާ މައްސަލަތަކުގެ ޢަދަދު އަދި ބާވަތް، 2014- 2015</t>
  </si>
  <si>
    <t>TABLE 8.2  : NUMBER OF  LOGGED CASES BY  LOCALITY &amp; TYPE OF CASES, 2014 - 2015</t>
  </si>
  <si>
    <t>ތާވަލު 8.3: އެކި އަތޮޅުތަކުން ހުށަހެޅިފައިވާ މައްސަލަތަކުގެ އަދަދު، 2010- 2015</t>
  </si>
  <si>
    <t>TABLE: 8.3: NUMBER OF  LOGGED CASES BY ATOLL, 2010 - 2015</t>
  </si>
  <si>
    <t xml:space="preserve">2015 - 2014  ،ތާވަލު 8.13: ހުށަހެޅިފައިވާ މައްސަލަތަކުގެ ތެރެއިން ހައްޔަރުކުރެވުނު މީހުންގެ އަދަދު އަދި ޖިންސް  </t>
  </si>
  <si>
    <t>Table 8.13: NUMBER OF DETAINEES REPORTED BY TYPE OF OFFENCE AND SEX, 2014 - 2015</t>
  </si>
  <si>
    <t>ތާވަލު 8.24: ދައުލަތުގެފަރާތުން ޝަރީއަތަށް ހުށަހެޅުނު މައްސަލަތައް، 2013 - 2015</t>
  </si>
  <si>
    <t>TABLE 8.24: NUMBER OF CASES  SENT TO COURT TRIAL,  2013 - 2015</t>
  </si>
  <si>
    <t>މައްސަލަތަކުގެ ތަފްސީލް</t>
  </si>
  <si>
    <t>use / consumption of cannabis</t>
  </si>
  <si>
    <t>ކެނަބިސް ބޭނުން ކުރުން</t>
  </si>
  <si>
    <t xml:space="preserve">use / consumption of diamorphine </t>
  </si>
  <si>
    <t>ޑައިމޯފިން ބޭނުން ކުރުން</t>
  </si>
  <si>
    <t>acts in contradiction to the laws and state orders</t>
  </si>
  <si>
    <t>ޤާނޫނާއި ޚިލާފުވުމާއި ދަޢުލަތުގެ އަމުރަށް ނުކިޔަމަންތެރިވުން</t>
  </si>
  <si>
    <t>refusing to provide urine sample</t>
  </si>
  <si>
    <t>ކުޑަކަމުދާ ތަކެތި ދިނުމަށް އިންކާރު ކުރުން</t>
  </si>
  <si>
    <t>hindering /obstructing  /assaulting  a police officer on duty</t>
  </si>
  <si>
    <t>ފުލުހުންގެ ދައުރު އަދާކުރަން ހުރި މީހަކަށް ދަތިކުރުން/ހުރަސްއެޅުން/ޙަމަލާދިނުން</t>
  </si>
  <si>
    <t>Fornication/adultery</t>
  </si>
  <si>
    <t>ޒިނޭ</t>
  </si>
  <si>
    <t>substance / drug abuse</t>
  </si>
  <si>
    <t xml:space="preserve">މަސްތުވާތަކެތި ބޭނުންކުރުން  </t>
  </si>
  <si>
    <t>threatening</t>
  </si>
  <si>
    <t>ބިރުދެއްކުމާއި އިންޒާރުދިނުން</t>
  </si>
  <si>
    <t>dealing in diamorphine</t>
  </si>
  <si>
    <t>ޑައިމޯފިނުން މުޢާމަލާތް ކުރުން</t>
  </si>
  <si>
    <t>cheque bounce</t>
  </si>
  <si>
    <t>އެކައުންޓުގައި ފައިސާނެތި ޗެކް ދޫކުރުން</t>
  </si>
  <si>
    <t>sexual abuse of children</t>
  </si>
  <si>
    <t>ކުޑަކުއްޖަކާ މެދު ޖިންސީ ޢަމަލެއް ހިންގުން</t>
  </si>
  <si>
    <t>consumption and manufacturing of alcohol</t>
  </si>
  <si>
    <t>ބަނގުރާ ބުއިމާއި، ގެންގުޅުމާޢި، އެތެރެކުރުމާއި، އުފެއްދުން</t>
  </si>
  <si>
    <t>dealing in cannabis</t>
  </si>
  <si>
    <t>ކެނަބިހުން މުޢާމަލާތް ކުރުން</t>
  </si>
  <si>
    <t>Unlawful acts</t>
  </si>
  <si>
    <t>ޣައިރު ޤާނޫނީ ޢަމަލު</t>
  </si>
  <si>
    <t>possession of sharp objects / wepons in public</t>
  </si>
  <si>
    <t>ޢާންމުތަނެއްގައި ތޫނުއެއްޗެއް ގެންގުޅުން</t>
  </si>
  <si>
    <t>Sexual misconduct</t>
  </si>
  <si>
    <t>ބަދުއަޚްލާޤީ ޢަމަލު ހިންގުން</t>
  </si>
  <si>
    <t>Fraud</t>
  </si>
  <si>
    <t>މަކަރާއި ޚީލަތް</t>
  </si>
  <si>
    <t>sexual abuse of children by a trusted person</t>
  </si>
  <si>
    <t>އިތުބާރުކުރެވޭ މަޤާމެއްގައި ހުރި މީހަކުޖިންސީ ޢަމަލެއްހިންގުން</t>
  </si>
  <si>
    <t>causing grievous bodily harm</t>
  </si>
  <si>
    <t>މީހެއްގެ ހަށިގަނޑަށް ގެއްލުން ދިނުން</t>
  </si>
  <si>
    <t>Acts of public disturbance</t>
  </si>
  <si>
    <t>އަމަން ނަގާލުން</t>
  </si>
  <si>
    <t xml:space="preserve">trafficking of diamorphine </t>
  </si>
  <si>
    <t xml:space="preserve">ޑައިމޯފިނުން ޓްރެފިކް ކުރުން </t>
  </si>
  <si>
    <t>trafficking of cannabis</t>
  </si>
  <si>
    <t>ކެނަބިހުން ޓްރެފިކްކުރުން</t>
  </si>
  <si>
    <t>trafficking illegal drugs</t>
  </si>
  <si>
    <t xml:space="preserve">މަސްތުވާތަކެތީގެ ވިޔަފާރިކުރުން </t>
  </si>
  <si>
    <t>trafficking of schedule 1 drugs</t>
  </si>
  <si>
    <t>ޖަދުވަލް1 ގައިވާ މަސްތުވާ އެއްޗެއް ޓްރެފިކްކުރުން*</t>
  </si>
  <si>
    <t>trafficking of schedule 2 drugs</t>
  </si>
  <si>
    <t>ޖަދުވަލް2 ގައިވާ މަސްތުވާ އެއްޗެއް ޓްރެފިކްކުރުން*</t>
  </si>
  <si>
    <t>possession and production obscene/ porn</t>
  </si>
  <si>
    <t>އޮރިޔާންކާޑު ގެންގުޅުމާ ބެހެއްޓުމާ އުފެއްދުން</t>
  </si>
  <si>
    <t>Criminal breach of trust</t>
  </si>
  <si>
    <t>ޚިޔާނާތް</t>
  </si>
  <si>
    <t>ކުޑަކުދިންނަށް ޖިންސީ ގޯނާކުރުން</t>
  </si>
  <si>
    <t>possession fo alcohol</t>
  </si>
  <si>
    <t>ބަނގުރާ ގެންގުޅުން</t>
  </si>
  <si>
    <t>sexual abuse of children by a family member</t>
  </si>
  <si>
    <t>ޢާއިލީ މެމްބަރަކާ އެކު ޖިންސީ ޢަމަލެއް ހިންގުން</t>
  </si>
  <si>
    <t>Giving birth out of wedlock</t>
  </si>
  <si>
    <t>ވަކި މީހަކަށް ނުލައްވާ ގޮތަށް ވިހެއުން</t>
  </si>
  <si>
    <t>providing false information</t>
  </si>
  <si>
    <t>ދޮގުމަޢުލޫމާތު</t>
  </si>
  <si>
    <t>counterfeit</t>
  </si>
  <si>
    <t>ކައުންޓަރފީޓް</t>
  </si>
  <si>
    <t>pedddling in cannabis</t>
  </si>
  <si>
    <t>ކެނަބިސް ޕެޑްލްކުރުން</t>
  </si>
  <si>
    <t>possession of dangerous wepons</t>
  </si>
  <si>
    <t>ނުރައްކާތެރި ހަތިޔާރު ގެންގުޅުން</t>
  </si>
  <si>
    <t>ކުޑަކުއްޖަކާ މެދު ބަދުއަޚްލާޤީ ޢަމަލެއް ހިންގުން</t>
  </si>
  <si>
    <t>Murder</t>
  </si>
  <si>
    <t>މަރު</t>
  </si>
  <si>
    <t>unlawful use of official position or office by a public official for personal gain or the benefit of another</t>
  </si>
  <si>
    <t>މަޤާމުގެ ނުފޫޒު ބޭނުންކުރުން</t>
  </si>
  <si>
    <t>obstructing the duty of a government employee</t>
  </si>
  <si>
    <t>ދައުލަތުގެ މުވައްޒަފެއްގެ ވާޖިބަށް ހުރަސްއެޅުން</t>
  </si>
  <si>
    <t>ކުޑަކުދިންނަށް ޖިންސީ ގުނަވަނެއް ދެއްކުން</t>
  </si>
  <si>
    <t>ޓެރަރިޒަމް</t>
  </si>
  <si>
    <t>ރޭޕްކުރުން</t>
  </si>
  <si>
    <t>ޓެކުން</t>
  </si>
  <si>
    <t>މީހެއްގެ މުދަލަށް ގެއްލުން ދިނުން</t>
  </si>
  <si>
    <t>މަސްމަރާބަޑި އުފެއްދުމާއި، ގެންގުޅުން</t>
  </si>
  <si>
    <t>ރައްކާތެރި ކުރުމުގެ އަމުރާ ޚިލާފްވުން</t>
  </si>
  <si>
    <t>ހަނގުރާމަވެރި ހަތިިޔާރު ގެންގުޅުން</t>
  </si>
  <si>
    <t xml:space="preserve">Note:  since the total number of cases in table  are categorized based on type of charge, the number of cases submitted to court (table 8.25) may differ since a single case submitted to court may have more than one charges associated. </t>
  </si>
  <si>
    <t>ޤާނޫނު ނަންބަރ 17/2011 އާއި ގުޅޭ</t>
  </si>
  <si>
    <t>*</t>
  </si>
  <si>
    <t>Source: Prosecutor General's office</t>
  </si>
  <si>
    <t>މަޢުލޫމާތު ދެއްވި ފަރާތް: ޕްރޮސިކިއުޓަރ ޖެނެރަލްގެ އޮފީސް</t>
  </si>
  <si>
    <t xml:space="preserve">ތާވަލު: 8.25: ޕްރޮސިކިއުޓަރ ޖެނެރަލްގެ އޮފީހަށް ހުށަހެޅުނު އަދި ނިންމުނު މައްސަލަތައް، 2011 - 2015  </t>
  </si>
  <si>
    <t>TABLE 8.25: NUMBER OF CASES  SUBMITTED  AND COMPLETED, 2011 - 2015</t>
  </si>
  <si>
    <r>
      <rPr>
        <b/>
        <sz val="10"/>
        <color theme="1"/>
        <rFont val="Faruma"/>
      </rPr>
      <t>ބެހިފައިވާ ގޮތް (އިން ސައްތަ)</t>
    </r>
    <r>
      <rPr>
        <b/>
        <sz val="10"/>
        <color theme="1"/>
        <rFont val="Calibri"/>
        <family val="2"/>
        <scheme val="minor"/>
      </rPr>
      <t xml:space="preserve">   share % </t>
    </r>
  </si>
  <si>
    <t xml:space="preserve">Total Number of cases </t>
  </si>
  <si>
    <t xml:space="preserve">ދަޢްވާ ހުށަހަޅަން އޮފީސްތަކުން ފޮނުއްވި ޖުމްލަ
</t>
  </si>
  <si>
    <t>Number of cases completed by PG office</t>
  </si>
  <si>
    <t xml:space="preserve">ޕްރޮސިކިއުޓަރ ޖެނެރަލްގެ އޮފީހުން ނިންމުނު މައްސަލައިގެ ޖުމްލަ
</t>
  </si>
  <si>
    <t>Submitted to courts</t>
  </si>
  <si>
    <t>ކޯޓަށް ހުށަހެޅުނު</t>
  </si>
  <si>
    <t xml:space="preserve">send back to resend again </t>
  </si>
  <si>
    <t xml:space="preserve">       އަލުން ހުށަޙެޅުމަށްޓަކައި އަނބުރާ ފޮނުވާލެވުނު</t>
  </si>
  <si>
    <t>send back due to no evidence</t>
  </si>
  <si>
    <t xml:space="preserve">       ހެއްކާ ޤަރީނާ ލިބިފައިނުވާތީ އަނބުރާ ފޮނުވާލެވުނު</t>
  </si>
  <si>
    <t>send back due to other reasons</t>
  </si>
  <si>
    <t xml:space="preserve">       އެހެނިހެން ގޮތްގޮތުން އަނބުރާ ފޮނުވާލެވުނު</t>
  </si>
  <si>
    <t>Cases hold by PG Office</t>
  </si>
  <si>
    <t xml:space="preserve">       މިއޮފީހުގައި ހިފެހެއްޓިފައިހުރި މައްސަލަ</t>
  </si>
  <si>
    <t>given another chance</t>
  </si>
  <si>
    <t xml:space="preserve">       އިތުރު ފުރުސަތު</t>
  </si>
  <si>
    <t>No address in Male'</t>
  </si>
  <si>
    <t xml:space="preserve">       މާލޭ އެޑްރެސްނެތިގެން</t>
  </si>
  <si>
    <t>Number of cases not sent to court</t>
  </si>
  <si>
    <t>ކޯޓަށް ހުށަނޭޅި ހުރި މައްސަލަ</t>
  </si>
  <si>
    <t>Completion rate</t>
  </si>
  <si>
    <t>Submission rate to courts</t>
  </si>
  <si>
    <t xml:space="preserve">Completed </t>
  </si>
  <si>
    <t>Submitted to court</t>
  </si>
  <si>
    <t xml:space="preserve">Not sent to court </t>
  </si>
  <si>
    <t>ތާވަލު 8.26: ޕްރޮސިކިއުޓަރުންގެ އަދަދު އަދި ހިނގި ޚަރަދު، 2010 - 2015</t>
  </si>
  <si>
    <t>TABLE 8.26: PROSECUTION  PERSONNEL  BY SEX AND FINANCIAL RESOURCES, 2010 - 2015</t>
  </si>
  <si>
    <r>
      <t xml:space="preserve">Year       </t>
    </r>
    <r>
      <rPr>
        <b/>
        <sz val="11"/>
        <rFont val="Faruma"/>
      </rPr>
      <t xml:space="preserve">  އަހަރު</t>
    </r>
  </si>
  <si>
    <t>Total prosecution personnel (Lawyers)</t>
  </si>
  <si>
    <t xml:space="preserve">ޖުމްލަ ޕްރޮސިކިއުޓަރުންގެ އަދަދު </t>
  </si>
  <si>
    <t>Total  Expenditure (million MVR)</t>
  </si>
  <si>
    <t>ޖުމްލަ ޚަރަދުވި ވަރު (މިލިއަން ރުފިޔާ)</t>
  </si>
  <si>
    <t>2015 - 2002 ,udwdwAeg WycaiFwq unumcnin iawgukwtuTOkuSwr iaWaelWm : 8.18 ulwvWt</t>
  </si>
  <si>
    <t>Table 8.18 : CASES DEALT BY JUDICIAL COURTS IN MALE' AND ISLANDS, 2002 - 2015</t>
  </si>
  <si>
    <t>Court</t>
  </si>
  <si>
    <t>ކޯޓުތައް</t>
  </si>
  <si>
    <t>Juvenile court</t>
  </si>
  <si>
    <t>ޖުވެނައިލް ކޯޓު</t>
  </si>
  <si>
    <t>Family court</t>
  </si>
  <si>
    <t>ފެމިލީ ކޯޓު</t>
  </si>
  <si>
    <t>Criminal court</t>
  </si>
  <si>
    <t>ކްރިމިނަލް ކޯޓު</t>
  </si>
  <si>
    <t>Civil court</t>
  </si>
  <si>
    <t>ސިވިލް ކޯޓު</t>
  </si>
  <si>
    <t>Magistrate Courts</t>
  </si>
  <si>
    <t>އަތޮޅުތަކުގައި ހުރިމެޖިސްޓްރޭޓް ކޯޓުތައް</t>
  </si>
  <si>
    <t>Hulhu Male' court</t>
  </si>
  <si>
    <t>na</t>
  </si>
  <si>
    <t>ހުޅުމާލެ މެޖިސްޓްރޭޓް ކޯޓު</t>
  </si>
  <si>
    <t>Percentage share</t>
  </si>
  <si>
    <t>cniawtcaws ctogWviawfiheb</t>
  </si>
  <si>
    <t>% Change over previous year</t>
  </si>
  <si>
    <t>urwvcnim ivurutia eruvcSwrwhwa Iruk</t>
  </si>
  <si>
    <t>ތާވަލު 8.20: ހުށަހެޅުނު، ނިމުނު އަދި ނުނިމި ހުރި މައްސަލަތައް، 2015</t>
  </si>
  <si>
    <t>Table 8.20: CASES FILED, CONCLUDED AND PENDING BY CASE TYPE, 2015</t>
  </si>
  <si>
    <t>Atoll</t>
  </si>
  <si>
    <t>Grand Total</t>
  </si>
  <si>
    <t>Male' Total</t>
  </si>
  <si>
    <t>Atoll Total</t>
  </si>
  <si>
    <t>Thuraakunu</t>
  </si>
  <si>
    <t>Uligamu</t>
  </si>
  <si>
    <t xml:space="preserve">Molhadhoo </t>
  </si>
  <si>
    <t xml:space="preserve">Hoarafushi </t>
  </si>
  <si>
    <t xml:space="preserve">Ihavandhoo </t>
  </si>
  <si>
    <t xml:space="preserve">Kela </t>
  </si>
  <si>
    <t xml:space="preserve">Vashafaru </t>
  </si>
  <si>
    <t>Dhidhdhoo</t>
  </si>
  <si>
    <t>Filladhoo</t>
  </si>
  <si>
    <t xml:space="preserve">Maarandhoo </t>
  </si>
  <si>
    <t xml:space="preserve">Thakandhoo </t>
  </si>
  <si>
    <t xml:space="preserve">Utheemu </t>
  </si>
  <si>
    <t>Muraidhoo</t>
  </si>
  <si>
    <t xml:space="preserve">Baarashu </t>
  </si>
  <si>
    <t>Finey</t>
  </si>
  <si>
    <t xml:space="preserve">Makunudhoo </t>
  </si>
  <si>
    <t>Naavaidhoo</t>
  </si>
  <si>
    <t xml:space="preserve">Kumundhoo </t>
  </si>
  <si>
    <t>Kulhudhuffushi</t>
  </si>
  <si>
    <t xml:space="preserve">Hirimaradhoo </t>
  </si>
  <si>
    <t>Nolhivaramfaru</t>
  </si>
  <si>
    <t>Vaikaradhoo</t>
  </si>
  <si>
    <t>Hanimaadhoo</t>
  </si>
  <si>
    <t xml:space="preserve">Kurinbee </t>
  </si>
  <si>
    <t>Nolhivaram</t>
  </si>
  <si>
    <t xml:space="preserve">Neykurendhoo </t>
  </si>
  <si>
    <t>Nehlaidhoo</t>
  </si>
  <si>
    <t xml:space="preserve">Kanditheemu </t>
  </si>
  <si>
    <t xml:space="preserve">Goidhoo </t>
  </si>
  <si>
    <t xml:space="preserve">Feevaku </t>
  </si>
  <si>
    <t>Foakaidhoo</t>
  </si>
  <si>
    <t xml:space="preserve">Lhaimagu </t>
  </si>
  <si>
    <t xml:space="preserve">Komandoo </t>
  </si>
  <si>
    <t>Funadhoo</t>
  </si>
  <si>
    <t xml:space="preserve">Noomaraa </t>
  </si>
  <si>
    <t>Feydhoo</t>
  </si>
  <si>
    <t xml:space="preserve">Bileffahi </t>
  </si>
  <si>
    <t xml:space="preserve">Narudhoo </t>
  </si>
  <si>
    <t xml:space="preserve">Maroshi </t>
  </si>
  <si>
    <t xml:space="preserve">Maaungoodhoo </t>
  </si>
  <si>
    <t>Milandhoo</t>
  </si>
  <si>
    <t xml:space="preserve">Henbadhoo </t>
  </si>
  <si>
    <t>Kendhikulhudhoo</t>
  </si>
  <si>
    <t>Kulhudhoo  Avashu Section</t>
  </si>
  <si>
    <t xml:space="preserve">Maalhendhoo </t>
  </si>
  <si>
    <t xml:space="preserve">Kudafari </t>
  </si>
  <si>
    <t xml:space="preserve">Landhoo </t>
  </si>
  <si>
    <t xml:space="preserve">Maafaru </t>
  </si>
  <si>
    <t xml:space="preserve">Lhohi </t>
  </si>
  <si>
    <t>Miladhoo</t>
  </si>
  <si>
    <t xml:space="preserve">Magoodhoo </t>
  </si>
  <si>
    <t xml:space="preserve">Manadhoo </t>
  </si>
  <si>
    <t xml:space="preserve">Holhudhoo </t>
  </si>
  <si>
    <t>Fohdhdhoo</t>
  </si>
  <si>
    <t xml:space="preserve">Velidhoo </t>
  </si>
  <si>
    <t>Alifushee</t>
  </si>
  <si>
    <t>Vaadhoo</t>
  </si>
  <si>
    <t xml:space="preserve">Rasgetheemu </t>
  </si>
  <si>
    <t>Angolhitheemu</t>
  </si>
  <si>
    <t xml:space="preserve">Hulhduffaaru </t>
  </si>
  <si>
    <t>Ungoofaaru</t>
  </si>
  <si>
    <t xml:space="preserve">Dhuvaafaru </t>
  </si>
  <si>
    <t xml:space="preserve">Maakurathu </t>
  </si>
  <si>
    <t xml:space="preserve">Rasmaadhoo </t>
  </si>
  <si>
    <t xml:space="preserve">Innamaadhoo </t>
  </si>
  <si>
    <t xml:space="preserve">Maduvvaree </t>
  </si>
  <si>
    <t xml:space="preserve">Inguraidhoo </t>
  </si>
  <si>
    <t xml:space="preserve">Fainu </t>
  </si>
  <si>
    <t xml:space="preserve">Meedhoo </t>
  </si>
  <si>
    <t xml:space="preserve">Kinolhas </t>
  </si>
  <si>
    <t>Kudarikilu</t>
  </si>
  <si>
    <t xml:space="preserve">Kamadhoo </t>
  </si>
  <si>
    <t xml:space="preserve">Kendhoo </t>
  </si>
  <si>
    <t xml:space="preserve">Kihaadhoo </t>
  </si>
  <si>
    <t xml:space="preserve">Dhonfanu </t>
  </si>
  <si>
    <t xml:space="preserve">Dharavandhoo </t>
  </si>
  <si>
    <t>Maalhohu</t>
  </si>
  <si>
    <t>Eydhafushi</t>
  </si>
  <si>
    <t xml:space="preserve">Thulhaadhoo </t>
  </si>
  <si>
    <t xml:space="preserve">Hithaadhoo </t>
  </si>
  <si>
    <t>Fulhadhoo</t>
  </si>
  <si>
    <t>Fehendhoo</t>
  </si>
  <si>
    <t>Goidhoo</t>
  </si>
  <si>
    <t>Olhuvelifushi</t>
  </si>
  <si>
    <t xml:space="preserve">Hinnavaru </t>
  </si>
  <si>
    <t xml:space="preserve">Kurendhoo </t>
  </si>
  <si>
    <t xml:space="preserve">Naifaru </t>
  </si>
  <si>
    <t xml:space="preserve">Kaashidhoo </t>
  </si>
  <si>
    <t xml:space="preserve">Gaafaru </t>
  </si>
  <si>
    <t xml:space="preserve">Dhiffushi </t>
  </si>
  <si>
    <t xml:space="preserve">Thulusdhoo </t>
  </si>
  <si>
    <t xml:space="preserve">Huraa </t>
  </si>
  <si>
    <t xml:space="preserve">Hinmafushi </t>
  </si>
  <si>
    <t xml:space="preserve">Maafushi </t>
  </si>
  <si>
    <t xml:space="preserve">Guraidhoo </t>
  </si>
  <si>
    <t xml:space="preserve">Gulhi </t>
  </si>
  <si>
    <t xml:space="preserve">Thoddoo </t>
  </si>
  <si>
    <t xml:space="preserve">Rasdhoo </t>
  </si>
  <si>
    <t xml:space="preserve">Ukulhahu </t>
  </si>
  <si>
    <t xml:space="preserve">Mathiveri </t>
  </si>
  <si>
    <t xml:space="preserve">Bodufulhadho </t>
  </si>
  <si>
    <t xml:space="preserve">Feridhoo </t>
  </si>
  <si>
    <t xml:space="preserve">Maalhohu </t>
  </si>
  <si>
    <t xml:space="preserve">Himandhoo </t>
  </si>
  <si>
    <t xml:space="preserve">Hanyaameedhoo </t>
  </si>
  <si>
    <t xml:space="preserve">Omadhoo </t>
  </si>
  <si>
    <t xml:space="preserve">Kunburudhoo </t>
  </si>
  <si>
    <t xml:space="preserve">Mahibadhoo </t>
  </si>
  <si>
    <t xml:space="preserve">Mandhoo </t>
  </si>
  <si>
    <t xml:space="preserve">Dhangethi </t>
  </si>
  <si>
    <t xml:space="preserve">Dhigurashu </t>
  </si>
  <si>
    <t xml:space="preserve">Fenfushi </t>
  </si>
  <si>
    <t xml:space="preserve">Dhidhdhoo </t>
  </si>
  <si>
    <t xml:space="preserve">Maamigili </t>
  </si>
  <si>
    <t xml:space="preserve">Fulidhoo </t>
  </si>
  <si>
    <t xml:space="preserve">Thinadhoo </t>
  </si>
  <si>
    <t xml:space="preserve">Felidhoo </t>
  </si>
  <si>
    <t xml:space="preserve">Keyodhoo </t>
  </si>
  <si>
    <t xml:space="preserve">Rakeedhoo </t>
  </si>
  <si>
    <t xml:space="preserve">Raimandhoo </t>
  </si>
  <si>
    <t xml:space="preserve">Veyvashu </t>
  </si>
  <si>
    <t xml:space="preserve">Mulaku </t>
  </si>
  <si>
    <t xml:space="preserve">Naalaafushi </t>
  </si>
  <si>
    <t xml:space="preserve">Kolhufushi </t>
  </si>
  <si>
    <t xml:space="preserve">Dhiggaru </t>
  </si>
  <si>
    <t xml:space="preserve">Muli </t>
  </si>
  <si>
    <t xml:space="preserve">Feeali </t>
  </si>
  <si>
    <t xml:space="preserve">Bilehdhoo </t>
  </si>
  <si>
    <t xml:space="preserve">Dharanboodhoo </t>
  </si>
  <si>
    <t xml:space="preserve">Nilandhoo </t>
  </si>
  <si>
    <t xml:space="preserve">Kudahuvadhoo </t>
  </si>
  <si>
    <t xml:space="preserve">Bandidhoo </t>
  </si>
  <si>
    <t xml:space="preserve">Rinbudhoo </t>
  </si>
  <si>
    <t xml:space="preserve">Hulhudheli </t>
  </si>
  <si>
    <t xml:space="preserve">Maaenboodhoo </t>
  </si>
  <si>
    <t>Veymandoo Court</t>
  </si>
  <si>
    <t xml:space="preserve">Burnee </t>
  </si>
  <si>
    <t xml:space="preserve">Vilufushi </t>
  </si>
  <si>
    <t xml:space="preserve">Madifushi </t>
  </si>
  <si>
    <t xml:space="preserve">Dhiyamigili </t>
  </si>
  <si>
    <t xml:space="preserve">Kandoodhoo </t>
  </si>
  <si>
    <t xml:space="preserve">Vandhoo </t>
  </si>
  <si>
    <t xml:space="preserve">Hirilandhoo </t>
  </si>
  <si>
    <t xml:space="preserve">Gaadhiffushi </t>
  </si>
  <si>
    <t xml:space="preserve">Thimarafushi </t>
  </si>
  <si>
    <t xml:space="preserve">Kinbidhoo </t>
  </si>
  <si>
    <t xml:space="preserve">Hithadhoo </t>
  </si>
  <si>
    <t xml:space="preserve">Fonadhoo </t>
  </si>
  <si>
    <t xml:space="preserve">Kunahandhoo </t>
  </si>
  <si>
    <t xml:space="preserve">Maamendhoo </t>
  </si>
  <si>
    <t xml:space="preserve">Gaadhoo </t>
  </si>
  <si>
    <t xml:space="preserve">Maavashu </t>
  </si>
  <si>
    <t xml:space="preserve">Dhanbidhoo </t>
  </si>
  <si>
    <t xml:space="preserve">Maabaidhoo </t>
  </si>
  <si>
    <t xml:space="preserve">Mundoo </t>
  </si>
  <si>
    <t xml:space="preserve">Isdhoo </t>
  </si>
  <si>
    <t>Isdhoo /Kalaidhoo Avashu Section</t>
  </si>
  <si>
    <t>Gan /Mathimaradhoo Avashu Section</t>
  </si>
  <si>
    <t>Gan /Thundee Avashu Section</t>
  </si>
  <si>
    <t>Gan /Mukurimagu Section</t>
  </si>
  <si>
    <t xml:space="preserve">Vilingili </t>
  </si>
  <si>
    <t xml:space="preserve">Dhaandhoo </t>
  </si>
  <si>
    <t xml:space="preserve">Dhevvadhoo </t>
  </si>
  <si>
    <t xml:space="preserve">Kondey </t>
  </si>
  <si>
    <t xml:space="preserve">Gemanafushi </t>
  </si>
  <si>
    <t xml:space="preserve">Kanduhulhudhoo </t>
  </si>
  <si>
    <t xml:space="preserve">Kolamaafushi </t>
  </si>
  <si>
    <t xml:space="preserve">Madaveli </t>
  </si>
  <si>
    <t xml:space="preserve">Hoadehdhoo </t>
  </si>
  <si>
    <t xml:space="preserve">Nadehllaa </t>
  </si>
  <si>
    <t xml:space="preserve">Rathafandhoo </t>
  </si>
  <si>
    <t xml:space="preserve">Fiyoaree </t>
  </si>
  <si>
    <t xml:space="preserve">FaresMaathoda </t>
  </si>
  <si>
    <t xml:space="preserve">Vaadhoo </t>
  </si>
  <si>
    <t xml:space="preserve">Gadhdhoo </t>
  </si>
  <si>
    <t xml:space="preserve">Fuah Mulaku </t>
  </si>
  <si>
    <t xml:space="preserve">Maradhoo </t>
  </si>
  <si>
    <t xml:space="preserve">Maradhoo Feydhoo </t>
  </si>
  <si>
    <t xml:space="preserve">Feydhoo </t>
  </si>
  <si>
    <t xml:space="preserve">Hulhudhoo </t>
  </si>
  <si>
    <t>އަތޮޅޮތައް</t>
  </si>
  <si>
    <t>Marriage</t>
  </si>
  <si>
    <t>Divorce</t>
  </si>
  <si>
    <t>ކްރިމިނަލް މައްސަލަ</t>
  </si>
  <si>
    <t>ސިވިލް މައްސަލަ</t>
  </si>
  <si>
    <t>އާއިލީ މައްސަލަ</t>
  </si>
  <si>
    <t>ކައިވެނި</t>
  </si>
  <si>
    <t>ވަރި</t>
  </si>
  <si>
    <t xml:space="preserve">Marriage       </t>
  </si>
  <si>
    <t xml:space="preserve"> Divorce              </t>
  </si>
  <si>
    <t xml:space="preserve"> Republic</t>
  </si>
  <si>
    <t xml:space="preserve"> Male'</t>
  </si>
  <si>
    <t>ޖުވެނައިލް ކޯޓް</t>
  </si>
  <si>
    <t xml:space="preserve"> Atolls</t>
  </si>
  <si>
    <t>ކްރިމިނަލްކޯޓް</t>
  </si>
  <si>
    <t>ސިވިލް ކޯޓް</t>
  </si>
  <si>
    <t>ހުޅުމާލޭ ކޯޓް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</si>
  <si>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</si>
  <si>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</si>
  <si>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</si>
  <si>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</si>
  <si>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</si>
  <si>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</si>
  <si>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</si>
  <si>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</si>
  <si>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</si>
  <si>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</si>
  <si>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</si>
  <si>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</si>
  <si>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</si>
  <si>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</si>
  <si>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</si>
  <si>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</si>
  <si>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</si>
  <si>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</si>
  <si>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</si>
  <si>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</si>
  <si>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ތާވަލު 8.22: ހުށަހެޅުނު ޖިނާޢީ މައްސަލަތަކުގެ އަދަދު، 2007 - 2015</t>
  </si>
  <si>
    <t>Table 8.22: NUMBER OF CRIMINAL CASES FILED BY CATERGORIES, 2007 - 2015</t>
  </si>
  <si>
    <t>Type of cases</t>
  </si>
  <si>
    <t>Disobeying Lawful Order</t>
  </si>
  <si>
    <t xml:space="preserve">އަމުރަށް ނުކިޔަމަންތެރިވުން </t>
  </si>
  <si>
    <t>Traffic Violation</t>
  </si>
  <si>
    <t xml:space="preserve">ޓްރެފިކް </t>
  </si>
  <si>
    <t>Unlawful Assembly</t>
  </si>
  <si>
    <t>ޢައިރު ޤާނޫނީ އެއްވުން</t>
  </si>
  <si>
    <t>Supplying Drugs</t>
  </si>
  <si>
    <t>މަސްތުވާތަކެތި ވިއްކުން</t>
  </si>
  <si>
    <t>Theft (minor)</t>
  </si>
  <si>
    <t>ކުދި ވައްކަން</t>
  </si>
  <si>
    <t>Cheque Bounce</t>
  </si>
  <si>
    <t>ޗެކްބައުންސް</t>
  </si>
  <si>
    <t>Fornication</t>
  </si>
  <si>
    <t xml:space="preserve">ޒިނޭކުރުން </t>
  </si>
  <si>
    <t>Drug Abuse</t>
  </si>
  <si>
    <t xml:space="preserve">މަސްތުވާތަކެތި ބޭނުންކުރުން </t>
  </si>
  <si>
    <t>Others Criminal Cases</t>
  </si>
  <si>
    <t>އެހެނިހެން ޖިނާޢީ މައްސަލަތައް</t>
  </si>
  <si>
    <t>ތާވަލު 8.23: ހުށަހެޅުނު މަދަނީ މައްސަލަތަކުގެ ޢަދަދު، 2007 - 2015</t>
  </si>
  <si>
    <t>Table 8.23: NUMBER OF CIVIL CASES FILED BY CATERGORIES, 2007 - 2015</t>
  </si>
  <si>
    <t>Established Debt</t>
  </si>
  <si>
    <t>ސާބިތު ދަރަނި</t>
  </si>
  <si>
    <t>Endowment</t>
  </si>
  <si>
    <t>Separation of Property</t>
  </si>
  <si>
    <t>މުދާވަކިކުރުން</t>
  </si>
  <si>
    <t>Claims for damages</t>
  </si>
  <si>
    <t>ގެއްލުމުގެ ބަދަލު ހޯދުން</t>
  </si>
  <si>
    <t>Debt Enforcement</t>
  </si>
  <si>
    <t xml:space="preserve">ދަރަނި / ފައިސާ ހޯދުން </t>
  </si>
  <si>
    <t>Collection of Rent</t>
  </si>
  <si>
    <t>ކުލީ ފައިސާ ހޯދުން</t>
  </si>
  <si>
    <t>Breach of Agreement</t>
  </si>
  <si>
    <t xml:space="preserve">އެގްރީމަންޓާއިބެހޭ މައްސަލަތައް </t>
  </si>
  <si>
    <t>Lost and Found Propoerty</t>
  </si>
  <si>
    <t>ހޮވައިގެން ގެނެވޭ ތަކެތި</t>
  </si>
  <si>
    <t>Others Civil Cases</t>
  </si>
  <si>
    <t>އެހެނިހެން މަދަނީ މައްސަލަ</t>
  </si>
  <si>
    <t>ތާވަލު 8.28: ކޯޓުތަކުގައި ތިބި ފަނޑިޔާރުންގެ އަދަދު އަދި ކޯޓުތަކަށް ހިނގި ޚަރަދު، 2010 - 2015</t>
  </si>
  <si>
    <t>TABLE 8.28: JUDGES BY SEX AND FINANCIAL RESOURCES FOR COURTS , 2010 - 2015</t>
  </si>
  <si>
    <t>Category</t>
  </si>
  <si>
    <t>end year</t>
  </si>
  <si>
    <t>Total judges / Majistrates</t>
  </si>
  <si>
    <t>Total  Expenditure for Courts (million MVR)</t>
  </si>
  <si>
    <t>ކޯޓުތަކަށް ޖުމްލަ ޚަރަދުވި ވަރު (މިލިއަން ރުފިޔާ)</t>
  </si>
  <si>
    <t>Source:  Judicial Service Commission</t>
  </si>
  <si>
    <t>މަޢުލޫމާތު ދެއްވި ފަރާތް: ޖުޑީޝަލް ސަރވިސް ކޮމިޝަން</t>
  </si>
  <si>
    <t xml:space="preserve"> Department of Judicial Administration</t>
  </si>
  <si>
    <t xml:space="preserve">                 ޑިޕާޓްމަންޓް އޮފް ޖުޑިޝަލް އެޑްމިނިސްޓްރޭޝަން</t>
  </si>
  <si>
    <t>% share 2014</t>
  </si>
  <si>
    <t>% share of females</t>
  </si>
  <si>
    <t>Type of Cases</t>
  </si>
  <si>
    <t>ހުށައެޅުނު މައްސަލަތައް</t>
  </si>
  <si>
    <t>2012 ނިމުނު އިރު ހުރި ބާކީ Cases awaiting trial 2012</t>
  </si>
  <si>
    <t xml:space="preserve">2013 ގައި ހުށަހެޅުނު  Cases logged </t>
  </si>
  <si>
    <t>Cases logged trial including 2012</t>
  </si>
  <si>
    <t xml:space="preserve">2012 ވަނަ އަހަރުގެ ބާކީއާއެކު ޖުމުލަ ހުށަހެޅުނު </t>
  </si>
  <si>
    <t>2013 ގައި ނިމުނު  Cases dealt</t>
  </si>
  <si>
    <t>2012 ވަނަ އަހަރުގެ ބާކީ އާއެކު 2013 ގައި ނުނިމިހުރި ޖުމުލަ Cases awaiting trial including 2012</t>
  </si>
  <si>
    <t>2013 ނިމުނު އިރު ހުރި ބާކީ، Cases awaiting trial 2013</t>
  </si>
  <si>
    <t xml:space="preserve">2014 ގައި ހުށަހެޅުނު  Cases logged </t>
  </si>
  <si>
    <t>Cases logged trial including 2013</t>
  </si>
  <si>
    <t xml:space="preserve">2013 ވަނަ އަހަރުގެ ބާކީއާއެކު ޖުމުލަ ހުށަހެޅުނު </t>
  </si>
  <si>
    <t>2014 ގައި ނިމުނު  Cases dealt</t>
  </si>
  <si>
    <t>2013 ވަނަ އަހަރުގެ ބާކީ އާއެކު 2014 ގައި ނުނިމިހުރި ޖުމުލަ Cases awaiting trial including 2013</t>
  </si>
  <si>
    <t>2014 ނިމުނު އިރު ހުރި ބާކީ، Cases awaiting trial 2014</t>
  </si>
  <si>
    <t xml:space="preserve">2015 ގައި ހުށަހެޅުނު  Cases logged </t>
  </si>
  <si>
    <t>2015 ގައި ނިމުނު  Cases dealt</t>
  </si>
  <si>
    <t>No of cases appealed  by private individuals</t>
  </si>
  <si>
    <t>އިސްތިއުނާފްކުރުމަށް އަމިއްލަ ފަރާތްތަކުން ހުށަހެޅި މައްސަލަތަކުގެ އަދަދު  (ވަކިވަކި ފަރުދުން/ކުންފުނި/ކޮމިޝަން/ކައުންސިލްތައް)</t>
  </si>
  <si>
    <t>No of cases appealed by the state</t>
  </si>
  <si>
    <t xml:space="preserve"> udwdwa egukwtwlwscawmi LehwSuh cnutwluawd cSwmurukufWnuaitcsia</t>
  </si>
  <si>
    <t>No of cases re heare or reviewed by the high court</t>
  </si>
  <si>
    <t>udwdwa egukwtwlwscawm unuLehwSuh cSwrwhwfwnwved cSwTOkiawh</t>
  </si>
  <si>
    <t>No of cases filed on election offences</t>
  </si>
  <si>
    <t>udwdwa egukwtwlwscawm unuLehwSuh WvuawdeguSuk EhebWbWhitcnia</t>
  </si>
  <si>
    <t>No. of cases on Complains on elections</t>
  </si>
  <si>
    <t>އިންތިޚާބާއިބެހޭ ޝަކުވާގެ ދަޢުވާ ހުށަހެޅުނު މައްސަލަތަކުގެ އަދަދު</t>
  </si>
  <si>
    <t>No. of cases on Political parties</t>
  </si>
  <si>
    <t>ސިޔާސީ ޕާޓީތަކާބެހޭ ގޮތުން ހުށަހެޅުނު މައްސަލަތަކުގެ އަދަދު</t>
  </si>
  <si>
    <t>No of cases filed on constitutional issues</t>
  </si>
  <si>
    <r>
      <t>udwd</t>
    </r>
    <r>
      <rPr>
        <sz val="11"/>
        <rFont val="A_Reethi"/>
      </rPr>
      <t xml:space="preserve">އަ </t>
    </r>
    <r>
      <rPr>
        <sz val="11"/>
        <rFont val="A_Randhoo"/>
      </rPr>
      <t>egukwtwlwscawm IrUtcsud</t>
    </r>
  </si>
  <si>
    <t>Source: The High Court of the Republic of Maldives</t>
  </si>
  <si>
    <t>cTOkiawh egEjcaWrihevid :Ivcaed utWmUluAwm</t>
  </si>
  <si>
    <t xml:space="preserve">  </t>
  </si>
  <si>
    <t>* ހިބައިން ދިނުން</t>
  </si>
  <si>
    <t>18-34 އަހަރާއި ދެމެދު</t>
  </si>
  <si>
    <t>2015 - 2014 ,wlwscawm unuLehwSuh cSwTOkiawh : 8.19 ulwvWt</t>
  </si>
  <si>
    <t>Table  8.19:  CASES HANDLED BY THE HIGH COURT, 2014 - 2015</t>
  </si>
  <si>
    <t>N/A</t>
  </si>
  <si>
    <t>Note: N/A - Not Applicable</t>
  </si>
  <si>
    <t>Theft from  places (by forced  entry)</t>
  </si>
  <si>
    <t>Percenatge share 2015</t>
  </si>
  <si>
    <t>އިންސައްތަ 2015</t>
  </si>
  <si>
    <t xml:space="preserve">Percentage share </t>
  </si>
  <si>
    <t>&lt; 18 yrs</t>
  </si>
  <si>
    <t>18 - 34 yrs</t>
  </si>
  <si>
    <t>35 yrs  and above</t>
  </si>
  <si>
    <t>Cases logged trial including 2014</t>
  </si>
  <si>
    <t xml:space="preserve">2014 ވަނަ އަހަރުގެ ބާކީއާއެކު ޖުމުލަ ހުށަހެޅުނު </t>
  </si>
  <si>
    <t>2014 ވަނަ އަހަރުގެ ބާކީ އާއެކު 2015 ގައި ނުނިމިހުރި ޖުމުލަ Cases awaiting trial including 2014</t>
  </si>
  <si>
    <t>ޖިނާއީ މައްސަލަ</t>
  </si>
  <si>
    <t>މަދަނީ މައްސަލަ</t>
  </si>
  <si>
    <t xml:space="preserve">ތާވަލް 8.21: މާލެއާއި ރަށްރަށުގެ ކޯޓުތަކަށް ހުށައެޅިފައިވާ މައްސަލަތައް، 2014 -2015 </t>
  </si>
  <si>
    <t>Table 8.21: SUMMARY OF ALL NEW CASES FILED IN COURTS IN MALE' AND ATOLLS, 2014 - 2015</t>
  </si>
  <si>
    <t>ފެމިލީކޯޓް</t>
  </si>
  <si>
    <t>ނޯޓް: * ފެބްރުވަރީ މަހުން ފެށިގެން މި ކެޓަގަރީގެ މައްސަލަތަކަކީ އާއިލީ މައްސަލަތަކެއް ކަމުގައި ސުޕްރީމް ކޯޓުން ވަނީ ކަނޑައަޅުއްވާފައި. (މިބައިގައި މިވާ 82 މައްސަލައަކީ އާއިލީ މައްސަލަތަކެއް ކަމުގައި ސުޕްރީމް ކޯޓުން ކަނޑައެޅުމުގެ ކުރިން ކޯޓުތަކަށް ހުށަހެޅިފައިވާ މައްސަލަތަކެވެ.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</si>
</sst>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00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#,##0_);\-#,##0"/>
    <numFmt numFmtId="172" formatCode="0_);\(0\)"/>
  </numFmts>
  <fonts count="1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A_Randhoo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b/>
      <sz val="12"/>
      <name val="A_Randhoo"/>
    </font>
    <font>
      <b/>
      <sz val="10"/>
      <color rgb="FF000000"/>
      <name val="Arial"/>
      <family val="2"/>
    </font>
    <font>
      <sz val="10"/>
      <name val="Courier"/>
      <family val="3"/>
    </font>
    <font>
      <i/>
      <sz val="9"/>
      <name val="Arial"/>
      <family val="2"/>
    </font>
    <font>
      <sz val="11"/>
      <color theme="1"/>
      <name val="Faruma"/>
      <family val="3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Faruma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name val="P_Faruma"/>
    </font>
    <font>
      <sz val="10"/>
      <color rgb="FF000000"/>
      <name val="Faruma"/>
      <family val="3"/>
    </font>
    <font>
      <i/>
      <sz val="10"/>
      <color theme="1"/>
      <name val="Calibri"/>
      <family val="2"/>
      <scheme val="minor"/>
    </font>
    <font>
      <sz val="11"/>
      <color rgb="FFFF0000"/>
      <name val="Faruma"/>
      <family val="3"/>
    </font>
    <font>
      <b/>
      <sz val="11"/>
      <color theme="1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b/>
      <sz val="10"/>
      <name val="A_Utheem"/>
    </font>
    <font>
      <b/>
      <sz val="10"/>
      <color rgb="FF000000"/>
      <name val="Faruma"/>
      <family val="3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  <family val="3"/>
    </font>
    <font>
      <sz val="10"/>
      <name val="Faruma"/>
      <family val="3"/>
    </font>
    <font>
      <b/>
      <sz val="10"/>
      <name val="Faruma"/>
      <family val="3"/>
    </font>
    <font>
      <sz val="11"/>
      <color theme="1"/>
      <name val="Arial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9"/>
      <color theme="1"/>
      <name val="Faruma"/>
      <family val="3"/>
    </font>
    <font>
      <b/>
      <sz val="11"/>
      <color theme="1"/>
      <name val="Faruma"/>
      <family val="3"/>
    </font>
    <font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sz val="10"/>
      <color indexed="8"/>
      <name val="Faruma"/>
      <family val="3"/>
    </font>
    <font>
      <b/>
      <sz val="11"/>
      <name val="Faruma"/>
      <family val="3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Faruma"/>
      <family val="3"/>
    </font>
    <font>
      <b/>
      <sz val="12"/>
      <color rgb="FF000000"/>
      <name val="Calibri"/>
      <family val="2"/>
      <scheme val="minor"/>
    </font>
    <font>
      <i/>
      <sz val="8"/>
      <name val="Arial"/>
      <family val="2"/>
    </font>
    <font>
      <sz val="11"/>
      <color rgb="FF000000"/>
      <name val="Faruma"/>
      <family val="3"/>
    </font>
    <font>
      <b/>
      <sz val="15"/>
      <color theme="3"/>
      <name val="Arial Mäori"/>
      <family val="2"/>
    </font>
    <font>
      <b/>
      <sz val="12"/>
      <color theme="1"/>
      <name val="Faruma"/>
      <family val="3"/>
    </font>
    <font>
      <b/>
      <sz val="10"/>
      <color theme="1"/>
      <name val="Faruma"/>
      <family val="3"/>
    </font>
    <font>
      <b/>
      <sz val="10"/>
      <color rgb="FF000000"/>
      <name val="Faruma"/>
      <family val="3"/>
    </font>
    <font>
      <b/>
      <sz val="12"/>
      <color theme="1"/>
      <name val="Faruma"/>
      <family val="3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b/>
      <sz val="10"/>
      <name val="A_Ilham"/>
    </font>
    <font>
      <b/>
      <sz val="10"/>
      <color rgb="FFFF0000"/>
      <name val="Courier"/>
      <family val="3"/>
    </font>
    <font>
      <sz val="10"/>
      <name val="A_Ilham"/>
    </font>
    <font>
      <b/>
      <sz val="11"/>
      <name val="Faruma"/>
      <family val="3"/>
    </font>
    <font>
      <i/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2" tint="-0.499984740745262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Courier"/>
      <family val="3"/>
    </font>
    <font>
      <sz val="10"/>
      <color theme="1"/>
      <name val="Courier"/>
      <family val="3"/>
    </font>
    <font>
      <sz val="8"/>
      <color theme="1"/>
      <name val="A_Randhoo"/>
    </font>
    <font>
      <b/>
      <sz val="9.5"/>
      <color rgb="FF000000"/>
      <name val="Calibri"/>
      <family val="2"/>
      <scheme val="minor"/>
    </font>
    <font>
      <b/>
      <sz val="9"/>
      <color theme="1"/>
      <name val="Faruma"/>
      <family val="3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_Randho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Calibri"/>
      <family val="2"/>
      <scheme val="minor"/>
    </font>
    <font>
      <sz val="10"/>
      <color rgb="FFFF0000"/>
      <name val="Faruma"/>
      <family val="3"/>
    </font>
    <font>
      <sz val="8"/>
      <color rgb="FF000000"/>
      <name val="Faruma"/>
      <family val="3"/>
    </font>
    <font>
      <i/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1"/>
      <color theme="1"/>
      <name val="Faruma"/>
    </font>
    <font>
      <b/>
      <sz val="10"/>
      <color theme="1"/>
      <name val="Times New Roman"/>
      <family val="1"/>
      <charset val="204"/>
    </font>
    <font>
      <sz val="11"/>
      <color theme="1"/>
      <name val="Faruma"/>
    </font>
    <font>
      <sz val="10"/>
      <color theme="1"/>
      <name val="Faruma"/>
    </font>
    <font>
      <sz val="9"/>
      <color theme="1"/>
      <name val="Faruma"/>
    </font>
    <font>
      <b/>
      <sz val="11"/>
      <color indexed="8"/>
      <name val="Faruma"/>
    </font>
    <font>
      <b/>
      <sz val="11"/>
      <color indexed="8"/>
      <name val="Calibri"/>
      <family val="2"/>
      <scheme val="minor"/>
    </font>
    <font>
      <b/>
      <sz val="10"/>
      <color theme="1"/>
      <name val="Faruma"/>
    </font>
    <font>
      <b/>
      <sz val="12"/>
      <color indexed="8"/>
      <name val="Faruma"/>
    </font>
    <font>
      <sz val="11"/>
      <color indexed="8"/>
      <name val="Faruma"/>
    </font>
    <font>
      <sz val="10"/>
      <name val="Faruma"/>
    </font>
    <font>
      <b/>
      <sz val="11"/>
      <name val="Faruma"/>
    </font>
    <font>
      <b/>
      <sz val="11"/>
      <color rgb="FF000000"/>
      <name val="Faruma"/>
    </font>
    <font>
      <b/>
      <sz val="10"/>
      <color rgb="FF000000"/>
      <name val="Faruma"/>
    </font>
    <font>
      <sz val="9"/>
      <name val="Faruma"/>
    </font>
    <font>
      <b/>
      <sz val="11"/>
      <color rgb="FFFF0000"/>
      <name val="Calibri"/>
      <family val="2"/>
      <scheme val="minor"/>
    </font>
    <font>
      <b/>
      <sz val="11"/>
      <name val="A_Randhoo"/>
    </font>
    <font>
      <b/>
      <sz val="9"/>
      <name val="Calibri"/>
      <family val="2"/>
      <scheme val="minor"/>
    </font>
    <font>
      <b/>
      <sz val="9"/>
      <name val="Faruma"/>
    </font>
    <font>
      <sz val="9"/>
      <name val="Arial"/>
      <family val="2"/>
    </font>
    <font>
      <u/>
      <sz val="10"/>
      <color indexed="12"/>
      <name val="Courier"/>
      <family val="3"/>
    </font>
    <font>
      <b/>
      <sz val="9"/>
      <name val="Arial"/>
      <family val="2"/>
    </font>
    <font>
      <b/>
      <sz val="10"/>
      <color rgb="FFFF0000"/>
      <name val="Calibri"/>
      <family val="2"/>
      <scheme val="minor"/>
    </font>
    <font>
      <sz val="36"/>
      <color rgb="FFFF0000"/>
      <name val="Calibri"/>
      <family val="2"/>
      <scheme val="minor"/>
    </font>
    <font>
      <b/>
      <sz val="10"/>
      <name val="Faruma"/>
    </font>
    <font>
      <sz val="48"/>
      <color rgb="FFFF0000"/>
      <name val="Calibri"/>
      <family val="2"/>
      <scheme val="minor"/>
    </font>
    <font>
      <sz val="9"/>
      <color indexed="81"/>
      <name val="A_Faruma"/>
      <charset val="1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name val="Courier"/>
      <family val="3"/>
    </font>
    <font>
      <b/>
      <sz val="11"/>
      <color theme="1"/>
      <name val="Courier"/>
      <family val="3"/>
    </font>
    <font>
      <sz val="11"/>
      <name val="Courier"/>
      <family val="3"/>
    </font>
    <font>
      <sz val="11"/>
      <name val="A_Randhoo"/>
    </font>
    <font>
      <sz val="11"/>
      <name val="Faruma"/>
    </font>
    <font>
      <sz val="11"/>
      <name val="A_Reethi"/>
    </font>
    <font>
      <sz val="11"/>
      <color theme="1"/>
      <name val="Courier"/>
      <family val="3"/>
    </font>
    <font>
      <b/>
      <sz val="10"/>
      <name val="A_Reethi"/>
    </font>
    <font>
      <b/>
      <sz val="10"/>
      <name val="Arial"/>
      <family val="2"/>
    </font>
    <font>
      <sz val="10"/>
      <name val="A_Randhoo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11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hair">
        <color theme="1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9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hair">
        <color theme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theme="1"/>
      </bottom>
      <diagonal/>
    </border>
    <border>
      <left/>
      <right style="thin">
        <color indexed="9"/>
      </right>
      <top style="thin">
        <color indexed="9"/>
      </top>
      <bottom style="hair">
        <color theme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hair">
        <color theme="1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 style="hair">
        <color indexed="64"/>
      </right>
      <top style="thin">
        <color indexed="64"/>
      </top>
      <bottom style="hair">
        <color theme="1" tint="4.9989318521683403E-2"/>
      </bottom>
      <diagonal/>
    </border>
    <border>
      <left style="hair">
        <color indexed="64"/>
      </left>
      <right/>
      <top style="thin">
        <color indexed="64"/>
      </top>
      <bottom style="hair">
        <color theme="1" tint="4.9989318521683403E-2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9"/>
      </bottom>
      <diagonal/>
    </border>
    <border>
      <left style="hair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hair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hair">
        <color indexed="64"/>
      </right>
      <top style="thin">
        <color indexed="9"/>
      </top>
      <bottom style="thin">
        <color indexed="64"/>
      </bottom>
      <diagonal/>
    </border>
    <border>
      <left style="hair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165" fontId="22" fillId="0" borderId="0"/>
    <xf numFmtId="0" fontId="29" fillId="0" borderId="0"/>
    <xf numFmtId="0" fontId="61" fillId="0" borderId="41" applyNumberFormat="0" applyFill="0" applyAlignment="0" applyProtection="0"/>
    <xf numFmtId="0" fontId="29" fillId="0" borderId="0"/>
    <xf numFmtId="166" fontId="67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41" applyNumberFormat="0" applyFill="0" applyAlignment="0" applyProtection="0"/>
    <xf numFmtId="0" fontId="83" fillId="0" borderId="52" applyNumberFormat="0" applyFill="0" applyAlignment="0" applyProtection="0"/>
    <xf numFmtId="0" fontId="84" fillId="0" borderId="53" applyNumberFormat="0" applyFill="0" applyAlignment="0" applyProtection="0"/>
    <xf numFmtId="0" fontId="84" fillId="0" borderId="0" applyNumberFormat="0" applyFill="0" applyBorder="0" applyAlignment="0" applyProtection="0"/>
    <xf numFmtId="0" fontId="85" fillId="4" borderId="0" applyNumberFormat="0" applyBorder="0" applyAlignment="0" applyProtection="0"/>
    <xf numFmtId="0" fontId="86" fillId="5" borderId="0" applyNumberFormat="0" applyBorder="0" applyAlignment="0" applyProtection="0"/>
    <xf numFmtId="0" fontId="87" fillId="6" borderId="0" applyNumberFormat="0" applyBorder="0" applyAlignment="0" applyProtection="0"/>
    <xf numFmtId="0" fontId="88" fillId="7" borderId="54" applyNumberFormat="0" applyAlignment="0" applyProtection="0"/>
    <xf numFmtId="0" fontId="89" fillId="8" borderId="55" applyNumberFormat="0" applyAlignment="0" applyProtection="0"/>
    <xf numFmtId="0" fontId="90" fillId="8" borderId="54" applyNumberFormat="0" applyAlignment="0" applyProtection="0"/>
    <xf numFmtId="0" fontId="91" fillId="0" borderId="56" applyNumberFormat="0" applyFill="0" applyAlignment="0" applyProtection="0"/>
    <xf numFmtId="0" fontId="92" fillId="9" borderId="57" applyNumberFormat="0" applyAlignment="0" applyProtection="0"/>
    <xf numFmtId="0" fontId="73" fillId="0" borderId="0" applyNumberFormat="0" applyFill="0" applyBorder="0" applyAlignment="0" applyProtection="0"/>
    <xf numFmtId="0" fontId="1" fillId="10" borderId="58" applyNumberFormat="0" applyFont="0" applyAlignment="0" applyProtection="0"/>
    <xf numFmtId="0" fontId="93" fillId="0" borderId="0" applyNumberFormat="0" applyFill="0" applyBorder="0" applyAlignment="0" applyProtection="0"/>
    <xf numFmtId="0" fontId="2" fillId="0" borderId="59" applyNumberFormat="0" applyFill="0" applyAlignment="0" applyProtection="0"/>
    <xf numFmtId="0" fontId="9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94" fillId="14" borderId="0" applyNumberFormat="0" applyBorder="0" applyAlignment="0" applyProtection="0"/>
    <xf numFmtId="0" fontId="9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94" fillId="18" borderId="0" applyNumberFormat="0" applyBorder="0" applyAlignment="0" applyProtection="0"/>
    <xf numFmtId="0" fontId="9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94" fillId="22" borderId="0" applyNumberFormat="0" applyBorder="0" applyAlignment="0" applyProtection="0"/>
    <xf numFmtId="0" fontId="9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94" fillId="26" borderId="0" applyNumberFormat="0" applyBorder="0" applyAlignment="0" applyProtection="0"/>
    <xf numFmtId="0" fontId="9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94" fillId="30" borderId="0" applyNumberFormat="0" applyBorder="0" applyAlignment="0" applyProtection="0"/>
    <xf numFmtId="0" fontId="9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94" fillId="34" borderId="0" applyNumberFormat="0" applyBorder="0" applyAlignment="0" applyProtection="0"/>
    <xf numFmtId="0" fontId="1" fillId="0" borderId="0"/>
    <xf numFmtId="0" fontId="29" fillId="0" borderId="0"/>
    <xf numFmtId="0" fontId="123" fillId="0" borderId="0" applyNumberFormat="0" applyFill="0" applyBorder="0" applyAlignment="0" applyProtection="0">
      <alignment vertical="top"/>
      <protection locked="0"/>
    </xf>
  </cellStyleXfs>
  <cellXfs count="1059">
    <xf numFmtId="0" fontId="0" fillId="0" borderId="0" xfId="0"/>
    <xf numFmtId="164" fontId="8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5" fillId="2" borderId="0" xfId="0" applyNumberFormat="1" applyFont="1" applyFill="1"/>
    <xf numFmtId="164" fontId="12" fillId="2" borderId="6" xfId="0" applyNumberFormat="1" applyFont="1" applyFill="1" applyBorder="1" applyAlignment="1">
      <alignment horizontal="center" vertical="center" wrapText="1"/>
    </xf>
    <xf numFmtId="166" fontId="12" fillId="2" borderId="0" xfId="1" applyNumberFormat="1" applyFont="1" applyFill="1" applyBorder="1" applyAlignment="1">
      <alignment horizontal="center"/>
    </xf>
    <xf numFmtId="164" fontId="17" fillId="2" borderId="0" xfId="0" applyNumberFormat="1" applyFont="1" applyFill="1" applyBorder="1"/>
    <xf numFmtId="166" fontId="17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8" fillId="2" borderId="0" xfId="0" applyNumberFormat="1" applyFont="1" applyFill="1" applyBorder="1" applyAlignment="1" applyProtection="1">
      <alignment horizontal="right" vertical="center"/>
    </xf>
    <xf numFmtId="166" fontId="17" fillId="2" borderId="6" xfId="1" applyNumberFormat="1" applyFont="1" applyFill="1" applyBorder="1" applyAlignment="1">
      <alignment horizontal="center"/>
    </xf>
    <xf numFmtId="164" fontId="19" fillId="2" borderId="0" xfId="0" applyNumberFormat="1" applyFont="1" applyFill="1"/>
    <xf numFmtId="164" fontId="0" fillId="2" borderId="8" xfId="0" applyNumberFormat="1" applyFill="1" applyBorder="1"/>
    <xf numFmtId="0" fontId="5" fillId="2" borderId="8" xfId="2" applyNumberFormat="1" applyFont="1" applyFill="1" applyBorder="1" applyAlignment="1">
      <alignment horizontal="left" vertical="center"/>
    </xf>
    <xf numFmtId="0" fontId="5" fillId="2" borderId="11" xfId="2" applyNumberFormat="1" applyFont="1" applyFill="1" applyBorder="1" applyAlignment="1">
      <alignment horizontal="left" vertical="center"/>
    </xf>
    <xf numFmtId="0" fontId="24" fillId="2" borderId="8" xfId="0" applyNumberFormat="1" applyFont="1" applyFill="1" applyBorder="1"/>
    <xf numFmtId="0" fontId="24" fillId="2" borderId="7" xfId="0" applyNumberFormat="1" applyFont="1" applyFill="1" applyBorder="1"/>
    <xf numFmtId="0" fontId="24" fillId="2" borderId="0" xfId="0" applyNumberFormat="1" applyFont="1" applyFill="1"/>
    <xf numFmtId="0" fontId="5" fillId="2" borderId="8" xfId="0" applyNumberFormat="1" applyFont="1" applyFill="1" applyBorder="1"/>
    <xf numFmtId="0" fontId="5" fillId="2" borderId="0" xfId="0" applyNumberFormat="1" applyFont="1" applyFill="1"/>
    <xf numFmtId="0" fontId="25" fillId="2" borderId="9" xfId="0" applyNumberFormat="1" applyFont="1" applyFill="1" applyBorder="1"/>
    <xf numFmtId="0" fontId="25" fillId="2" borderId="15" xfId="0" applyNumberFormat="1" applyFont="1" applyFill="1" applyBorder="1" applyAlignment="1">
      <alignment horizontal="center" vertical="center"/>
    </xf>
    <xf numFmtId="0" fontId="25" fillId="2" borderId="8" xfId="0" applyNumberFormat="1" applyFont="1" applyFill="1" applyBorder="1"/>
    <xf numFmtId="0" fontId="25" fillId="2" borderId="0" xfId="0" applyNumberFormat="1" applyFont="1" applyFill="1"/>
    <xf numFmtId="0" fontId="28" fillId="2" borderId="8" xfId="0" applyNumberFormat="1" applyFont="1" applyFill="1" applyBorder="1" applyAlignment="1">
      <alignment horizontal="center" vertical="center"/>
    </xf>
    <xf numFmtId="0" fontId="28" fillId="2" borderId="0" xfId="0" applyNumberFormat="1" applyFont="1" applyFill="1" applyAlignment="1">
      <alignment horizontal="center" vertical="center"/>
    </xf>
    <xf numFmtId="0" fontId="28" fillId="2" borderId="8" xfId="0" applyNumberFormat="1" applyFont="1" applyFill="1" applyBorder="1"/>
    <xf numFmtId="0" fontId="28" fillId="2" borderId="0" xfId="0" applyNumberFormat="1" applyFont="1" applyFill="1"/>
    <xf numFmtId="3" fontId="28" fillId="2" borderId="7" xfId="1" applyNumberFormat="1" applyFont="1" applyFill="1" applyBorder="1" applyAlignment="1">
      <alignment horizontal="right" vertical="center"/>
    </xf>
    <xf numFmtId="0" fontId="30" fillId="2" borderId="0" xfId="3" applyFont="1" applyFill="1" applyBorder="1" applyAlignment="1">
      <alignment horizontal="right" vertical="center" wrapText="1"/>
    </xf>
    <xf numFmtId="0" fontId="25" fillId="2" borderId="0" xfId="0" applyNumberFormat="1" applyFont="1" applyFill="1" applyAlignment="1">
      <alignment vertical="center"/>
    </xf>
    <xf numFmtId="0" fontId="25" fillId="2" borderId="7" xfId="0" applyNumberFormat="1" applyFont="1" applyFill="1" applyBorder="1"/>
    <xf numFmtId="0" fontId="25" fillId="2" borderId="8" xfId="0" applyNumberFormat="1" applyFont="1" applyFill="1" applyBorder="1" applyAlignment="1">
      <alignment horizontal="center" vertical="center"/>
    </xf>
    <xf numFmtId="0" fontId="25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ont="1" applyFill="1"/>
    <xf numFmtId="164" fontId="11" fillId="2" borderId="10" xfId="0" applyNumberFormat="1" applyFont="1" applyFill="1" applyBorder="1" applyAlignment="1">
      <alignment horizontal="center" vertical="center" wrapText="1"/>
    </xf>
    <xf numFmtId="0" fontId="34" fillId="2" borderId="0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/>
    </xf>
    <xf numFmtId="3" fontId="0" fillId="2" borderId="0" xfId="0" applyNumberFormat="1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/>
    </xf>
    <xf numFmtId="0" fontId="31" fillId="2" borderId="0" xfId="0" applyNumberFormat="1" applyFont="1" applyFill="1" applyBorder="1" applyAlignment="1">
      <alignment vertical="center" wrapText="1"/>
    </xf>
    <xf numFmtId="0" fontId="32" fillId="2" borderId="0" xfId="0" applyNumberFormat="1" applyFont="1" applyFill="1" applyBorder="1" applyAlignment="1">
      <alignment vertical="top"/>
    </xf>
    <xf numFmtId="0" fontId="0" fillId="2" borderId="0" xfId="0" applyNumberFormat="1" applyFont="1" applyFill="1" applyBorder="1"/>
    <xf numFmtId="0" fontId="25" fillId="2" borderId="0" xfId="0" applyNumberFormat="1" applyFont="1" applyFill="1" applyBorder="1" applyAlignment="1">
      <alignment vertical="center"/>
    </xf>
    <xf numFmtId="1" fontId="0" fillId="2" borderId="0" xfId="0" applyNumberFormat="1" applyFont="1" applyFill="1"/>
    <xf numFmtId="1" fontId="0" fillId="2" borderId="0" xfId="0" applyNumberFormat="1" applyFont="1" applyFill="1" applyBorder="1" applyAlignment="1">
      <alignment horizontal="center" vertical="center"/>
    </xf>
    <xf numFmtId="0" fontId="5" fillId="2" borderId="6" xfId="0" applyNumberFormat="1" applyFont="1" applyFill="1" applyBorder="1"/>
    <xf numFmtId="0" fontId="28" fillId="2" borderId="0" xfId="0" applyNumberFormat="1" applyFont="1" applyFill="1" applyBorder="1" applyAlignment="1">
      <alignment horizontal="center" vertical="center"/>
    </xf>
    <xf numFmtId="0" fontId="36" fillId="2" borderId="0" xfId="0" applyNumberFormat="1" applyFont="1" applyFill="1"/>
    <xf numFmtId="0" fontId="28" fillId="2" borderId="0" xfId="0" applyNumberFormat="1" applyFont="1" applyFill="1" applyBorder="1" applyAlignment="1">
      <alignment horizontal="center" vertical="center" wrapText="1"/>
    </xf>
    <xf numFmtId="0" fontId="37" fillId="2" borderId="6" xfId="3" applyFont="1" applyFill="1" applyBorder="1" applyAlignment="1">
      <alignment horizontal="center" vertical="center" wrapText="1"/>
    </xf>
    <xf numFmtId="0" fontId="34" fillId="2" borderId="0" xfId="0" applyNumberFormat="1" applyFont="1" applyFill="1" applyBorder="1" applyAlignment="1">
      <alignment vertical="center"/>
    </xf>
    <xf numFmtId="164" fontId="21" fillId="2" borderId="15" xfId="0" applyNumberFormat="1" applyFont="1" applyFill="1" applyBorder="1" applyAlignment="1">
      <alignment horizontal="center"/>
    </xf>
    <xf numFmtId="164" fontId="38" fillId="2" borderId="5" xfId="0" applyNumberFormat="1" applyFont="1" applyFill="1" applyBorder="1" applyAlignment="1">
      <alignment horizontal="right" vertical="center"/>
    </xf>
    <xf numFmtId="0" fontId="27" fillId="2" borderId="0" xfId="0" applyNumberFormat="1" applyFont="1" applyFill="1" applyBorder="1" applyAlignment="1">
      <alignment vertical="center"/>
    </xf>
    <xf numFmtId="0" fontId="31" fillId="2" borderId="6" xfId="0" applyNumberFormat="1" applyFont="1" applyFill="1" applyBorder="1" applyAlignment="1">
      <alignment vertical="center" wrapText="1"/>
    </xf>
    <xf numFmtId="164" fontId="23" fillId="2" borderId="7" xfId="0" applyNumberFormat="1" applyFont="1" applyFill="1" applyBorder="1" applyAlignment="1" applyProtection="1">
      <alignment horizontal="center" vertical="center"/>
    </xf>
    <xf numFmtId="164" fontId="7" fillId="2" borderId="7" xfId="0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11" fillId="2" borderId="0" xfId="0" applyNumberFormat="1" applyFont="1" applyFill="1" applyBorder="1" applyAlignment="1"/>
    <xf numFmtId="164" fontId="21" fillId="2" borderId="0" xfId="0" applyNumberFormat="1" applyFont="1" applyFill="1" applyBorder="1" applyAlignment="1"/>
    <xf numFmtId="164" fontId="44" fillId="2" borderId="0" xfId="0" applyNumberFormat="1" applyFont="1" applyFill="1"/>
    <xf numFmtId="164" fontId="44" fillId="2" borderId="6" xfId="0" applyNumberFormat="1" applyFont="1" applyFill="1" applyBorder="1" applyAlignment="1">
      <alignment vertical="center"/>
    </xf>
    <xf numFmtId="164" fontId="44" fillId="2" borderId="6" xfId="0" applyNumberFormat="1" applyFont="1" applyFill="1" applyBorder="1"/>
    <xf numFmtId="164" fontId="44" fillId="2" borderId="0" xfId="0" applyNumberFormat="1" applyFont="1" applyFill="1" applyBorder="1"/>
    <xf numFmtId="164" fontId="43" fillId="2" borderId="6" xfId="0" applyNumberFormat="1" applyFont="1" applyFill="1" applyBorder="1" applyAlignment="1">
      <alignment horizontal="center" vertical="center"/>
    </xf>
    <xf numFmtId="0" fontId="25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/>
    <xf numFmtId="164" fontId="1" fillId="2" borderId="0" xfId="0" applyNumberFormat="1" applyFont="1" applyFill="1" applyBorder="1"/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0" fillId="2" borderId="0" xfId="0" applyNumberFormat="1" applyFill="1"/>
    <xf numFmtId="0" fontId="2" fillId="2" borderId="0" xfId="0" applyNumberFormat="1" applyFont="1" applyFill="1" applyBorder="1" applyAlignment="1"/>
    <xf numFmtId="164" fontId="22" fillId="2" borderId="0" xfId="0" applyNumberFormat="1" applyFont="1" applyFill="1"/>
    <xf numFmtId="164" fontId="45" fillId="2" borderId="0" xfId="0" applyNumberFormat="1" applyFont="1" applyFill="1"/>
    <xf numFmtId="0" fontId="0" fillId="2" borderId="0" xfId="0" applyNumberFormat="1" applyFill="1" applyBorder="1"/>
    <xf numFmtId="0" fontId="32" fillId="2" borderId="0" xfId="0" applyNumberFormat="1" applyFont="1" applyFill="1" applyBorder="1"/>
    <xf numFmtId="0" fontId="2" fillId="2" borderId="6" xfId="0" applyNumberFormat="1" applyFont="1" applyFill="1" applyBorder="1" applyAlignment="1">
      <alignment horizontal="right" vertical="center"/>
    </xf>
    <xf numFmtId="0" fontId="39" fillId="2" borderId="0" xfId="0" applyNumberFormat="1" applyFont="1" applyFill="1" applyBorder="1"/>
    <xf numFmtId="164" fontId="39" fillId="2" borderId="0" xfId="0" applyNumberFormat="1" applyFont="1" applyFill="1" applyBorder="1"/>
    <xf numFmtId="0" fontId="46" fillId="2" borderId="0" xfId="0" applyNumberFormat="1" applyFont="1" applyFill="1" applyBorder="1" applyAlignment="1">
      <alignment horizontal="left" vertical="center" indent="2"/>
    </xf>
    <xf numFmtId="0" fontId="31" fillId="2" borderId="0" xfId="0" applyNumberFormat="1" applyFont="1" applyFill="1" applyBorder="1" applyAlignment="1">
      <alignment horizontal="right" vertical="center" wrapText="1"/>
    </xf>
    <xf numFmtId="0" fontId="2" fillId="2" borderId="0" xfId="0" applyNumberFormat="1" applyFont="1" applyFill="1" applyBorder="1" applyAlignment="1">
      <alignment horizontal="center" vertical="center"/>
    </xf>
    <xf numFmtId="164" fontId="21" fillId="2" borderId="9" xfId="0" applyNumberFormat="1" applyFont="1" applyFill="1" applyBorder="1" applyAlignment="1">
      <alignment horizontal="center"/>
    </xf>
    <xf numFmtId="164" fontId="52" fillId="2" borderId="7" xfId="0" applyNumberFormat="1" applyFont="1" applyFill="1" applyBorder="1" applyAlignment="1" applyProtection="1">
      <alignment horizontal="right" vertical="center"/>
    </xf>
    <xf numFmtId="0" fontId="53" fillId="2" borderId="8" xfId="2" applyNumberFormat="1" applyFont="1" applyFill="1" applyBorder="1" applyAlignment="1">
      <alignment vertical="center"/>
    </xf>
    <xf numFmtId="0" fontId="53" fillId="2" borderId="11" xfId="2" applyNumberFormat="1" applyFont="1" applyFill="1" applyBorder="1" applyAlignment="1">
      <alignment vertical="center"/>
    </xf>
    <xf numFmtId="0" fontId="31" fillId="2" borderId="23" xfId="0" applyNumberFormat="1" applyFont="1" applyFill="1" applyBorder="1" applyAlignment="1">
      <alignment vertical="center"/>
    </xf>
    <xf numFmtId="3" fontId="28" fillId="2" borderId="0" xfId="0" applyNumberFormat="1" applyFont="1" applyFill="1" applyBorder="1" applyAlignment="1">
      <alignment horizontal="right" vertical="center"/>
    </xf>
    <xf numFmtId="0" fontId="0" fillId="2" borderId="6" xfId="0" applyNumberFormat="1" applyFont="1" applyFill="1" applyBorder="1" applyAlignment="1">
      <alignment horizontal="right"/>
    </xf>
    <xf numFmtId="164" fontId="11" fillId="2" borderId="10" xfId="0" applyNumberFormat="1" applyFont="1" applyFill="1" applyBorder="1" applyAlignment="1">
      <alignment horizontal="right" vertical="center" wrapText="1"/>
    </xf>
    <xf numFmtId="0" fontId="51" fillId="2" borderId="0" xfId="0" applyNumberFormat="1" applyFont="1" applyFill="1" applyBorder="1" applyAlignment="1">
      <alignment horizontal="left" vertical="center"/>
    </xf>
    <xf numFmtId="164" fontId="51" fillId="2" borderId="0" xfId="0" applyNumberFormat="1" applyFont="1" applyFill="1"/>
    <xf numFmtId="164" fontId="36" fillId="2" borderId="0" xfId="0" applyNumberFormat="1" applyFont="1" applyFill="1"/>
    <xf numFmtId="164" fontId="0" fillId="2" borderId="0" xfId="0" applyNumberFormat="1" applyFont="1" applyFill="1"/>
    <xf numFmtId="0" fontId="27" fillId="2" borderId="0" xfId="0" applyNumberFormat="1" applyFont="1" applyFill="1" applyBorder="1" applyAlignment="1">
      <alignment horizontal="center" vertical="center"/>
    </xf>
    <xf numFmtId="164" fontId="16" fillId="2" borderId="0" xfId="0" applyNumberFormat="1" applyFont="1" applyFill="1" applyBorder="1" applyAlignment="1" applyProtection="1">
      <alignment horizontal="right" vertical="center"/>
    </xf>
    <xf numFmtId="164" fontId="16" fillId="2" borderId="6" xfId="0" applyNumberFormat="1" applyFont="1" applyFill="1" applyBorder="1" applyAlignment="1" applyProtection="1">
      <alignment horizontal="right" vertical="center"/>
    </xf>
    <xf numFmtId="166" fontId="35" fillId="2" borderId="0" xfId="1" applyNumberFormat="1" applyFont="1" applyFill="1" applyBorder="1" applyAlignment="1">
      <alignment horizontal="center"/>
    </xf>
    <xf numFmtId="166" fontId="56" fillId="2" borderId="0" xfId="1" applyNumberFormat="1" applyFont="1" applyFill="1" applyBorder="1" applyAlignment="1">
      <alignment horizontal="center"/>
    </xf>
    <xf numFmtId="166" fontId="56" fillId="2" borderId="6" xfId="1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top"/>
    </xf>
    <xf numFmtId="164" fontId="0" fillId="2" borderId="0" xfId="0" applyNumberFormat="1" applyFill="1" applyAlignment="1">
      <alignment horizontal="center" vertical="top"/>
    </xf>
    <xf numFmtId="164" fontId="15" fillId="2" borderId="0" xfId="0" applyNumberFormat="1" applyFont="1" applyFill="1" applyAlignment="1">
      <alignment horizontal="center" vertical="top"/>
    </xf>
    <xf numFmtId="164" fontId="11" fillId="2" borderId="7" xfId="0" applyNumberFormat="1" applyFont="1" applyFill="1" applyBorder="1"/>
    <xf numFmtId="166" fontId="11" fillId="2" borderId="7" xfId="1" applyNumberFormat="1" applyFont="1" applyFill="1" applyBorder="1" applyAlignment="1">
      <alignment horizontal="right" vertical="center"/>
    </xf>
    <xf numFmtId="166" fontId="55" fillId="2" borderId="8" xfId="1" applyNumberFormat="1" applyFont="1" applyFill="1" applyBorder="1" applyAlignment="1">
      <alignment horizontal="right" vertical="center"/>
    </xf>
    <xf numFmtId="166" fontId="55" fillId="2" borderId="8" xfId="1" applyNumberFormat="1" applyFont="1" applyFill="1" applyBorder="1" applyAlignment="1" applyProtection="1">
      <alignment horizontal="right" vertical="center"/>
      <protection locked="0"/>
    </xf>
    <xf numFmtId="166" fontId="55" fillId="2" borderId="11" xfId="1" applyNumberFormat="1" applyFont="1" applyFill="1" applyBorder="1" applyAlignment="1">
      <alignment horizontal="right" vertical="center"/>
    </xf>
    <xf numFmtId="166" fontId="55" fillId="2" borderId="11" xfId="1" applyNumberFormat="1" applyFont="1" applyFill="1" applyBorder="1" applyAlignment="1" applyProtection="1">
      <alignment horizontal="right" vertical="center"/>
      <protection locked="0"/>
    </xf>
    <xf numFmtId="164" fontId="25" fillId="2" borderId="8" xfId="0" applyNumberFormat="1" applyFont="1" applyFill="1" applyBorder="1"/>
    <xf numFmtId="164" fontId="52" fillId="2" borderId="10" xfId="0" applyNumberFormat="1" applyFont="1" applyFill="1" applyBorder="1" applyAlignment="1" applyProtection="1">
      <alignment horizontal="right" vertical="center"/>
    </xf>
    <xf numFmtId="164" fontId="35" fillId="2" borderId="10" xfId="0" applyNumberFormat="1" applyFont="1" applyFill="1" applyBorder="1" applyAlignment="1">
      <alignment horizontal="right" vertical="center"/>
    </xf>
    <xf numFmtId="164" fontId="35" fillId="2" borderId="10" xfId="0" applyNumberFormat="1" applyFont="1" applyFill="1" applyBorder="1" applyAlignment="1">
      <alignment vertical="center"/>
    </xf>
    <xf numFmtId="164" fontId="0" fillId="2" borderId="8" xfId="0" applyNumberFormat="1" applyFill="1" applyBorder="1" applyAlignment="1">
      <alignment vertical="top"/>
    </xf>
    <xf numFmtId="164" fontId="9" fillId="2" borderId="1" xfId="0" applyNumberFormat="1" applyFont="1" applyFill="1" applyBorder="1" applyAlignment="1">
      <alignment horizontal="right" vertical="top"/>
    </xf>
    <xf numFmtId="0" fontId="2" fillId="2" borderId="8" xfId="0" applyNumberFormat="1" applyFont="1" applyFill="1" applyBorder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25" fillId="2" borderId="8" xfId="0" applyNumberFormat="1" applyFont="1" applyFill="1" applyBorder="1" applyAlignment="1">
      <alignment vertical="top"/>
    </xf>
    <xf numFmtId="0" fontId="25" fillId="2" borderId="0" xfId="0" applyNumberFormat="1" applyFont="1" applyFill="1" applyAlignment="1">
      <alignment vertical="top"/>
    </xf>
    <xf numFmtId="0" fontId="2" fillId="2" borderId="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50" fillId="2" borderId="0" xfId="0" applyNumberFormat="1" applyFont="1" applyFill="1" applyBorder="1" applyAlignment="1">
      <alignment vertical="top"/>
    </xf>
    <xf numFmtId="0" fontId="7" fillId="2" borderId="0" xfId="0" applyNumberFormat="1" applyFont="1" applyFill="1" applyBorder="1" applyAlignment="1">
      <alignment vertical="top"/>
    </xf>
    <xf numFmtId="0" fontId="39" fillId="2" borderId="0" xfId="0" applyNumberFormat="1" applyFont="1" applyFill="1" applyBorder="1" applyAlignment="1">
      <alignment vertical="top"/>
    </xf>
    <xf numFmtId="164" fontId="39" fillId="2" borderId="0" xfId="0" applyNumberFormat="1" applyFont="1" applyFill="1" applyBorder="1" applyAlignment="1">
      <alignment vertical="top"/>
    </xf>
    <xf numFmtId="170" fontId="51" fillId="2" borderId="0" xfId="1" applyNumberFormat="1" applyFont="1" applyFill="1" applyBorder="1" applyAlignment="1">
      <alignment horizontal="right" vertical="center"/>
    </xf>
    <xf numFmtId="170" fontId="45" fillId="2" borderId="0" xfId="1" applyNumberFormat="1" applyFont="1" applyFill="1" applyBorder="1" applyAlignment="1">
      <alignment horizontal="right" vertical="center"/>
    </xf>
    <xf numFmtId="3" fontId="28" fillId="2" borderId="5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left" vertical="center"/>
    </xf>
    <xf numFmtId="166" fontId="35" fillId="2" borderId="0" xfId="1" applyNumberFormat="1" applyFont="1" applyFill="1" applyBorder="1" applyAlignment="1" applyProtection="1">
      <alignment horizontal="right" vertical="center"/>
      <protection locked="0"/>
    </xf>
    <xf numFmtId="164" fontId="11" fillId="2" borderId="0" xfId="0" applyNumberFormat="1" applyFont="1" applyFill="1" applyBorder="1" applyAlignment="1">
      <alignment vertical="center"/>
    </xf>
    <xf numFmtId="164" fontId="55" fillId="2" borderId="0" xfId="0" applyNumberFormat="1" applyFont="1" applyFill="1" applyBorder="1" applyAlignment="1">
      <alignment vertical="center"/>
    </xf>
    <xf numFmtId="164" fontId="55" fillId="2" borderId="6" xfId="0" applyNumberFormat="1" applyFont="1" applyFill="1" applyBorder="1" applyAlignment="1">
      <alignment vertical="center"/>
    </xf>
    <xf numFmtId="164" fontId="59" fillId="2" borderId="7" xfId="0" applyNumberFormat="1" applyFont="1" applyFill="1" applyBorder="1" applyAlignment="1" applyProtection="1">
      <alignment vertical="top"/>
    </xf>
    <xf numFmtId="0" fontId="28" fillId="2" borderId="7" xfId="0" applyNumberFormat="1" applyFont="1" applyFill="1" applyBorder="1" applyAlignment="1">
      <alignment horizontal="left" vertical="center"/>
    </xf>
    <xf numFmtId="0" fontId="25" fillId="2" borderId="8" xfId="0" applyNumberFormat="1" applyFont="1" applyFill="1" applyBorder="1" applyAlignment="1">
      <alignment horizontal="left" vertical="center"/>
    </xf>
    <xf numFmtId="0" fontId="25" fillId="2" borderId="8" xfId="0" applyNumberFormat="1" applyFont="1" applyFill="1" applyBorder="1" applyAlignment="1">
      <alignment horizontal="left" vertical="center" wrapText="1"/>
    </xf>
    <xf numFmtId="0" fontId="25" fillId="2" borderId="11" xfId="0" applyNumberFormat="1" applyFont="1" applyFill="1" applyBorder="1" applyAlignment="1">
      <alignment horizontal="left" vertical="center"/>
    </xf>
    <xf numFmtId="0" fontId="60" fillId="2" borderId="0" xfId="0" applyNumberFormat="1" applyFont="1" applyFill="1" applyBorder="1" applyAlignment="1">
      <alignment horizontal="right" vertical="center" wrapText="1"/>
    </xf>
    <xf numFmtId="0" fontId="60" fillId="2" borderId="31" xfId="0" applyNumberFormat="1" applyFont="1" applyFill="1" applyBorder="1" applyAlignment="1">
      <alignment horizontal="right" vertical="center" wrapText="1"/>
    </xf>
    <xf numFmtId="166" fontId="2" fillId="2" borderId="0" xfId="1" applyNumberFormat="1" applyFont="1" applyFill="1" applyBorder="1" applyAlignment="1">
      <alignment horizontal="right" vertical="center"/>
    </xf>
    <xf numFmtId="0" fontId="0" fillId="2" borderId="0" xfId="0" applyNumberFormat="1" applyFont="1" applyFill="1" applyBorder="1" applyAlignment="1">
      <alignment horizontal="left" vertical="center"/>
    </xf>
    <xf numFmtId="166" fontId="0" fillId="2" borderId="0" xfId="1" applyNumberFormat="1" applyFont="1" applyFill="1" applyBorder="1" applyAlignment="1">
      <alignment horizontal="right" vertical="center"/>
    </xf>
    <xf numFmtId="0" fontId="0" fillId="2" borderId="6" xfId="0" applyNumberFormat="1" applyFont="1" applyFill="1" applyBorder="1" applyAlignment="1">
      <alignment horizontal="left" vertical="center"/>
    </xf>
    <xf numFmtId="166" fontId="0" fillId="2" borderId="6" xfId="1" applyNumberFormat="1" applyFont="1" applyFill="1" applyBorder="1" applyAlignment="1">
      <alignment horizontal="right" vertical="center"/>
    </xf>
    <xf numFmtId="0" fontId="60" fillId="2" borderId="6" xfId="0" applyNumberFormat="1" applyFont="1" applyFill="1" applyBorder="1" applyAlignment="1">
      <alignment horizontal="right" vertical="center" wrapText="1"/>
    </xf>
    <xf numFmtId="0" fontId="31" fillId="2" borderId="12" xfId="0" applyNumberFormat="1" applyFont="1" applyFill="1" applyBorder="1" applyAlignment="1">
      <alignment vertical="top"/>
    </xf>
    <xf numFmtId="164" fontId="49" fillId="2" borderId="0" xfId="0" applyNumberFormat="1" applyFont="1" applyFill="1" applyBorder="1" applyAlignment="1"/>
    <xf numFmtId="0" fontId="36" fillId="2" borderId="0" xfId="0" applyNumberFormat="1" applyFont="1" applyFill="1" applyAlignment="1">
      <alignment vertical="center"/>
    </xf>
    <xf numFmtId="0" fontId="0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Alignment="1">
      <alignment vertical="center"/>
    </xf>
    <xf numFmtId="3" fontId="36" fillId="2" borderId="0" xfId="0" applyNumberFormat="1" applyFont="1" applyFill="1" applyAlignment="1">
      <alignment vertical="center"/>
    </xf>
    <xf numFmtId="0" fontId="22" fillId="2" borderId="0" xfId="0" applyNumberFormat="1" applyFont="1" applyFill="1" applyAlignment="1">
      <alignment vertical="center"/>
    </xf>
    <xf numFmtId="3" fontId="0" fillId="2" borderId="0" xfId="0" applyNumberFormat="1" applyFont="1" applyFill="1" applyAlignment="1">
      <alignment vertical="center"/>
    </xf>
    <xf numFmtId="0" fontId="0" fillId="2" borderId="6" xfId="0" applyNumberFormat="1" applyFont="1" applyFill="1" applyBorder="1" applyAlignment="1">
      <alignment vertical="center"/>
    </xf>
    <xf numFmtId="0" fontId="31" fillId="2" borderId="6" xfId="0" applyNumberFormat="1" applyFont="1" applyFill="1" applyBorder="1" applyAlignment="1">
      <alignment vertical="top"/>
    </xf>
    <xf numFmtId="0" fontId="64" fillId="2" borderId="12" xfId="0" applyNumberFormat="1" applyFont="1" applyFill="1" applyBorder="1" applyAlignment="1">
      <alignment vertical="top"/>
    </xf>
    <xf numFmtId="170" fontId="0" fillId="2" borderId="0" xfId="1" applyNumberFormat="1" applyFont="1" applyFill="1"/>
    <xf numFmtId="164" fontId="9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43" xfId="0" applyNumberFormat="1" applyFont="1" applyFill="1" applyBorder="1" applyAlignment="1">
      <alignment horizontal="center" vertical="center"/>
    </xf>
    <xf numFmtId="0" fontId="5" fillId="2" borderId="43" xfId="0" applyNumberFormat="1" applyFont="1" applyFill="1" applyBorder="1" applyAlignment="1">
      <alignment horizontal="left" vertical="center" wrapText="1"/>
    </xf>
    <xf numFmtId="3" fontId="5" fillId="2" borderId="43" xfId="1" applyNumberFormat="1" applyFont="1" applyFill="1" applyBorder="1" applyAlignment="1"/>
    <xf numFmtId="3" fontId="3" fillId="2" borderId="43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40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2" fillId="2" borderId="0" xfId="0" applyNumberFormat="1" applyFont="1" applyFill="1"/>
    <xf numFmtId="164" fontId="35" fillId="2" borderId="44" xfId="0" applyNumberFormat="1" applyFont="1" applyFill="1" applyBorder="1" applyAlignment="1">
      <alignment horizontal="right" vertical="center"/>
    </xf>
    <xf numFmtId="164" fontId="38" fillId="2" borderId="34" xfId="0" applyNumberFormat="1" applyFont="1" applyFill="1" applyBorder="1" applyAlignment="1">
      <alignment horizontal="right" vertical="center"/>
    </xf>
    <xf numFmtId="164" fontId="35" fillId="2" borderId="45" xfId="0" applyNumberFormat="1" applyFont="1" applyFill="1" applyBorder="1" applyAlignment="1">
      <alignment horizontal="right" vertical="center"/>
    </xf>
    <xf numFmtId="166" fontId="51" fillId="2" borderId="39" xfId="1" applyNumberFormat="1" applyFont="1" applyFill="1" applyBorder="1" applyAlignment="1">
      <alignment horizontal="right" vertical="center"/>
    </xf>
    <xf numFmtId="166" fontId="45" fillId="2" borderId="39" xfId="1" applyNumberFormat="1" applyFont="1" applyFill="1" applyBorder="1" applyAlignment="1">
      <alignment horizontal="right" vertical="center"/>
    </xf>
    <xf numFmtId="3" fontId="45" fillId="2" borderId="39" xfId="1" applyNumberFormat="1" applyFont="1" applyFill="1" applyBorder="1" applyAlignment="1">
      <alignment horizontal="right" vertical="center"/>
    </xf>
    <xf numFmtId="166" fontId="45" fillId="2" borderId="35" xfId="1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center" vertical="center"/>
    </xf>
    <xf numFmtId="166" fontId="3" fillId="2" borderId="1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6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7" xfId="0" applyNumberFormat="1" applyFont="1" applyFill="1" applyBorder="1" applyAlignment="1" applyProtection="1">
      <alignment horizontal="right" vertical="center"/>
    </xf>
    <xf numFmtId="164" fontId="7" fillId="2" borderId="0" xfId="0" applyNumberFormat="1" applyFont="1" applyFill="1"/>
    <xf numFmtId="3" fontId="3" fillId="2" borderId="0" xfId="1" applyNumberFormat="1" applyFont="1" applyFill="1" applyBorder="1" applyAlignment="1">
      <alignment horizontal="right" vertical="center"/>
    </xf>
    <xf numFmtId="166" fontId="11" fillId="2" borderId="0" xfId="1" applyNumberFormat="1" applyFont="1" applyFill="1" applyBorder="1" applyAlignment="1">
      <alignment horizontal="right" vertical="center"/>
    </xf>
    <xf numFmtId="166" fontId="55" fillId="2" borderId="0" xfId="1" applyNumberFormat="1" applyFont="1" applyFill="1" applyBorder="1" applyAlignment="1">
      <alignment horizontal="right" vertical="center"/>
    </xf>
    <xf numFmtId="3" fontId="25" fillId="2" borderId="0" xfId="0" applyNumberFormat="1" applyFont="1" applyFill="1" applyBorder="1" applyAlignment="1">
      <alignment horizontal="right" vertical="center"/>
    </xf>
    <xf numFmtId="3" fontId="25" fillId="2" borderId="0" xfId="1" applyNumberFormat="1" applyFont="1" applyFill="1" applyBorder="1" applyAlignment="1">
      <alignment horizontal="right" vertical="center"/>
    </xf>
    <xf numFmtId="3" fontId="25" fillId="2" borderId="6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 applyAlignment="1">
      <alignment horizontal="center" vertical="center" wrapText="1"/>
    </xf>
    <xf numFmtId="164" fontId="12" fillId="2" borderId="6" xfId="0" applyNumberFormat="1" applyFont="1" applyFill="1" applyBorder="1" applyAlignment="1">
      <alignment horizontal="right" vertical="center" wrapText="1"/>
    </xf>
    <xf numFmtId="164" fontId="36" fillId="2" borderId="0" xfId="0" applyNumberFormat="1" applyFont="1" applyFill="1" applyAlignment="1">
      <alignment vertical="center"/>
    </xf>
    <xf numFmtId="164" fontId="69" fillId="2" borderId="0" xfId="0" applyNumberFormat="1" applyFont="1" applyFill="1" applyAlignment="1">
      <alignment vertical="center"/>
    </xf>
    <xf numFmtId="166" fontId="55" fillId="2" borderId="0" xfId="1" applyNumberFormat="1" applyFont="1" applyFill="1" applyBorder="1" applyAlignment="1">
      <alignment horizontal="center" vertical="center"/>
    </xf>
    <xf numFmtId="164" fontId="22" fillId="2" borderId="0" xfId="0" applyNumberFormat="1" applyFont="1" applyFill="1" applyAlignment="1">
      <alignment vertical="center"/>
    </xf>
    <xf numFmtId="164" fontId="15" fillId="2" borderId="0" xfId="0" applyNumberFormat="1" applyFont="1" applyFill="1" applyAlignment="1">
      <alignment vertical="center"/>
    </xf>
    <xf numFmtId="166" fontId="55" fillId="2" borderId="6" xfId="1" applyNumberFormat="1" applyFont="1" applyFill="1" applyBorder="1" applyAlignment="1">
      <alignment horizontal="center" vertical="center"/>
    </xf>
    <xf numFmtId="164" fontId="38" fillId="2" borderId="5" xfId="0" applyNumberFormat="1" applyFont="1" applyFill="1" applyBorder="1" applyAlignment="1">
      <alignment horizontal="right" vertical="center" wrapText="1"/>
    </xf>
    <xf numFmtId="164" fontId="38" fillId="2" borderId="34" xfId="0" applyNumberFormat="1" applyFont="1" applyFill="1" applyBorder="1" applyAlignment="1">
      <alignment horizontal="right" vertical="center" wrapText="1"/>
    </xf>
    <xf numFmtId="164" fontId="11" fillId="2" borderId="35" xfId="0" applyNumberFormat="1" applyFont="1" applyFill="1" applyBorder="1" applyAlignment="1">
      <alignment horizontal="right" vertical="center" wrapText="1"/>
    </xf>
    <xf numFmtId="164" fontId="11" fillId="2" borderId="36" xfId="0" applyNumberFormat="1" applyFont="1" applyFill="1" applyBorder="1" applyAlignment="1">
      <alignment horizontal="right" vertical="center" wrapText="1"/>
    </xf>
    <xf numFmtId="164" fontId="69" fillId="2" borderId="0" xfId="0" applyNumberFormat="1" applyFont="1" applyFill="1"/>
    <xf numFmtId="164" fontId="42" fillId="2" borderId="0" xfId="0" applyNumberFormat="1" applyFont="1" applyFill="1" applyBorder="1" applyAlignment="1" applyProtection="1">
      <alignment horizontal="right" vertical="center"/>
    </xf>
    <xf numFmtId="164" fontId="72" fillId="2" borderId="0" xfId="0" applyNumberFormat="1" applyFont="1" applyFill="1" applyBorder="1" applyAlignment="1">
      <alignment horizontal="left" vertical="center" indent="1"/>
    </xf>
    <xf numFmtId="164" fontId="42" fillId="2" borderId="0" xfId="0" applyNumberFormat="1" applyFont="1" applyFill="1" applyBorder="1" applyAlignment="1" applyProtection="1">
      <alignment horizontal="right" vertical="center" indent="1"/>
    </xf>
    <xf numFmtId="164" fontId="40" fillId="2" borderId="6" xfId="0" applyNumberFormat="1" applyFont="1" applyFill="1" applyBorder="1" applyAlignment="1">
      <alignment horizontal="left" vertical="center" indent="1"/>
    </xf>
    <xf numFmtId="164" fontId="42" fillId="2" borderId="6" xfId="0" applyNumberFormat="1" applyFont="1" applyFill="1" applyBorder="1" applyAlignment="1" applyProtection="1">
      <alignment horizontal="right" vertical="center" indent="1"/>
    </xf>
    <xf numFmtId="164" fontId="55" fillId="2" borderId="0" xfId="0" applyNumberFormat="1" applyFont="1" applyFill="1" applyBorder="1"/>
    <xf numFmtId="164" fontId="64" fillId="2" borderId="33" xfId="0" applyNumberFormat="1" applyFont="1" applyFill="1" applyBorder="1" applyAlignment="1">
      <alignment horizontal="right" vertical="center" wrapText="1"/>
    </xf>
    <xf numFmtId="164" fontId="68" fillId="2" borderId="33" xfId="0" applyNumberFormat="1" applyFont="1" applyFill="1" applyBorder="1" applyAlignment="1">
      <alignment horizontal="right" vertical="center"/>
    </xf>
    <xf numFmtId="164" fontId="43" fillId="2" borderId="5" xfId="0" applyNumberFormat="1" applyFont="1" applyFill="1" applyBorder="1" applyAlignment="1" applyProtection="1">
      <alignment horizontal="right" vertical="center"/>
    </xf>
    <xf numFmtId="164" fontId="8" fillId="2" borderId="0" xfId="0" applyNumberFormat="1" applyFont="1" applyFill="1" applyBorder="1" applyAlignment="1" applyProtection="1">
      <alignment vertical="center"/>
    </xf>
    <xf numFmtId="164" fontId="13" fillId="2" borderId="0" xfId="0" applyNumberFormat="1" applyFont="1" applyFill="1" applyBorder="1" applyAlignment="1">
      <alignment horizontal="center" vertical="top" wrapText="1"/>
    </xf>
    <xf numFmtId="3" fontId="3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right" vertical="center"/>
    </xf>
    <xf numFmtId="3" fontId="5" fillId="2" borderId="6" xfId="0" applyNumberFormat="1" applyFont="1" applyFill="1" applyBorder="1" applyAlignment="1">
      <alignment horizontal="center" vertical="center"/>
    </xf>
    <xf numFmtId="164" fontId="11" fillId="2" borderId="5" xfId="0" applyNumberFormat="1" applyFont="1" applyFill="1" applyBorder="1" applyAlignment="1">
      <alignment horizontal="center" vertical="top"/>
    </xf>
    <xf numFmtId="164" fontId="41" fillId="2" borderId="0" xfId="0" applyNumberFormat="1" applyFont="1" applyFill="1" applyBorder="1" applyAlignment="1" applyProtection="1">
      <alignment horizontal="right" vertical="center"/>
    </xf>
    <xf numFmtId="164" fontId="55" fillId="2" borderId="0" xfId="0" applyNumberFormat="1" applyFont="1" applyFill="1" applyBorder="1" applyAlignment="1">
      <alignment horizontal="left" vertical="center" indent="1"/>
    </xf>
    <xf numFmtId="164" fontId="43" fillId="2" borderId="0" xfId="0" applyNumberFormat="1" applyFont="1" applyFill="1" applyBorder="1" applyAlignment="1" applyProtection="1">
      <alignment horizontal="right" vertical="center"/>
    </xf>
    <xf numFmtId="3" fontId="11" fillId="2" borderId="0" xfId="1" applyNumberFormat="1" applyFont="1" applyFill="1" applyBorder="1" applyAlignment="1">
      <alignment horizontal="right" vertical="center"/>
    </xf>
    <xf numFmtId="164" fontId="11" fillId="2" borderId="6" xfId="0" applyNumberFormat="1" applyFont="1" applyFill="1" applyBorder="1" applyAlignment="1">
      <alignment vertical="center"/>
    </xf>
    <xf numFmtId="3" fontId="11" fillId="2" borderId="6" xfId="1" applyNumberFormat="1" applyFont="1" applyFill="1" applyBorder="1" applyAlignment="1">
      <alignment horizontal="right" vertical="center"/>
    </xf>
    <xf numFmtId="164" fontId="41" fillId="2" borderId="6" xfId="0" applyNumberFormat="1" applyFont="1" applyFill="1" applyBorder="1" applyAlignment="1" applyProtection="1">
      <alignment horizontal="right" vertical="center"/>
    </xf>
    <xf numFmtId="164" fontId="11" fillId="2" borderId="5" xfId="0" applyNumberFormat="1" applyFont="1" applyFill="1" applyBorder="1"/>
    <xf numFmtId="3" fontId="3" fillId="2" borderId="5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52" fillId="2" borderId="24" xfId="0" applyNumberFormat="1" applyFont="1" applyFill="1" applyBorder="1" applyAlignment="1" applyProtection="1">
      <alignment horizontal="right" vertical="center"/>
    </xf>
    <xf numFmtId="164" fontId="55" fillId="2" borderId="6" xfId="0" applyNumberFormat="1" applyFont="1" applyFill="1" applyBorder="1"/>
    <xf numFmtId="3" fontId="4" fillId="2" borderId="0" xfId="0" applyNumberFormat="1" applyFont="1" applyFill="1" applyAlignment="1">
      <alignment horizontal="right" vertical="center" indent="2"/>
    </xf>
    <xf numFmtId="1" fontId="3" fillId="2" borderId="5" xfId="0" applyNumberFormat="1" applyFont="1" applyFill="1" applyBorder="1" applyAlignment="1">
      <alignment horizontal="right" vertical="center" indent="5"/>
    </xf>
    <xf numFmtId="3" fontId="28" fillId="2" borderId="0" xfId="1" applyNumberFormat="1" applyFont="1" applyFill="1" applyBorder="1" applyAlignment="1">
      <alignment horizontal="right" vertical="center"/>
    </xf>
    <xf numFmtId="3" fontId="25" fillId="2" borderId="6" xfId="1" applyNumberFormat="1" applyFont="1" applyFill="1" applyBorder="1" applyAlignment="1">
      <alignment horizontal="right" vertical="center"/>
    </xf>
    <xf numFmtId="0" fontId="28" fillId="2" borderId="0" xfId="0" applyNumberFormat="1" applyFont="1" applyFill="1" applyBorder="1" applyAlignment="1">
      <alignment horizontal="left" vertical="center"/>
    </xf>
    <xf numFmtId="0" fontId="63" fillId="2" borderId="0" xfId="0" applyNumberFormat="1" applyFont="1" applyFill="1" applyBorder="1" applyAlignment="1">
      <alignment horizontal="right" vertical="center"/>
    </xf>
    <xf numFmtId="0" fontId="25" fillId="2" borderId="0" xfId="0" applyNumberFormat="1" applyFont="1" applyFill="1" applyBorder="1" applyAlignment="1">
      <alignment horizontal="left" vertical="center"/>
    </xf>
    <xf numFmtId="164" fontId="57" fillId="2" borderId="0" xfId="0" applyNumberFormat="1" applyFont="1" applyFill="1" applyBorder="1"/>
    <xf numFmtId="0" fontId="5" fillId="2" borderId="0" xfId="0" applyNumberFormat="1" applyFont="1" applyFill="1" applyBorder="1" applyAlignment="1">
      <alignment horizontal="left" vertical="center"/>
    </xf>
    <xf numFmtId="0" fontId="5" fillId="2" borderId="6" xfId="0" applyNumberFormat="1" applyFont="1" applyFill="1" applyBorder="1" applyAlignment="1">
      <alignment horizontal="left" vertical="center"/>
    </xf>
    <xf numFmtId="164" fontId="57" fillId="2" borderId="6" xfId="0" applyNumberFormat="1" applyFont="1" applyFill="1" applyBorder="1"/>
    <xf numFmtId="0" fontId="66" fillId="2" borderId="0" xfId="0" applyNumberFormat="1" applyFont="1" applyFill="1" applyBorder="1" applyAlignment="1">
      <alignment vertical="center"/>
    </xf>
    <xf numFmtId="0" fontId="27" fillId="2" borderId="6" xfId="0" applyNumberFormat="1" applyFont="1" applyFill="1" applyBorder="1" applyAlignment="1">
      <alignment vertical="center" wrapText="1"/>
    </xf>
    <xf numFmtId="0" fontId="58" fillId="2" borderId="0" xfId="0" applyFont="1" applyFill="1" applyBorder="1" applyAlignment="1">
      <alignment horizontal="center" readingOrder="1"/>
    </xf>
    <xf numFmtId="164" fontId="16" fillId="2" borderId="0" xfId="0" applyNumberFormat="1" applyFont="1" applyFill="1" applyBorder="1" applyAlignment="1" applyProtection="1">
      <alignment horizontal="right" vertical="center" indent="2"/>
    </xf>
    <xf numFmtId="164" fontId="11" fillId="2" borderId="6" xfId="0" applyNumberFormat="1" applyFont="1" applyFill="1" applyBorder="1" applyAlignment="1">
      <alignment vertical="center" wrapText="1"/>
    </xf>
    <xf numFmtId="166" fontId="11" fillId="2" borderId="6" xfId="1" applyNumberFormat="1" applyFont="1" applyFill="1" applyBorder="1" applyAlignment="1">
      <alignment horizontal="right" vertical="center"/>
    </xf>
    <xf numFmtId="164" fontId="15" fillId="2" borderId="0" xfId="0" applyNumberFormat="1" applyFont="1" applyFill="1" applyBorder="1"/>
    <xf numFmtId="0" fontId="27" fillId="2" borderId="36" xfId="0" applyNumberFormat="1" applyFont="1" applyFill="1" applyBorder="1" applyAlignment="1">
      <alignment vertical="center" wrapText="1"/>
    </xf>
    <xf numFmtId="0" fontId="31" fillId="2" borderId="12" xfId="0" applyNumberFormat="1" applyFont="1" applyFill="1" applyBorder="1" applyAlignment="1">
      <alignment vertical="center"/>
    </xf>
    <xf numFmtId="164" fontId="38" fillId="2" borderId="38" xfId="0" applyNumberFormat="1" applyFont="1" applyFill="1" applyBorder="1" applyAlignment="1">
      <alignment horizontal="right" vertical="center"/>
    </xf>
    <xf numFmtId="164" fontId="35" fillId="2" borderId="51" xfId="0" applyNumberFormat="1" applyFont="1" applyFill="1" applyBorder="1" applyAlignment="1">
      <alignment horizontal="right" vertical="center"/>
    </xf>
    <xf numFmtId="166" fontId="28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center" vertical="center"/>
    </xf>
    <xf numFmtId="164" fontId="15" fillId="2" borderId="0" xfId="0" applyNumberFormat="1" applyFont="1" applyFill="1" applyBorder="1" applyAlignment="1">
      <alignment vertical="center"/>
    </xf>
    <xf numFmtId="0" fontId="74" fillId="2" borderId="0" xfId="0" applyFont="1" applyFill="1" applyBorder="1"/>
    <xf numFmtId="0" fontId="25" fillId="2" borderId="7" xfId="0" applyNumberFormat="1" applyFont="1" applyFill="1" applyBorder="1" applyAlignment="1">
      <alignment vertical="top"/>
    </xf>
    <xf numFmtId="167" fontId="28" fillId="2" borderId="21" xfId="0" applyNumberFormat="1" applyFont="1" applyFill="1" applyBorder="1" applyAlignment="1">
      <alignment vertical="center"/>
    </xf>
    <xf numFmtId="167" fontId="25" fillId="2" borderId="21" xfId="0" applyNumberFormat="1" applyFont="1" applyFill="1" applyBorder="1" applyAlignment="1">
      <alignment vertical="center"/>
    </xf>
    <xf numFmtId="0" fontId="2" fillId="2" borderId="22" xfId="0" applyNumberFormat="1" applyFont="1" applyFill="1" applyBorder="1" applyAlignment="1">
      <alignment vertical="center"/>
    </xf>
    <xf numFmtId="0" fontId="25" fillId="2" borderId="13" xfId="0" applyNumberFormat="1" applyFont="1" applyFill="1" applyBorder="1" applyAlignment="1">
      <alignment vertical="center"/>
    </xf>
    <xf numFmtId="0" fontId="25" fillId="2" borderId="22" xfId="0" applyNumberFormat="1" applyFont="1" applyFill="1" applyBorder="1" applyAlignment="1">
      <alignment vertical="center"/>
    </xf>
    <xf numFmtId="0" fontId="28" fillId="2" borderId="9" xfId="0" applyNumberFormat="1" applyFont="1" applyFill="1" applyBorder="1"/>
    <xf numFmtId="166" fontId="28" fillId="2" borderId="7" xfId="1" applyNumberFormat="1" applyFont="1" applyFill="1" applyBorder="1" applyAlignment="1">
      <alignment horizontal="right" vertical="center"/>
    </xf>
    <xf numFmtId="0" fontId="0" fillId="2" borderId="0" xfId="0" applyNumberFormat="1" applyFont="1" applyFill="1" applyBorder="1" applyAlignment="1">
      <alignment horizontal="right"/>
    </xf>
    <xf numFmtId="0" fontId="0" fillId="2" borderId="0" xfId="0" applyFill="1"/>
    <xf numFmtId="164" fontId="12" fillId="2" borderId="0" xfId="0" applyNumberFormat="1" applyFont="1" applyFill="1" applyBorder="1" applyAlignment="1">
      <alignment horizontal="right" vertical="center"/>
    </xf>
    <xf numFmtId="164" fontId="12" fillId="2" borderId="6" xfId="0" applyNumberFormat="1" applyFont="1" applyFill="1" applyBorder="1" applyAlignment="1">
      <alignment horizontal="right" vertical="center"/>
    </xf>
    <xf numFmtId="164" fontId="13" fillId="2" borderId="5" xfId="0" applyNumberFormat="1" applyFont="1" applyFill="1" applyBorder="1" applyAlignment="1">
      <alignment horizontal="center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right" vertical="center"/>
    </xf>
    <xf numFmtId="3" fontId="5" fillId="2" borderId="6" xfId="1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 applyProtection="1">
      <alignment horizontal="left" vertical="center"/>
    </xf>
    <xf numFmtId="164" fontId="9" fillId="2" borderId="1" xfId="0" applyNumberFormat="1" applyFont="1" applyFill="1" applyBorder="1" applyAlignment="1">
      <alignment horizontal="right"/>
    </xf>
    <xf numFmtId="164" fontId="77" fillId="2" borderId="0" xfId="0" applyNumberFormat="1" applyFont="1" applyFill="1"/>
    <xf numFmtId="1" fontId="5" fillId="2" borderId="0" xfId="0" applyNumberFormat="1" applyFont="1" applyFill="1" applyBorder="1" applyAlignment="1">
      <alignment horizontal="right" vertical="center" indent="5"/>
    </xf>
    <xf numFmtId="166" fontId="11" fillId="2" borderId="5" xfId="6" applyNumberFormat="1" applyFont="1" applyFill="1" applyBorder="1" applyAlignment="1">
      <alignment horizontal="center" vertical="center"/>
    </xf>
    <xf numFmtId="166" fontId="11" fillId="2" borderId="0" xfId="6" applyNumberFormat="1" applyFont="1" applyFill="1" applyBorder="1" applyAlignment="1">
      <alignment horizontal="center" vertical="center"/>
    </xf>
    <xf numFmtId="166" fontId="11" fillId="2" borderId="34" xfId="6" applyNumberFormat="1" applyFont="1" applyFill="1" applyBorder="1" applyAlignment="1">
      <alignment horizontal="center" vertical="center"/>
    </xf>
    <xf numFmtId="166" fontId="11" fillId="2" borderId="38" xfId="6" applyNumberFormat="1" applyFont="1" applyFill="1" applyBorder="1" applyAlignment="1">
      <alignment horizontal="center" vertical="center"/>
    </xf>
    <xf numFmtId="166" fontId="55" fillId="2" borderId="0" xfId="6" applyNumberFormat="1" applyFont="1" applyFill="1" applyBorder="1" applyAlignment="1">
      <alignment horizontal="center" vertical="center"/>
    </xf>
    <xf numFmtId="166" fontId="55" fillId="2" borderId="39" xfId="6" applyNumberFormat="1" applyFont="1" applyFill="1" applyBorder="1" applyAlignment="1">
      <alignment horizontal="center" vertical="center"/>
    </xf>
    <xf numFmtId="166" fontId="11" fillId="2" borderId="37" xfId="6" applyNumberFormat="1" applyFont="1" applyFill="1" applyBorder="1" applyAlignment="1">
      <alignment horizontal="center" vertical="center"/>
    </xf>
    <xf numFmtId="166" fontId="25" fillId="2" borderId="0" xfId="6" applyNumberFormat="1" applyFont="1" applyFill="1" applyBorder="1" applyAlignment="1">
      <alignment horizontal="center" vertical="center"/>
    </xf>
    <xf numFmtId="166" fontId="25" fillId="2" borderId="39" xfId="6" applyNumberFormat="1" applyFont="1" applyFill="1" applyBorder="1" applyAlignment="1">
      <alignment horizontal="center" vertical="center"/>
    </xf>
    <xf numFmtId="166" fontId="11" fillId="2" borderId="6" xfId="6" applyNumberFormat="1" applyFont="1" applyFill="1" applyBorder="1" applyAlignment="1">
      <alignment horizontal="center" vertical="center"/>
    </xf>
    <xf numFmtId="166" fontId="55" fillId="2" borderId="6" xfId="6" applyNumberFormat="1" applyFont="1" applyFill="1" applyBorder="1" applyAlignment="1">
      <alignment horizontal="center" vertical="center"/>
    </xf>
    <xf numFmtId="166" fontId="28" fillId="2" borderId="0" xfId="6" applyNumberFormat="1" applyFont="1" applyFill="1" applyBorder="1" applyAlignment="1">
      <alignment horizontal="center" vertical="center"/>
    </xf>
    <xf numFmtId="9" fontId="3" fillId="2" borderId="0" xfId="8" applyFont="1" applyFill="1" applyBorder="1" applyAlignment="1" applyProtection="1">
      <alignment horizontal="center" vertical="center"/>
      <protection locked="0"/>
    </xf>
    <xf numFmtId="3" fontId="3" fillId="2" borderId="5" xfId="0" applyNumberFormat="1" applyFont="1" applyFill="1" applyBorder="1" applyAlignment="1">
      <alignment vertical="center"/>
    </xf>
    <xf numFmtId="164" fontId="50" fillId="2" borderId="1" xfId="0" applyNumberFormat="1" applyFont="1" applyFill="1" applyBorder="1" applyAlignment="1" applyProtection="1">
      <alignment vertical="center"/>
    </xf>
    <xf numFmtId="164" fontId="50" fillId="2" borderId="0" xfId="0" applyNumberFormat="1" applyFont="1" applyFill="1" applyBorder="1" applyAlignment="1" applyProtection="1">
      <alignment vertical="center"/>
    </xf>
    <xf numFmtId="164" fontId="76" fillId="2" borderId="0" xfId="0" applyNumberFormat="1" applyFont="1" applyFill="1"/>
    <xf numFmtId="164" fontId="78" fillId="2" borderId="1" xfId="0" applyNumberFormat="1" applyFont="1" applyFill="1" applyBorder="1" applyAlignment="1">
      <alignment horizontal="right" vertical="center"/>
    </xf>
    <xf numFmtId="0" fontId="58" fillId="2" borderId="0" xfId="0" applyFont="1" applyFill="1" applyAlignment="1">
      <alignment horizontal="center" readingOrder="1"/>
    </xf>
    <xf numFmtId="37" fontId="25" fillId="2" borderId="0" xfId="1" applyNumberFormat="1" applyFont="1" applyFill="1" applyBorder="1" applyAlignment="1">
      <alignment horizontal="center" vertical="center"/>
    </xf>
    <xf numFmtId="37" fontId="5" fillId="2" borderId="0" xfId="1" applyNumberFormat="1" applyFont="1" applyFill="1" applyBorder="1" applyAlignment="1">
      <alignment horizontal="center" vertical="center"/>
    </xf>
    <xf numFmtId="0" fontId="66" fillId="2" borderId="23" xfId="0" applyNumberFormat="1" applyFont="1" applyFill="1" applyBorder="1" applyAlignment="1">
      <alignment vertical="top"/>
    </xf>
    <xf numFmtId="168" fontId="0" fillId="2" borderId="0" xfId="0" applyNumberFormat="1" applyFill="1"/>
    <xf numFmtId="1" fontId="0" fillId="2" borderId="0" xfId="0" applyNumberFormat="1" applyFill="1"/>
    <xf numFmtId="166" fontId="3" fillId="2" borderId="0" xfId="1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 indent="4"/>
    </xf>
    <xf numFmtId="164" fontId="2" fillId="2" borderId="0" xfId="0" applyNumberFormat="1" applyFont="1" applyFill="1" applyAlignment="1">
      <alignment vertical="center"/>
    </xf>
    <xf numFmtId="164" fontId="9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vertical="center"/>
    </xf>
    <xf numFmtId="164" fontId="15" fillId="2" borderId="0" xfId="0" applyNumberFormat="1" applyFont="1" applyFill="1" applyAlignment="1">
      <alignment horizontal="right"/>
    </xf>
    <xf numFmtId="0" fontId="50" fillId="2" borderId="7" xfId="0" applyNumberFormat="1" applyFont="1" applyFill="1" applyBorder="1" applyAlignment="1">
      <alignment vertical="top"/>
    </xf>
    <xf numFmtId="0" fontId="39" fillId="2" borderId="0" xfId="0" applyNumberFormat="1" applyFont="1" applyFill="1" applyBorder="1" applyAlignment="1"/>
    <xf numFmtId="3" fontId="39" fillId="2" borderId="0" xfId="0" applyNumberFormat="1" applyFont="1" applyFill="1" applyBorder="1" applyAlignment="1"/>
    <xf numFmtId="0" fontId="47" fillId="2" borderId="0" xfId="0" applyNumberFormat="1" applyFont="1" applyFill="1" applyBorder="1" applyAlignment="1">
      <alignment wrapText="1"/>
    </xf>
    <xf numFmtId="3" fontId="24" fillId="2" borderId="0" xfId="0" applyNumberFormat="1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0" fontId="45" fillId="2" borderId="0" xfId="0" applyNumberFormat="1" applyFont="1" applyFill="1"/>
    <xf numFmtId="3" fontId="2" fillId="2" borderId="5" xfId="0" applyNumberFormat="1" applyFont="1" applyFill="1" applyBorder="1" applyAlignment="1">
      <alignment horizontal="right" vertical="center" indent="3"/>
    </xf>
    <xf numFmtId="3" fontId="2" fillId="2" borderId="0" xfId="0" applyNumberFormat="1" applyFont="1" applyFill="1" applyBorder="1" applyAlignment="1">
      <alignment horizontal="right" vertical="center" indent="3"/>
    </xf>
    <xf numFmtId="3" fontId="0" fillId="2" borderId="0" xfId="0" applyNumberFormat="1" applyFont="1" applyFill="1" applyBorder="1" applyAlignment="1">
      <alignment horizontal="right" vertical="center" indent="3"/>
    </xf>
    <xf numFmtId="3" fontId="0" fillId="2" borderId="6" xfId="0" applyNumberFormat="1" applyFont="1" applyFill="1" applyBorder="1" applyAlignment="1">
      <alignment horizontal="right" vertical="center" indent="3"/>
    </xf>
    <xf numFmtId="3" fontId="51" fillId="2" borderId="0" xfId="1" applyNumberFormat="1" applyFont="1" applyFill="1" applyBorder="1" applyAlignment="1">
      <alignment horizontal="right" vertical="center"/>
    </xf>
    <xf numFmtId="3" fontId="51" fillId="2" borderId="39" xfId="1" applyNumberFormat="1" applyFont="1" applyFill="1" applyBorder="1" applyAlignment="1">
      <alignment horizontal="right" vertical="center"/>
    </xf>
    <xf numFmtId="3" fontId="51" fillId="2" borderId="37" xfId="1" applyNumberFormat="1" applyFont="1" applyFill="1" applyBorder="1" applyAlignment="1">
      <alignment horizontal="right" vertical="center"/>
    </xf>
    <xf numFmtId="3" fontId="51" fillId="2" borderId="0" xfId="1" applyNumberFormat="1" applyFont="1" applyFill="1" applyAlignment="1">
      <alignment horizontal="right" vertical="center"/>
    </xf>
    <xf numFmtId="3" fontId="0" fillId="2" borderId="0" xfId="1" applyNumberFormat="1" applyFont="1" applyFill="1" applyBorder="1" applyAlignment="1">
      <alignment horizontal="right" vertical="center"/>
    </xf>
    <xf numFmtId="3" fontId="45" fillId="2" borderId="37" xfId="1" applyNumberFormat="1" applyFont="1" applyFill="1" applyBorder="1" applyAlignment="1">
      <alignment horizontal="right" vertical="center"/>
    </xf>
    <xf numFmtId="3" fontId="45" fillId="2" borderId="0" xfId="1" applyNumberFormat="1" applyFont="1" applyFill="1" applyBorder="1" applyAlignment="1">
      <alignment horizontal="right" vertical="center"/>
    </xf>
    <xf numFmtId="3" fontId="0" fillId="2" borderId="6" xfId="1" applyNumberFormat="1" applyFont="1" applyFill="1" applyBorder="1" applyAlignment="1">
      <alignment horizontal="right" vertical="center"/>
    </xf>
    <xf numFmtId="3" fontId="45" fillId="2" borderId="35" xfId="1" applyNumberFormat="1" applyFont="1" applyFill="1" applyBorder="1" applyAlignment="1">
      <alignment horizontal="right" vertical="center"/>
    </xf>
    <xf numFmtId="3" fontId="45" fillId="2" borderId="36" xfId="1" applyNumberFormat="1" applyFont="1" applyFill="1" applyBorder="1" applyAlignment="1">
      <alignment horizontal="right" vertical="center"/>
    </xf>
    <xf numFmtId="3" fontId="45" fillId="2" borderId="6" xfId="1" applyNumberFormat="1" applyFont="1" applyFill="1" applyBorder="1" applyAlignment="1">
      <alignment horizontal="right" vertical="center"/>
    </xf>
    <xf numFmtId="164" fontId="7" fillId="2" borderId="21" xfId="0" applyNumberFormat="1" applyFont="1" applyFill="1" applyBorder="1" applyAlignment="1">
      <alignment horizontal="center"/>
    </xf>
    <xf numFmtId="0" fontId="31" fillId="2" borderId="0" xfId="0" applyNumberFormat="1" applyFont="1" applyFill="1" applyBorder="1" applyAlignment="1">
      <alignment vertical="center"/>
    </xf>
    <xf numFmtId="3" fontId="51" fillId="2" borderId="5" xfId="1" applyNumberFormat="1" applyFont="1" applyFill="1" applyBorder="1" applyAlignment="1">
      <alignment horizontal="right" vertical="center"/>
    </xf>
    <xf numFmtId="1" fontId="0" fillId="2" borderId="0" xfId="0" applyNumberFormat="1" applyFont="1" applyFill="1" applyAlignment="1">
      <alignment vertical="center"/>
    </xf>
    <xf numFmtId="166" fontId="11" fillId="2" borderId="36" xfId="6" applyNumberFormat="1" applyFont="1" applyFill="1" applyBorder="1" applyAlignment="1">
      <alignment horizontal="center" vertical="center"/>
    </xf>
    <xf numFmtId="0" fontId="34" fillId="2" borderId="12" xfId="0" applyNumberFormat="1" applyFont="1" applyFill="1" applyBorder="1" applyAlignment="1">
      <alignment vertical="center"/>
    </xf>
    <xf numFmtId="0" fontId="25" fillId="2" borderId="0" xfId="0" applyFont="1" applyFill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vertical="center"/>
    </xf>
    <xf numFmtId="166" fontId="11" fillId="2" borderId="5" xfId="1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right"/>
    </xf>
    <xf numFmtId="0" fontId="5" fillId="2" borderId="6" xfId="0" applyNumberFormat="1" applyFont="1" applyFill="1" applyBorder="1" applyAlignment="1">
      <alignment horizontal="right"/>
    </xf>
    <xf numFmtId="0" fontId="2" fillId="2" borderId="0" xfId="0" applyNumberFormat="1" applyFont="1" applyFill="1" applyBorder="1" applyAlignment="1">
      <alignment horizontal="center" vertical="top"/>
    </xf>
    <xf numFmtId="0" fontId="28" fillId="2" borderId="17" xfId="0" applyNumberFormat="1" applyFont="1" applyFill="1" applyBorder="1" applyAlignment="1">
      <alignment horizontal="right" vertical="center" wrapText="1"/>
    </xf>
    <xf numFmtId="0" fontId="28" fillId="2" borderId="0" xfId="0" applyNumberFormat="1" applyFont="1" applyFill="1" applyBorder="1" applyAlignment="1">
      <alignment horizontal="right" vertical="center" wrapText="1"/>
    </xf>
    <xf numFmtId="3" fontId="3" fillId="2" borderId="0" xfId="1" applyNumberFormat="1" applyFont="1" applyFill="1" applyBorder="1" applyAlignment="1">
      <alignment horizontal="right" vertical="center" indent="3"/>
    </xf>
    <xf numFmtId="165" fontId="3" fillId="2" borderId="0" xfId="1" applyNumberFormat="1" applyFont="1" applyFill="1" applyBorder="1" applyAlignment="1" applyProtection="1">
      <alignment horizontal="right" vertical="center" indent="3"/>
      <protection locked="0"/>
    </xf>
    <xf numFmtId="168" fontId="5" fillId="2" borderId="0" xfId="1" applyNumberFormat="1" applyFont="1" applyFill="1" applyBorder="1" applyAlignment="1">
      <alignment horizontal="right" vertical="center" indent="3"/>
    </xf>
    <xf numFmtId="165" fontId="5" fillId="2" borderId="0" xfId="1" applyNumberFormat="1" applyFont="1" applyFill="1" applyBorder="1" applyAlignment="1" applyProtection="1">
      <alignment horizontal="right" vertical="center" indent="3"/>
      <protection locked="0"/>
    </xf>
    <xf numFmtId="168" fontId="5" fillId="2" borderId="6" xfId="1" applyNumberFormat="1" applyFont="1" applyFill="1" applyBorder="1" applyAlignment="1">
      <alignment horizontal="right" vertical="center" indent="3"/>
    </xf>
    <xf numFmtId="165" fontId="5" fillId="2" borderId="6" xfId="1" applyNumberFormat="1" applyFont="1" applyFill="1" applyBorder="1" applyAlignment="1" applyProtection="1">
      <alignment horizontal="right" vertical="center" indent="3"/>
      <protection locked="0"/>
    </xf>
    <xf numFmtId="164" fontId="79" fillId="2" borderId="6" xfId="0" applyNumberFormat="1" applyFont="1" applyFill="1" applyBorder="1" applyAlignment="1">
      <alignment horizontal="center" vertical="center" wrapText="1"/>
    </xf>
    <xf numFmtId="166" fontId="55" fillId="2" borderId="35" xfId="6" applyNumberFormat="1" applyFont="1" applyFill="1" applyBorder="1" applyAlignment="1">
      <alignment horizontal="center" vertical="center"/>
    </xf>
    <xf numFmtId="164" fontId="55" fillId="2" borderId="6" xfId="0" applyNumberFormat="1" applyFont="1" applyFill="1" applyBorder="1" applyAlignment="1">
      <alignment horizontal="left" vertical="center" indent="1"/>
    </xf>
    <xf numFmtId="3" fontId="68" fillId="2" borderId="0" xfId="0" applyNumberFormat="1" applyFont="1" applyFill="1" applyAlignment="1">
      <alignment horizontal="right" vertical="center" indent="1"/>
    </xf>
    <xf numFmtId="3" fontId="43" fillId="2" borderId="0" xfId="0" applyNumberFormat="1" applyFont="1" applyFill="1" applyAlignment="1">
      <alignment horizontal="right" vertical="center" indent="1"/>
    </xf>
    <xf numFmtId="164" fontId="70" fillId="2" borderId="0" xfId="0" applyNumberFormat="1" applyFont="1" applyFill="1" applyAlignment="1">
      <alignment horizontal="right" vertical="center" indent="1"/>
    </xf>
    <xf numFmtId="166" fontId="11" fillId="2" borderId="0" xfId="6" applyNumberFormat="1" applyFont="1" applyFill="1" applyBorder="1" applyAlignment="1">
      <alignment vertical="center"/>
    </xf>
    <xf numFmtId="166" fontId="11" fillId="2" borderId="6" xfId="6" applyNumberFormat="1" applyFont="1" applyFill="1" applyBorder="1" applyAlignment="1">
      <alignment vertical="center"/>
    </xf>
    <xf numFmtId="0" fontId="25" fillId="2" borderId="6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right" vertical="center" indent="4"/>
    </xf>
    <xf numFmtId="3" fontId="5" fillId="2" borderId="0" xfId="0" applyNumberFormat="1" applyFont="1" applyFill="1" applyBorder="1" applyAlignment="1">
      <alignment horizontal="right" vertical="center" indent="4"/>
    </xf>
    <xf numFmtId="3" fontId="3" fillId="2" borderId="5" xfId="0" applyNumberFormat="1" applyFont="1" applyFill="1" applyBorder="1" applyAlignment="1">
      <alignment horizontal="right" vertical="center"/>
    </xf>
    <xf numFmtId="0" fontId="27" fillId="2" borderId="6" xfId="0" applyNumberFormat="1" applyFont="1" applyFill="1" applyBorder="1" applyAlignment="1">
      <alignment horizontal="right" vertical="center" wrapText="1"/>
    </xf>
    <xf numFmtId="166" fontId="56" fillId="2" borderId="20" xfId="1" applyNumberFormat="1" applyFont="1" applyFill="1" applyBorder="1" applyAlignment="1">
      <alignment horizontal="right" vertical="center"/>
    </xf>
    <xf numFmtId="166" fontId="56" fillId="2" borderId="0" xfId="1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166" fontId="45" fillId="2" borderId="20" xfId="1" applyNumberFormat="1" applyFont="1" applyFill="1" applyBorder="1" applyAlignment="1">
      <alignment horizontal="right" vertical="center"/>
    </xf>
    <xf numFmtId="166" fontId="45" fillId="2" borderId="0" xfId="1" applyNumberFormat="1" applyFont="1" applyFill="1" applyBorder="1" applyAlignment="1">
      <alignment horizontal="right" vertical="center"/>
    </xf>
    <xf numFmtId="166" fontId="45" fillId="2" borderId="19" xfId="1" applyNumberFormat="1" applyFont="1" applyFill="1" applyBorder="1" applyAlignment="1">
      <alignment horizontal="right" vertical="center"/>
    </xf>
    <xf numFmtId="166" fontId="45" fillId="2" borderId="6" xfId="1" applyNumberFormat="1" applyFont="1" applyFill="1" applyBorder="1" applyAlignment="1">
      <alignment horizontal="right" vertical="center"/>
    </xf>
    <xf numFmtId="3" fontId="1" fillId="2" borderId="6" xfId="1" applyNumberFormat="1" applyFont="1" applyFill="1" applyBorder="1" applyAlignment="1">
      <alignment horizontal="right" vertical="center"/>
    </xf>
    <xf numFmtId="3" fontId="1" fillId="2" borderId="6" xfId="0" applyNumberFormat="1" applyFont="1" applyFill="1" applyBorder="1" applyAlignment="1">
      <alignment horizontal="right" vertical="center"/>
    </xf>
    <xf numFmtId="166" fontId="35" fillId="2" borderId="37" xfId="1" applyNumberFormat="1" applyFont="1" applyFill="1" applyBorder="1" applyAlignment="1">
      <alignment horizontal="right" vertical="center"/>
    </xf>
    <xf numFmtId="166" fontId="35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164" fontId="8" fillId="2" borderId="7" xfId="0" applyNumberFormat="1" applyFont="1" applyFill="1" applyBorder="1" applyAlignment="1" applyProtection="1">
      <alignment vertical="center"/>
    </xf>
    <xf numFmtId="0" fontId="50" fillId="2" borderId="0" xfId="0" applyNumberFormat="1" applyFont="1" applyFill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66" fillId="2" borderId="12" xfId="0" applyNumberFormat="1" applyFont="1" applyFill="1" applyBorder="1" applyAlignment="1">
      <alignment vertical="center"/>
    </xf>
    <xf numFmtId="164" fontId="95" fillId="2" borderId="1" xfId="0" applyNumberFormat="1" applyFont="1" applyFill="1" applyBorder="1" applyAlignment="1">
      <alignment horizontal="right" vertical="center"/>
    </xf>
    <xf numFmtId="165" fontId="45" fillId="2" borderId="0" xfId="0" applyNumberFormat="1" applyFont="1" applyFill="1"/>
    <xf numFmtId="164" fontId="45" fillId="2" borderId="0" xfId="0" applyNumberFormat="1" applyFont="1" applyFill="1" applyBorder="1"/>
    <xf numFmtId="164" fontId="8" fillId="2" borderId="0" xfId="0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right"/>
    </xf>
    <xf numFmtId="168" fontId="3" fillId="2" borderId="38" xfId="7" applyNumberFormat="1" applyFont="1" applyFill="1" applyBorder="1" applyAlignment="1" applyProtection="1">
      <alignment horizontal="right" vertical="center"/>
      <protection locked="0"/>
    </xf>
    <xf numFmtId="168" fontId="5" fillId="2" borderId="37" xfId="7" applyNumberFormat="1" applyFont="1" applyFill="1" applyBorder="1" applyAlignment="1" applyProtection="1">
      <alignment horizontal="right" vertical="center"/>
      <protection locked="0"/>
    </xf>
    <xf numFmtId="168" fontId="5" fillId="2" borderId="0" xfId="7" applyNumberFormat="1" applyFont="1" applyFill="1" applyBorder="1" applyAlignment="1" applyProtection="1">
      <alignment horizontal="right" vertical="center"/>
      <protection locked="0"/>
    </xf>
    <xf numFmtId="168" fontId="5" fillId="2" borderId="36" xfId="7" applyNumberFormat="1" applyFont="1" applyFill="1" applyBorder="1" applyAlignment="1" applyProtection="1">
      <alignment horizontal="right" vertical="center"/>
      <protection locked="0"/>
    </xf>
    <xf numFmtId="168" fontId="5" fillId="2" borderId="6" xfId="7" applyNumberFormat="1" applyFont="1" applyFill="1" applyBorder="1" applyAlignment="1" applyProtection="1">
      <alignment horizontal="right" vertical="center"/>
      <protection locked="0"/>
    </xf>
    <xf numFmtId="164" fontId="38" fillId="2" borderId="38" xfId="0" applyNumberFormat="1" applyFont="1" applyFill="1" applyBorder="1" applyAlignment="1">
      <alignment horizontal="right" vertical="center" wrapText="1"/>
    </xf>
    <xf numFmtId="168" fontId="3" fillId="2" borderId="5" xfId="7" applyNumberFormat="1" applyFont="1" applyFill="1" applyBorder="1" applyAlignment="1" applyProtection="1">
      <alignment horizontal="right" vertical="center"/>
      <protection locked="0"/>
    </xf>
    <xf numFmtId="169" fontId="45" fillId="2" borderId="6" xfId="1" applyNumberFormat="1" applyFont="1" applyFill="1" applyBorder="1" applyAlignment="1">
      <alignment horizontal="right" vertical="center"/>
    </xf>
    <xf numFmtId="3" fontId="45" fillId="2" borderId="0" xfId="0" applyNumberFormat="1" applyFont="1" applyFill="1"/>
    <xf numFmtId="164" fontId="13" fillId="2" borderId="5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top"/>
    </xf>
    <xf numFmtId="0" fontId="2" fillId="2" borderId="0" xfId="0" applyNumberFormat="1" applyFont="1" applyFill="1" applyAlignment="1">
      <alignment horizontal="center"/>
    </xf>
    <xf numFmtId="3" fontId="25" fillId="35" borderId="0" xfId="1" applyNumberFormat="1" applyFont="1" applyFill="1" applyBorder="1" applyAlignment="1">
      <alignment horizontal="right" vertical="center"/>
    </xf>
    <xf numFmtId="165" fontId="5" fillId="2" borderId="0" xfId="1" applyNumberFormat="1" applyFont="1" applyFill="1" applyBorder="1" applyAlignment="1" applyProtection="1">
      <alignment vertical="center"/>
      <protection locked="0"/>
    </xf>
    <xf numFmtId="3" fontId="25" fillId="35" borderId="0" xfId="0" applyNumberFormat="1" applyFont="1" applyFill="1" applyBorder="1" applyAlignment="1">
      <alignment horizontal="right" vertical="center"/>
    </xf>
    <xf numFmtId="3" fontId="25" fillId="35" borderId="6" xfId="0" applyNumberFormat="1" applyFont="1" applyFill="1" applyBorder="1" applyAlignment="1">
      <alignment horizontal="right" vertical="center"/>
    </xf>
    <xf numFmtId="0" fontId="2" fillId="35" borderId="6" xfId="0" applyNumberFormat="1" applyFont="1" applyFill="1" applyBorder="1" applyAlignment="1">
      <alignment horizontal="right" vertical="center"/>
    </xf>
    <xf numFmtId="3" fontId="5" fillId="35" borderId="0" xfId="0" applyNumberFormat="1" applyFont="1" applyFill="1" applyBorder="1" applyAlignment="1">
      <alignment horizontal="right" vertical="center"/>
    </xf>
    <xf numFmtId="3" fontId="98" fillId="35" borderId="6" xfId="0" applyNumberFormat="1" applyFont="1" applyFill="1" applyBorder="1" applyAlignment="1">
      <alignment horizontal="right" vertical="center"/>
    </xf>
    <xf numFmtId="164" fontId="98" fillId="2" borderId="0" xfId="0" applyNumberFormat="1" applyFont="1" applyFill="1" applyBorder="1" applyAlignment="1">
      <alignment vertical="center"/>
    </xf>
    <xf numFmtId="166" fontId="98" fillId="2" borderId="0" xfId="1" applyNumberFormat="1" applyFont="1" applyFill="1" applyBorder="1" applyAlignment="1">
      <alignment horizontal="center" vertical="center"/>
    </xf>
    <xf numFmtId="164" fontId="73" fillId="2" borderId="0" xfId="0" applyNumberFormat="1" applyFont="1" applyFill="1" applyBorder="1" applyAlignment="1">
      <alignment vertical="center"/>
    </xf>
    <xf numFmtId="3" fontId="98" fillId="2" borderId="0" xfId="0" applyNumberFormat="1" applyFont="1" applyFill="1" applyBorder="1" applyAlignment="1">
      <alignment horizontal="right" vertical="center"/>
    </xf>
    <xf numFmtId="3" fontId="98" fillId="35" borderId="0" xfId="0" applyNumberFormat="1" applyFont="1" applyFill="1" applyBorder="1" applyAlignment="1">
      <alignment horizontal="right" vertical="center"/>
    </xf>
    <xf numFmtId="3" fontId="98" fillId="2" borderId="0" xfId="0" applyNumberFormat="1" applyFont="1" applyFill="1" applyBorder="1" applyAlignment="1">
      <alignment horizontal="center" vertical="center"/>
    </xf>
    <xf numFmtId="164" fontId="99" fillId="2" borderId="0" xfId="0" applyNumberFormat="1" applyFont="1" applyFill="1" applyBorder="1" applyAlignment="1" applyProtection="1">
      <alignment horizontal="right" vertical="center"/>
    </xf>
    <xf numFmtId="164" fontId="22" fillId="2" borderId="0" xfId="0" applyNumberFormat="1" applyFont="1" applyFill="1" applyBorder="1"/>
    <xf numFmtId="164" fontId="98" fillId="35" borderId="0" xfId="0" applyNumberFormat="1" applyFont="1" applyFill="1" applyBorder="1" applyAlignment="1">
      <alignment horizontal="left" vertical="center" indent="2"/>
    </xf>
    <xf numFmtId="164" fontId="98" fillId="35" borderId="6" xfId="0" applyNumberFormat="1" applyFont="1" applyFill="1" applyBorder="1" applyAlignment="1">
      <alignment horizontal="left" vertical="center" indent="2"/>
    </xf>
    <xf numFmtId="166" fontId="98" fillId="35" borderId="0" xfId="1" applyNumberFormat="1" applyFont="1" applyFill="1" applyBorder="1" applyAlignment="1">
      <alignment horizontal="center" vertical="center"/>
    </xf>
    <xf numFmtId="164" fontId="73" fillId="35" borderId="0" xfId="0" applyNumberFormat="1" applyFont="1" applyFill="1" applyBorder="1" applyAlignment="1">
      <alignment vertical="center"/>
    </xf>
    <xf numFmtId="3" fontId="98" fillId="35" borderId="0" xfId="0" applyNumberFormat="1" applyFont="1" applyFill="1" applyBorder="1" applyAlignment="1">
      <alignment horizontal="center" vertical="center"/>
    </xf>
    <xf numFmtId="164" fontId="99" fillId="35" borderId="0" xfId="0" applyNumberFormat="1" applyFont="1" applyFill="1" applyBorder="1" applyAlignment="1" applyProtection="1">
      <alignment horizontal="right" vertical="center"/>
    </xf>
    <xf numFmtId="166" fontId="98" fillId="35" borderId="6" xfId="1" applyNumberFormat="1" applyFont="1" applyFill="1" applyBorder="1" applyAlignment="1">
      <alignment horizontal="center" vertical="center"/>
    </xf>
    <xf numFmtId="164" fontId="73" fillId="35" borderId="6" xfId="0" applyNumberFormat="1" applyFont="1" applyFill="1" applyBorder="1" applyAlignment="1">
      <alignment vertical="center"/>
    </xf>
    <xf numFmtId="3" fontId="98" fillId="35" borderId="6" xfId="0" applyNumberFormat="1" applyFont="1" applyFill="1" applyBorder="1" applyAlignment="1">
      <alignment horizontal="center" vertical="center"/>
    </xf>
    <xf numFmtId="164" fontId="99" fillId="35" borderId="6" xfId="0" applyNumberFormat="1" applyFont="1" applyFill="1" applyBorder="1" applyAlignment="1" applyProtection="1">
      <alignment horizontal="right" vertical="center"/>
    </xf>
    <xf numFmtId="170" fontId="45" fillId="35" borderId="0" xfId="1" applyNumberFormat="1" applyFont="1" applyFill="1" applyBorder="1" applyAlignment="1">
      <alignment horizontal="right" vertical="center"/>
    </xf>
    <xf numFmtId="166" fontId="17" fillId="2" borderId="0" xfId="6" applyNumberFormat="1" applyFont="1" applyFill="1" applyBorder="1" applyAlignment="1">
      <alignment horizontal="center" vertical="center"/>
    </xf>
    <xf numFmtId="166" fontId="12" fillId="2" borderId="0" xfId="6" applyNumberFormat="1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Border="1"/>
    <xf numFmtId="0" fontId="4" fillId="2" borderId="6" xfId="0" applyFont="1" applyFill="1" applyBorder="1"/>
    <xf numFmtId="37" fontId="25" fillId="2" borderId="6" xfId="1" applyNumberFormat="1" applyFont="1" applyFill="1" applyBorder="1" applyAlignment="1">
      <alignment horizontal="center" vertical="center"/>
    </xf>
    <xf numFmtId="3" fontId="25" fillId="2" borderId="0" xfId="0" applyNumberFormat="1" applyFont="1" applyFill="1" applyBorder="1" applyAlignment="1">
      <alignment vertical="center"/>
    </xf>
    <xf numFmtId="0" fontId="66" fillId="2" borderId="12" xfId="0" applyNumberFormat="1" applyFont="1" applyFill="1" applyBorder="1" applyAlignment="1">
      <alignment vertical="top"/>
    </xf>
    <xf numFmtId="0" fontId="100" fillId="2" borderId="0" xfId="0" applyNumberFormat="1" applyFont="1" applyFill="1" applyBorder="1" applyAlignment="1">
      <alignment horizontal="right" vertical="center" wrapText="1"/>
    </xf>
    <xf numFmtId="164" fontId="98" fillId="35" borderId="0" xfId="0" applyNumberFormat="1" applyFont="1" applyFill="1" applyBorder="1" applyAlignment="1">
      <alignment horizontal="left" vertical="center"/>
    </xf>
    <xf numFmtId="164" fontId="12" fillId="2" borderId="5" xfId="0" applyNumberFormat="1" applyFont="1" applyFill="1" applyBorder="1" applyAlignment="1">
      <alignment horizontal="right" vertical="center"/>
    </xf>
    <xf numFmtId="164" fontId="12" fillId="2" borderId="6" xfId="0" applyNumberFormat="1" applyFont="1" applyFill="1" applyBorder="1" applyAlignment="1">
      <alignment horizontal="right" vertical="center"/>
    </xf>
    <xf numFmtId="164" fontId="13" fillId="2" borderId="5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Border="1" applyAlignment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13" fillId="2" borderId="5" xfId="0" applyNumberFormat="1" applyFont="1" applyFill="1" applyBorder="1" applyAlignment="1">
      <alignment horizontal="right" vertical="center" wrapText="1"/>
    </xf>
    <xf numFmtId="164" fontId="13" fillId="2" borderId="0" xfId="0" applyNumberFormat="1" applyFont="1" applyFill="1" applyBorder="1" applyAlignment="1">
      <alignment horizontal="right" vertical="center" wrapText="1"/>
    </xf>
    <xf numFmtId="164" fontId="13" fillId="2" borderId="6" xfId="0" applyNumberFormat="1" applyFont="1" applyFill="1" applyBorder="1" applyAlignment="1">
      <alignment horizontal="right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8" fillId="2" borderId="5" xfId="0" applyNumberFormat="1" applyFont="1" applyFill="1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top"/>
    </xf>
    <xf numFmtId="164" fontId="52" fillId="2" borderId="12" xfId="0" applyNumberFormat="1" applyFont="1" applyFill="1" applyBorder="1" applyAlignment="1" applyProtection="1">
      <alignment horizontal="right" vertical="center"/>
    </xf>
    <xf numFmtId="164" fontId="9" fillId="2" borderId="61" xfId="0" applyNumberFormat="1" applyFont="1" applyFill="1" applyBorder="1" applyAlignment="1">
      <alignment horizontal="right"/>
    </xf>
    <xf numFmtId="164" fontId="36" fillId="2" borderId="0" xfId="0" applyNumberFormat="1" applyFont="1" applyFill="1" applyBorder="1"/>
    <xf numFmtId="164" fontId="16" fillId="2" borderId="0" xfId="0" applyNumberFormat="1" applyFont="1" applyFill="1" applyBorder="1" applyAlignment="1" applyProtection="1">
      <alignment horizontal="right" vertical="center" wrapText="1"/>
    </xf>
    <xf numFmtId="1" fontId="3" fillId="2" borderId="0" xfId="0" applyNumberFormat="1" applyFont="1" applyFill="1" applyBorder="1" applyAlignment="1">
      <alignment horizontal="right" vertical="center" indent="5"/>
    </xf>
    <xf numFmtId="164" fontId="0" fillId="2" borderId="0" xfId="0" applyNumberFormat="1" applyFill="1" applyBorder="1" applyAlignment="1">
      <alignment vertical="center"/>
    </xf>
    <xf numFmtId="164" fontId="0" fillId="2" borderId="0" xfId="0" applyNumberFormat="1" applyFont="1" applyFill="1" applyBorder="1"/>
    <xf numFmtId="1" fontId="5" fillId="2" borderId="6" xfId="0" applyNumberFormat="1" applyFont="1" applyFill="1" applyBorder="1" applyAlignment="1">
      <alignment horizontal="right" vertical="center" indent="5"/>
    </xf>
    <xf numFmtId="164" fontId="69" fillId="2" borderId="0" xfId="0" applyNumberFormat="1" applyFont="1" applyFill="1" applyBorder="1" applyAlignment="1">
      <alignment vertical="center"/>
    </xf>
    <xf numFmtId="0" fontId="25" fillId="2" borderId="0" xfId="0" applyFont="1" applyFill="1" applyBorder="1" applyAlignment="1">
      <alignment horizontal="right" vertical="center"/>
    </xf>
    <xf numFmtId="164" fontId="13" fillId="2" borderId="62" xfId="0" applyNumberFormat="1" applyFont="1" applyFill="1" applyBorder="1" applyAlignment="1">
      <alignment horizontal="center" vertical="center" wrapText="1"/>
    </xf>
    <xf numFmtId="0" fontId="24" fillId="2" borderId="0" xfId="0" applyNumberFormat="1" applyFont="1" applyFill="1" applyBorder="1" applyAlignment="1"/>
    <xf numFmtId="0" fontId="5" fillId="2" borderId="0" xfId="0" applyNumberFormat="1" applyFont="1" applyFill="1" applyBorder="1"/>
    <xf numFmtId="164" fontId="0" fillId="2" borderId="22" xfId="0" applyNumberFormat="1" applyFill="1" applyBorder="1"/>
    <xf numFmtId="164" fontId="35" fillId="2" borderId="0" xfId="0" applyNumberFormat="1" applyFont="1" applyFill="1" applyBorder="1" applyAlignment="1">
      <alignment horizontal="right" vertical="center"/>
    </xf>
    <xf numFmtId="169" fontId="0" fillId="2" borderId="0" xfId="1" applyNumberFormat="1" applyFont="1" applyFill="1" applyBorder="1"/>
    <xf numFmtId="164" fontId="0" fillId="2" borderId="63" xfId="0" applyNumberFormat="1" applyFill="1" applyBorder="1"/>
    <xf numFmtId="164" fontId="0" fillId="2" borderId="9" xfId="0" applyNumberFormat="1" applyFill="1" applyBorder="1"/>
    <xf numFmtId="164" fontId="0" fillId="2" borderId="0" xfId="0" applyNumberFormat="1" applyFill="1" applyBorder="1" applyAlignment="1">
      <alignment horizontal="center"/>
    </xf>
    <xf numFmtId="164" fontId="120" fillId="0" borderId="67" xfId="0" applyNumberFormat="1" applyFont="1" applyFill="1" applyBorder="1" applyAlignment="1">
      <alignment horizontal="right" vertical="center"/>
    </xf>
    <xf numFmtId="164" fontId="7" fillId="2" borderId="64" xfId="0" applyNumberFormat="1" applyFont="1" applyFill="1" applyBorder="1" applyAlignment="1">
      <alignment vertical="center"/>
    </xf>
    <xf numFmtId="164" fontId="4" fillId="2" borderId="64" xfId="0" applyNumberFormat="1" applyFont="1" applyFill="1" applyBorder="1" applyAlignment="1">
      <alignment vertical="top"/>
    </xf>
    <xf numFmtId="164" fontId="5" fillId="2" borderId="64" xfId="0" applyNumberFormat="1" applyFont="1" applyFill="1" applyBorder="1" applyAlignment="1">
      <alignment vertical="top"/>
    </xf>
    <xf numFmtId="171" fontId="73" fillId="2" borderId="0" xfId="0" applyNumberFormat="1" applyFont="1" applyFill="1" applyBorder="1" applyAlignment="1">
      <alignment horizontal="center" vertical="center" wrapText="1"/>
    </xf>
    <xf numFmtId="164" fontId="120" fillId="2" borderId="67" xfId="0" applyNumberFormat="1" applyFont="1" applyFill="1" applyBorder="1" applyAlignment="1">
      <alignment horizontal="right" vertical="center"/>
    </xf>
    <xf numFmtId="164" fontId="0" fillId="2" borderId="64" xfId="0" applyNumberFormat="1" applyFont="1" applyFill="1" applyBorder="1" applyAlignment="1">
      <alignment vertical="center"/>
    </xf>
    <xf numFmtId="164" fontId="120" fillId="2" borderId="67" xfId="0" applyNumberFormat="1" applyFont="1" applyFill="1" applyBorder="1" applyAlignment="1" applyProtection="1">
      <alignment horizontal="left" vertical="center"/>
    </xf>
    <xf numFmtId="3" fontId="120" fillId="2" borderId="1" xfId="0" applyNumberFormat="1" applyFont="1" applyFill="1" applyBorder="1" applyAlignment="1">
      <alignment vertical="center"/>
    </xf>
    <xf numFmtId="164" fontId="4" fillId="2" borderId="72" xfId="0" applyNumberFormat="1" applyFont="1" applyFill="1" applyBorder="1" applyAlignment="1" applyProtection="1">
      <alignment vertical="center"/>
    </xf>
    <xf numFmtId="164" fontId="4" fillId="2" borderId="64" xfId="0" applyNumberFormat="1" applyFont="1" applyFill="1" applyBorder="1" applyAlignment="1" applyProtection="1">
      <alignment horizontal="left" vertical="center"/>
    </xf>
    <xf numFmtId="164" fontId="4" fillId="2" borderId="64" xfId="0" applyNumberFormat="1" applyFont="1" applyFill="1" applyBorder="1" applyAlignment="1" applyProtection="1">
      <alignment horizontal="right" vertical="center"/>
    </xf>
    <xf numFmtId="3" fontId="120" fillId="2" borderId="0" xfId="0" applyNumberFormat="1" applyFont="1" applyFill="1" applyBorder="1" applyAlignment="1" applyProtection="1">
      <alignment horizontal="right" vertical="center"/>
    </xf>
    <xf numFmtId="3" fontId="4" fillId="2" borderId="72" xfId="0" applyNumberFormat="1" applyFont="1" applyFill="1" applyBorder="1" applyAlignment="1">
      <alignment horizontal="right" vertical="center"/>
    </xf>
    <xf numFmtId="164" fontId="7" fillId="2" borderId="64" xfId="0" applyNumberFormat="1" applyFont="1" applyFill="1" applyBorder="1"/>
    <xf numFmtId="3" fontId="4" fillId="35" borderId="43" xfId="0" applyNumberFormat="1" applyFont="1" applyFill="1" applyBorder="1" applyAlignment="1">
      <alignment vertical="center"/>
    </xf>
    <xf numFmtId="164" fontId="121" fillId="2" borderId="67" xfId="0" applyNumberFormat="1" applyFont="1" applyFill="1" applyBorder="1" applyAlignment="1">
      <alignment horizontal="right" vertical="center"/>
    </xf>
    <xf numFmtId="3" fontId="120" fillId="2" borderId="61" xfId="0" applyNumberFormat="1" applyFont="1" applyFill="1" applyBorder="1" applyAlignment="1" applyProtection="1">
      <alignment horizontal="right" vertical="center"/>
    </xf>
    <xf numFmtId="164" fontId="117" fillId="2" borderId="70" xfId="0" applyNumberFormat="1" applyFont="1" applyFill="1" applyBorder="1" applyAlignment="1">
      <alignment horizontal="right" vertical="center"/>
    </xf>
    <xf numFmtId="164" fontId="4" fillId="2" borderId="74" xfId="0" applyNumberFormat="1" applyFont="1" applyFill="1" applyBorder="1" applyAlignment="1" applyProtection="1">
      <alignment horizontal="left" vertical="center"/>
    </xf>
    <xf numFmtId="164" fontId="6" fillId="2" borderId="68" xfId="0" applyNumberFormat="1" applyFont="1" applyFill="1" applyBorder="1" applyAlignment="1">
      <alignment horizontal="right" vertical="center"/>
    </xf>
    <xf numFmtId="3" fontId="4" fillId="2" borderId="43" xfId="0" applyNumberFormat="1" applyFont="1" applyFill="1" applyBorder="1" applyAlignment="1">
      <alignment vertical="center"/>
    </xf>
    <xf numFmtId="3" fontId="4" fillId="2" borderId="64" xfId="0" applyNumberFormat="1" applyFont="1" applyFill="1" applyBorder="1" applyAlignment="1">
      <alignment vertical="center"/>
    </xf>
    <xf numFmtId="164" fontId="122" fillId="2" borderId="64" xfId="0" applyNumberFormat="1" applyFont="1" applyFill="1" applyBorder="1" applyAlignment="1">
      <alignment vertical="center"/>
    </xf>
    <xf numFmtId="3" fontId="4" fillId="35" borderId="0" xfId="0" applyNumberFormat="1" applyFont="1" applyFill="1" applyBorder="1" applyAlignment="1">
      <alignment vertical="center"/>
    </xf>
    <xf numFmtId="165" fontId="4" fillId="2" borderId="64" xfId="0" applyNumberFormat="1" applyFont="1" applyFill="1" applyBorder="1" applyAlignment="1" applyProtection="1">
      <alignment horizontal="right" vertical="center"/>
    </xf>
    <xf numFmtId="0" fontId="25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2" borderId="0" xfId="0" applyFill="1" applyBorder="1"/>
    <xf numFmtId="0" fontId="0" fillId="2" borderId="0" xfId="0" applyFont="1" applyFill="1" applyBorder="1" applyAlignment="1">
      <alignment vertical="top" wrapText="1"/>
    </xf>
    <xf numFmtId="0" fontId="0" fillId="2" borderId="0" xfId="0" applyFont="1" applyFill="1" applyBorder="1" applyAlignment="1">
      <alignment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vertical="center" wrapText="1"/>
    </xf>
    <xf numFmtId="172" fontId="2" fillId="2" borderId="2" xfId="1" applyNumberFormat="1" applyFont="1" applyFill="1" applyBorder="1" applyAlignment="1">
      <alignment horizontal="center" vertical="center" wrapText="1"/>
    </xf>
    <xf numFmtId="0" fontId="103" fillId="2" borderId="2" xfId="0" applyFont="1" applyFill="1" applyBorder="1" applyAlignment="1">
      <alignment vertical="center" wrapText="1"/>
    </xf>
    <xf numFmtId="0" fontId="104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171" fontId="2" fillId="2" borderId="0" xfId="0" applyNumberFormat="1" applyFont="1" applyFill="1" applyBorder="1" applyAlignment="1">
      <alignment horizontal="center" vertical="center" wrapText="1"/>
    </xf>
    <xf numFmtId="0" fontId="103" fillId="2" borderId="5" xfId="0" applyFont="1" applyFill="1" applyBorder="1" applyAlignment="1">
      <alignment horizontal="right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left" vertical="center" wrapText="1"/>
    </xf>
    <xf numFmtId="171" fontId="0" fillId="2" borderId="0" xfId="0" applyNumberFormat="1" applyFont="1" applyFill="1" applyBorder="1" applyAlignment="1">
      <alignment horizontal="center" vertical="center" wrapText="1"/>
    </xf>
    <xf numFmtId="0" fontId="105" fillId="2" borderId="0" xfId="0" applyFont="1" applyFill="1" applyBorder="1" applyAlignment="1">
      <alignment horizontal="right" vertical="center" wrapText="1"/>
    </xf>
    <xf numFmtId="171" fontId="105" fillId="2" borderId="0" xfId="0" applyNumberFormat="1" applyFont="1" applyFill="1" applyBorder="1" applyAlignment="1">
      <alignment horizontal="right" vertical="top" wrapText="1"/>
    </xf>
    <xf numFmtId="0" fontId="106" fillId="2" borderId="0" xfId="0" applyNumberFormat="1" applyFont="1" applyFill="1" applyBorder="1" applyAlignment="1">
      <alignment horizontal="right" vertical="center" wrapText="1"/>
    </xf>
    <xf numFmtId="164" fontId="0" fillId="2" borderId="0" xfId="0" applyNumberFormat="1" applyFont="1" applyFill="1" applyBorder="1" applyAlignment="1">
      <alignment horizontal="left" vertical="center"/>
    </xf>
    <xf numFmtId="171" fontId="105" fillId="2" borderId="0" xfId="0" applyNumberFormat="1" applyFont="1" applyFill="1" applyBorder="1" applyAlignment="1">
      <alignment horizontal="right" vertical="center" wrapText="1"/>
    </xf>
    <xf numFmtId="0" fontId="25" fillId="2" borderId="0" xfId="0" applyNumberFormat="1" applyFont="1" applyFill="1" applyBorder="1" applyAlignment="1">
      <alignment vertical="center" wrapText="1"/>
    </xf>
    <xf numFmtId="0" fontId="0" fillId="2" borderId="0" xfId="0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 wrapText="1"/>
    </xf>
    <xf numFmtId="171" fontId="0" fillId="2" borderId="6" xfId="0" applyNumberFormat="1" applyFont="1" applyFill="1" applyBorder="1" applyAlignment="1">
      <alignment horizontal="center" vertical="center" wrapText="1"/>
    </xf>
    <xf numFmtId="171" fontId="105" fillId="2" borderId="6" xfId="0" applyNumberFormat="1" applyFont="1" applyFill="1" applyBorder="1" applyAlignment="1">
      <alignment horizontal="right" vertical="top" wrapText="1"/>
    </xf>
    <xf numFmtId="0" fontId="39" fillId="2" borderId="0" xfId="0" applyFont="1" applyFill="1" applyBorder="1" applyAlignment="1">
      <alignment vertical="center" wrapText="1"/>
    </xf>
    <xf numFmtId="0" fontId="50" fillId="2" borderId="0" xfId="0" applyFont="1" applyFill="1" applyBorder="1" applyAlignment="1">
      <alignment vertical="center"/>
    </xf>
    <xf numFmtId="0" fontId="39" fillId="2" borderId="0" xfId="0" applyFont="1" applyFill="1" applyBorder="1" applyAlignment="1">
      <alignment horizontal="center" vertical="center" wrapText="1"/>
    </xf>
    <xf numFmtId="0" fontId="107" fillId="2" borderId="0" xfId="0" applyFont="1" applyFill="1" applyBorder="1" applyAlignment="1">
      <alignment vertical="center"/>
    </xf>
    <xf numFmtId="0" fontId="50" fillId="2" borderId="0" xfId="0" applyFont="1" applyFill="1" applyBorder="1" applyAlignment="1">
      <alignment horizontal="left" vertical="center" wrapText="1"/>
    </xf>
    <xf numFmtId="0" fontId="50" fillId="2" borderId="0" xfId="0" applyFont="1" applyFill="1" applyBorder="1" applyAlignment="1">
      <alignment vertical="center" wrapText="1"/>
    </xf>
    <xf numFmtId="0" fontId="118" fillId="2" borderId="0" xfId="0" applyFont="1" applyFill="1" applyBorder="1" applyAlignment="1">
      <alignment horizontal="center" vertical="center" wrapText="1"/>
    </xf>
    <xf numFmtId="0" fontId="117" fillId="2" borderId="0" xfId="0" applyFont="1" applyFill="1" applyBorder="1" applyAlignment="1">
      <alignment vertical="center" wrapText="1"/>
    </xf>
    <xf numFmtId="3" fontId="120" fillId="2" borderId="1" xfId="0" applyNumberFormat="1" applyFont="1" applyFill="1" applyBorder="1" applyAlignment="1" applyProtection="1">
      <alignment horizontal="right" vertical="center"/>
    </xf>
    <xf numFmtId="164" fontId="4" fillId="2" borderId="71" xfId="0" applyNumberFormat="1" applyFont="1" applyFill="1" applyBorder="1" applyAlignment="1" applyProtection="1">
      <alignment horizontal="left" vertical="center"/>
    </xf>
    <xf numFmtId="3" fontId="4" fillId="2" borderId="0" xfId="0" applyNumberFormat="1" applyFont="1" applyFill="1" applyBorder="1" applyAlignment="1">
      <alignment vertical="center"/>
    </xf>
    <xf numFmtId="164" fontId="120" fillId="2" borderId="1" xfId="0" applyNumberFormat="1" applyFont="1" applyFill="1" applyBorder="1" applyAlignment="1" applyProtection="1">
      <alignment horizontal="left" vertical="center"/>
    </xf>
    <xf numFmtId="164" fontId="117" fillId="2" borderId="73" xfId="0" applyNumberFormat="1" applyFont="1" applyFill="1" applyBorder="1" applyAlignment="1">
      <alignment horizontal="right" vertical="center"/>
    </xf>
    <xf numFmtId="164" fontId="123" fillId="2" borderId="64" xfId="52" applyNumberFormat="1" applyFill="1" applyBorder="1" applyAlignment="1" applyProtection="1"/>
    <xf numFmtId="3" fontId="4" fillId="2" borderId="69" xfId="0" applyNumberFormat="1" applyFont="1" applyFill="1" applyBorder="1" applyAlignment="1">
      <alignment vertical="center"/>
    </xf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0" fontId="45" fillId="2" borderId="6" xfId="0" applyNumberFormat="1" applyFont="1" applyFill="1" applyBorder="1" applyAlignment="1">
      <alignment horizontal="left" vertical="center"/>
    </xf>
    <xf numFmtId="0" fontId="32" fillId="2" borderId="0" xfId="0" applyNumberFormat="1" applyFont="1" applyFill="1" applyAlignment="1">
      <alignment vertical="top"/>
    </xf>
    <xf numFmtId="170" fontId="0" fillId="2" borderId="0" xfId="1" applyNumberFormat="1" applyFont="1" applyFill="1"/>
    <xf numFmtId="164" fontId="9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0" fontId="5" fillId="2" borderId="43" xfId="0" applyNumberFormat="1" applyFont="1" applyFill="1" applyBorder="1" applyAlignment="1">
      <alignment horizontal="center" vertical="center"/>
    </xf>
    <xf numFmtId="0" fontId="5" fillId="2" borderId="43" xfId="0" applyNumberFormat="1" applyFont="1" applyFill="1" applyBorder="1" applyAlignment="1">
      <alignment horizontal="left" vertical="center" wrapText="1"/>
    </xf>
    <xf numFmtId="3" fontId="5" fillId="2" borderId="43" xfId="1" applyNumberFormat="1" applyFont="1" applyFill="1" applyBorder="1" applyAlignment="1"/>
    <xf numFmtId="3" fontId="3" fillId="2" borderId="43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40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166" fontId="3" fillId="2" borderId="1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0" fontId="0" fillId="2" borderId="0" xfId="0" applyFill="1"/>
    <xf numFmtId="0" fontId="5" fillId="2" borderId="0" xfId="0" applyFont="1" applyFill="1" applyAlignment="1">
      <alignment vertical="center"/>
    </xf>
    <xf numFmtId="168" fontId="0" fillId="2" borderId="0" xfId="0" applyNumberFormat="1" applyFill="1"/>
    <xf numFmtId="0" fontId="0" fillId="2" borderId="0" xfId="0" applyFill="1" applyBorder="1"/>
    <xf numFmtId="0" fontId="2" fillId="2" borderId="36" xfId="0" applyFont="1" applyFill="1" applyBorder="1" applyAlignment="1">
      <alignment horizontal="right" vertical="center" indent="4"/>
    </xf>
    <xf numFmtId="0" fontId="2" fillId="2" borderId="0" xfId="0" applyFont="1" applyFill="1" applyBorder="1"/>
    <xf numFmtId="170" fontId="51" fillId="2" borderId="0" xfId="1" applyNumberFormat="1" applyFont="1" applyFill="1" applyBorder="1" applyAlignment="1">
      <alignment horizontal="right" vertical="center" wrapText="1"/>
    </xf>
    <xf numFmtId="171" fontId="108" fillId="2" borderId="0" xfId="0" applyNumberFormat="1" applyFont="1" applyFill="1" applyBorder="1" applyAlignment="1">
      <alignment horizontal="right" vertical="top" wrapText="1"/>
    </xf>
    <xf numFmtId="0" fontId="2" fillId="2" borderId="0" xfId="0" applyFont="1" applyFill="1"/>
    <xf numFmtId="0" fontId="101" fillId="2" borderId="0" xfId="0" applyFont="1" applyFill="1" applyBorder="1" applyAlignment="1">
      <alignment horizontal="left" indent="2"/>
    </xf>
    <xf numFmtId="170" fontId="45" fillId="2" borderId="0" xfId="1" applyNumberFormat="1" applyFont="1" applyFill="1" applyBorder="1" applyAlignment="1">
      <alignment horizontal="right" vertical="center" wrapText="1"/>
    </xf>
    <xf numFmtId="170" fontId="45" fillId="2" borderId="37" xfId="1" applyNumberFormat="1" applyFont="1" applyFill="1" applyBorder="1" applyAlignment="1">
      <alignment horizontal="right" vertical="center" wrapText="1" indent="4"/>
    </xf>
    <xf numFmtId="170" fontId="45" fillId="2" borderId="0" xfId="1" applyNumberFormat="1" applyFont="1" applyFill="1" applyBorder="1" applyAlignment="1">
      <alignment horizontal="right" vertical="center" wrapText="1" indent="4"/>
    </xf>
    <xf numFmtId="171" fontId="112" fillId="2" borderId="0" xfId="0" applyNumberFormat="1" applyFont="1" applyFill="1" applyBorder="1" applyAlignment="1">
      <alignment horizontal="right" vertical="top" wrapText="1"/>
    </xf>
    <xf numFmtId="0" fontId="0" fillId="2" borderId="0" xfId="0" applyFill="1" applyBorder="1" applyAlignment="1">
      <alignment horizontal="right" vertical="center"/>
    </xf>
    <xf numFmtId="0" fontId="2" fillId="2" borderId="6" xfId="0" applyFont="1" applyFill="1" applyBorder="1"/>
    <xf numFmtId="170" fontId="51" fillId="2" borderId="6" xfId="1" applyNumberFormat="1" applyFont="1" applyFill="1" applyBorder="1" applyAlignment="1">
      <alignment horizontal="right" vertical="center" wrapText="1"/>
    </xf>
    <xf numFmtId="171" fontId="108" fillId="2" borderId="6" xfId="0" applyNumberFormat="1" applyFont="1" applyFill="1" applyBorder="1" applyAlignment="1">
      <alignment horizontal="right" vertical="top" wrapText="1"/>
    </xf>
    <xf numFmtId="0" fontId="40" fillId="2" borderId="0" xfId="0" applyFont="1" applyFill="1" applyAlignment="1">
      <alignment vertical="top"/>
    </xf>
    <xf numFmtId="170" fontId="0" fillId="2" borderId="0" xfId="0" applyNumberFormat="1" applyFill="1"/>
    <xf numFmtId="0" fontId="113" fillId="2" borderId="0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center"/>
    </xf>
    <xf numFmtId="0" fontId="5" fillId="2" borderId="0" xfId="0" applyFont="1" applyFill="1" applyAlignment="1"/>
    <xf numFmtId="0" fontId="3" fillId="2" borderId="0" xfId="0" applyFont="1" applyFill="1" applyAlignment="1"/>
    <xf numFmtId="0" fontId="2" fillId="2" borderId="6" xfId="0" applyFont="1" applyFill="1" applyBorder="1" applyAlignment="1">
      <alignment horizontal="right" vertical="center"/>
    </xf>
    <xf numFmtId="0" fontId="51" fillId="2" borderId="0" xfId="0" applyFont="1" applyFill="1" applyBorder="1" applyAlignment="1">
      <alignment vertical="center"/>
    </xf>
    <xf numFmtId="0" fontId="51" fillId="2" borderId="0" xfId="0" applyFont="1" applyFill="1" applyBorder="1" applyAlignment="1">
      <alignment horizontal="right" vertical="center"/>
    </xf>
    <xf numFmtId="0" fontId="116" fillId="2" borderId="12" xfId="0" applyNumberFormat="1" applyFont="1" applyFill="1" applyBorder="1" applyAlignment="1">
      <alignment vertical="center"/>
    </xf>
    <xf numFmtId="0" fontId="45" fillId="2" borderId="0" xfId="0" applyFont="1" applyFill="1" applyAlignment="1"/>
    <xf numFmtId="0" fontId="45" fillId="2" borderId="0" xfId="0" applyFont="1" applyFill="1" applyBorder="1" applyAlignment="1">
      <alignment horizontal="left" vertical="center" indent="3"/>
    </xf>
    <xf numFmtId="0" fontId="45" fillId="2" borderId="0" xfId="0" applyFont="1" applyFill="1" applyBorder="1" applyAlignment="1">
      <alignment horizontal="right" vertical="center"/>
    </xf>
    <xf numFmtId="0" fontId="60" fillId="2" borderId="12" xfId="0" applyNumberFormat="1" applyFont="1" applyFill="1" applyBorder="1" applyAlignment="1">
      <alignment horizontal="right" vertical="center" indent="2"/>
    </xf>
    <xf numFmtId="168" fontId="45" fillId="2" borderId="6" xfId="0" applyNumberFormat="1" applyFont="1" applyFill="1" applyBorder="1" applyAlignment="1">
      <alignment horizontal="right" vertical="center"/>
    </xf>
    <xf numFmtId="0" fontId="60" fillId="2" borderId="6" xfId="0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vertical="center"/>
    </xf>
    <xf numFmtId="0" fontId="117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/>
    <xf numFmtId="0" fontId="113" fillId="2" borderId="0" xfId="0" applyFont="1" applyFill="1" applyBorder="1" applyAlignment="1">
      <alignment horizontal="right" vertical="center" wrapText="1"/>
    </xf>
    <xf numFmtId="166" fontId="55" fillId="2" borderId="0" xfId="6" applyNumberFormat="1" applyFont="1" applyFill="1" applyBorder="1" applyAlignment="1">
      <alignment horizontal="right" vertical="center"/>
    </xf>
    <xf numFmtId="0" fontId="28" fillId="2" borderId="3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top"/>
    </xf>
    <xf numFmtId="0" fontId="117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center"/>
    </xf>
    <xf numFmtId="171" fontId="108" fillId="2" borderId="0" xfId="0" applyNumberFormat="1" applyFont="1" applyFill="1" applyBorder="1" applyAlignment="1">
      <alignment horizontal="right" vertical="center" wrapText="1"/>
    </xf>
    <xf numFmtId="171" fontId="108" fillId="2" borderId="0" xfId="0" applyNumberFormat="1" applyFont="1" applyFill="1" applyBorder="1" applyAlignment="1">
      <alignment horizontal="right" vertical="center"/>
    </xf>
    <xf numFmtId="170" fontId="51" fillId="2" borderId="38" xfId="1" applyNumberFormat="1" applyFont="1" applyFill="1" applyBorder="1" applyAlignment="1">
      <alignment horizontal="center" vertical="center" wrapText="1"/>
    </xf>
    <xf numFmtId="170" fontId="51" fillId="2" borderId="37" xfId="1" applyNumberFormat="1" applyFont="1" applyFill="1" applyBorder="1" applyAlignment="1">
      <alignment horizontal="center" vertical="center" wrapText="1"/>
    </xf>
    <xf numFmtId="170" fontId="51" fillId="2" borderId="36" xfId="1" applyNumberFormat="1" applyFont="1" applyFill="1" applyBorder="1" applyAlignment="1">
      <alignment horizontal="center" vertical="center" wrapText="1"/>
    </xf>
    <xf numFmtId="165" fontId="4" fillId="2" borderId="74" xfId="0" applyNumberFormat="1" applyFont="1" applyFill="1" applyBorder="1" applyAlignment="1" applyProtection="1">
      <alignment horizontal="right" vertical="center"/>
    </xf>
    <xf numFmtId="164" fontId="117" fillId="2" borderId="75" xfId="0" applyNumberFormat="1" applyFont="1" applyFill="1" applyBorder="1" applyAlignment="1">
      <alignment horizontal="right" vertical="center"/>
    </xf>
    <xf numFmtId="164" fontId="7" fillId="2" borderId="74" xfId="0" applyNumberFormat="1" applyFont="1" applyFill="1" applyBorder="1"/>
    <xf numFmtId="164" fontId="122" fillId="2" borderId="74" xfId="0" applyNumberFormat="1" applyFont="1" applyFill="1" applyBorder="1" applyAlignment="1">
      <alignment vertical="center"/>
    </xf>
    <xf numFmtId="164" fontId="7" fillId="2" borderId="74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117" fillId="2" borderId="0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/>
    <xf numFmtId="164" fontId="122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165" fontId="4" fillId="2" borderId="76" xfId="0" applyNumberFormat="1" applyFont="1" applyFill="1" applyBorder="1" applyAlignment="1" applyProtection="1">
      <alignment horizontal="right" vertical="center"/>
    </xf>
    <xf numFmtId="165" fontId="4" fillId="2" borderId="43" xfId="0" applyNumberFormat="1" applyFont="1" applyFill="1" applyBorder="1" applyAlignment="1" applyProtection="1">
      <alignment horizontal="right" vertical="center"/>
    </xf>
    <xf numFmtId="164" fontId="7" fillId="2" borderId="1" xfId="0" applyNumberFormat="1" applyFont="1" applyFill="1" applyBorder="1"/>
    <xf numFmtId="164" fontId="122" fillId="2" borderId="1" xfId="0" applyNumberFormat="1" applyFont="1" applyFill="1" applyBorder="1" applyAlignment="1">
      <alignment vertical="center"/>
    </xf>
    <xf numFmtId="164" fontId="7" fillId="2" borderId="1" xfId="0" applyNumberFormat="1" applyFont="1" applyFill="1" applyBorder="1" applyAlignment="1">
      <alignment vertical="center"/>
    </xf>
    <xf numFmtId="165" fontId="120" fillId="2" borderId="1" xfId="0" applyNumberFormat="1" applyFont="1" applyFill="1" applyBorder="1" applyAlignment="1" applyProtection="1">
      <alignment horizontal="right" vertical="center"/>
    </xf>
    <xf numFmtId="165" fontId="4" fillId="2" borderId="1" xfId="0" applyNumberFormat="1" applyFont="1" applyFill="1" applyBorder="1" applyAlignment="1" applyProtection="1">
      <alignment horizontal="right" vertical="center"/>
    </xf>
    <xf numFmtId="164" fontId="4" fillId="2" borderId="77" xfId="0" applyNumberFormat="1" applyFont="1" applyFill="1" applyBorder="1" applyAlignment="1" applyProtection="1">
      <alignment horizontal="left" vertical="center"/>
    </xf>
    <xf numFmtId="165" fontId="4" fillId="2" borderId="78" xfId="0" applyNumberFormat="1" applyFont="1" applyFill="1" applyBorder="1" applyAlignment="1">
      <alignment horizontal="right" vertical="center"/>
    </xf>
    <xf numFmtId="165" fontId="4" fillId="2" borderId="79" xfId="0" applyNumberFormat="1" applyFont="1" applyFill="1" applyBorder="1" applyAlignment="1" applyProtection="1">
      <alignment horizontal="right" vertical="center"/>
    </xf>
    <xf numFmtId="165" fontId="4" fillId="2" borderId="6" xfId="0" applyNumberFormat="1" applyFont="1" applyFill="1" applyBorder="1" applyAlignment="1" applyProtection="1">
      <alignment horizontal="right" vertical="center"/>
    </xf>
    <xf numFmtId="164" fontId="117" fillId="2" borderId="66" xfId="0" applyNumberFormat="1" applyFont="1" applyFill="1" applyBorder="1" applyAlignment="1">
      <alignment horizontal="right" vertical="center"/>
    </xf>
    <xf numFmtId="164" fontId="122" fillId="2" borderId="61" xfId="0" applyNumberFormat="1" applyFont="1" applyFill="1" applyBorder="1" applyAlignment="1">
      <alignment vertical="center"/>
    </xf>
    <xf numFmtId="164" fontId="122" fillId="2" borderId="68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 applyProtection="1">
      <alignment horizontal="fill" vertical="center"/>
    </xf>
    <xf numFmtId="164" fontId="4" fillId="0" borderId="1" xfId="0" applyNumberFormat="1" applyFont="1" applyFill="1" applyBorder="1" applyAlignment="1" applyProtection="1">
      <alignment horizontal="fill" vertical="center"/>
    </xf>
    <xf numFmtId="164" fontId="122" fillId="0" borderId="64" xfId="0" applyNumberFormat="1" applyFont="1" applyFill="1" applyBorder="1" applyAlignment="1">
      <alignment vertical="center"/>
    </xf>
    <xf numFmtId="3" fontId="124" fillId="2" borderId="64" xfId="0" applyNumberFormat="1" applyFont="1" applyFill="1" applyBorder="1" applyAlignment="1" applyProtection="1">
      <alignment horizontal="right" vertical="center"/>
    </xf>
    <xf numFmtId="164" fontId="124" fillId="2" borderId="64" xfId="0" applyNumberFormat="1" applyFont="1" applyFill="1" applyBorder="1" applyAlignment="1" applyProtection="1">
      <alignment horizontal="left" vertical="center"/>
    </xf>
    <xf numFmtId="164" fontId="124" fillId="2" borderId="64" xfId="0" applyNumberFormat="1" applyFont="1" applyFill="1" applyBorder="1" applyAlignment="1">
      <alignment horizontal="right" vertical="center"/>
    </xf>
    <xf numFmtId="3" fontId="122" fillId="2" borderId="64" xfId="0" applyNumberFormat="1" applyFont="1" applyFill="1" applyBorder="1" applyAlignment="1" applyProtection="1">
      <alignment horizontal="right" vertical="center"/>
    </xf>
    <xf numFmtId="3" fontId="124" fillId="2" borderId="64" xfId="0" applyNumberFormat="1" applyFont="1" applyFill="1" applyBorder="1" applyAlignment="1">
      <alignment vertical="center"/>
    </xf>
    <xf numFmtId="164" fontId="122" fillId="2" borderId="64" xfId="0" applyNumberFormat="1" applyFont="1" applyFill="1" applyBorder="1" applyAlignment="1" applyProtection="1">
      <alignment horizontal="left" vertical="center"/>
    </xf>
    <xf numFmtId="3" fontId="122" fillId="2" borderId="64" xfId="0" applyNumberFormat="1" applyFont="1" applyFill="1" applyBorder="1" applyAlignment="1">
      <alignment vertical="center"/>
    </xf>
    <xf numFmtId="164" fontId="122" fillId="2" borderId="74" xfId="0" applyNumberFormat="1" applyFont="1" applyFill="1" applyBorder="1" applyAlignment="1" applyProtection="1">
      <alignment horizontal="left" vertical="center"/>
    </xf>
    <xf numFmtId="3" fontId="122" fillId="2" borderId="74" xfId="0" applyNumberFormat="1" applyFont="1" applyFill="1" applyBorder="1" applyAlignment="1">
      <alignment vertical="center"/>
    </xf>
    <xf numFmtId="164" fontId="0" fillId="2" borderId="74" xfId="0" applyNumberFormat="1" applyFont="1" applyFill="1" applyBorder="1" applyAlignment="1">
      <alignment vertical="center"/>
    </xf>
    <xf numFmtId="164" fontId="122" fillId="2" borderId="69" xfId="0" applyNumberFormat="1" applyFont="1" applyFill="1" applyBorder="1" applyAlignment="1">
      <alignment vertical="center"/>
    </xf>
    <xf numFmtId="164" fontId="122" fillId="2" borderId="0" xfId="0" applyNumberFormat="1" applyFont="1" applyFill="1" applyBorder="1" applyAlignment="1" applyProtection="1">
      <alignment horizontal="left" vertical="center"/>
    </xf>
    <xf numFmtId="3" fontId="122" fillId="2" borderId="0" xfId="0" applyNumberFormat="1" applyFont="1" applyFill="1" applyBorder="1" applyAlignment="1">
      <alignment vertical="center"/>
    </xf>
    <xf numFmtId="164" fontId="0" fillId="2" borderId="0" xfId="0" applyNumberFormat="1" applyFont="1" applyFill="1" applyBorder="1" applyAlignment="1">
      <alignment vertical="center"/>
    </xf>
    <xf numFmtId="164" fontId="0" fillId="2" borderId="70" xfId="0" applyNumberFormat="1" applyFont="1" applyFill="1" applyBorder="1" applyAlignment="1">
      <alignment vertical="center"/>
    </xf>
    <xf numFmtId="164" fontId="0" fillId="2" borderId="0" xfId="0" applyNumberFormat="1" applyFont="1" applyFill="1" applyAlignment="1">
      <alignment vertical="center"/>
    </xf>
    <xf numFmtId="164" fontId="124" fillId="2" borderId="0" xfId="0" applyNumberFormat="1" applyFont="1" applyFill="1" applyBorder="1" applyAlignment="1" applyProtection="1">
      <alignment horizontal="left" vertical="center"/>
    </xf>
    <xf numFmtId="164" fontId="124" fillId="2" borderId="0" xfId="0" applyNumberFormat="1" applyFont="1" applyFill="1" applyBorder="1" applyAlignment="1">
      <alignment horizontal="right" vertical="center"/>
    </xf>
    <xf numFmtId="164" fontId="4" fillId="2" borderId="70" xfId="0" applyNumberFormat="1" applyFont="1" applyFill="1" applyBorder="1" applyAlignment="1" applyProtection="1">
      <alignment horizontal="right" vertical="center"/>
    </xf>
    <xf numFmtId="164" fontId="122" fillId="2" borderId="0" xfId="0" applyNumberFormat="1" applyFont="1" applyFill="1" applyAlignment="1">
      <alignment vertical="center"/>
    </xf>
    <xf numFmtId="164" fontId="124" fillId="2" borderId="0" xfId="0" applyNumberFormat="1" applyFont="1" applyFill="1" applyAlignment="1" applyProtection="1">
      <alignment horizontal="left" vertical="center"/>
    </xf>
    <xf numFmtId="3" fontId="124" fillId="2" borderId="0" xfId="0" applyNumberFormat="1" applyFont="1" applyFill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3" fontId="4" fillId="0" borderId="43" xfId="0" applyNumberFormat="1" applyFont="1" applyFill="1" applyBorder="1" applyAlignment="1">
      <alignment vertical="center"/>
    </xf>
    <xf numFmtId="164" fontId="0" fillId="0" borderId="64" xfId="0" applyNumberFormat="1" applyFont="1" applyFill="1" applyBorder="1" applyAlignment="1">
      <alignment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125" fillId="2" borderId="6" xfId="1" applyNumberFormat="1" applyFont="1" applyFill="1" applyBorder="1" applyAlignment="1">
      <alignment horizontal="right" vertical="center" wrapText="1"/>
    </xf>
    <xf numFmtId="0" fontId="3" fillId="2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43" xfId="0" applyNumberFormat="1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3" fontId="5" fillId="2" borderId="6" xfId="1" applyNumberFormat="1" applyFont="1" applyFill="1" applyBorder="1" applyAlignment="1"/>
    <xf numFmtId="3" fontId="3" fillId="2" borderId="6" xfId="1" applyNumberFormat="1" applyFont="1" applyFill="1" applyBorder="1" applyAlignment="1"/>
    <xf numFmtId="164" fontId="5" fillId="2" borderId="0" xfId="0" applyNumberFormat="1" applyFont="1" applyFill="1" applyBorder="1" applyAlignment="1">
      <alignment vertical="top"/>
    </xf>
    <xf numFmtId="164" fontId="3" fillId="2" borderId="85" xfId="0" applyNumberFormat="1" applyFont="1" applyFill="1" applyBorder="1" applyAlignment="1">
      <alignment horizontal="center" vertical="center"/>
    </xf>
    <xf numFmtId="164" fontId="5" fillId="2" borderId="13" xfId="0" applyNumberFormat="1" applyFont="1" applyFill="1" applyBorder="1" applyAlignment="1">
      <alignment vertical="center"/>
    </xf>
    <xf numFmtId="164" fontId="5" fillId="2" borderId="7" xfId="0" applyNumberFormat="1" applyFont="1" applyFill="1" applyBorder="1" applyAlignment="1">
      <alignment vertical="center"/>
    </xf>
    <xf numFmtId="164" fontId="3" fillId="2" borderId="7" xfId="0" applyNumberFormat="1" applyFont="1" applyFill="1" applyBorder="1" applyAlignment="1">
      <alignment horizontal="right" vertical="center" wrapText="1"/>
    </xf>
    <xf numFmtId="164" fontId="3" fillId="2" borderId="87" xfId="0" applyNumberFormat="1" applyFont="1" applyFill="1" applyBorder="1" applyAlignment="1">
      <alignment horizontal="right" vertical="center" wrapText="1"/>
    </xf>
    <xf numFmtId="164" fontId="3" fillId="2" borderId="88" xfId="0" applyNumberFormat="1" applyFont="1" applyFill="1" applyBorder="1" applyAlignment="1">
      <alignment horizontal="right" vertical="center" wrapText="1"/>
    </xf>
    <xf numFmtId="164" fontId="3" fillId="2" borderId="89" xfId="0" applyNumberFormat="1" applyFont="1" applyFill="1" applyBorder="1" applyAlignment="1">
      <alignment horizontal="right" vertical="center" wrapText="1"/>
    </xf>
    <xf numFmtId="164" fontId="3" fillId="2" borderId="13" xfId="0" applyNumberFormat="1" applyFont="1" applyFill="1" applyBorder="1" applyAlignment="1">
      <alignment horizontal="right" vertical="center" wrapText="1"/>
    </xf>
    <xf numFmtId="164" fontId="3" fillId="2" borderId="21" xfId="0" applyNumberFormat="1" applyFont="1" applyFill="1" applyBorder="1" applyAlignment="1">
      <alignment horizontal="right" vertical="center" wrapText="1"/>
    </xf>
    <xf numFmtId="164" fontId="5" fillId="2" borderId="22" xfId="0" applyNumberFormat="1" applyFont="1" applyFill="1" applyBorder="1" applyAlignment="1">
      <alignment vertical="center"/>
    </xf>
    <xf numFmtId="164" fontId="5" fillId="2" borderId="8" xfId="0" applyNumberFormat="1" applyFont="1" applyFill="1" applyBorder="1" applyAlignment="1">
      <alignment vertical="center"/>
    </xf>
    <xf numFmtId="164" fontId="127" fillId="2" borderId="32" xfId="0" applyNumberFormat="1" applyFont="1" applyFill="1" applyBorder="1" applyAlignment="1">
      <alignment horizontal="right" vertical="center"/>
    </xf>
    <xf numFmtId="164" fontId="127" fillId="2" borderId="11" xfId="0" applyNumberFormat="1" applyFont="1" applyFill="1" applyBorder="1" applyAlignment="1">
      <alignment horizontal="right" vertical="center"/>
    </xf>
    <xf numFmtId="164" fontId="127" fillId="2" borderId="35" xfId="0" applyNumberFormat="1" applyFont="1" applyFill="1" applyBorder="1" applyAlignment="1">
      <alignment horizontal="right" vertical="center"/>
    </xf>
    <xf numFmtId="164" fontId="127" fillId="2" borderId="90" xfId="0" applyNumberFormat="1" applyFont="1" applyFill="1" applyBorder="1" applyAlignment="1">
      <alignment horizontal="right" vertical="center"/>
    </xf>
    <xf numFmtId="164" fontId="127" fillId="2" borderId="31" xfId="0" applyNumberFormat="1" applyFont="1" applyFill="1" applyBorder="1" applyAlignment="1">
      <alignment horizontal="right" vertical="center"/>
    </xf>
    <xf numFmtId="164" fontId="127" fillId="2" borderId="6" xfId="0" applyNumberFormat="1" applyFont="1" applyFill="1" applyBorder="1" applyAlignment="1">
      <alignment horizontal="right" vertical="center"/>
    </xf>
    <xf numFmtId="164" fontId="5" fillId="2" borderId="8" xfId="0" applyNumberFormat="1" applyFont="1" applyFill="1" applyBorder="1" applyAlignment="1">
      <alignment horizontal="center"/>
    </xf>
    <xf numFmtId="164" fontId="3" fillId="2" borderId="14" xfId="0" applyNumberFormat="1" applyFont="1" applyFill="1" applyBorder="1" applyAlignment="1">
      <alignment horizontal="center" vertical="center" wrapText="1"/>
    </xf>
    <xf numFmtId="164" fontId="3" fillId="2" borderId="22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left" vertical="center" indent="1"/>
    </xf>
    <xf numFmtId="3" fontId="3" fillId="2" borderId="68" xfId="1" applyNumberFormat="1" applyFont="1" applyFill="1" applyBorder="1" applyAlignment="1">
      <alignment horizontal="right" vertical="center"/>
    </xf>
    <xf numFmtId="3" fontId="3" fillId="2" borderId="91" xfId="1" applyNumberFormat="1" applyFont="1" applyFill="1" applyBorder="1" applyAlignment="1">
      <alignment horizontal="right" vertical="center"/>
    </xf>
    <xf numFmtId="3" fontId="3" fillId="2" borderId="92" xfId="1" applyNumberFormat="1" applyFont="1" applyFill="1" applyBorder="1" applyAlignment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164" fontId="127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 applyProtection="1">
      <alignment horizontal="left" vertical="center"/>
    </xf>
    <xf numFmtId="3" fontId="3" fillId="2" borderId="70" xfId="1" applyNumberFormat="1" applyFont="1" applyFill="1" applyBorder="1" applyAlignment="1">
      <alignment horizontal="right" vertical="center"/>
    </xf>
    <xf numFmtId="3" fontId="3" fillId="2" borderId="93" xfId="1" applyNumberFormat="1" applyFont="1" applyFill="1" applyBorder="1" applyAlignment="1">
      <alignment horizontal="right" vertical="center"/>
    </xf>
    <xf numFmtId="3" fontId="3" fillId="2" borderId="94" xfId="1" applyNumberFormat="1" applyFont="1" applyFill="1" applyBorder="1" applyAlignment="1">
      <alignment horizontal="right" vertical="center"/>
    </xf>
    <xf numFmtId="3" fontId="3" fillId="2" borderId="95" xfId="1" applyNumberFormat="1" applyFont="1" applyFill="1" applyBorder="1" applyAlignment="1">
      <alignment horizontal="right" vertical="center"/>
    </xf>
    <xf numFmtId="164" fontId="127" fillId="2" borderId="64" xfId="0" applyNumberFormat="1" applyFont="1" applyFill="1" applyBorder="1" applyAlignment="1">
      <alignment horizontal="right" vertical="center"/>
    </xf>
    <xf numFmtId="164" fontId="5" fillId="2" borderId="64" xfId="0" applyNumberFormat="1" applyFont="1" applyFill="1" applyBorder="1" applyAlignment="1">
      <alignment horizontal="left" vertical="center"/>
    </xf>
    <xf numFmtId="164" fontId="5" fillId="2" borderId="64" xfId="0" applyNumberFormat="1" applyFont="1" applyFill="1" applyBorder="1" applyAlignment="1" applyProtection="1">
      <alignment horizontal="left" vertical="center" indent="2"/>
    </xf>
    <xf numFmtId="3" fontId="5" fillId="2" borderId="64" xfId="1" applyNumberFormat="1" applyFont="1" applyFill="1" applyBorder="1" applyAlignment="1">
      <alignment horizontal="right" vertical="center"/>
    </xf>
    <xf numFmtId="3" fontId="5" fillId="2" borderId="96" xfId="1" applyNumberFormat="1" applyFont="1" applyFill="1" applyBorder="1" applyAlignment="1">
      <alignment horizontal="right" vertical="center"/>
    </xf>
    <xf numFmtId="3" fontId="5" fillId="2" borderId="94" xfId="1" applyNumberFormat="1" applyFont="1" applyFill="1" applyBorder="1" applyAlignment="1">
      <alignment horizontal="right" vertical="center"/>
    </xf>
    <xf numFmtId="3" fontId="5" fillId="2" borderId="70" xfId="1" applyNumberFormat="1" applyFont="1" applyFill="1" applyBorder="1" applyAlignment="1">
      <alignment horizontal="right" vertical="center"/>
    </xf>
    <xf numFmtId="3" fontId="5" fillId="2" borderId="69" xfId="1" applyNumberFormat="1" applyFont="1" applyFill="1" applyBorder="1" applyAlignment="1">
      <alignment horizontal="right" vertical="center"/>
    </xf>
    <xf numFmtId="164" fontId="3" fillId="2" borderId="64" xfId="0" applyNumberFormat="1" applyFont="1" applyFill="1" applyBorder="1" applyAlignment="1" applyProtection="1">
      <alignment horizontal="left" vertical="center"/>
    </xf>
    <xf numFmtId="164" fontId="3" fillId="2" borderId="64" xfId="0" applyNumberFormat="1" applyFont="1" applyFill="1" applyBorder="1" applyAlignment="1" applyProtection="1">
      <alignment horizontal="left" vertical="center" indent="1"/>
    </xf>
    <xf numFmtId="164" fontId="5" fillId="2" borderId="78" xfId="0" applyNumberFormat="1" applyFont="1" applyFill="1" applyBorder="1" applyAlignment="1" applyProtection="1">
      <alignment horizontal="left" vertical="center" indent="2"/>
    </xf>
    <xf numFmtId="3" fontId="5" fillId="2" borderId="78" xfId="1" applyNumberFormat="1" applyFont="1" applyFill="1" applyBorder="1" applyAlignment="1">
      <alignment horizontal="right" vertical="center"/>
    </xf>
    <xf numFmtId="3" fontId="5" fillId="2" borderId="97" xfId="1" applyNumberFormat="1" applyFont="1" applyFill="1" applyBorder="1" applyAlignment="1">
      <alignment horizontal="right" vertical="center"/>
    </xf>
    <xf numFmtId="3" fontId="5" fillId="2" borderId="98" xfId="1" applyNumberFormat="1" applyFont="1" applyFill="1" applyBorder="1" applyAlignment="1">
      <alignment horizontal="right" vertical="center"/>
    </xf>
    <xf numFmtId="3" fontId="5" fillId="2" borderId="66" xfId="1" applyNumberFormat="1" applyFont="1" applyFill="1" applyBorder="1" applyAlignment="1">
      <alignment horizontal="right" vertical="center"/>
    </xf>
    <xf numFmtId="3" fontId="5" fillId="2" borderId="65" xfId="1" applyNumberFormat="1" applyFont="1" applyFill="1" applyBorder="1" applyAlignment="1">
      <alignment horizontal="right" vertical="center"/>
    </xf>
    <xf numFmtId="164" fontId="40" fillId="2" borderId="1" xfId="0" applyNumberFormat="1" applyFont="1" applyFill="1" applyBorder="1" applyAlignment="1" applyProtection="1">
      <alignment vertical="center"/>
    </xf>
    <xf numFmtId="164" fontId="5" fillId="2" borderId="1" xfId="0" applyNumberFormat="1" applyFont="1" applyFill="1" applyBorder="1" applyAlignment="1">
      <alignment horizontal="right" vertical="center"/>
    </xf>
    <xf numFmtId="164" fontId="5" fillId="2" borderId="64" xfId="0" applyNumberFormat="1" applyFont="1" applyFill="1" applyBorder="1" applyAlignment="1">
      <alignment vertical="center"/>
    </xf>
    <xf numFmtId="164" fontId="5" fillId="2" borderId="64" xfId="0" applyNumberFormat="1" applyFont="1" applyFill="1" applyBorder="1" applyAlignment="1">
      <alignment horizontal="right" vertical="center"/>
    </xf>
    <xf numFmtId="164" fontId="113" fillId="2" borderId="64" xfId="0" applyNumberFormat="1" applyFont="1" applyFill="1" applyBorder="1" applyAlignment="1">
      <alignment vertical="center"/>
    </xf>
    <xf numFmtId="164" fontId="5" fillId="2" borderId="64" xfId="0" applyNumberFormat="1" applyFont="1" applyFill="1" applyBorder="1" applyAlignment="1" applyProtection="1">
      <alignment horizontal="left" vertical="center"/>
    </xf>
    <xf numFmtId="164" fontId="5" fillId="2" borderId="78" xfId="0" applyNumberFormat="1" applyFont="1" applyFill="1" applyBorder="1" applyAlignment="1" applyProtection="1">
      <alignment horizontal="left" vertical="center"/>
    </xf>
    <xf numFmtId="164" fontId="128" fillId="2" borderId="80" xfId="0" applyNumberFormat="1" applyFont="1" applyFill="1" applyBorder="1" applyAlignment="1">
      <alignment vertical="center"/>
    </xf>
    <xf numFmtId="164" fontId="128" fillId="2" borderId="46" xfId="0" applyNumberFormat="1" applyFont="1" applyFill="1" applyBorder="1" applyAlignment="1">
      <alignment vertical="center"/>
    </xf>
    <xf numFmtId="164" fontId="128" fillId="2" borderId="75" xfId="0" applyNumberFormat="1" applyFont="1" applyFill="1" applyBorder="1" applyAlignment="1">
      <alignment vertical="center"/>
    </xf>
    <xf numFmtId="164" fontId="128" fillId="2" borderId="81" xfId="0" applyNumberFormat="1" applyFont="1" applyFill="1" applyBorder="1" applyAlignment="1">
      <alignment vertical="center"/>
    </xf>
    <xf numFmtId="164" fontId="128" fillId="2" borderId="0" xfId="0" applyNumberFormat="1" applyFont="1" applyFill="1" applyBorder="1" applyAlignment="1">
      <alignment vertical="center"/>
    </xf>
    <xf numFmtId="164" fontId="128" fillId="2" borderId="82" xfId="0" applyNumberFormat="1" applyFont="1" applyFill="1" applyBorder="1" applyAlignment="1">
      <alignment vertical="center"/>
    </xf>
    <xf numFmtId="164" fontId="128" fillId="2" borderId="61" xfId="0" applyNumberFormat="1" applyFont="1" applyFill="1" applyBorder="1" applyAlignment="1">
      <alignment vertical="center"/>
    </xf>
    <xf numFmtId="164" fontId="128" fillId="2" borderId="3" xfId="0" applyNumberFormat="1" applyFont="1" applyFill="1" applyBorder="1" applyAlignment="1">
      <alignment vertical="center"/>
    </xf>
    <xf numFmtId="164" fontId="128" fillId="2" borderId="68" xfId="0" applyNumberFormat="1" applyFont="1" applyFill="1" applyBorder="1" applyAlignment="1">
      <alignment vertical="center"/>
    </xf>
    <xf numFmtId="164" fontId="0" fillId="2" borderId="8" xfId="0" applyNumberFormat="1" applyFill="1" applyBorder="1" applyAlignment="1">
      <alignment vertical="center"/>
    </xf>
    <xf numFmtId="164" fontId="0" fillId="2" borderId="8" xfId="0" applyNumberFormat="1" applyFont="1" applyFill="1" applyBorder="1" applyAlignment="1">
      <alignment vertical="center"/>
    </xf>
    <xf numFmtId="164" fontId="120" fillId="2" borderId="10" xfId="0" applyNumberFormat="1" applyFont="1" applyFill="1" applyBorder="1" applyAlignment="1" applyProtection="1">
      <alignment horizontal="left" vertical="center"/>
    </xf>
    <xf numFmtId="164" fontId="3" fillId="2" borderId="10" xfId="0" applyNumberFormat="1" applyFont="1" applyFill="1" applyBorder="1" applyAlignment="1">
      <alignment vertical="center"/>
    </xf>
    <xf numFmtId="164" fontId="121" fillId="2" borderId="10" xfId="0" applyNumberFormat="1" applyFont="1" applyFill="1" applyBorder="1" applyAlignment="1">
      <alignment vertical="center"/>
    </xf>
    <xf numFmtId="164" fontId="7" fillId="2" borderId="8" xfId="0" applyNumberFormat="1" applyFont="1" applyFill="1" applyBorder="1" applyAlignment="1">
      <alignment vertical="center"/>
    </xf>
    <xf numFmtId="164" fontId="120" fillId="2" borderId="7" xfId="0" applyNumberFormat="1" applyFont="1" applyFill="1" applyBorder="1" applyAlignment="1" applyProtection="1">
      <alignment horizontal="left" vertical="center"/>
    </xf>
    <xf numFmtId="166" fontId="3" fillId="2" borderId="7" xfId="1" applyNumberFormat="1" applyFont="1" applyFill="1" applyBorder="1" applyAlignment="1" applyProtection="1">
      <alignment vertical="center"/>
    </xf>
    <xf numFmtId="164" fontId="121" fillId="2" borderId="7" xfId="0" applyNumberFormat="1" applyFont="1" applyFill="1" applyBorder="1" applyAlignment="1">
      <alignment vertical="center"/>
    </xf>
    <xf numFmtId="164" fontId="4" fillId="2" borderId="8" xfId="0" applyNumberFormat="1" applyFont="1" applyFill="1" applyBorder="1" applyAlignment="1" applyProtection="1">
      <alignment horizontal="left" vertical="center"/>
    </xf>
    <xf numFmtId="166" fontId="5" fillId="2" borderId="8" xfId="1" applyNumberFormat="1" applyFont="1" applyFill="1" applyBorder="1" applyAlignment="1" applyProtection="1">
      <alignment vertical="center"/>
    </xf>
    <xf numFmtId="164" fontId="117" fillId="2" borderId="8" xfId="0" applyNumberFormat="1" applyFont="1" applyFill="1" applyBorder="1" applyAlignment="1">
      <alignment vertical="center"/>
    </xf>
    <xf numFmtId="3" fontId="5" fillId="2" borderId="8" xfId="1" applyNumberFormat="1" applyFont="1" applyFill="1" applyBorder="1" applyAlignment="1" applyProtection="1">
      <alignment vertical="center"/>
    </xf>
    <xf numFmtId="164" fontId="4" fillId="2" borderId="11" xfId="0" applyNumberFormat="1" applyFont="1" applyFill="1" applyBorder="1" applyAlignment="1" applyProtection="1">
      <alignment horizontal="left" vertical="center"/>
    </xf>
    <xf numFmtId="166" fontId="5" fillId="2" borderId="11" xfId="1" applyNumberFormat="1" applyFont="1" applyFill="1" applyBorder="1" applyAlignment="1" applyProtection="1">
      <alignment vertical="center"/>
    </xf>
    <xf numFmtId="164" fontId="117" fillId="2" borderId="11" xfId="0" applyNumberFormat="1" applyFont="1" applyFill="1" applyBorder="1" applyAlignment="1">
      <alignment vertical="center"/>
    </xf>
    <xf numFmtId="164" fontId="29" fillId="2" borderId="7" xfId="0" applyNumberFormat="1" applyFont="1" applyFill="1" applyBorder="1" applyAlignment="1" applyProtection="1">
      <alignment horizontal="fill" vertical="center"/>
    </xf>
    <xf numFmtId="164" fontId="23" fillId="2" borderId="8" xfId="0" applyNumberFormat="1" applyFont="1" applyFill="1" applyBorder="1" applyAlignment="1" applyProtection="1">
      <alignment vertical="center"/>
    </xf>
    <xf numFmtId="164" fontId="120" fillId="2" borderId="10" xfId="0" applyNumberFormat="1" applyFont="1" applyFill="1" applyBorder="1" applyAlignment="1">
      <alignment horizontal="right" vertical="center"/>
    </xf>
    <xf numFmtId="164" fontId="3" fillId="2" borderId="7" xfId="0" applyNumberFormat="1" applyFont="1" applyFill="1" applyBorder="1" applyAlignment="1" applyProtection="1">
      <alignment horizontal="left" vertical="center"/>
    </xf>
    <xf numFmtId="166" fontId="3" fillId="2" borderId="7" xfId="1" applyNumberFormat="1" applyFont="1" applyFill="1" applyBorder="1" applyAlignment="1" applyProtection="1">
      <alignment horizontal="center" vertical="center"/>
    </xf>
    <xf numFmtId="164" fontId="5" fillId="2" borderId="8" xfId="0" applyNumberFormat="1" applyFont="1" applyFill="1" applyBorder="1" applyAlignment="1" applyProtection="1">
      <alignment horizontal="left" vertical="center"/>
    </xf>
    <xf numFmtId="166" fontId="5" fillId="2" borderId="8" xfId="1" applyNumberFormat="1" applyFont="1" applyFill="1" applyBorder="1" applyAlignment="1" applyProtection="1">
      <alignment horizontal="center" vertical="center"/>
    </xf>
    <xf numFmtId="164" fontId="5" fillId="2" borderId="11" xfId="0" applyNumberFormat="1" applyFont="1" applyFill="1" applyBorder="1" applyAlignment="1" applyProtection="1">
      <alignment horizontal="left" vertical="center"/>
    </xf>
    <xf numFmtId="166" fontId="5" fillId="2" borderId="11" xfId="1" applyNumberFormat="1" applyFont="1" applyFill="1" applyBorder="1" applyAlignment="1" applyProtection="1">
      <alignment horizontal="center" vertical="center"/>
    </xf>
    <xf numFmtId="164" fontId="122" fillId="2" borderId="7" xfId="0" applyNumberFormat="1" applyFont="1" applyFill="1" applyBorder="1" applyAlignment="1" applyProtection="1">
      <alignment horizontal="fill" vertical="center"/>
    </xf>
    <xf numFmtId="0" fontId="116" fillId="2" borderId="12" xfId="0" applyNumberFormat="1" applyFont="1" applyFill="1" applyBorder="1" applyAlignment="1">
      <alignment vertical="top"/>
    </xf>
    <xf numFmtId="0" fontId="31" fillId="2" borderId="0" xfId="0" applyNumberFormat="1" applyFont="1" applyFill="1" applyBorder="1" applyAlignment="1">
      <alignment vertical="top"/>
    </xf>
    <xf numFmtId="165" fontId="45" fillId="2" borderId="0" xfId="0" applyNumberFormat="1" applyFont="1" applyFill="1" applyBorder="1"/>
    <xf numFmtId="169" fontId="45" fillId="2" borderId="6" xfId="1" applyNumberFormat="1" applyFont="1" applyFill="1" applyBorder="1" applyAlignment="1">
      <alignment vertical="center"/>
    </xf>
    <xf numFmtId="169" fontId="45" fillId="35" borderId="6" xfId="1" applyNumberFormat="1" applyFont="1" applyFill="1" applyBorder="1" applyAlignment="1">
      <alignment vertical="center"/>
    </xf>
    <xf numFmtId="0" fontId="50" fillId="2" borderId="0" xfId="0" applyFont="1" applyFill="1" applyAlignment="1">
      <alignment vertical="center"/>
    </xf>
    <xf numFmtId="165" fontId="4" fillId="2" borderId="0" xfId="0" applyNumberFormat="1" applyFont="1" applyFill="1"/>
    <xf numFmtId="0" fontId="107" fillId="2" borderId="0" xfId="0" applyFont="1" applyFill="1"/>
    <xf numFmtId="164" fontId="4" fillId="2" borderId="0" xfId="0" applyNumberFormat="1" applyFont="1" applyFill="1"/>
    <xf numFmtId="0" fontId="50" fillId="2" borderId="0" xfId="0" applyFont="1" applyFill="1" applyAlignment="1">
      <alignment horizontal="left" vertical="top" indent="4"/>
    </xf>
    <xf numFmtId="0" fontId="107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horizontal="right" vertical="center"/>
    </xf>
    <xf numFmtId="0" fontId="2" fillId="2" borderId="2" xfId="0" applyNumberFormat="1" applyFont="1" applyFill="1" applyBorder="1" applyAlignment="1">
      <alignment horizontal="right" vertical="center"/>
    </xf>
    <xf numFmtId="1" fontId="45" fillId="2" borderId="0" xfId="0" applyNumberFormat="1" applyFont="1" applyFill="1"/>
    <xf numFmtId="169" fontId="45" fillId="2" borderId="0" xfId="1" applyNumberFormat="1" applyFont="1" applyFill="1"/>
    <xf numFmtId="164" fontId="0" fillId="2" borderId="0" xfId="0" applyNumberFormat="1" applyFont="1" applyFill="1"/>
    <xf numFmtId="164" fontId="51" fillId="2" borderId="0" xfId="0" applyNumberFormat="1" applyFont="1" applyFill="1" applyBorder="1" applyAlignment="1" applyProtection="1">
      <alignment horizontal="left" vertical="center"/>
    </xf>
    <xf numFmtId="164" fontId="45" fillId="2" borderId="0" xfId="0" applyNumberFormat="1" applyFont="1" applyFill="1" applyBorder="1" applyAlignment="1" applyProtection="1">
      <alignment horizontal="left" vertical="center"/>
    </xf>
    <xf numFmtId="164" fontId="45" fillId="2" borderId="0" xfId="0" applyNumberFormat="1" applyFont="1" applyFill="1" applyBorder="1" applyAlignment="1" applyProtection="1">
      <alignment horizontal="left" vertical="center" wrapText="1"/>
    </xf>
    <xf numFmtId="164" fontId="45" fillId="2" borderId="6" xfId="0" applyNumberFormat="1" applyFont="1" applyFill="1" applyBorder="1" applyAlignment="1" applyProtection="1">
      <alignment horizontal="left" vertical="center"/>
    </xf>
    <xf numFmtId="164" fontId="130" fillId="2" borderId="0" xfId="0" applyNumberFormat="1" applyFont="1" applyFill="1" applyBorder="1" applyAlignment="1" applyProtection="1">
      <alignment horizontal="center" vertical="center"/>
    </xf>
    <xf numFmtId="164" fontId="131" fillId="2" borderId="0" xfId="0" applyNumberFormat="1" applyFont="1" applyFill="1" applyBorder="1" applyAlignment="1" applyProtection="1">
      <alignment horizontal="center" vertical="center"/>
    </xf>
    <xf numFmtId="164" fontId="132" fillId="2" borderId="0" xfId="0" applyNumberFormat="1" applyFont="1" applyFill="1" applyBorder="1" applyAlignment="1">
      <alignment vertical="center"/>
    </xf>
    <xf numFmtId="0" fontId="105" fillId="2" borderId="103" xfId="0" applyNumberFormat="1" applyFont="1" applyFill="1" applyBorder="1" applyAlignment="1">
      <alignment horizontal="right" textRotation="90" readingOrder="2"/>
    </xf>
    <xf numFmtId="0" fontId="105" fillId="2" borderId="104" xfId="0" applyNumberFormat="1" applyFont="1" applyFill="1" applyBorder="1" applyAlignment="1">
      <alignment horizontal="right" textRotation="90" readingOrder="2"/>
    </xf>
    <xf numFmtId="0" fontId="44" fillId="2" borderId="104" xfId="0" applyNumberFormat="1" applyFont="1" applyFill="1" applyBorder="1" applyAlignment="1">
      <alignment horizontal="right" textRotation="90" readingOrder="2"/>
    </xf>
    <xf numFmtId="0" fontId="105" fillId="2" borderId="105" xfId="0" applyNumberFormat="1" applyFont="1" applyFill="1" applyBorder="1" applyAlignment="1">
      <alignment horizontal="right" textRotation="90" wrapText="1" readingOrder="2"/>
    </xf>
    <xf numFmtId="164" fontId="114" fillId="2" borderId="102" xfId="0" applyNumberFormat="1" applyFont="1" applyFill="1" applyBorder="1" applyAlignment="1">
      <alignment horizontal="right" vertical="center"/>
    </xf>
    <xf numFmtId="164" fontId="132" fillId="2" borderId="0" xfId="0" applyNumberFormat="1" applyFont="1" applyFill="1"/>
    <xf numFmtId="164" fontId="136" fillId="2" borderId="0" xfId="0" applyNumberFormat="1" applyFont="1" applyFill="1" applyBorder="1" applyAlignment="1">
      <alignment horizontal="right" vertical="center" wrapText="1"/>
    </xf>
    <xf numFmtId="164" fontId="134" fillId="2" borderId="0" xfId="0" applyNumberFormat="1" applyFont="1" applyFill="1"/>
    <xf numFmtId="164" fontId="135" fillId="2" borderId="0" xfId="0" applyNumberFormat="1" applyFont="1" applyFill="1" applyBorder="1" applyAlignment="1">
      <alignment horizontal="right" vertical="center"/>
    </xf>
    <xf numFmtId="164" fontId="136" fillId="2" borderId="0" xfId="0" applyNumberFormat="1" applyFont="1" applyFill="1" applyBorder="1" applyAlignment="1">
      <alignment horizontal="right" vertical="center"/>
    </xf>
    <xf numFmtId="164" fontId="135" fillId="2" borderId="6" xfId="0" applyNumberFormat="1" applyFont="1" applyFill="1" applyBorder="1" applyAlignment="1">
      <alignment horizontal="right" vertical="center"/>
    </xf>
    <xf numFmtId="164" fontId="138" fillId="2" borderId="0" xfId="0" applyNumberFormat="1" applyFont="1" applyFill="1"/>
    <xf numFmtId="164" fontId="138" fillId="2" borderId="0" xfId="0" applyNumberFormat="1" applyFont="1" applyFill="1" applyAlignment="1">
      <alignment horizontal="center"/>
    </xf>
    <xf numFmtId="3" fontId="2" fillId="2" borderId="102" xfId="1" applyNumberFormat="1" applyFont="1" applyFill="1" applyBorder="1" applyAlignment="1" applyProtection="1">
      <alignment horizontal="right" vertical="center" wrapText="1"/>
    </xf>
    <xf numFmtId="3" fontId="2" fillId="2" borderId="5" xfId="1" applyNumberFormat="1" applyFont="1" applyFill="1" applyBorder="1" applyAlignment="1" applyProtection="1">
      <alignment horizontal="right" vertical="center" wrapText="1"/>
    </xf>
    <xf numFmtId="3" fontId="0" fillId="2" borderId="108" xfId="1" applyNumberFormat="1" applyFont="1" applyFill="1" applyBorder="1" applyAlignment="1">
      <alignment horizontal="right" vertical="center"/>
    </xf>
    <xf numFmtId="3" fontId="0" fillId="2" borderId="0" xfId="1" applyNumberFormat="1" applyFont="1" applyFill="1" applyBorder="1" applyAlignment="1" applyProtection="1">
      <alignment horizontal="right" vertical="center" wrapText="1"/>
    </xf>
    <xf numFmtId="3" fontId="0" fillId="2" borderId="107" xfId="1" applyNumberFormat="1" applyFont="1" applyFill="1" applyBorder="1" applyAlignment="1" applyProtection="1">
      <alignment horizontal="right" vertical="center" wrapText="1"/>
    </xf>
    <xf numFmtId="3" fontId="0" fillId="2" borderId="106" xfId="1" applyNumberFormat="1" applyFont="1" applyFill="1" applyBorder="1" applyAlignment="1">
      <alignment horizontal="right" vertical="center"/>
    </xf>
    <xf numFmtId="3" fontId="0" fillId="2" borderId="6" xfId="1" applyNumberFormat="1" applyFont="1" applyFill="1" applyBorder="1" applyAlignment="1" applyProtection="1">
      <alignment horizontal="right" vertical="center" wrapText="1"/>
    </xf>
    <xf numFmtId="3" fontId="0" fillId="2" borderId="109" xfId="1" applyNumberFormat="1" applyFont="1" applyFill="1" applyBorder="1" applyAlignment="1" applyProtection="1">
      <alignment horizontal="right" vertical="center" wrapText="1"/>
    </xf>
    <xf numFmtId="170" fontId="51" fillId="35" borderId="0" xfId="1" applyNumberFormat="1" applyFont="1" applyFill="1" applyBorder="1" applyAlignment="1">
      <alignment horizontal="right" vertical="center"/>
    </xf>
    <xf numFmtId="0" fontId="2" fillId="2" borderId="0" xfId="0" applyNumberFormat="1" applyFont="1" applyFill="1" applyAlignment="1">
      <alignment horizontal="center"/>
    </xf>
    <xf numFmtId="164" fontId="117" fillId="2" borderId="8" xfId="0" applyNumberFormat="1" applyFont="1" applyFill="1" applyBorder="1" applyAlignment="1">
      <alignment horizontal="right" vertical="center"/>
    </xf>
    <xf numFmtId="164" fontId="113" fillId="2" borderId="64" xfId="0" applyNumberFormat="1" applyFont="1" applyFill="1" applyBorder="1" applyAlignment="1">
      <alignment horizontal="right" vertical="center" indent="1"/>
    </xf>
    <xf numFmtId="164" fontId="113" fillId="2" borderId="64" xfId="0" applyNumberFormat="1" applyFont="1" applyFill="1" applyBorder="1" applyAlignment="1">
      <alignment horizontal="right" vertical="center" indent="2"/>
    </xf>
    <xf numFmtId="164" fontId="113" fillId="2" borderId="78" xfId="0" applyNumberFormat="1" applyFont="1" applyFill="1" applyBorder="1" applyAlignment="1">
      <alignment horizontal="right" vertical="center" indent="2"/>
    </xf>
    <xf numFmtId="0" fontId="139" fillId="2" borderId="6" xfId="3" applyFont="1" applyFill="1" applyBorder="1" applyAlignment="1">
      <alignment horizontal="center" vertical="center" wrapText="1" readingOrder="2"/>
    </xf>
    <xf numFmtId="164" fontId="40" fillId="2" borderId="0" xfId="0" applyNumberFormat="1" applyFont="1" applyFill="1" applyAlignment="1" applyProtection="1">
      <alignment vertical="center"/>
    </xf>
    <xf numFmtId="164" fontId="141" fillId="2" borderId="1" xfId="0" applyNumberFormat="1" applyFont="1" applyFill="1" applyBorder="1" applyAlignment="1">
      <alignment horizontal="right" vertical="center"/>
    </xf>
    <xf numFmtId="164" fontId="41" fillId="2" borderId="6" xfId="0" applyNumberFormat="1" applyFont="1" applyFill="1" applyBorder="1" applyAlignment="1" applyProtection="1">
      <alignment horizontal="right" vertical="center" wrapText="1"/>
    </xf>
    <xf numFmtId="164" fontId="13" fillId="2" borderId="5" xfId="0" applyNumberFormat="1" applyFont="1" applyFill="1" applyBorder="1" applyAlignment="1">
      <alignment horizontal="center" vertical="center" wrapText="1"/>
    </xf>
    <xf numFmtId="164" fontId="13" fillId="2" borderId="5" xfId="0" applyNumberFormat="1" applyFont="1" applyFill="1" applyBorder="1" applyAlignment="1">
      <alignment horizontal="right" vertical="center" wrapText="1"/>
    </xf>
    <xf numFmtId="164" fontId="13" fillId="2" borderId="6" xfId="0" applyNumberFormat="1" applyFont="1" applyFill="1" applyBorder="1" applyAlignment="1">
      <alignment horizontal="right" vertical="center" wrapText="1"/>
    </xf>
    <xf numFmtId="3" fontId="55" fillId="2" borderId="0" xfId="1" applyNumberFormat="1" applyFont="1" applyFill="1" applyBorder="1" applyAlignment="1">
      <alignment horizontal="right" vertical="center"/>
    </xf>
    <xf numFmtId="3" fontId="5" fillId="2" borderId="0" xfId="1" applyNumberFormat="1" applyFont="1" applyFill="1" applyAlignment="1">
      <alignment horizontal="right" vertical="center"/>
    </xf>
    <xf numFmtId="164" fontId="70" fillId="2" borderId="0" xfId="0" applyNumberFormat="1" applyFont="1" applyFill="1" applyBorder="1" applyAlignment="1">
      <alignment horizontal="right" vertical="center" indent="1"/>
    </xf>
    <xf numFmtId="166" fontId="55" fillId="2" borderId="6" xfId="6" applyNumberFormat="1" applyFont="1" applyFill="1" applyBorder="1" applyAlignment="1">
      <alignment horizontal="right" vertical="center"/>
    </xf>
    <xf numFmtId="164" fontId="22" fillId="2" borderId="0" xfId="0" applyNumberFormat="1" applyFont="1" applyFill="1" applyBorder="1" applyAlignment="1">
      <alignment vertical="center"/>
    </xf>
    <xf numFmtId="164" fontId="50" fillId="2" borderId="1" xfId="0" applyNumberFormat="1" applyFont="1" applyFill="1" applyBorder="1" applyAlignment="1" applyProtection="1">
      <alignment horizontal="left" vertical="center"/>
    </xf>
    <xf numFmtId="164" fontId="55" fillId="2" borderId="0" xfId="0" applyNumberFormat="1" applyFont="1" applyFill="1" applyBorder="1" applyAlignment="1">
      <alignment horizontal="right" vertical="center" indent="1"/>
    </xf>
    <xf numFmtId="164" fontId="12" fillId="2" borderId="0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/>
    <xf numFmtId="164" fontId="28" fillId="2" borderId="5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 indent="5"/>
    </xf>
    <xf numFmtId="3" fontId="3" fillId="2" borderId="0" xfId="0" applyNumberFormat="1" applyFont="1" applyFill="1" applyBorder="1" applyAlignment="1">
      <alignment horizontal="right" vertical="center" indent="5"/>
    </xf>
    <xf numFmtId="3" fontId="5" fillId="2" borderId="0" xfId="0" applyNumberFormat="1" applyFont="1" applyFill="1" applyBorder="1" applyAlignment="1">
      <alignment horizontal="right" vertical="center" indent="5"/>
    </xf>
    <xf numFmtId="3" fontId="3" fillId="2" borderId="6" xfId="0" applyNumberFormat="1" applyFont="1" applyFill="1" applyBorder="1" applyAlignment="1">
      <alignment horizontal="right" vertical="center" indent="5"/>
    </xf>
    <xf numFmtId="164" fontId="12" fillId="2" borderId="36" xfId="0" applyNumberFormat="1" applyFont="1" applyFill="1" applyBorder="1" applyAlignment="1">
      <alignment horizontal="center" vertical="center" wrapText="1"/>
    </xf>
    <xf numFmtId="164" fontId="13" fillId="2" borderId="38" xfId="0" applyNumberFormat="1" applyFont="1" applyFill="1" applyBorder="1" applyAlignment="1">
      <alignment horizontal="center" vertical="center" wrapText="1"/>
    </xf>
    <xf numFmtId="3" fontId="3" fillId="2" borderId="37" xfId="0" applyNumberFormat="1" applyFont="1" applyFill="1" applyBorder="1" applyAlignment="1">
      <alignment horizontal="right" vertical="center" indent="3"/>
    </xf>
    <xf numFmtId="3" fontId="11" fillId="2" borderId="37" xfId="1" applyNumberFormat="1" applyFont="1" applyFill="1" applyBorder="1" applyAlignment="1">
      <alignment horizontal="right" vertical="center" indent="3"/>
    </xf>
    <xf numFmtId="3" fontId="55" fillId="2" borderId="37" xfId="1" applyNumberFormat="1" applyFont="1" applyFill="1" applyBorder="1" applyAlignment="1">
      <alignment horizontal="right" vertical="center" indent="3"/>
    </xf>
    <xf numFmtId="3" fontId="11" fillId="2" borderId="36" xfId="1" applyNumberFormat="1" applyFont="1" applyFill="1" applyBorder="1" applyAlignment="1">
      <alignment horizontal="right" vertical="center" indent="3"/>
    </xf>
    <xf numFmtId="164" fontId="10" fillId="2" borderId="3" xfId="0" applyNumberFormat="1" applyFont="1" applyFill="1" applyBorder="1" applyAlignment="1">
      <alignment horizontal="center" vertical="center"/>
    </xf>
    <xf numFmtId="164" fontId="35" fillId="2" borderId="4" xfId="0" applyNumberFormat="1" applyFont="1" applyFill="1" applyBorder="1" applyAlignment="1">
      <alignment horizontal="center" vertical="top"/>
    </xf>
    <xf numFmtId="164" fontId="11" fillId="2" borderId="5" xfId="0" applyNumberFormat="1" applyFont="1" applyFill="1" applyBorder="1" applyAlignment="1">
      <alignment horizontal="left" vertical="center" wrapText="1"/>
    </xf>
    <xf numFmtId="164" fontId="11" fillId="2" borderId="6" xfId="0" applyNumberFormat="1" applyFont="1" applyFill="1" applyBorder="1" applyAlignment="1">
      <alignment horizontal="left" vertical="center" wrapText="1"/>
    </xf>
    <xf numFmtId="164" fontId="12" fillId="2" borderId="5" xfId="0" applyNumberFormat="1" applyFont="1" applyFill="1" applyBorder="1" applyAlignment="1">
      <alignment horizontal="right" vertical="center"/>
    </xf>
    <xf numFmtId="164" fontId="12" fillId="2" borderId="6" xfId="0" applyNumberFormat="1" applyFont="1" applyFill="1" applyBorder="1" applyAlignment="1">
      <alignment horizontal="right" vertical="center"/>
    </xf>
    <xf numFmtId="164" fontId="11" fillId="2" borderId="5" xfId="0" applyNumberFormat="1" applyFont="1" applyFill="1" applyBorder="1" applyAlignment="1">
      <alignment horizontal="right" vertical="center"/>
    </xf>
    <xf numFmtId="164" fontId="11" fillId="2" borderId="6" xfId="0" applyNumberFormat="1" applyFont="1" applyFill="1" applyBorder="1" applyAlignment="1">
      <alignment horizontal="right" vertical="center"/>
    </xf>
    <xf numFmtId="164" fontId="43" fillId="2" borderId="5" xfId="0" applyNumberFormat="1" applyFont="1" applyFill="1" applyBorder="1" applyAlignment="1" applyProtection="1">
      <alignment horizontal="right" vertical="center" wrapText="1"/>
    </xf>
    <xf numFmtId="164" fontId="16" fillId="2" borderId="6" xfId="0" applyNumberFormat="1" applyFont="1" applyFill="1" applyBorder="1" applyAlignment="1">
      <alignment horizontal="right" vertical="center" wrapText="1"/>
    </xf>
    <xf numFmtId="164" fontId="54" fillId="2" borderId="3" xfId="0" applyNumberFormat="1" applyFont="1" applyFill="1" applyBorder="1" applyAlignment="1">
      <alignment horizontal="center" vertical="center"/>
    </xf>
    <xf numFmtId="164" fontId="71" fillId="2" borderId="3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Border="1" applyAlignment="1">
      <alignment horizontal="left" vertical="center" wrapText="1"/>
    </xf>
    <xf numFmtId="164" fontId="41" fillId="2" borderId="5" xfId="0" applyNumberFormat="1" applyFont="1" applyFill="1" applyBorder="1" applyAlignment="1" applyProtection="1">
      <alignment horizontal="right" vertical="center" wrapText="1"/>
    </xf>
    <xf numFmtId="164" fontId="41" fillId="2" borderId="0" xfId="0" applyNumberFormat="1" applyFont="1" applyFill="1" applyBorder="1" applyAlignment="1" applyProtection="1">
      <alignment horizontal="right" vertical="center" wrapText="1"/>
    </xf>
    <xf numFmtId="164" fontId="41" fillId="2" borderId="6" xfId="0" applyNumberFormat="1" applyFont="1" applyFill="1" applyBorder="1" applyAlignment="1" applyProtection="1">
      <alignment horizontal="right" vertical="center" wrapText="1"/>
    </xf>
    <xf numFmtId="164" fontId="38" fillId="2" borderId="5" xfId="0" applyNumberFormat="1" applyFont="1" applyFill="1" applyBorder="1" applyAlignment="1">
      <alignment horizontal="center" vertical="center" wrapText="1"/>
    </xf>
    <xf numFmtId="164" fontId="38" fillId="2" borderId="34" xfId="0" applyNumberFormat="1" applyFont="1" applyFill="1" applyBorder="1" applyAlignment="1">
      <alignment horizontal="center" vertical="center" wrapText="1"/>
    </xf>
    <xf numFmtId="164" fontId="38" fillId="2" borderId="6" xfId="0" applyNumberFormat="1" applyFont="1" applyFill="1" applyBorder="1" applyAlignment="1">
      <alignment horizontal="center" vertical="center" wrapText="1"/>
    </xf>
    <xf numFmtId="164" fontId="38" fillId="2" borderId="35" xfId="0" applyNumberFormat="1" applyFont="1" applyFill="1" applyBorder="1" applyAlignment="1">
      <alignment horizontal="center" vertical="center" wrapText="1"/>
    </xf>
    <xf numFmtId="164" fontId="38" fillId="2" borderId="38" xfId="0" applyNumberFormat="1" applyFont="1" applyFill="1" applyBorder="1" applyAlignment="1">
      <alignment horizontal="center" vertical="center" wrapText="1"/>
    </xf>
    <xf numFmtId="164" fontId="38" fillId="2" borderId="36" xfId="0" applyNumberFormat="1" applyFont="1" applyFill="1" applyBorder="1" applyAlignment="1">
      <alignment horizontal="center" vertical="center" wrapText="1"/>
    </xf>
    <xf numFmtId="164" fontId="13" fillId="2" borderId="5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Border="1" applyAlignment="1">
      <alignment horizontal="center" vertical="center"/>
    </xf>
    <xf numFmtId="164" fontId="35" fillId="2" borderId="6" xfId="0" applyNumberFormat="1" applyFont="1" applyFill="1" applyBorder="1" applyAlignment="1">
      <alignment horizontal="center" vertical="top"/>
    </xf>
    <xf numFmtId="164" fontId="11" fillId="2" borderId="0" xfId="0" applyNumberFormat="1" applyFont="1" applyFill="1" applyBorder="1" applyAlignment="1">
      <alignment horizontal="right" vertical="center"/>
    </xf>
    <xf numFmtId="164" fontId="14" fillId="2" borderId="5" xfId="0" applyNumberFormat="1" applyFont="1" applyFill="1" applyBorder="1" applyAlignment="1" applyProtection="1">
      <alignment horizontal="right" vertical="center" wrapText="1"/>
    </xf>
    <xf numFmtId="164" fontId="14" fillId="2" borderId="0" xfId="0" applyNumberFormat="1" applyFont="1" applyFill="1" applyBorder="1" applyAlignment="1" applyProtection="1">
      <alignment horizontal="right" vertical="center" wrapText="1"/>
    </xf>
    <xf numFmtId="164" fontId="43" fillId="2" borderId="6" xfId="0" applyNumberFormat="1" applyFont="1" applyFill="1" applyBorder="1" applyAlignment="1" applyProtection="1">
      <alignment horizontal="right" vertical="center" wrapText="1"/>
    </xf>
    <xf numFmtId="164" fontId="20" fillId="2" borderId="8" xfId="0" applyNumberFormat="1" applyFont="1" applyFill="1" applyBorder="1" applyAlignment="1">
      <alignment horizontal="center" vertical="center"/>
    </xf>
    <xf numFmtId="164" fontId="58" fillId="2" borderId="9" xfId="0" applyNumberFormat="1" applyFont="1" applyFill="1" applyBorder="1" applyAlignment="1">
      <alignment horizontal="center"/>
    </xf>
    <xf numFmtId="164" fontId="54" fillId="2" borderId="0" xfId="0" applyNumberFormat="1" applyFont="1" applyFill="1" applyBorder="1" applyAlignment="1">
      <alignment horizontal="center" vertical="center"/>
    </xf>
    <xf numFmtId="164" fontId="35" fillId="2" borderId="0" xfId="0" applyNumberFormat="1" applyFont="1" applyFill="1" applyBorder="1" applyAlignment="1">
      <alignment horizontal="center" vertical="center"/>
    </xf>
    <xf numFmtId="164" fontId="12" fillId="2" borderId="5" xfId="0" applyNumberFormat="1" applyFont="1" applyFill="1" applyBorder="1" applyAlignment="1">
      <alignment horizontal="left" vertical="center" wrapText="1"/>
    </xf>
    <xf numFmtId="164" fontId="12" fillId="2" borderId="0" xfId="0" applyNumberFormat="1" applyFont="1" applyFill="1" applyBorder="1" applyAlignment="1">
      <alignment horizontal="left" vertical="center" wrapText="1"/>
    </xf>
    <xf numFmtId="164" fontId="12" fillId="2" borderId="6" xfId="0" applyNumberFormat="1" applyFont="1" applyFill="1" applyBorder="1" applyAlignment="1">
      <alignment horizontal="left" vertical="center" wrapText="1"/>
    </xf>
    <xf numFmtId="164" fontId="11" fillId="2" borderId="5" xfId="0" applyNumberFormat="1" applyFont="1" applyFill="1" applyBorder="1" applyAlignment="1">
      <alignment horizontal="right" vertical="center" wrapText="1"/>
    </xf>
    <xf numFmtId="164" fontId="11" fillId="2" borderId="0" xfId="0" applyNumberFormat="1" applyFont="1" applyFill="1" applyBorder="1" applyAlignment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35" fillId="2" borderId="46" xfId="0" applyNumberFormat="1" applyFont="1" applyFill="1" applyBorder="1" applyAlignment="1">
      <alignment horizontal="center" vertical="top"/>
    </xf>
    <xf numFmtId="164" fontId="13" fillId="2" borderId="5" xfId="0" applyNumberFormat="1" applyFont="1" applyFill="1" applyBorder="1" applyAlignment="1">
      <alignment horizontal="right" vertical="center" wrapText="1"/>
    </xf>
    <xf numFmtId="164" fontId="13" fillId="2" borderId="0" xfId="0" applyNumberFormat="1" applyFont="1" applyFill="1" applyBorder="1" applyAlignment="1">
      <alignment horizontal="right" vertical="center" wrapText="1"/>
    </xf>
    <xf numFmtId="164" fontId="13" fillId="2" borderId="6" xfId="0" applyNumberFormat="1" applyFont="1" applyFill="1" applyBorder="1" applyAlignment="1">
      <alignment horizontal="right" vertical="center" wrapText="1"/>
    </xf>
    <xf numFmtId="164" fontId="14" fillId="2" borderId="6" xfId="0" applyNumberFormat="1" applyFont="1" applyFill="1" applyBorder="1" applyAlignment="1" applyProtection="1">
      <alignment horizontal="right" vertical="center" wrapText="1"/>
    </xf>
    <xf numFmtId="0" fontId="48" fillId="2" borderId="5" xfId="0" applyNumberFormat="1" applyFont="1" applyFill="1" applyBorder="1" applyAlignment="1">
      <alignment horizontal="right" vertical="center"/>
    </xf>
    <xf numFmtId="0" fontId="48" fillId="2" borderId="6" xfId="0" applyNumberFormat="1" applyFont="1" applyFill="1" applyBorder="1" applyAlignment="1">
      <alignment horizontal="right" vertical="center"/>
    </xf>
    <xf numFmtId="164" fontId="34" fillId="2" borderId="0" xfId="0" applyNumberFormat="1" applyFont="1" applyFill="1" applyBorder="1" applyAlignment="1">
      <alignment horizontal="center"/>
    </xf>
    <xf numFmtId="164" fontId="48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top"/>
    </xf>
    <xf numFmtId="0" fontId="2" fillId="2" borderId="5" xfId="0" applyNumberFormat="1" applyFont="1" applyFill="1" applyBorder="1" applyAlignment="1">
      <alignment horizontal="left" vertical="center"/>
    </xf>
    <xf numFmtId="0" fontId="2" fillId="2" borderId="6" xfId="0" applyNumberFormat="1" applyFont="1" applyFill="1" applyBorder="1" applyAlignment="1">
      <alignment horizontal="left" vertical="center"/>
    </xf>
    <xf numFmtId="0" fontId="28" fillId="2" borderId="33" xfId="0" applyNumberFormat="1" applyFont="1" applyFill="1" applyBorder="1" applyAlignment="1">
      <alignment horizontal="left" vertical="center" indent="7"/>
    </xf>
    <xf numFmtId="0" fontId="63" fillId="2" borderId="33" xfId="0" applyNumberFormat="1" applyFont="1" applyFill="1" applyBorder="1" applyAlignment="1">
      <alignment horizontal="center" vertical="center"/>
    </xf>
    <xf numFmtId="164" fontId="41" fillId="2" borderId="3" xfId="0" applyNumberFormat="1" applyFont="1" applyFill="1" applyBorder="1" applyAlignment="1">
      <alignment horizontal="center" vertical="center"/>
    </xf>
    <xf numFmtId="164" fontId="43" fillId="2" borderId="3" xfId="0" applyNumberFormat="1" applyFont="1" applyFill="1" applyBorder="1" applyAlignment="1">
      <alignment horizontal="center" vertical="center"/>
    </xf>
    <xf numFmtId="164" fontId="35" fillId="2" borderId="4" xfId="0" applyNumberFormat="1" applyFont="1" applyFill="1" applyBorder="1" applyAlignment="1">
      <alignment horizontal="center" vertical="center"/>
    </xf>
    <xf numFmtId="164" fontId="11" fillId="35" borderId="5" xfId="0" applyNumberFormat="1" applyFont="1" applyFill="1" applyBorder="1" applyAlignment="1">
      <alignment horizontal="right" vertical="center" wrapText="1"/>
    </xf>
    <xf numFmtId="164" fontId="11" fillId="35" borderId="6" xfId="0" applyNumberFormat="1" applyFont="1" applyFill="1" applyBorder="1" applyAlignment="1">
      <alignment horizontal="right" vertical="center" wrapText="1"/>
    </xf>
    <xf numFmtId="0" fontId="25" fillId="2" borderId="9" xfId="0" applyNumberFormat="1" applyFont="1" applyFill="1" applyBorder="1" applyAlignment="1">
      <alignment horizontal="center" vertical="center"/>
    </xf>
    <xf numFmtId="0" fontId="25" fillId="2" borderId="18" xfId="0" applyNumberFormat="1" applyFont="1" applyFill="1" applyBorder="1" applyAlignment="1">
      <alignment horizontal="center" vertical="center"/>
    </xf>
    <xf numFmtId="0" fontId="25" fillId="2" borderId="7" xfId="0" applyNumberFormat="1" applyFont="1" applyFill="1" applyBorder="1" applyAlignment="1">
      <alignment horizontal="center" vertical="center"/>
    </xf>
    <xf numFmtId="0" fontId="62" fillId="2" borderId="12" xfId="0" applyNumberFormat="1" applyFont="1" applyFill="1" applyBorder="1" applyAlignment="1">
      <alignment horizontal="center" vertical="center"/>
    </xf>
    <xf numFmtId="0" fontId="62" fillId="2" borderId="13" xfId="0" applyNumberFormat="1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/>
    </xf>
    <xf numFmtId="0" fontId="2" fillId="2" borderId="14" xfId="0" applyNumberFormat="1" applyFont="1" applyFill="1" applyBorder="1" applyAlignment="1">
      <alignment horizontal="center"/>
    </xf>
    <xf numFmtId="0" fontId="28" fillId="2" borderId="40" xfId="0" applyNumberFormat="1" applyFont="1" applyFill="1" applyBorder="1" applyAlignment="1">
      <alignment horizontal="left" vertical="center" wrapText="1"/>
    </xf>
    <xf numFmtId="0" fontId="28" fillId="2" borderId="18" xfId="0" applyNumberFormat="1" applyFont="1" applyFill="1" applyBorder="1" applyAlignment="1">
      <alignment horizontal="left" vertical="center" wrapText="1"/>
    </xf>
    <xf numFmtId="0" fontId="28" fillId="2" borderId="32" xfId="0" applyNumberFormat="1" applyFont="1" applyFill="1" applyBorder="1" applyAlignment="1">
      <alignment horizontal="left" vertical="center" wrapText="1"/>
    </xf>
    <xf numFmtId="0" fontId="27" fillId="2" borderId="40" xfId="0" applyNumberFormat="1" applyFont="1" applyFill="1" applyBorder="1" applyAlignment="1">
      <alignment horizontal="right" vertical="center"/>
    </xf>
    <xf numFmtId="0" fontId="27" fillId="2" borderId="18" xfId="0" applyNumberFormat="1" applyFont="1" applyFill="1" applyBorder="1" applyAlignment="1">
      <alignment horizontal="right" vertical="center"/>
    </xf>
    <xf numFmtId="0" fontId="27" fillId="2" borderId="30" xfId="0" applyNumberFormat="1" applyFont="1" applyFill="1" applyBorder="1" applyAlignment="1">
      <alignment horizontal="right" vertical="center"/>
    </xf>
    <xf numFmtId="0" fontId="27" fillId="2" borderId="31" xfId="0" applyNumberFormat="1" applyFont="1" applyFill="1" applyBorder="1" applyAlignment="1">
      <alignment horizontal="right" vertical="center"/>
    </xf>
    <xf numFmtId="0" fontId="28" fillId="2" borderId="48" xfId="0" applyNumberFormat="1" applyFont="1" applyFill="1" applyBorder="1" applyAlignment="1">
      <alignment horizontal="center" vertical="center"/>
    </xf>
    <xf numFmtId="0" fontId="28" fillId="2" borderId="16" xfId="0" applyNumberFormat="1" applyFont="1" applyFill="1" applyBorder="1" applyAlignment="1">
      <alignment horizontal="center" vertical="center"/>
    </xf>
    <xf numFmtId="0" fontId="28" fillId="2" borderId="50" xfId="0" applyNumberFormat="1" applyFont="1" applyFill="1" applyBorder="1" applyAlignment="1">
      <alignment horizontal="right" vertical="center" wrapText="1"/>
    </xf>
    <xf numFmtId="0" fontId="28" fillId="2" borderId="37" xfId="0" applyNumberFormat="1" applyFont="1" applyFill="1" applyBorder="1" applyAlignment="1">
      <alignment horizontal="right" vertical="center" wrapText="1"/>
    </xf>
    <xf numFmtId="0" fontId="26" fillId="2" borderId="47" xfId="0" applyNumberFormat="1" applyFont="1" applyFill="1" applyBorder="1" applyAlignment="1">
      <alignment horizontal="center" vertical="center"/>
    </xf>
    <xf numFmtId="0" fontId="28" fillId="2" borderId="49" xfId="0" applyNumberFormat="1" applyFont="1" applyFill="1" applyBorder="1" applyAlignment="1">
      <alignment horizontal="center" vertical="center"/>
    </xf>
    <xf numFmtId="0" fontId="26" fillId="2" borderId="60" xfId="0" applyNumberFormat="1" applyFont="1" applyFill="1" applyBorder="1" applyAlignment="1">
      <alignment horizontal="center" vertical="center"/>
    </xf>
    <xf numFmtId="0" fontId="33" fillId="2" borderId="12" xfId="0" applyNumberFormat="1" applyFont="1" applyFill="1" applyBorder="1" applyAlignment="1">
      <alignment horizontal="center" vertical="center"/>
    </xf>
    <xf numFmtId="164" fontId="35" fillId="2" borderId="25" xfId="0" applyNumberFormat="1" applyFont="1" applyFill="1" applyBorder="1" applyAlignment="1">
      <alignment horizontal="center" vertical="top"/>
    </xf>
    <xf numFmtId="164" fontId="35" fillId="2" borderId="26" xfId="0" applyNumberFormat="1" applyFont="1" applyFill="1" applyBorder="1" applyAlignment="1">
      <alignment horizontal="center" vertical="top"/>
    </xf>
    <xf numFmtId="0" fontId="27" fillId="2" borderId="12" xfId="0" applyNumberFormat="1" applyFont="1" applyFill="1" applyBorder="1" applyAlignment="1">
      <alignment horizontal="center" vertical="center"/>
    </xf>
    <xf numFmtId="0" fontId="63" fillId="2" borderId="12" xfId="0" applyNumberFormat="1" applyFont="1" applyFill="1" applyBorder="1" applyAlignment="1">
      <alignment horizontal="center" vertical="center"/>
    </xf>
    <xf numFmtId="0" fontId="62" fillId="2" borderId="0" xfId="0" applyNumberFormat="1" applyFont="1" applyFill="1" applyAlignment="1">
      <alignment horizontal="center"/>
    </xf>
    <xf numFmtId="0" fontId="65" fillId="2" borderId="0" xfId="0" applyNumberFormat="1" applyFont="1" applyFill="1" applyAlignment="1">
      <alignment horizontal="center"/>
    </xf>
    <xf numFmtId="164" fontId="35" fillId="2" borderId="15" xfId="0" applyNumberFormat="1" applyFont="1" applyFill="1" applyBorder="1" applyAlignment="1">
      <alignment horizontal="center"/>
    </xf>
    <xf numFmtId="164" fontId="35" fillId="2" borderId="27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8" fillId="2" borderId="5" xfId="0" applyNumberFormat="1" applyFont="1" applyFill="1" applyBorder="1" applyAlignment="1">
      <alignment horizontal="center" vertical="center"/>
    </xf>
    <xf numFmtId="0" fontId="27" fillId="2" borderId="5" xfId="0" applyNumberFormat="1" applyFont="1" applyFill="1" applyBorder="1" applyAlignment="1">
      <alignment horizontal="right" vertical="center"/>
    </xf>
    <xf numFmtId="0" fontId="27" fillId="2" borderId="0" xfId="0" applyNumberFormat="1" applyFont="1" applyFill="1" applyBorder="1" applyAlignment="1">
      <alignment horizontal="right" vertical="center"/>
    </xf>
    <xf numFmtId="0" fontId="27" fillId="2" borderId="6" xfId="0" applyNumberFormat="1" applyFont="1" applyFill="1" applyBorder="1" applyAlignment="1">
      <alignment horizontal="right" vertical="center"/>
    </xf>
    <xf numFmtId="0" fontId="27" fillId="2" borderId="6" xfId="0" applyNumberFormat="1" applyFont="1" applyFill="1" applyBorder="1" applyAlignment="1">
      <alignment horizontal="center" vertical="center"/>
    </xf>
    <xf numFmtId="164" fontId="35" fillId="2" borderId="36" xfId="0" applyNumberFormat="1" applyFont="1" applyFill="1" applyBorder="1" applyAlignment="1">
      <alignment horizontal="center" vertical="center"/>
    </xf>
    <xf numFmtId="164" fontId="35" fillId="2" borderId="6" xfId="0" applyNumberFormat="1" applyFont="1" applyFill="1" applyBorder="1" applyAlignment="1">
      <alignment horizontal="center" vertical="center"/>
    </xf>
    <xf numFmtId="164" fontId="10" fillId="2" borderId="14" xfId="0" applyNumberFormat="1" applyFont="1" applyFill="1" applyBorder="1" applyAlignment="1">
      <alignment horizontal="center" vertical="center"/>
    </xf>
    <xf numFmtId="164" fontId="10" fillId="2" borderId="28" xfId="0" applyNumberFormat="1" applyFont="1" applyFill="1" applyBorder="1" applyAlignment="1">
      <alignment horizontal="center" vertical="center"/>
    </xf>
    <xf numFmtId="164" fontId="21" fillId="2" borderId="14" xfId="0" applyNumberFormat="1" applyFont="1" applyFill="1" applyBorder="1" applyAlignment="1">
      <alignment horizontal="center" vertical="center" wrapText="1"/>
    </xf>
    <xf numFmtId="164" fontId="21" fillId="2" borderId="28" xfId="0" applyNumberFormat="1" applyFont="1" applyFill="1" applyBorder="1" applyAlignment="1">
      <alignment horizontal="center" vertical="center" wrapText="1"/>
    </xf>
    <xf numFmtId="164" fontId="21" fillId="2" borderId="28" xfId="0" applyNumberFormat="1" applyFont="1" applyFill="1" applyBorder="1" applyAlignment="1">
      <alignment horizontal="center" vertical="center"/>
    </xf>
    <xf numFmtId="164" fontId="35" fillId="2" borderId="5" xfId="0" applyNumberFormat="1" applyFont="1" applyFill="1" applyBorder="1" applyAlignment="1">
      <alignment horizontal="left" vertical="center"/>
    </xf>
    <xf numFmtId="164" fontId="35" fillId="2" borderId="0" xfId="0" applyNumberFormat="1" applyFont="1" applyFill="1" applyBorder="1" applyAlignment="1">
      <alignment horizontal="left" vertical="center"/>
    </xf>
    <xf numFmtId="164" fontId="35" fillId="2" borderId="6" xfId="0" applyNumberFormat="1" applyFont="1" applyFill="1" applyBorder="1" applyAlignment="1">
      <alignment horizontal="left" vertical="center"/>
    </xf>
    <xf numFmtId="164" fontId="14" fillId="2" borderId="5" xfId="0" applyNumberFormat="1" applyFont="1" applyFill="1" applyBorder="1" applyAlignment="1" applyProtection="1">
      <alignment horizontal="right" vertical="center"/>
    </xf>
    <xf numFmtId="164" fontId="14" fillId="2" borderId="0" xfId="0" applyNumberFormat="1" applyFont="1" applyFill="1" applyBorder="1" applyAlignment="1" applyProtection="1">
      <alignment horizontal="right" vertical="center"/>
    </xf>
    <xf numFmtId="164" fontId="14" fillId="2" borderId="6" xfId="0" applyNumberFormat="1" applyFont="1" applyFill="1" applyBorder="1" applyAlignment="1" applyProtection="1">
      <alignment horizontal="right" vertical="center"/>
    </xf>
    <xf numFmtId="164" fontId="35" fillId="2" borderId="35" xfId="0" applyNumberFormat="1" applyFont="1" applyFill="1" applyBorder="1" applyAlignment="1">
      <alignment horizontal="center" vertical="center"/>
    </xf>
    <xf numFmtId="0" fontId="64" fillId="2" borderId="5" xfId="0" applyNumberFormat="1" applyFont="1" applyFill="1" applyBorder="1" applyAlignment="1">
      <alignment horizontal="right" vertical="center"/>
    </xf>
    <xf numFmtId="0" fontId="64" fillId="2" borderId="6" xfId="0" applyNumberFormat="1" applyFont="1" applyFill="1" applyBorder="1" applyAlignment="1">
      <alignment horizontal="right" vertical="center"/>
    </xf>
    <xf numFmtId="164" fontId="51" fillId="2" borderId="0" xfId="0" applyNumberFormat="1" applyFont="1" applyFill="1" applyAlignment="1">
      <alignment horizontal="center"/>
    </xf>
    <xf numFmtId="0" fontId="51" fillId="2" borderId="42" xfId="0" applyNumberFormat="1" applyFont="1" applyFill="1" applyBorder="1" applyAlignment="1">
      <alignment horizontal="center" vertical="center"/>
    </xf>
    <xf numFmtId="164" fontId="48" fillId="2" borderId="0" xfId="0" applyNumberFormat="1" applyFont="1" applyFill="1" applyAlignment="1">
      <alignment horizontal="center"/>
    </xf>
    <xf numFmtId="164" fontId="51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16" xfId="1" applyNumberFormat="1" applyFont="1" applyFill="1" applyBorder="1" applyAlignment="1">
      <alignment horizontal="center" vertical="center" wrapText="1"/>
    </xf>
    <xf numFmtId="166" fontId="3" fillId="2" borderId="1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119" fillId="2" borderId="64" xfId="0" applyNumberFormat="1" applyFont="1" applyFill="1" applyBorder="1" applyAlignment="1">
      <alignment horizontal="center" vertical="center"/>
    </xf>
    <xf numFmtId="164" fontId="51" fillId="2" borderId="65" xfId="0" applyNumberFormat="1" applyFont="1" applyFill="1" applyBorder="1" applyAlignment="1" applyProtection="1">
      <alignment horizontal="center" vertical="center"/>
    </xf>
    <xf numFmtId="164" fontId="51" fillId="2" borderId="4" xfId="0" applyNumberFormat="1" applyFont="1" applyFill="1" applyBorder="1" applyAlignment="1" applyProtection="1">
      <alignment horizontal="center" vertical="center"/>
    </xf>
    <xf numFmtId="164" fontId="51" fillId="2" borderId="66" xfId="0" applyNumberFormat="1" applyFont="1" applyFill="1" applyBorder="1" applyAlignment="1" applyProtection="1">
      <alignment horizontal="center" vertical="center"/>
    </xf>
    <xf numFmtId="3" fontId="0" fillId="2" borderId="0" xfId="1" applyNumberFormat="1" applyFont="1" applyFill="1" applyBorder="1" applyAlignment="1" applyProtection="1">
      <alignment horizontal="right" vertical="center" wrapText="1"/>
    </xf>
    <xf numFmtId="3" fontId="0" fillId="2" borderId="6" xfId="1" applyNumberFormat="1" applyFont="1" applyFill="1" applyBorder="1" applyAlignment="1" applyProtection="1">
      <alignment horizontal="right" vertical="center" wrapText="1"/>
    </xf>
    <xf numFmtId="164" fontId="119" fillId="2" borderId="0" xfId="0" applyNumberFormat="1" applyFont="1" applyFill="1" applyAlignment="1">
      <alignment horizontal="center" vertical="center"/>
    </xf>
    <xf numFmtId="164" fontId="140" fillId="2" borderId="0" xfId="0" applyNumberFormat="1" applyFont="1" applyFill="1" applyBorder="1" applyAlignment="1" applyProtection="1">
      <alignment horizontal="center" vertical="center"/>
    </xf>
    <xf numFmtId="164" fontId="130" fillId="2" borderId="34" xfId="0" applyNumberFormat="1" applyFont="1" applyFill="1" applyBorder="1" applyAlignment="1" applyProtection="1">
      <alignment horizontal="left" vertical="center"/>
    </xf>
    <xf numFmtId="164" fontId="130" fillId="2" borderId="35" xfId="0" applyNumberFormat="1" applyFont="1" applyFill="1" applyBorder="1" applyAlignment="1" applyProtection="1">
      <alignment horizontal="left" vertical="center"/>
    </xf>
    <xf numFmtId="164" fontId="133" fillId="2" borderId="100" xfId="0" applyNumberFormat="1" applyFont="1" applyFill="1" applyBorder="1" applyAlignment="1">
      <alignment horizontal="center" vertical="center"/>
    </xf>
    <xf numFmtId="164" fontId="133" fillId="2" borderId="33" xfId="0" applyNumberFormat="1" applyFont="1" applyFill="1" applyBorder="1" applyAlignment="1">
      <alignment horizontal="center" vertical="center"/>
    </xf>
    <xf numFmtId="164" fontId="133" fillId="2" borderId="101" xfId="0" applyNumberFormat="1" applyFont="1" applyFill="1" applyBorder="1" applyAlignment="1">
      <alignment horizontal="center" vertical="center"/>
    </xf>
    <xf numFmtId="164" fontId="114" fillId="2" borderId="102" xfId="0" applyNumberFormat="1" applyFont="1" applyFill="1" applyBorder="1" applyAlignment="1">
      <alignment horizontal="right" vertical="center"/>
    </xf>
    <xf numFmtId="164" fontId="114" fillId="2" borderId="106" xfId="0" applyNumberFormat="1" applyFont="1" applyFill="1" applyBorder="1" applyAlignment="1">
      <alignment horizontal="right" vertical="center"/>
    </xf>
    <xf numFmtId="3" fontId="2" fillId="2" borderId="5" xfId="1" applyNumberFormat="1" applyFont="1" applyFill="1" applyBorder="1" applyAlignment="1" applyProtection="1">
      <alignment horizontal="right" vertical="center" wrapText="1"/>
    </xf>
    <xf numFmtId="164" fontId="126" fillId="2" borderId="80" xfId="0" applyNumberFormat="1" applyFont="1" applyFill="1" applyBorder="1" applyAlignment="1">
      <alignment horizontal="center" vertical="center" wrapText="1"/>
    </xf>
    <xf numFmtId="164" fontId="126" fillId="2" borderId="46" xfId="0" applyNumberFormat="1" applyFont="1" applyFill="1" applyBorder="1" applyAlignment="1">
      <alignment horizontal="center" vertical="center" wrapText="1"/>
    </xf>
    <xf numFmtId="164" fontId="126" fillId="2" borderId="75" xfId="0" applyNumberFormat="1" applyFont="1" applyFill="1" applyBorder="1" applyAlignment="1">
      <alignment horizontal="center" vertical="center" wrapText="1"/>
    </xf>
    <xf numFmtId="164" fontId="126" fillId="2" borderId="81" xfId="0" applyNumberFormat="1" applyFont="1" applyFill="1" applyBorder="1" applyAlignment="1">
      <alignment horizontal="center" vertical="center" wrapText="1"/>
    </xf>
    <xf numFmtId="164" fontId="126" fillId="2" borderId="0" xfId="0" applyNumberFormat="1" applyFont="1" applyFill="1" applyBorder="1" applyAlignment="1">
      <alignment horizontal="center" vertical="center" wrapText="1"/>
    </xf>
    <xf numFmtId="164" fontId="126" fillId="2" borderId="82" xfId="0" applyNumberFormat="1" applyFont="1" applyFill="1" applyBorder="1" applyAlignment="1">
      <alignment horizontal="center" vertical="center" wrapText="1"/>
    </xf>
    <xf numFmtId="164" fontId="126" fillId="2" borderId="61" xfId="0" applyNumberFormat="1" applyFont="1" applyFill="1" applyBorder="1" applyAlignment="1">
      <alignment horizontal="center" vertical="center" wrapText="1"/>
    </xf>
    <xf numFmtId="164" fontId="126" fillId="2" borderId="3" xfId="0" applyNumberFormat="1" applyFont="1" applyFill="1" applyBorder="1" applyAlignment="1">
      <alignment horizontal="center" vertical="center" wrapText="1"/>
    </xf>
    <xf numFmtId="164" fontId="126" fillId="2" borderId="68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/>
    </xf>
    <xf numFmtId="164" fontId="103" fillId="2" borderId="0" xfId="0" applyNumberFormat="1" applyFont="1" applyFill="1" applyAlignment="1">
      <alignment horizontal="center"/>
    </xf>
    <xf numFmtId="164" fontId="3" fillId="2" borderId="14" xfId="0" applyNumberFormat="1" applyFont="1" applyFill="1" applyBorder="1" applyAlignment="1">
      <alignment horizontal="center" vertical="center" wrapText="1"/>
    </xf>
    <xf numFmtId="164" fontId="3" fillId="2" borderId="22" xfId="0" applyNumberFormat="1" applyFont="1" applyFill="1" applyBorder="1" applyAlignment="1">
      <alignment horizontal="center" vertical="center" wrapText="1"/>
    </xf>
    <xf numFmtId="164" fontId="127" fillId="2" borderId="0" xfId="0" applyNumberFormat="1" applyFont="1" applyFill="1" applyBorder="1" applyAlignment="1">
      <alignment horizontal="center" vertical="center"/>
    </xf>
    <xf numFmtId="164" fontId="3" fillId="2" borderId="79" xfId="0" applyNumberFormat="1" applyFont="1" applyFill="1" applyBorder="1" applyAlignment="1" applyProtection="1">
      <alignment horizontal="center" vertical="top" wrapText="1"/>
    </xf>
    <xf numFmtId="164" fontId="3" fillId="2" borderId="6" xfId="0" applyNumberFormat="1" applyFont="1" applyFill="1" applyBorder="1" applyAlignment="1" applyProtection="1">
      <alignment horizontal="center" vertical="top" wrapText="1"/>
    </xf>
    <xf numFmtId="164" fontId="3" fillId="2" borderId="29" xfId="0" applyNumberFormat="1" applyFont="1" applyFill="1" applyBorder="1" applyAlignment="1">
      <alignment horizontal="left" vertical="center"/>
    </xf>
    <xf numFmtId="164" fontId="3" fillId="2" borderId="30" xfId="0" applyNumberFormat="1" applyFont="1" applyFill="1" applyBorder="1" applyAlignment="1">
      <alignment horizontal="left" vertical="center"/>
    </xf>
    <xf numFmtId="164" fontId="3" fillId="2" borderId="31" xfId="0" applyNumberFormat="1" applyFont="1" applyFill="1" applyBorder="1" applyAlignment="1">
      <alignment horizontal="left" vertical="center"/>
    </xf>
    <xf numFmtId="164" fontId="3" fillId="2" borderId="83" xfId="0" applyNumberFormat="1" applyFont="1" applyFill="1" applyBorder="1" applyAlignment="1">
      <alignment horizontal="center" vertical="center"/>
    </xf>
    <xf numFmtId="164" fontId="3" fillId="2" borderId="84" xfId="0" applyNumberFormat="1" applyFont="1" applyFill="1" applyBorder="1" applyAlignment="1">
      <alignment horizontal="center" vertical="center"/>
    </xf>
    <xf numFmtId="164" fontId="3" fillId="2" borderId="86" xfId="0" applyNumberFormat="1" applyFont="1" applyFill="1" applyBorder="1" applyAlignment="1">
      <alignment horizontal="center" vertical="center"/>
    </xf>
    <xf numFmtId="164" fontId="3" fillId="2" borderId="85" xfId="0" applyNumberFormat="1" applyFont="1" applyFill="1" applyBorder="1" applyAlignment="1">
      <alignment horizontal="center" vertical="center"/>
    </xf>
    <xf numFmtId="164" fontId="127" fillId="2" borderId="5" xfId="0" applyNumberFormat="1" applyFont="1" applyFill="1" applyBorder="1" applyAlignment="1">
      <alignment horizontal="right" vertical="center"/>
    </xf>
    <xf numFmtId="164" fontId="127" fillId="2" borderId="0" xfId="0" applyNumberFormat="1" applyFont="1" applyFill="1" applyBorder="1" applyAlignment="1">
      <alignment horizontal="right" vertical="center"/>
    </xf>
    <xf numFmtId="164" fontId="127" fillId="2" borderId="6" xfId="0" applyNumberFormat="1" applyFont="1" applyFill="1" applyBorder="1" applyAlignment="1">
      <alignment horizontal="right" vertical="center"/>
    </xf>
    <xf numFmtId="164" fontId="103" fillId="2" borderId="14" xfId="0" applyNumberFormat="1" applyFont="1" applyFill="1" applyBorder="1" applyAlignment="1">
      <alignment horizontal="center" vertical="center"/>
    </xf>
    <xf numFmtId="164" fontId="103" fillId="2" borderId="28" xfId="0" applyNumberFormat="1" applyFont="1" applyFill="1" applyBorder="1" applyAlignment="1">
      <alignment horizontal="center" vertical="center"/>
    </xf>
    <xf numFmtId="164" fontId="103" fillId="2" borderId="22" xfId="0" applyNumberFormat="1" applyFont="1" applyFill="1" applyBorder="1" applyAlignment="1">
      <alignment horizontal="center" vertical="center"/>
    </xf>
    <xf numFmtId="164" fontId="51" fillId="2" borderId="25" xfId="0" applyNumberFormat="1" applyFont="1" applyFill="1" applyBorder="1" applyAlignment="1" applyProtection="1">
      <alignment horizontal="center" vertical="center"/>
    </xf>
    <xf numFmtId="164" fontId="51" fillId="2" borderId="26" xfId="0" applyNumberFormat="1" applyFont="1" applyFill="1" applyBorder="1" applyAlignment="1" applyProtection="1">
      <alignment horizontal="center" vertical="center"/>
    </xf>
    <xf numFmtId="164" fontId="51" fillId="2" borderId="99" xfId="0" applyNumberFormat="1" applyFont="1" applyFill="1" applyBorder="1" applyAlignment="1" applyProtection="1">
      <alignment horizontal="center" vertical="center"/>
    </xf>
    <xf numFmtId="164" fontId="3" fillId="2" borderId="25" xfId="0" applyNumberFormat="1" applyFont="1" applyFill="1" applyBorder="1" applyAlignment="1" applyProtection="1">
      <alignment horizontal="center" vertical="center"/>
    </xf>
    <xf numFmtId="164" fontId="3" fillId="2" borderId="26" xfId="0" applyNumberFormat="1" applyFont="1" applyFill="1" applyBorder="1" applyAlignment="1" applyProtection="1">
      <alignment horizontal="center" vertical="center"/>
    </xf>
    <xf numFmtId="164" fontId="3" fillId="2" borderId="99" xfId="0" applyNumberFormat="1" applyFont="1" applyFill="1" applyBorder="1" applyAlignment="1" applyProtection="1">
      <alignment horizontal="center" vertical="center"/>
    </xf>
    <xf numFmtId="164" fontId="107" fillId="2" borderId="21" xfId="0" applyNumberFormat="1" applyFont="1" applyFill="1" applyBorder="1" applyAlignment="1">
      <alignment horizontal="right" vertical="center" wrapText="1"/>
    </xf>
    <xf numFmtId="164" fontId="107" fillId="2" borderId="12" xfId="0" applyNumberFormat="1" applyFont="1" applyFill="1" applyBorder="1" applyAlignment="1">
      <alignment horizontal="right" vertical="center" wrapText="1"/>
    </xf>
    <xf numFmtId="164" fontId="107" fillId="2" borderId="13" xfId="0" applyNumberFormat="1" applyFont="1" applyFill="1" applyBorder="1" applyAlignment="1">
      <alignment horizontal="right" vertical="center" wrapText="1"/>
    </xf>
    <xf numFmtId="0" fontId="50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171" fontId="102" fillId="2" borderId="0" xfId="0" applyNumberFormat="1" applyFont="1" applyFill="1" applyBorder="1" applyAlignment="1">
      <alignment horizontal="center" vertical="center"/>
    </xf>
    <xf numFmtId="171" fontId="108" fillId="2" borderId="0" xfId="0" applyNumberFormat="1" applyFont="1" applyFill="1" applyBorder="1" applyAlignment="1">
      <alignment horizontal="center" vertical="top"/>
    </xf>
    <xf numFmtId="171" fontId="109" fillId="2" borderId="0" xfId="0" applyNumberFormat="1" applyFont="1" applyFill="1" applyBorder="1" applyAlignment="1">
      <alignment horizontal="center" vertical="top"/>
    </xf>
    <xf numFmtId="0" fontId="39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0" fontId="0" fillId="2" borderId="6" xfId="0" applyFill="1" applyBorder="1" applyAlignment="1">
      <alignment horizontal="right" vertical="center"/>
    </xf>
    <xf numFmtId="171" fontId="111" fillId="2" borderId="5" xfId="0" applyNumberFormat="1" applyFont="1" applyFill="1" applyBorder="1" applyAlignment="1">
      <alignment horizontal="right" vertical="center"/>
    </xf>
    <xf numFmtId="171" fontId="111" fillId="2" borderId="6" xfId="0" applyNumberFormat="1" applyFont="1" applyFill="1" applyBorder="1" applyAlignment="1">
      <alignment horizontal="right" vertical="center"/>
    </xf>
    <xf numFmtId="164" fontId="103" fillId="2" borderId="0" xfId="0" applyNumberFormat="1" applyFont="1" applyFill="1" applyBorder="1" applyAlignment="1">
      <alignment horizontal="center" vertical="center"/>
    </xf>
    <xf numFmtId="0" fontId="51" fillId="2" borderId="6" xfId="0" applyFont="1" applyFill="1" applyBorder="1" applyAlignment="1">
      <alignment horizontal="center" vertical="center"/>
    </xf>
    <xf numFmtId="0" fontId="115" fillId="2" borderId="5" xfId="0" applyNumberFormat="1" applyFont="1" applyFill="1" applyBorder="1" applyAlignment="1">
      <alignment horizontal="right" vertical="center"/>
    </xf>
    <xf numFmtId="0" fontId="115" fillId="2" borderId="6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Alignment="1">
      <alignment horizontal="center"/>
    </xf>
    <xf numFmtId="0" fontId="116" fillId="2" borderId="5" xfId="0" applyNumberFormat="1" applyFont="1" applyFill="1" applyBorder="1" applyAlignment="1">
      <alignment horizontal="right" vertical="center"/>
    </xf>
    <xf numFmtId="0" fontId="116" fillId="2" borderId="6" xfId="0" applyNumberFormat="1" applyFont="1" applyFill="1" applyBorder="1" applyAlignment="1">
      <alignment horizontal="right" vertical="center"/>
    </xf>
  </cellXfs>
  <cellStyles count="53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5" builtinId="27" customBuiltin="1"/>
    <cellStyle name="Calculation" xfId="19" builtinId="22" customBuiltin="1"/>
    <cellStyle name="Check Cell" xfId="21" builtinId="23" customBuiltin="1"/>
    <cellStyle name="Comma" xfId="1" builtinId="3"/>
    <cellStyle name="Comma 2" xfId="6"/>
    <cellStyle name="Explanatory Text" xfId="24" builtinId="53" customBuiltin="1"/>
    <cellStyle name="Good" xfId="14" builtinId="26" customBuiltin="1"/>
    <cellStyle name="Heading 1" xfId="10" builtinId="16" customBuiltin="1"/>
    <cellStyle name="Heading 1 2" xfId="4"/>
    <cellStyle name="Heading 2" xfId="11" builtinId="17" customBuiltin="1"/>
    <cellStyle name="Heading 3" xfId="12" builtinId="18" customBuiltin="1"/>
    <cellStyle name="Heading 4" xfId="13" builtinId="19" customBuiltin="1"/>
    <cellStyle name="Hyperlink" xfId="52" builtinId="8"/>
    <cellStyle name="Input" xfId="17" builtinId="20" customBuiltin="1"/>
    <cellStyle name="Linked Cell" xfId="20" builtinId="24" customBuiltin="1"/>
    <cellStyle name="Neutral" xfId="16" builtinId="28" customBuiltin="1"/>
    <cellStyle name="Normal" xfId="0" builtinId="0"/>
    <cellStyle name="Normal 2" xfId="51"/>
    <cellStyle name="Normal 2 2" xfId="50"/>
    <cellStyle name="Normal 3" xfId="2"/>
    <cellStyle name="Normal 5" xfId="5"/>
    <cellStyle name="Normal_II-14(Population)" xfId="3"/>
    <cellStyle name="Note" xfId="23" builtinId="10" customBuiltin="1"/>
    <cellStyle name="Output" xfId="18" builtinId="21" customBuiltin="1"/>
    <cellStyle name="Percent" xfId="8" builtinId="5"/>
    <cellStyle name="Percent 2" xfId="7"/>
    <cellStyle name="Title" xfId="9" builtinId="15" customBuiltin="1"/>
    <cellStyle name="Total" xfId="25" builtinId="25" customBuiltin="1"/>
    <cellStyle name="Warning Text" xfId="22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8.1: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Percentage share of logged cases, 2015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1386273164642661"/>
          <c:y val="2.156268696532772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306010969157692E-2"/>
          <c:y val="0.12729338777234725"/>
          <c:w val="0.8775961902970475"/>
          <c:h val="0.53682127762198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dLbls>
            <c:dLbl>
              <c:idx val="0"/>
              <c:layout>
                <c:manualLayout>
                  <c:x val="-1.3135457301751305E-7"/>
                  <c:y val="2.5793313641955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'8.1'!$V$5:$V$15</c:f>
              <c:strCache>
                <c:ptCount val="11"/>
                <c:pt idx="0">
                  <c:v>Theft</c:v>
                </c:pt>
                <c:pt idx="1">
                  <c:v>Drugs</c:v>
                </c:pt>
                <c:pt idx="2">
                  <c:v>Traffic accidents</c:v>
                </c:pt>
                <c:pt idx="3">
                  <c:v>Lost Items</c:v>
                </c:pt>
                <c:pt idx="4">
                  <c:v>Assault</c:v>
                </c:pt>
                <c:pt idx="5">
                  <c:v>Robbery</c:v>
                </c:pt>
                <c:pt idx="6">
                  <c:v>Vandalism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</c:strCache>
            </c:strRef>
          </c:cat>
          <c:val>
            <c:numRef>
              <c:f>'8.1'!$W$5:$W$15</c:f>
              <c:numCache>
                <c:formatCode>0.0</c:formatCode>
                <c:ptCount val="11"/>
                <c:pt idx="0">
                  <c:v>24.384281610951536</c:v>
                </c:pt>
                <c:pt idx="1">
                  <c:v>12.497708244209498</c:v>
                </c:pt>
                <c:pt idx="2">
                  <c:v>12.699382753773758</c:v>
                </c:pt>
                <c:pt idx="3">
                  <c:v>10.493185846116237</c:v>
                </c:pt>
                <c:pt idx="4">
                  <c:v>5.7141111043207236</c:v>
                </c:pt>
                <c:pt idx="5">
                  <c:v>3.2634602456762209</c:v>
                </c:pt>
                <c:pt idx="6">
                  <c:v>3.3245737334229664</c:v>
                </c:pt>
                <c:pt idx="7">
                  <c:v>3.2451261993521969</c:v>
                </c:pt>
                <c:pt idx="8">
                  <c:v>4.5285094420338563</c:v>
                </c:pt>
                <c:pt idx="9">
                  <c:v>2.0656358858400048</c:v>
                </c:pt>
                <c:pt idx="10">
                  <c:v>0.55613273849538591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031104"/>
        <c:axId val="138032640"/>
      </c:barChart>
      <c:catAx>
        <c:axId val="138031104"/>
        <c:scaling>
          <c:orientation val="minMax"/>
        </c:scaling>
        <c:delete val="0"/>
        <c:axPos val="b"/>
        <c:numFmt formatCode="General_)" sourceLinked="1"/>
        <c:majorTickMark val="cross"/>
        <c:minorTickMark val="none"/>
        <c:tickLblPos val="nextTo"/>
        <c:txPr>
          <a:bodyPr rot="-5400000" vert="horz"/>
          <a:lstStyle/>
          <a:p>
            <a:pPr>
              <a:defRPr sz="1000">
                <a:latin typeface="+mn-lt"/>
              </a:defRPr>
            </a:pPr>
            <a:endParaRPr lang="en-US"/>
          </a:p>
        </c:txPr>
        <c:crossAx val="138032640"/>
        <c:crosses val="autoZero"/>
        <c:auto val="1"/>
        <c:lblAlgn val="ctr"/>
        <c:lblOffset val="100"/>
        <c:noMultiLvlLbl val="0"/>
      </c:catAx>
      <c:valAx>
        <c:axId val="138032640"/>
        <c:scaling>
          <c:orientation val="minMax"/>
          <c:max val="35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2535035548488121E-2"/>
              <c:y val="0.29232219030591478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138031104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48396057340234"/>
          <c:y val="0.16095376214378115"/>
          <c:w val="0.85930146775088978"/>
          <c:h val="0.80969088140362955"/>
        </c:manualLayout>
      </c:layout>
      <c:lineChart>
        <c:grouping val="standard"/>
        <c:varyColors val="0"/>
        <c:ser>
          <c:idx val="0"/>
          <c:order val="0"/>
          <c:tx>
            <c:strRef>
              <c:f>'8.1'!$V$22</c:f>
              <c:strCache>
                <c:ptCount val="1"/>
                <c:pt idx="0">
                  <c:v>Theft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triangle"/>
            <c:size val="5"/>
            <c:spPr>
              <a:solidFill>
                <a:srgbClr val="FFC000"/>
              </a:solidFill>
            </c:spPr>
          </c:marker>
          <c:cat>
            <c:numRef>
              <c:f>'8.1'!$W$21:$AB$21</c:f>
              <c:numCache>
                <c:formatCode>General_)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'8.1'!$W$22:$AB$22</c:f>
              <c:numCache>
                <c:formatCode>#,##0.0</c:formatCode>
                <c:ptCount val="6"/>
                <c:pt idx="0">
                  <c:v>-0.14973795857249811</c:v>
                </c:pt>
                <c:pt idx="1">
                  <c:v>18.320419895026244</c:v>
                </c:pt>
                <c:pt idx="2">
                  <c:v>38.804393747359526</c:v>
                </c:pt>
                <c:pt idx="3">
                  <c:v>1.7044589864556383</c:v>
                </c:pt>
                <c:pt idx="4">
                  <c:v>-23.986233727367949</c:v>
                </c:pt>
                <c:pt idx="5">
                  <c:v>-21.456692913385826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'8.1'!$V$23</c:f>
              <c:strCache>
                <c:ptCount val="1"/>
                <c:pt idx="0">
                  <c:v>Traffic accidents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diamond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</c:spPr>
          </c:marker>
          <c:cat>
            <c:numRef>
              <c:f>'8.1'!$W$21:$AB$21</c:f>
              <c:numCache>
                <c:formatCode>General_)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'8.1'!$W$23:$AB$23</c:f>
              <c:numCache>
                <c:formatCode>#,##0.0</c:formatCode>
                <c:ptCount val="6"/>
                <c:pt idx="0">
                  <c:v>-19.349485562562229</c:v>
                </c:pt>
                <c:pt idx="1">
                  <c:v>-7.3662551440329223</c:v>
                </c:pt>
                <c:pt idx="2">
                  <c:v>-12.305641936916926</c:v>
                </c:pt>
                <c:pt idx="3">
                  <c:v>-2.2289766970618032</c:v>
                </c:pt>
                <c:pt idx="4">
                  <c:v>10.725388601036268</c:v>
                </c:pt>
                <c:pt idx="5">
                  <c:v>-4.3051006083294343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'8.1'!$V$24</c:f>
              <c:strCache>
                <c:ptCount val="1"/>
                <c:pt idx="0">
                  <c:v>Drugs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square"/>
            <c:size val="5"/>
            <c:spPr>
              <a:solidFill>
                <a:srgbClr val="00B0F0"/>
              </a:solidFill>
            </c:spPr>
          </c:marker>
          <c:cat>
            <c:numRef>
              <c:f>'8.1'!$W$21:$AB$21</c:f>
              <c:numCache>
                <c:formatCode>General_)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'8.1'!$W$24:$AB$24</c:f>
              <c:numCache>
                <c:formatCode>#,##0.0</c:formatCode>
                <c:ptCount val="6"/>
                <c:pt idx="0">
                  <c:v>-31.65680473372781</c:v>
                </c:pt>
                <c:pt idx="1">
                  <c:v>12.739641311069882</c:v>
                </c:pt>
                <c:pt idx="2">
                  <c:v>39.001645639056498</c:v>
                </c:pt>
                <c:pt idx="3">
                  <c:v>56.471981057616418</c:v>
                </c:pt>
                <c:pt idx="4">
                  <c:v>-20.807061790668349</c:v>
                </c:pt>
                <c:pt idx="5">
                  <c:v>-33.821656050955411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'8.1'!$V$25</c:f>
              <c:strCache>
                <c:ptCount val="1"/>
                <c:pt idx="0">
                  <c:v>Lost Items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x"/>
            <c:size val="5"/>
            <c:spPr>
              <a:solidFill>
                <a:srgbClr val="FF0000"/>
              </a:solidFill>
            </c:spPr>
          </c:marker>
          <c:cat>
            <c:numRef>
              <c:f>'8.1'!$W$21:$AB$21</c:f>
              <c:numCache>
                <c:formatCode>General_)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'8.1'!$W$25:$AB$25</c:f>
              <c:numCache>
                <c:formatCode>#,##0.0</c:formatCode>
                <c:ptCount val="6"/>
                <c:pt idx="0">
                  <c:v>-19.91584852734923</c:v>
                </c:pt>
                <c:pt idx="1">
                  <c:v>-13.601868067717454</c:v>
                </c:pt>
                <c:pt idx="2">
                  <c:v>1.8918918918918921</c:v>
                </c:pt>
                <c:pt idx="3">
                  <c:v>31.49867374005305</c:v>
                </c:pt>
                <c:pt idx="4">
                  <c:v>1.5632879475542107</c:v>
                </c:pt>
                <c:pt idx="5">
                  <c:v>-14.746772591857003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'8.1'!$V$26</c:f>
              <c:strCache>
                <c:ptCount val="1"/>
                <c:pt idx="0">
                  <c:v>Assault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circle"/>
            <c:size val="5"/>
            <c:spPr>
              <a:solidFill>
                <a:srgbClr val="92D050"/>
              </a:solidFill>
            </c:spPr>
          </c:marker>
          <c:cat>
            <c:numRef>
              <c:f>'8.1'!$W$21:$AB$21</c:f>
              <c:numCache>
                <c:formatCode>General_)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'8.1'!$W$26:$AB$26</c:f>
              <c:numCache>
                <c:formatCode>#,##0.0</c:formatCode>
                <c:ptCount val="6"/>
                <c:pt idx="0">
                  <c:v>-23.7</c:v>
                </c:pt>
                <c:pt idx="1">
                  <c:v>-13.499344692005241</c:v>
                </c:pt>
                <c:pt idx="2">
                  <c:v>-4.2424242424242431</c:v>
                </c:pt>
                <c:pt idx="3">
                  <c:v>1.9778481012658229</c:v>
                </c:pt>
                <c:pt idx="4">
                  <c:v>-17.610550814584951</c:v>
                </c:pt>
                <c:pt idx="5">
                  <c:v>-11.958568738229754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68352"/>
        <c:axId val="138070272"/>
      </c:lineChart>
      <c:catAx>
        <c:axId val="138068352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8070272"/>
        <c:crosses val="autoZero"/>
        <c:auto val="1"/>
        <c:lblAlgn val="ctr"/>
        <c:lblOffset val="100"/>
        <c:noMultiLvlLbl val="0"/>
      </c:catAx>
      <c:valAx>
        <c:axId val="13807027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noFill/>
        </c:spPr>
        <c:crossAx val="138068352"/>
        <c:crosses val="autoZero"/>
        <c:crossBetween val="between"/>
      </c:valAx>
      <c:spPr>
        <a:solidFill>
          <a:srgbClr val="E7FFFF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143406652135052"/>
          <c:y val="0.17607197631810154"/>
          <c:w val="0.81607420058194846"/>
          <c:h val="5.85875963913880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45517067784222"/>
          <c:y val="0.1784770735971532"/>
          <c:w val="0.86783136382889325"/>
          <c:h val="0.51621172623171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'8.2'!$F$6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  <c:pt idx="11">
                  <c:v>Others</c:v>
                </c:pt>
              </c:strCache>
            </c:strRef>
          </c:cat>
          <c:val>
            <c:numRef>
              <c:f>'8.2'!$F$8:$F$19</c:f>
              <c:numCache>
                <c:formatCode>_-* #,##0_-;\-* #,##0_-;_-* "-"??_-;_-@_-</c:formatCode>
                <c:ptCount val="12"/>
                <c:pt idx="0">
                  <c:v>2844</c:v>
                </c:pt>
                <c:pt idx="1">
                  <c:v>1934</c:v>
                </c:pt>
                <c:pt idx="2">
                  <c:v>1192</c:v>
                </c:pt>
                <c:pt idx="3">
                  <c:v>1369</c:v>
                </c:pt>
                <c:pt idx="4">
                  <c:v>406</c:v>
                </c:pt>
                <c:pt idx="5">
                  <c:v>291</c:v>
                </c:pt>
                <c:pt idx="6">
                  <c:v>495</c:v>
                </c:pt>
                <c:pt idx="7">
                  <c:v>147</c:v>
                </c:pt>
                <c:pt idx="8">
                  <c:v>612</c:v>
                </c:pt>
                <c:pt idx="9">
                  <c:v>139</c:v>
                </c:pt>
                <c:pt idx="10">
                  <c:v>79</c:v>
                </c:pt>
                <c:pt idx="11">
                  <c:v>1781</c:v>
                </c:pt>
              </c:numCache>
            </c:numRef>
          </c:val>
        </c:ser>
        <c:ser>
          <c:idx val="1"/>
          <c:order val="1"/>
          <c:tx>
            <c:strRef>
              <c:f>'8.2'!$G$6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  <c:pt idx="11">
                  <c:v>Others</c:v>
                </c:pt>
              </c:strCache>
            </c:strRef>
          </c:cat>
          <c:val>
            <c:numRef>
              <c:f>'8.2'!$G$8:$G$19</c:f>
              <c:numCache>
                <c:formatCode>_-* #,##0_-;\-* #,##0_-;_-* "-"??_-;_-@_-</c:formatCode>
                <c:ptCount val="12"/>
                <c:pt idx="0">
                  <c:v>1146</c:v>
                </c:pt>
                <c:pt idx="1">
                  <c:v>111</c:v>
                </c:pt>
                <c:pt idx="2">
                  <c:v>886</c:v>
                </c:pt>
                <c:pt idx="3">
                  <c:v>348</c:v>
                </c:pt>
                <c:pt idx="4">
                  <c:v>529</c:v>
                </c:pt>
                <c:pt idx="5">
                  <c:v>243</c:v>
                </c:pt>
                <c:pt idx="6">
                  <c:v>49</c:v>
                </c:pt>
                <c:pt idx="7">
                  <c:v>384</c:v>
                </c:pt>
                <c:pt idx="8">
                  <c:v>129</c:v>
                </c:pt>
                <c:pt idx="9">
                  <c:v>199</c:v>
                </c:pt>
                <c:pt idx="10">
                  <c:v>12</c:v>
                </c:pt>
                <c:pt idx="11">
                  <c:v>1038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138130944"/>
        <c:axId val="138132480"/>
      </c:barChart>
      <c:catAx>
        <c:axId val="1381309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138132480"/>
        <c:crosses val="autoZero"/>
        <c:auto val="1"/>
        <c:lblAlgn val="ctr"/>
        <c:lblOffset val="100"/>
        <c:noMultiLvlLbl val="0"/>
      </c:catAx>
      <c:valAx>
        <c:axId val="13813248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8808255778023608E-3"/>
              <c:y val="0.25301070299482753"/>
            </c:manualLayout>
          </c:layout>
          <c:overlay val="0"/>
        </c:title>
        <c:numFmt formatCode="_-* #,##0_-;\-* #,##0_-;_-* &quot;-&quot;??_-;_-@_-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813094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513524056367918"/>
          <c:y val="0.2454842030394257"/>
          <c:w val="0.26965857570438112"/>
          <c:h val="0.1031269761331854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bg1">
          <a:lumMod val="75000"/>
        </a:schemeClr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900">
                <a:latin typeface="Consolas" pitchFamily="49" charset="0"/>
                <a:cs typeface="Consolas" pitchFamily="49" charset="0"/>
              </a:rPr>
              <a:t>Figure 8.3: Percentage share of logged cases for Male' and Atolls, 2015</a:t>
            </a:r>
          </a:p>
        </c:rich>
      </c:tx>
      <c:layout>
        <c:manualLayout>
          <c:xMode val="edge"/>
          <c:yMode val="edge"/>
          <c:x val="0.15355444064197887"/>
          <c:y val="2.9530449358880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9540029912908872"/>
          <c:y val="0.18141358627834758"/>
          <c:w val="0.38882937296076686"/>
          <c:h val="0.7924713536842497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3"/>
          <c:dPt>
            <c:idx val="0"/>
            <c:bubble3D val="0"/>
          </c:dPt>
          <c:dPt>
            <c:idx val="1"/>
            <c:bubble3D val="0"/>
            <c:spPr>
              <a:solidFill>
                <a:srgbClr val="33CCCC"/>
              </a:solidFill>
            </c:spPr>
          </c:dPt>
          <c:dLbls>
            <c:dLbl>
              <c:idx val="0"/>
              <c:layout>
                <c:manualLayout>
                  <c:x val="-9.3570923992168334E-2"/>
                  <c:y val="-0.1703365155502511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8.1868208524860264E-2"/>
                  <c:y val="0.178457037243392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'8.2'!$F$6:$G$6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'8.2'!$F$7:$G$7</c:f>
              <c:numCache>
                <c:formatCode>_-* #,##0_-;\-* #,##0_-;_-* "-"??_-;_-@_-</c:formatCode>
                <c:ptCount val="2"/>
                <c:pt idx="0">
                  <c:v>11289</c:v>
                </c:pt>
                <c:pt idx="1">
                  <c:v>5074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8.4: Number of logged cases by Atoll, 2013 - 2015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26098925230294"/>
          <c:y val="0.15366980705339178"/>
          <c:w val="0.88041279150821528"/>
          <c:h val="0.6871102462915880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'8.3'!$E$3:$E$5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'8.3'!$E$9:$E$28</c:f>
              <c:numCache>
                <c:formatCode>_-* #,##0_-;\-* #,##0_-;_-* "-"??_-;_-@_-</c:formatCode>
                <c:ptCount val="20"/>
                <c:pt idx="0">
                  <c:v>236</c:v>
                </c:pt>
                <c:pt idx="1">
                  <c:v>608</c:v>
                </c:pt>
                <c:pt idx="2">
                  <c:v>138</c:v>
                </c:pt>
                <c:pt idx="3">
                  <c:v>260</c:v>
                </c:pt>
                <c:pt idx="4">
                  <c:v>229</c:v>
                </c:pt>
                <c:pt idx="5">
                  <c:v>157</c:v>
                </c:pt>
                <c:pt idx="6">
                  <c:v>208</c:v>
                </c:pt>
                <c:pt idx="7">
                  <c:v>281</c:v>
                </c:pt>
                <c:pt idx="8">
                  <c:v>135</c:v>
                </c:pt>
                <c:pt idx="9">
                  <c:v>500</c:v>
                </c:pt>
                <c:pt idx="10">
                  <c:v>19</c:v>
                </c:pt>
                <c:pt idx="11">
                  <c:v>77</c:v>
                </c:pt>
                <c:pt idx="12">
                  <c:v>39</c:v>
                </c:pt>
                <c:pt idx="13">
                  <c:v>79</c:v>
                </c:pt>
                <c:pt idx="14">
                  <c:v>220</c:v>
                </c:pt>
                <c:pt idx="15">
                  <c:v>397</c:v>
                </c:pt>
                <c:pt idx="16">
                  <c:v>558</c:v>
                </c:pt>
                <c:pt idx="17">
                  <c:v>494</c:v>
                </c:pt>
                <c:pt idx="18">
                  <c:v>617</c:v>
                </c:pt>
                <c:pt idx="19">
                  <c:v>1349</c:v>
                </c:pt>
              </c:numCache>
            </c:numRef>
          </c:val>
        </c:ser>
        <c:ser>
          <c:idx val="0"/>
          <c:order val="1"/>
          <c:tx>
            <c:strRef>
              <c:f>'8.3'!$F$3:$F$5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'8.3'!$F$9:$F$28</c:f>
              <c:numCache>
                <c:formatCode>_-* #,##0_-;\-* #,##0_-;_-* "-"??_-;_-@_-</c:formatCode>
                <c:ptCount val="20"/>
                <c:pt idx="0">
                  <c:v>210</c:v>
                </c:pt>
                <c:pt idx="1">
                  <c:v>568</c:v>
                </c:pt>
                <c:pt idx="2">
                  <c:v>155</c:v>
                </c:pt>
                <c:pt idx="3">
                  <c:v>221</c:v>
                </c:pt>
                <c:pt idx="4">
                  <c:v>242</c:v>
                </c:pt>
                <c:pt idx="5">
                  <c:v>167</c:v>
                </c:pt>
                <c:pt idx="6">
                  <c:v>245</c:v>
                </c:pt>
                <c:pt idx="7">
                  <c:v>277</c:v>
                </c:pt>
                <c:pt idx="8">
                  <c:v>91</c:v>
                </c:pt>
                <c:pt idx="9">
                  <c:v>284</c:v>
                </c:pt>
                <c:pt idx="10">
                  <c:v>32</c:v>
                </c:pt>
                <c:pt idx="11">
                  <c:v>64</c:v>
                </c:pt>
                <c:pt idx="12">
                  <c:v>64</c:v>
                </c:pt>
                <c:pt idx="13">
                  <c:v>73</c:v>
                </c:pt>
                <c:pt idx="14">
                  <c:v>167</c:v>
                </c:pt>
                <c:pt idx="15">
                  <c:v>345</c:v>
                </c:pt>
                <c:pt idx="16">
                  <c:v>383</c:v>
                </c:pt>
                <c:pt idx="17">
                  <c:v>426</c:v>
                </c:pt>
                <c:pt idx="18">
                  <c:v>525</c:v>
                </c:pt>
                <c:pt idx="19">
                  <c:v>988</c:v>
                </c:pt>
              </c:numCache>
            </c:numRef>
          </c:val>
        </c:ser>
        <c:ser>
          <c:idx val="1"/>
          <c:order val="2"/>
          <c:tx>
            <c:strRef>
              <c:f>'8.3'!$G$3:$G$5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'8.3'!$G$9:$G$28</c:f>
              <c:numCache>
                <c:formatCode>_-* #,##0_-;\-* #,##0_-;_-* "-"??_-;_-@_-</c:formatCode>
                <c:ptCount val="20"/>
                <c:pt idx="0">
                  <c:v>210</c:v>
                </c:pt>
                <c:pt idx="1">
                  <c:v>394</c:v>
                </c:pt>
                <c:pt idx="2">
                  <c:v>145</c:v>
                </c:pt>
                <c:pt idx="3">
                  <c:v>142</c:v>
                </c:pt>
                <c:pt idx="4">
                  <c:v>259</c:v>
                </c:pt>
                <c:pt idx="5">
                  <c:v>138</c:v>
                </c:pt>
                <c:pt idx="6">
                  <c:v>235</c:v>
                </c:pt>
                <c:pt idx="7">
                  <c:v>369</c:v>
                </c:pt>
                <c:pt idx="8">
                  <c:v>121</c:v>
                </c:pt>
                <c:pt idx="9">
                  <c:v>252</c:v>
                </c:pt>
                <c:pt idx="10">
                  <c:v>39</c:v>
                </c:pt>
                <c:pt idx="11">
                  <c:v>64</c:v>
                </c:pt>
                <c:pt idx="12">
                  <c:v>72</c:v>
                </c:pt>
                <c:pt idx="13">
                  <c:v>63</c:v>
                </c:pt>
                <c:pt idx="14">
                  <c:v>136</c:v>
                </c:pt>
                <c:pt idx="15">
                  <c:v>363</c:v>
                </c:pt>
                <c:pt idx="16">
                  <c:v>410</c:v>
                </c:pt>
                <c:pt idx="17">
                  <c:v>394</c:v>
                </c:pt>
                <c:pt idx="18">
                  <c:v>365</c:v>
                </c:pt>
                <c:pt idx="19">
                  <c:v>903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140674176"/>
        <c:axId val="140675712"/>
      </c:barChart>
      <c:catAx>
        <c:axId val="140674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40675712"/>
        <c:crosses val="autoZero"/>
        <c:auto val="1"/>
        <c:lblAlgn val="ctr"/>
        <c:lblOffset val="100"/>
        <c:noMultiLvlLbl val="0"/>
      </c:catAx>
      <c:valAx>
        <c:axId val="14067571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4067417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46856357297339407"/>
          <c:y val="0.23293924656476925"/>
          <c:w val="0.21815056805842531"/>
          <c:h val="0.10906245175235449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055638519323042E-2"/>
          <c:y val="0.13234542631773152"/>
          <c:w val="0.87979060784381169"/>
          <c:h val="0.552059125601627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'8.4'!$A$50:$A$60</c:f>
              <c:strCache>
                <c:ptCount val="11"/>
                <c:pt idx="0">
                  <c:v>Theft</c:v>
                </c:pt>
                <c:pt idx="1">
                  <c:v>Drugs</c:v>
                </c:pt>
                <c:pt idx="2">
                  <c:v>Assault</c:v>
                </c:pt>
                <c:pt idx="3">
                  <c:v>Lost items</c:v>
                </c:pt>
                <c:pt idx="4">
                  <c:v>Sexual offences</c:v>
                </c:pt>
                <c:pt idx="5">
                  <c:v>Vandalism</c:v>
                </c:pt>
                <c:pt idx="6">
                  <c:v>Traffic Accidents</c:v>
                </c:pt>
                <c:pt idx="7">
                  <c:v>Embezzelment</c:v>
                </c:pt>
                <c:pt idx="8">
                  <c:v>Domestic violence</c:v>
                </c:pt>
                <c:pt idx="9">
                  <c:v>Robbery</c:v>
                </c:pt>
                <c:pt idx="10">
                  <c:v>Counterfiet</c:v>
                </c:pt>
              </c:strCache>
            </c:strRef>
          </c:cat>
          <c:val>
            <c:numRef>
              <c:f>'8.4'!$B$50:$B$60</c:f>
              <c:numCache>
                <c:formatCode>_-* #,##0_-;\-* #,##0_-;_-* "-"??_-;_-@_-</c:formatCode>
                <c:ptCount val="11"/>
                <c:pt idx="0">
                  <c:v>1146</c:v>
                </c:pt>
                <c:pt idx="1">
                  <c:v>111</c:v>
                </c:pt>
                <c:pt idx="2">
                  <c:v>886</c:v>
                </c:pt>
                <c:pt idx="3">
                  <c:v>348</c:v>
                </c:pt>
                <c:pt idx="4">
                  <c:v>529</c:v>
                </c:pt>
                <c:pt idx="5">
                  <c:v>243</c:v>
                </c:pt>
                <c:pt idx="6">
                  <c:v>49</c:v>
                </c:pt>
                <c:pt idx="7">
                  <c:v>384</c:v>
                </c:pt>
                <c:pt idx="8">
                  <c:v>129</c:v>
                </c:pt>
                <c:pt idx="9">
                  <c:v>199</c:v>
                </c:pt>
                <c:pt idx="10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140718080"/>
        <c:axId val="140719616"/>
      </c:barChart>
      <c:catAx>
        <c:axId val="140718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/>
            </a:pPr>
            <a:endParaRPr lang="en-US"/>
          </a:p>
        </c:txPr>
        <c:crossAx val="140719616"/>
        <c:crosses val="autoZero"/>
        <c:auto val="1"/>
        <c:lblAlgn val="ctr"/>
        <c:lblOffset val="100"/>
        <c:noMultiLvlLbl val="0"/>
      </c:catAx>
      <c:valAx>
        <c:axId val="1407196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Numbers</a:t>
                </a:r>
              </a:p>
            </c:rich>
          </c:tx>
          <c:layout>
            <c:manualLayout>
              <c:xMode val="edge"/>
              <c:yMode val="edge"/>
              <c:x val="8.168283333251803E-3"/>
              <c:y val="0.323053165706360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40718080"/>
        <c:crosses val="autoZero"/>
        <c:crossBetween val="between"/>
      </c:valAx>
      <c:spPr>
        <a:solidFill>
          <a:srgbClr val="E7FFFF"/>
        </a:solidFill>
        <a:ln w="1270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165834121254567E-2"/>
          <c:y val="0.18892489634893891"/>
          <c:w val="0.90774484356455565"/>
          <c:h val="0.663683633405256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'8.5'!$F$4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rgbClr val="77DFDD"/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'8.5'!$F$6:$F$17</c:f>
              <c:numCache>
                <c:formatCode>_-* #,##0_-;\-* #,##0_-;_-* "-"??_-;_-@_-</c:formatCode>
                <c:ptCount val="12"/>
                <c:pt idx="0">
                  <c:v>1676</c:v>
                </c:pt>
                <c:pt idx="1">
                  <c:v>1597</c:v>
                </c:pt>
                <c:pt idx="2">
                  <c:v>1952</c:v>
                </c:pt>
                <c:pt idx="3">
                  <c:v>1796</c:v>
                </c:pt>
                <c:pt idx="4">
                  <c:v>1740</c:v>
                </c:pt>
                <c:pt idx="5">
                  <c:v>1942</c:v>
                </c:pt>
                <c:pt idx="6">
                  <c:v>2005</c:v>
                </c:pt>
                <c:pt idx="7">
                  <c:v>2007</c:v>
                </c:pt>
                <c:pt idx="8">
                  <c:v>1833</c:v>
                </c:pt>
                <c:pt idx="9">
                  <c:v>1727</c:v>
                </c:pt>
                <c:pt idx="10">
                  <c:v>1706</c:v>
                </c:pt>
                <c:pt idx="11">
                  <c:v>1904</c:v>
                </c:pt>
              </c:numCache>
            </c:numRef>
          </c:val>
        </c:ser>
        <c:ser>
          <c:idx val="1"/>
          <c:order val="1"/>
          <c:tx>
            <c:strRef>
              <c:f>'8.5'!$G$4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27A09D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'8.5'!$G$6:$G$17</c:f>
              <c:numCache>
                <c:formatCode>_-* #,##0_-;\-* #,##0_-;_-* "-"??_-;_-@_-</c:formatCode>
                <c:ptCount val="12"/>
                <c:pt idx="0">
                  <c:v>2011</c:v>
                </c:pt>
                <c:pt idx="1">
                  <c:v>1552</c:v>
                </c:pt>
                <c:pt idx="2">
                  <c:v>1798</c:v>
                </c:pt>
                <c:pt idx="3">
                  <c:v>1650</c:v>
                </c:pt>
                <c:pt idx="4">
                  <c:v>1640</c:v>
                </c:pt>
                <c:pt idx="5">
                  <c:v>1489</c:v>
                </c:pt>
                <c:pt idx="6">
                  <c:v>1412</c:v>
                </c:pt>
                <c:pt idx="7">
                  <c:v>1380</c:v>
                </c:pt>
                <c:pt idx="8">
                  <c:v>1245</c:v>
                </c:pt>
                <c:pt idx="9">
                  <c:v>1497</c:v>
                </c:pt>
                <c:pt idx="10">
                  <c:v>1349</c:v>
                </c:pt>
                <c:pt idx="11">
                  <c:v>1170</c:v>
                </c:pt>
              </c:numCache>
            </c:numRef>
          </c:val>
        </c:ser>
        <c:ser>
          <c:idx val="2"/>
          <c:order val="2"/>
          <c:tx>
            <c:strRef>
              <c:f>'8.5'!$H$4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1C706E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'8.5'!$H$6:$H$17</c:f>
              <c:numCache>
                <c:formatCode>_-* #,##0_-;\-* #,##0_-;_-* "-"??_-;_-@_-</c:formatCode>
                <c:ptCount val="12"/>
                <c:pt idx="0">
                  <c:v>1371</c:v>
                </c:pt>
                <c:pt idx="1">
                  <c:v>1414</c:v>
                </c:pt>
                <c:pt idx="2">
                  <c:v>1441</c:v>
                </c:pt>
                <c:pt idx="3">
                  <c:v>1271</c:v>
                </c:pt>
                <c:pt idx="4">
                  <c:v>1332</c:v>
                </c:pt>
                <c:pt idx="5">
                  <c:v>1263</c:v>
                </c:pt>
                <c:pt idx="6">
                  <c:v>1326</c:v>
                </c:pt>
                <c:pt idx="7">
                  <c:v>1609</c:v>
                </c:pt>
                <c:pt idx="8">
                  <c:v>1428</c:v>
                </c:pt>
                <c:pt idx="9">
                  <c:v>1369</c:v>
                </c:pt>
                <c:pt idx="10">
                  <c:v>1285</c:v>
                </c:pt>
                <c:pt idx="11">
                  <c:v>1254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140881920"/>
        <c:axId val="140883456"/>
      </c:barChart>
      <c:catAx>
        <c:axId val="140881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40883456"/>
        <c:crosses val="autoZero"/>
        <c:auto val="1"/>
        <c:lblAlgn val="ctr"/>
        <c:lblOffset val="100"/>
        <c:noMultiLvlLbl val="0"/>
      </c:catAx>
      <c:valAx>
        <c:axId val="14088345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40881920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230208129530276"/>
          <c:y val="0.22345053987357918"/>
          <c:w val="0.18951472483896242"/>
          <c:h val="0.11110513216686221"/>
        </c:manualLayout>
      </c:layout>
      <c:overlay val="0"/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493025067379501E-2"/>
          <c:y val="0.17551434231628643"/>
          <c:w val="0.88763394418352992"/>
          <c:h val="0.66826191922484002"/>
        </c:manualLayout>
      </c:layout>
      <c:lineChart>
        <c:grouping val="standard"/>
        <c:varyColors val="0"/>
        <c:ser>
          <c:idx val="0"/>
          <c:order val="0"/>
          <c:tx>
            <c:strRef>
              <c:f>'8.6'!$B$5</c:f>
              <c:strCache>
                <c:ptCount val="1"/>
                <c:pt idx="0">
                  <c:v>No. of Cases Logged</c:v>
                </c:pt>
              </c:strCache>
            </c:strRef>
          </c:tx>
          <c:spPr>
            <a:ln w="28575">
              <a:solidFill>
                <a:srgbClr val="1C706E"/>
              </a:solidFill>
            </a:ln>
          </c:spPr>
          <c:marker>
            <c:spPr>
              <a:solidFill>
                <a:srgbClr val="1DFFFF"/>
              </a:solidFill>
              <a:ln>
                <a:solidFill>
                  <a:srgbClr val="33CCCC"/>
                </a:solidFill>
              </a:ln>
            </c:spPr>
          </c:marker>
          <c:cat>
            <c:numRef>
              <c:f>'8.6'!$A$7:$A$30</c:f>
              <c:numCache>
                <c:formatCode>General</c:formatCode>
                <c:ptCount val="24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</c:numCache>
            </c:numRef>
          </c:cat>
          <c:val>
            <c:numRef>
              <c:f>'8.6'!$B$7:$B$30</c:f>
              <c:numCache>
                <c:formatCode>#,##0_);\(#,##0\)</c:formatCode>
                <c:ptCount val="24"/>
                <c:pt idx="0">
                  <c:v>3843</c:v>
                </c:pt>
                <c:pt idx="1">
                  <c:v>5067</c:v>
                </c:pt>
                <c:pt idx="2">
                  <c:v>5344</c:v>
                </c:pt>
                <c:pt idx="3">
                  <c:v>5449</c:v>
                </c:pt>
                <c:pt idx="4">
                  <c:v>5287</c:v>
                </c:pt>
                <c:pt idx="5">
                  <c:v>6979</c:v>
                </c:pt>
                <c:pt idx="6">
                  <c:v>6266</c:v>
                </c:pt>
                <c:pt idx="7">
                  <c:v>4586</c:v>
                </c:pt>
                <c:pt idx="8">
                  <c:v>4567</c:v>
                </c:pt>
                <c:pt idx="9">
                  <c:v>6417</c:v>
                </c:pt>
                <c:pt idx="10">
                  <c:v>7045</c:v>
                </c:pt>
                <c:pt idx="11">
                  <c:v>9085</c:v>
                </c:pt>
                <c:pt idx="12">
                  <c:v>9140</c:v>
                </c:pt>
                <c:pt idx="13">
                  <c:v>8230</c:v>
                </c:pt>
                <c:pt idx="14">
                  <c:v>8560</c:v>
                </c:pt>
                <c:pt idx="15">
                  <c:v>11452</c:v>
                </c:pt>
                <c:pt idx="16">
                  <c:v>17674</c:v>
                </c:pt>
                <c:pt idx="17">
                  <c:v>19259</c:v>
                </c:pt>
                <c:pt idx="18">
                  <c:v>16994</c:v>
                </c:pt>
                <c:pt idx="19">
                  <c:v>17803</c:v>
                </c:pt>
                <c:pt idx="20">
                  <c:v>20512</c:v>
                </c:pt>
                <c:pt idx="21">
                  <c:v>21885</c:v>
                </c:pt>
                <c:pt idx="22">
                  <c:v>18193</c:v>
                </c:pt>
                <c:pt idx="23">
                  <c:v>16363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rgbClr val="7030A0"/>
              </a:solidFill>
            </a:ln>
          </c:spPr>
        </c:hiLowLines>
        <c:upDownBars>
          <c:gapWidth val="150"/>
          <c:upBars/>
          <c:downBars/>
        </c:upDownBars>
        <c:marker val="1"/>
        <c:smooth val="0"/>
        <c:axId val="163111680"/>
        <c:axId val="163113216"/>
      </c:lineChart>
      <c:catAx>
        <c:axId val="163111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63113216"/>
        <c:crosses val="autoZero"/>
        <c:auto val="1"/>
        <c:lblAlgn val="ctr"/>
        <c:lblOffset val="100"/>
        <c:noMultiLvlLbl val="0"/>
      </c:catAx>
      <c:valAx>
        <c:axId val="163113216"/>
        <c:scaling>
          <c:orientation val="minMax"/>
        </c:scaling>
        <c:delete val="0"/>
        <c:axPos val="l"/>
        <c:majorGridlines>
          <c:spPr>
            <a:ln>
              <a:solidFill>
                <a:srgbClr val="33CCCC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63111680"/>
        <c:crosses val="autoZero"/>
        <c:crossBetween val="between"/>
      </c:valAx>
      <c:spPr>
        <a:solidFill>
          <a:srgbClr val="E7FFFF"/>
        </a:solidFill>
        <a:ln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62305262333671E-2"/>
          <c:y val="0.19821527847072742"/>
          <c:w val="0.89857041711309515"/>
          <c:h val="0.573165224107477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'8.7'!$D$3:$D$5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'8.7'!$D$7:$D$13</c:f>
              <c:numCache>
                <c:formatCode>#,##0</c:formatCode>
                <c:ptCount val="7"/>
                <c:pt idx="0">
                  <c:v>3285</c:v>
                </c:pt>
                <c:pt idx="1">
                  <c:v>1017</c:v>
                </c:pt>
                <c:pt idx="2">
                  <c:v>1022</c:v>
                </c:pt>
                <c:pt idx="3">
                  <c:v>324</c:v>
                </c:pt>
                <c:pt idx="4">
                  <c:v>218</c:v>
                </c:pt>
                <c:pt idx="5">
                  <c:v>130</c:v>
                </c:pt>
                <c:pt idx="6">
                  <c:v>687</c:v>
                </c:pt>
              </c:numCache>
            </c:numRef>
          </c:val>
        </c:ser>
        <c:ser>
          <c:idx val="1"/>
          <c:order val="1"/>
          <c:tx>
            <c:strRef>
              <c:f>'8.7'!$E$3:$E$5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'8.7'!$E$7:$E$13</c:f>
              <c:numCache>
                <c:formatCode>#,##0</c:formatCode>
                <c:ptCount val="7"/>
                <c:pt idx="0">
                  <c:v>2275</c:v>
                </c:pt>
                <c:pt idx="1">
                  <c:v>602</c:v>
                </c:pt>
                <c:pt idx="2">
                  <c:v>817</c:v>
                </c:pt>
                <c:pt idx="3">
                  <c:v>258</c:v>
                </c:pt>
                <c:pt idx="4">
                  <c:v>238</c:v>
                </c:pt>
                <c:pt idx="5">
                  <c:v>237</c:v>
                </c:pt>
                <c:pt idx="6">
                  <c:v>653</c:v>
                </c:pt>
              </c:numCache>
            </c:numRef>
          </c:val>
        </c:ser>
        <c:ser>
          <c:idx val="2"/>
          <c:order val="2"/>
          <c:tx>
            <c:strRef>
              <c:f>'8.7'!$F$3:$F$5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'8.7'!$F$7:$F$13</c:f>
              <c:numCache>
                <c:formatCode>#,##0</c:formatCode>
                <c:ptCount val="7"/>
                <c:pt idx="0">
                  <c:v>1382</c:v>
                </c:pt>
                <c:pt idx="1">
                  <c:v>651</c:v>
                </c:pt>
                <c:pt idx="2">
                  <c:v>807</c:v>
                </c:pt>
                <c:pt idx="3">
                  <c:v>285</c:v>
                </c:pt>
                <c:pt idx="4">
                  <c:v>166</c:v>
                </c:pt>
                <c:pt idx="5">
                  <c:v>219</c:v>
                </c:pt>
                <c:pt idx="6">
                  <c:v>480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700672"/>
        <c:axId val="162702464"/>
      </c:barChart>
      <c:catAx>
        <c:axId val="162700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62702464"/>
        <c:crosses val="autoZero"/>
        <c:auto val="1"/>
        <c:lblAlgn val="ctr"/>
        <c:lblOffset val="100"/>
        <c:noMultiLvlLbl val="0"/>
      </c:catAx>
      <c:valAx>
        <c:axId val="16270246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in  Numbers</a:t>
                </a:r>
              </a:p>
            </c:rich>
          </c:tx>
          <c:layout>
            <c:manualLayout>
              <c:xMode val="edge"/>
              <c:yMode val="edge"/>
              <c:x val="1.6131643831602389E-2"/>
              <c:y val="0.10897725814833198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62700672"/>
        <c:crosses val="autoZero"/>
        <c:crossBetween val="between"/>
      </c:valAx>
      <c:spPr>
        <a:solidFill>
          <a:srgbClr val="E7FFFF"/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088543479330663"/>
          <c:y val="0.26865504451501748"/>
          <c:w val="0.22794565372704964"/>
          <c:h val="8.2567559471280055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64661578736"/>
          <c:y val="0.18124667109492446"/>
          <c:w val="0.42795192618350192"/>
          <c:h val="0.73864744830214712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dPt>
            <c:idx val="0"/>
            <c:bubble3D val="0"/>
            <c:explosion val="9"/>
          </c:dPt>
          <c:dPt>
            <c:idx val="1"/>
            <c:bubble3D val="0"/>
            <c:explosion val="5"/>
            <c:spPr>
              <a:solidFill>
                <a:srgbClr val="33CCCC"/>
              </a:solidFill>
            </c:spPr>
          </c:dPt>
          <c:dLbls>
            <c:dLbl>
              <c:idx val="0"/>
              <c:layout>
                <c:manualLayout>
                  <c:x val="0.14163409542093391"/>
                  <c:y val="-0.267170246938365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1432817848227492E-2"/>
                  <c:y val="0.1030522613986413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0036718806935645"/>
                  <c:y val="0.3044119106211092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'8.8'!$Q$29:$Q$31</c:f>
              <c:strCache>
                <c:ptCount val="3"/>
                <c:pt idx="0">
                  <c:v>Drugs</c:v>
                </c:pt>
                <c:pt idx="1">
                  <c:v>Alcohol</c:v>
                </c:pt>
                <c:pt idx="2">
                  <c:v>Other cases related to drug offences</c:v>
                </c:pt>
              </c:strCache>
            </c:strRef>
          </c:cat>
          <c:val>
            <c:numRef>
              <c:f>'8.8'!$S$29:$S$31</c:f>
              <c:numCache>
                <c:formatCode>0</c:formatCode>
                <c:ptCount val="3"/>
                <c:pt idx="0">
                  <c:v>92.011549566891233</c:v>
                </c:pt>
                <c:pt idx="1">
                  <c:v>7.747834456207892</c:v>
                </c:pt>
                <c:pt idx="2">
                  <c:v>0.2406159769008662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54"/>
      </c:pieChart>
    </c:plotArea>
    <c:plotVisOnly val="1"/>
    <c:dispBlanksAs val="zero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19097230210379"/>
          <c:y val="0.16217488392547058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'8.8'!$D$3:$D$5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'8.8'!$D$8:$D$13</c:f>
              <c:numCache>
                <c:formatCode>_-* #,##0_-;\-* #,##0_-;_-* "-"??_-;_-@_-</c:formatCode>
                <c:ptCount val="6"/>
                <c:pt idx="0">
                  <c:v>2139</c:v>
                </c:pt>
                <c:pt idx="1">
                  <c:v>833</c:v>
                </c:pt>
                <c:pt idx="2">
                  <c:v>2</c:v>
                </c:pt>
                <c:pt idx="3">
                  <c:v>130</c:v>
                </c:pt>
                <c:pt idx="4">
                  <c:v>38</c:v>
                </c:pt>
                <c:pt idx="5">
                  <c:v>302</c:v>
                </c:pt>
              </c:numCache>
            </c:numRef>
          </c:val>
        </c:ser>
        <c:ser>
          <c:idx val="1"/>
          <c:order val="1"/>
          <c:tx>
            <c:strRef>
              <c:f>'8.8'!$E$3:$E$5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'8.8'!$E$8:$E$13</c:f>
              <c:numCache>
                <c:formatCode>_-* #,##0_-;\-* #,##0_-;_-* "-"??_-;_-@_-</c:formatCode>
                <c:ptCount val="6"/>
                <c:pt idx="0">
                  <c:v>2036</c:v>
                </c:pt>
                <c:pt idx="1">
                  <c:v>597</c:v>
                </c:pt>
                <c:pt idx="2">
                  <c:v>7</c:v>
                </c:pt>
                <c:pt idx="3">
                  <c:v>98</c:v>
                </c:pt>
                <c:pt idx="4">
                  <c:v>27</c:v>
                </c:pt>
                <c:pt idx="5">
                  <c:v>103</c:v>
                </c:pt>
              </c:numCache>
            </c:numRef>
          </c:val>
        </c:ser>
        <c:ser>
          <c:idx val="2"/>
          <c:order val="2"/>
          <c:tx>
            <c:strRef>
              <c:f>'8.8'!$F$3:$F$5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'8.8'!$F$8:$F$13</c:f>
              <c:numCache>
                <c:formatCode>_-* #,##0_-;\-* #,##0_-;_-* "-"??_-;_-@_-</c:formatCode>
                <c:ptCount val="6"/>
                <c:pt idx="0">
                  <c:v>1152</c:v>
                </c:pt>
                <c:pt idx="1">
                  <c:v>578</c:v>
                </c:pt>
                <c:pt idx="2">
                  <c:v>2</c:v>
                </c:pt>
                <c:pt idx="3">
                  <c:v>71</c:v>
                </c:pt>
                <c:pt idx="4">
                  <c:v>73</c:v>
                </c:pt>
                <c:pt idx="5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04704"/>
        <c:axId val="162918784"/>
      </c:barChart>
      <c:catAx>
        <c:axId val="162904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162918784"/>
        <c:crosses val="autoZero"/>
        <c:auto val="1"/>
        <c:lblAlgn val="ctr"/>
        <c:lblOffset val="100"/>
        <c:noMultiLvlLbl val="0"/>
      </c:catAx>
      <c:valAx>
        <c:axId val="162918784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</c:title>
        <c:numFmt formatCode="_-* #,##0_-;\-* #,##0_-;_-* &quot;-&quot;??_-;_-@_-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16290470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3285667462547559"/>
          <c:y val="0.22809011960298481"/>
          <c:w val="0.27811239921118452"/>
          <c:h val="8.35272061714756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6606007537386"/>
          <c:y val="0.17551025230578871"/>
          <c:w val="0.86542580804400426"/>
          <c:h val="0.666521784740066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'8.10'!$D$3:$D$4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'8.10'!$D$7:$D$9</c:f>
              <c:numCache>
                <c:formatCode>#,##0</c:formatCode>
                <c:ptCount val="3"/>
                <c:pt idx="0">
                  <c:v>23</c:v>
                </c:pt>
                <c:pt idx="1">
                  <c:v>26</c:v>
                </c:pt>
                <c:pt idx="2">
                  <c:v>143</c:v>
                </c:pt>
              </c:numCache>
            </c:numRef>
          </c:val>
        </c:ser>
        <c:ser>
          <c:idx val="2"/>
          <c:order val="1"/>
          <c:tx>
            <c:strRef>
              <c:f>'8.10'!$E$3:$E$4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'8.10'!$E$7:$E$9</c:f>
              <c:numCache>
                <c:formatCode>General</c:formatCode>
                <c:ptCount val="3"/>
                <c:pt idx="0">
                  <c:v>20</c:v>
                </c:pt>
                <c:pt idx="1">
                  <c:v>21</c:v>
                </c:pt>
                <c:pt idx="2">
                  <c:v>227</c:v>
                </c:pt>
              </c:numCache>
            </c:numRef>
          </c:val>
        </c:ser>
        <c:ser>
          <c:idx val="0"/>
          <c:order val="2"/>
          <c:tx>
            <c:strRef>
              <c:f>'8.10'!$F$3:$F$4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'8.10'!$F$7:$F$9</c:f>
              <c:numCache>
                <c:formatCode>General</c:formatCode>
                <c:ptCount val="3"/>
                <c:pt idx="0">
                  <c:v>16</c:v>
                </c:pt>
                <c:pt idx="1">
                  <c:v>20</c:v>
                </c:pt>
                <c:pt idx="2">
                  <c:v>159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093888"/>
        <c:axId val="163452032"/>
      </c:barChart>
      <c:catAx>
        <c:axId val="163093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63452032"/>
        <c:crosses val="autoZero"/>
        <c:auto val="1"/>
        <c:lblAlgn val="ctr"/>
        <c:lblOffset val="100"/>
        <c:noMultiLvlLbl val="0"/>
      </c:catAx>
      <c:valAx>
        <c:axId val="163452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/>
                  <a:t>In</a:t>
                </a:r>
                <a:r>
                  <a:rPr lang="en-US" sz="900" b="1" baseline="0"/>
                  <a:t> n</a:t>
                </a:r>
                <a:r>
                  <a:rPr lang="en-US" sz="900" b="1"/>
                  <a:t>umbers</a:t>
                </a:r>
              </a:p>
            </c:rich>
          </c:tx>
          <c:layout>
            <c:manualLayout>
              <c:xMode val="edge"/>
              <c:yMode val="edge"/>
              <c:x val="9.2466482230261753E-3"/>
              <c:y val="0.3130434127592430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6309388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9271077414674965"/>
          <c:y val="0.21821509524077193"/>
          <c:w val="0.23873131061917202"/>
          <c:h val="8.100635174845191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62138724079476"/>
          <c:y val="0.15964250756362341"/>
          <c:w val="0.44730035076529956"/>
          <c:h val="0.79350819929943917"/>
        </c:manualLayout>
      </c:layout>
      <c:doughnutChart>
        <c:varyColors val="1"/>
        <c:ser>
          <c:idx val="0"/>
          <c:order val="0"/>
          <c:spPr>
            <a:solidFill>
              <a:srgbClr val="1C706E"/>
            </a:solidFill>
          </c:spPr>
          <c:dPt>
            <c:idx val="0"/>
            <c:bubble3D val="0"/>
            <c:explosion val="4"/>
            <c:spPr>
              <a:solidFill>
                <a:srgbClr val="33CCCC"/>
              </a:solidFill>
            </c:spPr>
          </c:dPt>
          <c:dLbls>
            <c:dLbl>
              <c:idx val="0"/>
              <c:layout>
                <c:manualLayout>
                  <c:x val="8.896719996397616E-2"/>
                  <c:y val="-0.118250239603104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12183325189055648"/>
                  <c:y val="0.169437919305432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'8.10'!$N$30:$N$31</c:f>
              <c:strCache>
                <c:ptCount val="2"/>
                <c:pt idx="0">
                  <c:v>Assault by group of persons</c:v>
                </c:pt>
                <c:pt idx="1">
                  <c:v>Other Assault</c:v>
                </c:pt>
              </c:strCache>
            </c:strRef>
          </c:cat>
          <c:val>
            <c:numRef>
              <c:f>'8.10'!$O$30:$O$31</c:f>
              <c:numCache>
                <c:formatCode>#,##0</c:formatCode>
                <c:ptCount val="2"/>
                <c:pt idx="0">
                  <c:v>20.855614973262032</c:v>
                </c:pt>
                <c:pt idx="1">
                  <c:v>79.144385026737979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0"/>
        <c:holeSize val="50"/>
      </c:doughnutChart>
    </c:plotArea>
    <c:plotVisOnly val="1"/>
    <c:dispBlanksAs val="zero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+mn-lt"/>
                <a:cs typeface="Consolas" pitchFamily="49" charset="0"/>
              </a:rPr>
              <a:t>Figure 8.13: Percentage share of Death cases logged, 2014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2994319615324987"/>
          <c:y val="0.17327596867162315"/>
          <c:w val="0.40516536158619426"/>
          <c:h val="0.78694561713104594"/>
        </c:manualLayout>
      </c:layout>
      <c:pieChart>
        <c:varyColors val="1"/>
        <c:ser>
          <c:idx val="0"/>
          <c:order val="0"/>
          <c:dPt>
            <c:idx val="5"/>
            <c:bubble3D val="0"/>
            <c:explosion val="5"/>
            <c:spPr>
              <a:solidFill>
                <a:srgbClr val="7030A0"/>
              </a:solidFill>
            </c:spPr>
          </c:dPt>
          <c:dLbls>
            <c:dLbl>
              <c:idx val="0"/>
              <c:layout>
                <c:manualLayout>
                  <c:x val="6.7310953787998347E-3"/>
                  <c:y val="4.486816567780502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7.4875659839905906E-2"/>
                  <c:y val="2.493192585105457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3.6220299484613007E-2"/>
                  <c:y val="1.75081532202974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3.9732101576538836E-2"/>
                  <c:y val="6.21349899187901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9.8141707693660513E-2"/>
                  <c:y val="-0.1056203385134044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20177377592764187"/>
                  <c:y val="-1.65546755335934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'8.11'!$A$6:$A$11</c:f>
              <c:strCache>
                <c:ptCount val="6"/>
                <c:pt idx="0">
                  <c:v>Homicide</c:v>
                </c:pt>
                <c:pt idx="1">
                  <c:v>Suicide</c:v>
                </c:pt>
                <c:pt idx="2">
                  <c:v>Diving/snorkeling  accidents</c:v>
                </c:pt>
                <c:pt idx="3">
                  <c:v>Traffic accidents</c:v>
                </c:pt>
                <c:pt idx="4">
                  <c:v>Drowning</c:v>
                </c:pt>
                <c:pt idx="5">
                  <c:v>Other death cases logged</c:v>
                </c:pt>
              </c:strCache>
            </c:strRef>
          </c:cat>
          <c:val>
            <c:numRef>
              <c:f>'8.11'!$E$6:$E$11</c:f>
              <c:numCache>
                <c:formatCode>#,##0</c:formatCode>
                <c:ptCount val="6"/>
                <c:pt idx="0">
                  <c:v>3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  <c:pt idx="4">
                  <c:v>13</c:v>
                </c:pt>
                <c:pt idx="5">
                  <c:v>122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32"/>
      </c:pieChart>
    </c:plotArea>
    <c:plotVisOnly val="1"/>
    <c:dispBlanksAs val="zero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92076828624596E-2"/>
          <c:y val="0.15405528170113456"/>
          <c:w val="0.8967734754622837"/>
          <c:h val="0.4929728278373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'8.12'!$AD$19</c:f>
              <c:strCache>
                <c:ptCount val="1"/>
                <c:pt idx="0">
                  <c:v>Logged cases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'8.12'!$AC$20:$AC$31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  <c:pt idx="11">
                  <c:v>Others</c:v>
                </c:pt>
              </c:strCache>
            </c:strRef>
          </c:cat>
          <c:val>
            <c:numRef>
              <c:f>'8.12'!$AD$20:$AD$31</c:f>
              <c:numCache>
                <c:formatCode>#,##0</c:formatCode>
                <c:ptCount val="12"/>
                <c:pt idx="0">
                  <c:v>3990</c:v>
                </c:pt>
                <c:pt idx="1">
                  <c:v>2045</c:v>
                </c:pt>
                <c:pt idx="2">
                  <c:v>2078</c:v>
                </c:pt>
                <c:pt idx="3">
                  <c:v>1717</c:v>
                </c:pt>
                <c:pt idx="4">
                  <c:v>935</c:v>
                </c:pt>
                <c:pt idx="5">
                  <c:v>534</c:v>
                </c:pt>
                <c:pt idx="6">
                  <c:v>544</c:v>
                </c:pt>
                <c:pt idx="7">
                  <c:v>531</c:v>
                </c:pt>
                <c:pt idx="8">
                  <c:v>741</c:v>
                </c:pt>
                <c:pt idx="9">
                  <c:v>338</c:v>
                </c:pt>
                <c:pt idx="10">
                  <c:v>91</c:v>
                </c:pt>
                <c:pt idx="11">
                  <c:v>2819</c:v>
                </c:pt>
              </c:numCache>
            </c:numRef>
          </c:val>
        </c:ser>
        <c:ser>
          <c:idx val="1"/>
          <c:order val="1"/>
          <c:tx>
            <c:strRef>
              <c:f>'8.12'!$AE$19</c:f>
              <c:strCache>
                <c:ptCount val="1"/>
                <c:pt idx="0">
                  <c:v>Completed cases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'8.12'!$AC$20:$AC$31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  <c:pt idx="11">
                  <c:v>Others</c:v>
                </c:pt>
              </c:strCache>
            </c:strRef>
          </c:cat>
          <c:val>
            <c:numRef>
              <c:f>'8.12'!$AE$20:$AE$31</c:f>
              <c:numCache>
                <c:formatCode>_-* #,##0_-;\-* #,##0_-;_-* "-"??_-;_-@_-</c:formatCode>
                <c:ptCount val="12"/>
                <c:pt idx="0">
                  <c:v>4618</c:v>
                </c:pt>
                <c:pt idx="1">
                  <c:v>1998</c:v>
                </c:pt>
                <c:pt idx="2">
                  <c:v>4528</c:v>
                </c:pt>
                <c:pt idx="3">
                  <c:v>1765</c:v>
                </c:pt>
                <c:pt idx="4">
                  <c:v>1200</c:v>
                </c:pt>
                <c:pt idx="5">
                  <c:v>617</c:v>
                </c:pt>
                <c:pt idx="6">
                  <c:v>590</c:v>
                </c:pt>
                <c:pt idx="7">
                  <c:v>647</c:v>
                </c:pt>
                <c:pt idx="8">
                  <c:v>759</c:v>
                </c:pt>
                <c:pt idx="9">
                  <c:v>335</c:v>
                </c:pt>
                <c:pt idx="10">
                  <c:v>103</c:v>
                </c:pt>
                <c:pt idx="11">
                  <c:v>3130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63670272"/>
        <c:axId val="163586048"/>
      </c:barChart>
      <c:catAx>
        <c:axId val="16367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163586048"/>
        <c:crosses val="autoZero"/>
        <c:auto val="1"/>
        <c:lblAlgn val="ctr"/>
        <c:lblOffset val="100"/>
        <c:noMultiLvlLbl val="0"/>
      </c:catAx>
      <c:valAx>
        <c:axId val="16358604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</a:p>
            </c:rich>
          </c:tx>
          <c:layout>
            <c:manualLayout>
              <c:xMode val="edge"/>
              <c:yMode val="edge"/>
              <c:x val="1.3574564107930101E-2"/>
              <c:y val="4.6498534965874333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63670272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54447496508428495"/>
          <c:y val="0.22859657286991969"/>
          <c:w val="0.33700852284054489"/>
          <c:h val="5.9757758139937604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896276803779832E-2"/>
          <c:y val="0.18418719076936688"/>
          <c:w val="0.90266916893859461"/>
          <c:h val="0.486704305179473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'8.13'!$V$32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'8.13'!$U$33:$U$44</c:f>
              <c:strCache>
                <c:ptCount val="12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  <c:pt idx="10">
                  <c:v>Lost items</c:v>
                </c:pt>
                <c:pt idx="11">
                  <c:v>Others</c:v>
                </c:pt>
              </c:strCache>
            </c:strRef>
          </c:cat>
          <c:val>
            <c:numRef>
              <c:f>'8.13'!$V$33:$V$44</c:f>
              <c:numCache>
                <c:formatCode>0.0</c:formatCode>
                <c:ptCount val="12"/>
                <c:pt idx="0">
                  <c:v>97.746967071057185</c:v>
                </c:pt>
                <c:pt idx="1">
                  <c:v>97.567114093959731</c:v>
                </c:pt>
                <c:pt idx="2">
                  <c:v>92.307692307692307</c:v>
                </c:pt>
                <c:pt idx="3">
                  <c:v>95.104299702000844</c:v>
                </c:pt>
                <c:pt idx="4">
                  <c:v>89.230769230769241</c:v>
                </c:pt>
                <c:pt idx="5">
                  <c:v>100</c:v>
                </c:pt>
                <c:pt idx="6">
                  <c:v>78.181818181818187</c:v>
                </c:pt>
                <c:pt idx="7">
                  <c:v>100</c:v>
                </c:pt>
                <c:pt idx="8">
                  <c:v>96.031746031746039</c:v>
                </c:pt>
                <c:pt idx="9">
                  <c:v>95.238095238095227</c:v>
                </c:pt>
                <c:pt idx="10">
                  <c:v>50</c:v>
                </c:pt>
                <c:pt idx="11">
                  <c:v>94.25051334702259</c:v>
                </c:pt>
              </c:numCache>
            </c:numRef>
          </c:val>
        </c:ser>
        <c:ser>
          <c:idx val="1"/>
          <c:order val="1"/>
          <c:tx>
            <c:strRef>
              <c:f>'8.13'!$W$32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'8.13'!$U$33:$U$44</c:f>
              <c:strCache>
                <c:ptCount val="12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  <c:pt idx="10">
                  <c:v>Lost items</c:v>
                </c:pt>
                <c:pt idx="11">
                  <c:v>Others</c:v>
                </c:pt>
              </c:strCache>
            </c:strRef>
          </c:cat>
          <c:val>
            <c:numRef>
              <c:f>'8.13'!$W$33:$W$44</c:f>
              <c:numCache>
                <c:formatCode>0.0</c:formatCode>
                <c:ptCount val="12"/>
                <c:pt idx="0">
                  <c:v>2.2530329289428077</c:v>
                </c:pt>
                <c:pt idx="1">
                  <c:v>2.4328859060402683</c:v>
                </c:pt>
                <c:pt idx="2">
                  <c:v>7.6923076923076925</c:v>
                </c:pt>
                <c:pt idx="3">
                  <c:v>4.8957002979991486</c:v>
                </c:pt>
                <c:pt idx="4">
                  <c:v>10.76923076923077</c:v>
                </c:pt>
                <c:pt idx="5">
                  <c:v>0</c:v>
                </c:pt>
                <c:pt idx="6">
                  <c:v>21.818181818181817</c:v>
                </c:pt>
                <c:pt idx="7">
                  <c:v>0</c:v>
                </c:pt>
                <c:pt idx="8">
                  <c:v>3.9682539682539679</c:v>
                </c:pt>
                <c:pt idx="9">
                  <c:v>4.7619047619047619</c:v>
                </c:pt>
                <c:pt idx="10">
                  <c:v>50</c:v>
                </c:pt>
                <c:pt idx="11">
                  <c:v>5.7494866529774127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68971264"/>
        <c:axId val="168973056"/>
      </c:barChart>
      <c:catAx>
        <c:axId val="16897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168973056"/>
        <c:crosses val="autoZero"/>
        <c:auto val="1"/>
        <c:lblAlgn val="ctr"/>
        <c:lblOffset val="100"/>
        <c:noMultiLvlLbl val="0"/>
      </c:catAx>
      <c:valAx>
        <c:axId val="168973056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16897126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6992813071140993E-2"/>
          <c:y val="0.8951274791438476"/>
          <c:w val="0.22362023472165582"/>
          <c:h val="7.6404411712686901E-2"/>
        </c:manualLayout>
      </c:layout>
      <c:overlay val="0"/>
      <c:txPr>
        <a:bodyPr/>
        <a:lstStyle/>
        <a:p>
          <a:pPr>
            <a:defRPr sz="105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97720056695281"/>
          <c:y val="0.19558832505717907"/>
          <c:w val="0.8662028365394574"/>
          <c:h val="0.633872849227180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'8.14'!$R$28:$R$33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more than 6</c:v>
                </c:pt>
              </c:strCache>
            </c:strRef>
          </c:cat>
          <c:val>
            <c:numRef>
              <c:f>'8.14'!$S$28:$S$33</c:f>
              <c:numCache>
                <c:formatCode>General</c:formatCode>
                <c:ptCount val="6"/>
                <c:pt idx="0" formatCode="#,##0">
                  <c:v>4118</c:v>
                </c:pt>
                <c:pt idx="1">
                  <c:v>1002</c:v>
                </c:pt>
                <c:pt idx="2">
                  <c:v>362</c:v>
                </c:pt>
                <c:pt idx="3">
                  <c:v>157</c:v>
                </c:pt>
                <c:pt idx="4">
                  <c:v>81</c:v>
                </c:pt>
                <c:pt idx="5">
                  <c:v>107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002496"/>
        <c:axId val="169004416"/>
      </c:barChart>
      <c:catAx>
        <c:axId val="16900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times arrested</a:t>
                </a:r>
              </a:p>
            </c:rich>
          </c:tx>
          <c:layout>
            <c:manualLayout>
              <c:xMode val="edge"/>
              <c:yMode val="edge"/>
              <c:x val="0.41901525978925691"/>
              <c:y val="0.90265626851363145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69004416"/>
        <c:crosses val="autoZero"/>
        <c:auto val="1"/>
        <c:lblAlgn val="ctr"/>
        <c:lblOffset val="100"/>
        <c:noMultiLvlLbl val="0"/>
      </c:catAx>
      <c:valAx>
        <c:axId val="1690044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detainees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091245076890755E-2"/>
              <c:y val="0.2576684583373726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69002496"/>
        <c:crosses val="autoZero"/>
        <c:crossBetween val="between"/>
      </c:valAx>
      <c:spPr>
        <a:solidFill>
          <a:srgbClr val="E7FFF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6392885016318"/>
          <c:y val="0.19039225453296482"/>
          <c:w val="0.45958964231087795"/>
          <c:h val="0.77451325587626529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2"/>
          <c:dPt>
            <c:idx val="0"/>
            <c:bubble3D val="0"/>
            <c:spPr>
              <a:solidFill>
                <a:srgbClr val="1DFFFF"/>
              </a:solidFill>
            </c:spPr>
          </c:dPt>
          <c:dPt>
            <c:idx val="2"/>
            <c:bubble3D val="0"/>
            <c:spPr>
              <a:solidFill>
                <a:srgbClr val="33CCCC"/>
              </a:solidFill>
            </c:spPr>
          </c:dPt>
          <c:dLbls>
            <c:dLbl>
              <c:idx val="0"/>
              <c:layout>
                <c:manualLayout>
                  <c:x val="1.9335961421270753E-2"/>
                  <c:y val="7.460120102642787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11857907765236356"/>
                  <c:y val="-0.211155687987440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3.3194020305516776E-2"/>
                  <c:y val="0.249615161046075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'8.15'!$Z$12:$AB$12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'8.15'!$Z$13:$AB$13</c:f>
              <c:numCache>
                <c:formatCode>#,##0</c:formatCode>
                <c:ptCount val="3"/>
                <c:pt idx="0">
                  <c:v>278</c:v>
                </c:pt>
                <c:pt idx="1">
                  <c:v>4365</c:v>
                </c:pt>
                <c:pt idx="2">
                  <c:v>1184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4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213630244336777"/>
          <c:y val="0.15460638612226804"/>
          <c:w val="0.54892824060778178"/>
          <c:h val="0.79067459282821462"/>
        </c:manualLayout>
      </c:layout>
      <c:doughnutChart>
        <c:varyColors val="1"/>
        <c:ser>
          <c:idx val="0"/>
          <c:order val="0"/>
          <c:spPr>
            <a:solidFill>
              <a:srgbClr val="33CCCC"/>
            </a:solidFill>
          </c:spPr>
          <c:dPt>
            <c:idx val="0"/>
            <c:bubble3D val="0"/>
            <c:explosion val="20"/>
          </c:dPt>
          <c:dPt>
            <c:idx val="1"/>
            <c:bubble3D val="0"/>
            <c:spPr>
              <a:solidFill>
                <a:srgbClr val="1C706E"/>
              </a:solidFill>
            </c:spPr>
          </c:dPt>
          <c:dLbls>
            <c:dLbl>
              <c:idx val="0"/>
              <c:layout>
                <c:manualLayout>
                  <c:x val="-2.8332688846625213E-2"/>
                  <c:y val="-0.13805543673264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0536819651555915"/>
                  <c:y val="-0.101779684168123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'8.15'!$Z$16:$Z$17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'8.15'!$AA$16:$AA$17</c:f>
              <c:numCache>
                <c:formatCode>#,##0</c:formatCode>
                <c:ptCount val="2"/>
                <c:pt idx="0">
                  <c:v>5547</c:v>
                </c:pt>
                <c:pt idx="1">
                  <c:v>280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3"/>
        <c:holeSize val="50"/>
      </c:doughnut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628848494122"/>
          <c:y val="0.14376166520851469"/>
          <c:w val="0.87973626075415867"/>
          <c:h val="0.69013721194806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'8.15'!$AA$21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Lbls>
            <c:dLbl>
              <c:idx val="1"/>
              <c:layout>
                <c:manualLayout>
                  <c:x val="0"/>
                  <c:y val="1.259768996059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'8.15'!$Z$22:$Z$24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'8.15'!$AA$22:$AA$24</c:f>
              <c:numCache>
                <c:formatCode>#,##0</c:formatCode>
                <c:ptCount val="3"/>
                <c:pt idx="0">
                  <c:v>255</c:v>
                </c:pt>
                <c:pt idx="1">
                  <c:v>4159</c:v>
                </c:pt>
                <c:pt idx="2">
                  <c:v>1133</c:v>
                </c:pt>
              </c:numCache>
            </c:numRef>
          </c:val>
        </c:ser>
        <c:ser>
          <c:idx val="1"/>
          <c:order val="1"/>
          <c:tx>
            <c:strRef>
              <c:f>'8.15'!$AB$21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'8.15'!$Z$22:$Z$24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'8.15'!$AB$22:$AB$24</c:f>
              <c:numCache>
                <c:formatCode>#,##0</c:formatCode>
                <c:ptCount val="3"/>
                <c:pt idx="0">
                  <c:v>23</c:v>
                </c:pt>
                <c:pt idx="1">
                  <c:v>206</c:v>
                </c:pt>
                <c:pt idx="2">
                  <c:v>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582976"/>
        <c:axId val="169584896"/>
      </c:barChart>
      <c:catAx>
        <c:axId val="16958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8408181457485313"/>
              <c:y val="0.9157175503129295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69584896"/>
        <c:crosses val="autoZero"/>
        <c:auto val="1"/>
        <c:lblAlgn val="ctr"/>
        <c:lblOffset val="100"/>
        <c:noMultiLvlLbl val="0"/>
      </c:catAx>
      <c:valAx>
        <c:axId val="169584896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169582976"/>
        <c:crosses val="autoZero"/>
        <c:crossBetween val="between"/>
      </c:valAx>
      <c:spPr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475016787898998"/>
          <c:y val="0.26559931278113352"/>
          <c:w val="0.20184986698786023"/>
          <c:h val="7.322498217807114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 orientation="portrait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34165077219153"/>
          <c:y val="0.17781756272226584"/>
          <c:w val="0.44771947147106894"/>
          <c:h val="0.8221824372777341"/>
        </c:manualLayout>
      </c:layout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rgbClr val="33CCCC"/>
              </a:solidFill>
            </c:spPr>
          </c:dPt>
          <c:dPt>
            <c:idx val="1"/>
            <c:bubble3D val="0"/>
            <c:spPr>
              <a:solidFill>
                <a:srgbClr val="1C706E"/>
              </a:solidFill>
            </c:spPr>
          </c:dPt>
          <c:dLbls>
            <c:dLbl>
              <c:idx val="0"/>
              <c:layout>
                <c:manualLayout>
                  <c:x val="0.19083943765614844"/>
                  <c:y val="-0.113790522806271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8711094218087391E-3"/>
                  <c:y val="5.0847603985176837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'8.16'!$W$6:$X$6</c:f>
              <c:strCache>
                <c:ptCount val="2"/>
                <c:pt idx="0">
                  <c:v>Locals </c:v>
                </c:pt>
                <c:pt idx="1">
                  <c:v>Foreigners</c:v>
                </c:pt>
              </c:strCache>
            </c:strRef>
          </c:cat>
          <c:val>
            <c:numRef>
              <c:f>'8.16'!$W$7:$X$7</c:f>
              <c:numCache>
                <c:formatCode>_(* #,##0.0_);_(* \(#,##0.0\);_(* "-"??_);_(@_)</c:formatCode>
                <c:ptCount val="2"/>
                <c:pt idx="0">
                  <c:v>93.461472455809172</c:v>
                </c:pt>
                <c:pt idx="1">
                  <c:v>6.5385275441908366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2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654912"/>
        <c:axId val="169660800"/>
      </c:barChart>
      <c:catAx>
        <c:axId val="16965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9660800"/>
        <c:crosses val="autoZero"/>
        <c:auto val="1"/>
        <c:lblAlgn val="ctr"/>
        <c:lblOffset val="100"/>
        <c:noMultiLvlLbl val="0"/>
      </c:catAx>
      <c:valAx>
        <c:axId val="169660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69654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761024"/>
        <c:axId val="169771008"/>
      </c:barChart>
      <c:catAx>
        <c:axId val="16976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9771008"/>
        <c:crosses val="autoZero"/>
        <c:auto val="1"/>
        <c:lblAlgn val="ctr"/>
        <c:lblOffset val="100"/>
        <c:noMultiLvlLbl val="0"/>
      </c:catAx>
      <c:valAx>
        <c:axId val="1697710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761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805696"/>
        <c:axId val="169807232"/>
      </c:barChart>
      <c:catAx>
        <c:axId val="16980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9807232"/>
        <c:crosses val="autoZero"/>
        <c:auto val="1"/>
        <c:lblAlgn val="ctr"/>
        <c:lblOffset val="100"/>
        <c:noMultiLvlLbl val="0"/>
      </c:catAx>
      <c:valAx>
        <c:axId val="1698072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805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850368"/>
        <c:axId val="169851904"/>
      </c:barChart>
      <c:catAx>
        <c:axId val="16985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9851904"/>
        <c:crosses val="autoZero"/>
        <c:auto val="1"/>
        <c:lblAlgn val="ctr"/>
        <c:lblOffset val="100"/>
        <c:noMultiLvlLbl val="0"/>
      </c:catAx>
      <c:valAx>
        <c:axId val="169851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850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284544"/>
        <c:axId val="170286080"/>
      </c:barChart>
      <c:catAx>
        <c:axId val="170284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0286080"/>
        <c:crosses val="autoZero"/>
        <c:auto val="1"/>
        <c:lblAlgn val="ctr"/>
        <c:lblOffset val="100"/>
        <c:noMultiLvlLbl val="0"/>
      </c:catAx>
      <c:valAx>
        <c:axId val="170286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7028454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311040"/>
        <c:axId val="170595456"/>
      </c:barChart>
      <c:catAx>
        <c:axId val="17031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0595456"/>
        <c:crosses val="autoZero"/>
        <c:auto val="1"/>
        <c:lblAlgn val="ctr"/>
        <c:lblOffset val="100"/>
        <c:noMultiLvlLbl val="0"/>
      </c:catAx>
      <c:valAx>
        <c:axId val="1705954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703110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633472"/>
        <c:axId val="170635264"/>
      </c:barChart>
      <c:catAx>
        <c:axId val="17063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70635264"/>
        <c:crosses val="autoZero"/>
        <c:auto val="1"/>
        <c:lblAlgn val="ctr"/>
        <c:lblOffset val="100"/>
        <c:noMultiLvlLbl val="0"/>
      </c:catAx>
      <c:valAx>
        <c:axId val="1706352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706334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270124129220705E-2"/>
          <c:y val="0.12786425640456914"/>
          <c:w val="0.87949545780462135"/>
          <c:h val="0.76523219597550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'8.18'!$A$5</c:f>
              <c:strCache>
                <c:ptCount val="1"/>
                <c:pt idx="0">
                  <c:v>Juvenile court</c:v>
                </c:pt>
              </c:strCache>
            </c:strRef>
          </c:tx>
          <c:invertIfNegative val="0"/>
          <c:cat>
            <c:numRef>
              <c:f>'8.18'!$K$3:$O$3</c:f>
              <c:numCache>
                <c:formatCode>General_)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'8.18'!$K$5:$O$5</c:f>
              <c:numCache>
                <c:formatCode>#,##0</c:formatCode>
                <c:ptCount val="5"/>
                <c:pt idx="0">
                  <c:v>123</c:v>
                </c:pt>
                <c:pt idx="1">
                  <c:v>94</c:v>
                </c:pt>
                <c:pt idx="2">
                  <c:v>122</c:v>
                </c:pt>
                <c:pt idx="3">
                  <c:v>81</c:v>
                </c:pt>
                <c:pt idx="4">
                  <c:v>26</c:v>
                </c:pt>
              </c:numCache>
            </c:numRef>
          </c:val>
        </c:ser>
        <c:ser>
          <c:idx val="1"/>
          <c:order val="1"/>
          <c:tx>
            <c:strRef>
              <c:f>'8.18'!$A$6</c:f>
              <c:strCache>
                <c:ptCount val="1"/>
                <c:pt idx="0">
                  <c:v>Family court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numRef>
              <c:f>'8.18'!$K$3:$O$3</c:f>
              <c:numCache>
                <c:formatCode>General_)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'8.18'!$K$6:$O$6</c:f>
              <c:numCache>
                <c:formatCode>#,##0</c:formatCode>
                <c:ptCount val="5"/>
                <c:pt idx="0">
                  <c:v>1996</c:v>
                </c:pt>
                <c:pt idx="1">
                  <c:v>2194</c:v>
                </c:pt>
                <c:pt idx="2">
                  <c:v>2590</c:v>
                </c:pt>
                <c:pt idx="3">
                  <c:v>2616</c:v>
                </c:pt>
                <c:pt idx="4">
                  <c:v>2553</c:v>
                </c:pt>
              </c:numCache>
            </c:numRef>
          </c:val>
        </c:ser>
        <c:ser>
          <c:idx val="2"/>
          <c:order val="2"/>
          <c:tx>
            <c:strRef>
              <c:f>'8.18'!$A$7</c:f>
              <c:strCache>
                <c:ptCount val="1"/>
                <c:pt idx="0">
                  <c:v>Criminal court</c:v>
                </c:pt>
              </c:strCache>
            </c:strRef>
          </c:tx>
          <c:spPr>
            <a:solidFill>
              <a:srgbClr val="27A09D"/>
            </a:solidFill>
          </c:spPr>
          <c:invertIfNegative val="0"/>
          <c:cat>
            <c:numRef>
              <c:f>'8.18'!$K$3:$O$3</c:f>
              <c:numCache>
                <c:formatCode>General_)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'8.18'!$K$7:$O$7</c:f>
              <c:numCache>
                <c:formatCode>#,##0</c:formatCode>
                <c:ptCount val="5"/>
                <c:pt idx="0">
                  <c:v>1036</c:v>
                </c:pt>
                <c:pt idx="1">
                  <c:v>990</c:v>
                </c:pt>
                <c:pt idx="2">
                  <c:v>1669</c:v>
                </c:pt>
                <c:pt idx="3">
                  <c:v>1957</c:v>
                </c:pt>
                <c:pt idx="4">
                  <c:v>1069</c:v>
                </c:pt>
              </c:numCache>
            </c:numRef>
          </c:val>
        </c:ser>
        <c:ser>
          <c:idx val="3"/>
          <c:order val="3"/>
          <c:tx>
            <c:strRef>
              <c:f>'8.18'!$A$8</c:f>
              <c:strCache>
                <c:ptCount val="1"/>
                <c:pt idx="0">
                  <c:v>Civil court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'8.18'!$K$3:$O$3</c:f>
              <c:numCache>
                <c:formatCode>General_)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'8.18'!$K$8:$O$8</c:f>
              <c:numCache>
                <c:formatCode>#,##0</c:formatCode>
                <c:ptCount val="5"/>
                <c:pt idx="0">
                  <c:v>2262</c:v>
                </c:pt>
                <c:pt idx="1">
                  <c:v>2412</c:v>
                </c:pt>
                <c:pt idx="2">
                  <c:v>2154</c:v>
                </c:pt>
                <c:pt idx="3">
                  <c:v>3203</c:v>
                </c:pt>
                <c:pt idx="4">
                  <c:v>2283</c:v>
                </c:pt>
              </c:numCache>
            </c:numRef>
          </c:val>
        </c:ser>
        <c:ser>
          <c:idx val="4"/>
          <c:order val="4"/>
          <c:tx>
            <c:strRef>
              <c:f>'8.18'!$A$9</c:f>
              <c:strCache>
                <c:ptCount val="1"/>
                <c:pt idx="0">
                  <c:v>Magistrate Courts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1C706E"/>
              </a:solidFill>
            </c:spPr>
          </c:dPt>
          <c:dPt>
            <c:idx val="1"/>
            <c:invertIfNegative val="0"/>
            <c:bubble3D val="0"/>
            <c:spPr>
              <a:solidFill>
                <a:srgbClr val="1C706E"/>
              </a:solidFill>
            </c:spPr>
          </c:dPt>
          <c:dPt>
            <c:idx val="2"/>
            <c:invertIfNegative val="0"/>
            <c:bubble3D val="0"/>
            <c:spPr>
              <a:solidFill>
                <a:srgbClr val="1C706E"/>
              </a:solidFill>
            </c:spPr>
          </c:dPt>
          <c:dPt>
            <c:idx val="3"/>
            <c:invertIfNegative val="0"/>
            <c:bubble3D val="0"/>
            <c:spPr>
              <a:solidFill>
                <a:srgbClr val="1C706E"/>
              </a:solidFill>
            </c:spPr>
          </c:dPt>
          <c:dPt>
            <c:idx val="4"/>
            <c:invertIfNegative val="0"/>
            <c:bubble3D val="0"/>
            <c:spPr>
              <a:solidFill>
                <a:srgbClr val="1C706E"/>
              </a:solidFill>
            </c:spPr>
          </c:dPt>
          <c:cat>
            <c:numRef>
              <c:f>'8.18'!$K$3:$O$3</c:f>
              <c:numCache>
                <c:formatCode>General_)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'8.18'!$K$9:$O$9</c:f>
              <c:numCache>
                <c:formatCode>#,##0</c:formatCode>
                <c:ptCount val="5"/>
                <c:pt idx="0">
                  <c:v>9178</c:v>
                </c:pt>
                <c:pt idx="1">
                  <c:v>8133</c:v>
                </c:pt>
                <c:pt idx="2">
                  <c:v>9159</c:v>
                </c:pt>
                <c:pt idx="3">
                  <c:v>10529</c:v>
                </c:pt>
                <c:pt idx="4">
                  <c:v>12170</c:v>
                </c:pt>
              </c:numCache>
            </c:numRef>
          </c:val>
        </c:ser>
        <c:ser>
          <c:idx val="5"/>
          <c:order val="5"/>
          <c:tx>
            <c:strRef>
              <c:f>'8.18'!$A$10</c:f>
              <c:strCache>
                <c:ptCount val="1"/>
                <c:pt idx="0">
                  <c:v>Hulhu Male' court</c:v>
                </c:pt>
              </c:strCache>
            </c:strRef>
          </c:tx>
          <c:invertIfNegative val="0"/>
          <c:cat>
            <c:numRef>
              <c:f>'8.18'!$K$3:$O$3</c:f>
              <c:numCache>
                <c:formatCode>General_)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'8.18'!$K$10:$O$10</c:f>
              <c:numCache>
                <c:formatCode>#,##0</c:formatCode>
                <c:ptCount val="5"/>
                <c:pt idx="0">
                  <c:v>115</c:v>
                </c:pt>
                <c:pt idx="1">
                  <c:v>409</c:v>
                </c:pt>
                <c:pt idx="2">
                  <c:v>495</c:v>
                </c:pt>
                <c:pt idx="3">
                  <c:v>516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70744448"/>
        <c:axId val="170746240"/>
      </c:barChart>
      <c:catAx>
        <c:axId val="170744448"/>
        <c:scaling>
          <c:orientation val="minMax"/>
        </c:scaling>
        <c:delete val="0"/>
        <c:axPos val="b"/>
        <c:numFmt formatCode="General_)" sourceLinked="1"/>
        <c:majorTickMark val="none"/>
        <c:minorTickMark val="in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70746240"/>
        <c:crosses val="autoZero"/>
        <c:auto val="1"/>
        <c:lblAlgn val="ctr"/>
        <c:lblOffset val="100"/>
        <c:noMultiLvlLbl val="0"/>
      </c:catAx>
      <c:valAx>
        <c:axId val="170746240"/>
        <c:scaling>
          <c:orientation val="minMax"/>
          <c:max val="13000"/>
          <c:min val="1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70744448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339604238457238"/>
          <c:y val="0.15056062992125985"/>
          <c:w val="0.57291190711153561"/>
          <c:h val="0.1161060367454068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8.22:</a:t>
            </a:r>
            <a:r>
              <a:rPr lang="en-US" sz="1050" baseline="0"/>
              <a:t> </a:t>
            </a:r>
            <a:r>
              <a:rPr lang="en-US" sz="1050"/>
              <a:t>Completion</a:t>
            </a:r>
            <a:r>
              <a:rPr lang="en-US" sz="1050" baseline="0"/>
              <a:t> </a:t>
            </a:r>
            <a:r>
              <a:rPr lang="en-US" sz="1050"/>
              <a:t>rate of cases in courts by type, 2015</a:t>
            </a:r>
          </a:p>
        </c:rich>
      </c:tx>
      <c:layout>
        <c:manualLayout>
          <c:xMode val="edge"/>
          <c:yMode val="edge"/>
          <c:x val="0.16799097455504244"/>
          <c:y val="3.30658333247145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47462817147869"/>
          <c:y val="0.15392043623641624"/>
          <c:w val="0.85876290463692029"/>
          <c:h val="0.7022203808559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'8.20'!$AD$242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rgbClr val="1C706E"/>
            </a:solidFill>
            <a:ln>
              <a:noFill/>
            </a:ln>
            <a:effectLst/>
          </c:spPr>
          <c:invertIfNegative val="0"/>
          <c:cat>
            <c:strRef>
              <c:f>'8.20'!$AE$241:$AG$241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'8.20'!$AE$242:$AG$242</c:f>
              <c:numCache>
                <c:formatCode>0.0</c:formatCode>
                <c:ptCount val="3"/>
                <c:pt idx="0">
                  <c:v>56.042553191489361</c:v>
                </c:pt>
                <c:pt idx="1">
                  <c:v>63.134803115059782</c:v>
                </c:pt>
                <c:pt idx="2">
                  <c:v>89.37873907040958</c:v>
                </c:pt>
              </c:numCache>
            </c:numRef>
          </c:val>
        </c:ser>
        <c:ser>
          <c:idx val="1"/>
          <c:order val="1"/>
          <c:tx>
            <c:strRef>
              <c:f>'8.20'!$AD$243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47D4D1"/>
            </a:solidFill>
            <a:ln>
              <a:noFill/>
            </a:ln>
            <a:effectLst/>
          </c:spPr>
          <c:invertIfNegative val="0"/>
          <c:cat>
            <c:strRef>
              <c:f>'8.20'!$AE$241:$AG$241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'8.20'!$AE$243:$AG$243</c:f>
              <c:numCache>
                <c:formatCode>0.0</c:formatCode>
                <c:ptCount val="3"/>
                <c:pt idx="0">
                  <c:v>55.437409376510395</c:v>
                </c:pt>
                <c:pt idx="1">
                  <c:v>65.131420303834091</c:v>
                </c:pt>
                <c:pt idx="2">
                  <c:v>83.854316030972186</c:v>
                </c:pt>
              </c:numCache>
            </c:numRef>
          </c:val>
        </c:ser>
        <c:ser>
          <c:idx val="2"/>
          <c:order val="2"/>
          <c:tx>
            <c:strRef>
              <c:f>'8.20'!$AD$244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rgbClr val="1DFFFF"/>
            </a:solidFill>
            <a:ln>
              <a:noFill/>
            </a:ln>
            <a:effectLst/>
          </c:spPr>
          <c:invertIfNegative val="0"/>
          <c:cat>
            <c:strRef>
              <c:f>'8.20'!$AE$241:$AG$241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'8.20'!$AE$244:$AG$244</c:f>
              <c:numCache>
                <c:formatCode>0.0</c:formatCode>
                <c:ptCount val="3"/>
                <c:pt idx="0">
                  <c:v>56.518434055492207</c:v>
                </c:pt>
                <c:pt idx="1">
                  <c:v>61.468812877263581</c:v>
                </c:pt>
                <c:pt idx="2">
                  <c:v>91.989699105448636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486976"/>
        <c:axId val="169496960"/>
      </c:barChart>
      <c:catAx>
        <c:axId val="16948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96960"/>
        <c:crosses val="autoZero"/>
        <c:auto val="1"/>
        <c:lblAlgn val="ctr"/>
        <c:lblOffset val="100"/>
        <c:noMultiLvlLbl val="0"/>
      </c:catAx>
      <c:valAx>
        <c:axId val="1694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86976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22756009837066721"/>
          <c:y val="0.17217074387384668"/>
          <c:w val="0.60284041234431085"/>
          <c:h val="6.7537339978991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baseline="0"/>
              <a:t>Figure 8.24: Number of </a:t>
            </a:r>
            <a:r>
              <a:rPr lang="en-US" sz="1000"/>
              <a:t>Cases pending at courts at the end of 2015</a:t>
            </a:r>
          </a:p>
        </c:rich>
      </c:tx>
      <c:layout>
        <c:manualLayout>
          <c:xMode val="edge"/>
          <c:yMode val="edge"/>
          <c:x val="0.22248490047340638"/>
          <c:y val="2.77994539591937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022900776694279"/>
          <c:y val="0.14711593921088853"/>
          <c:w val="0.8169344159769123"/>
          <c:h val="0.702393542990124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'8.20'!$AD$248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rgbClr val="1C706E"/>
            </a:solidFill>
            <a:ln>
              <a:noFill/>
            </a:ln>
            <a:effectLst/>
          </c:spPr>
          <c:invertIfNegative val="0"/>
          <c:cat>
            <c:strRef>
              <c:f>'8.20'!$AE$247:$AG$247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'8.20'!$AE$248:$AG$248</c:f>
              <c:numCache>
                <c:formatCode>_(* #,##0_);_(* \(#,##0\);_(* "-"??_);_(@_)</c:formatCode>
                <c:ptCount val="3"/>
                <c:pt idx="0">
                  <c:v>2066</c:v>
                </c:pt>
                <c:pt idx="1">
                  <c:v>2210</c:v>
                </c:pt>
                <c:pt idx="2">
                  <c:v>2168</c:v>
                </c:pt>
              </c:numCache>
            </c:numRef>
          </c:val>
        </c:ser>
        <c:ser>
          <c:idx val="1"/>
          <c:order val="1"/>
          <c:tx>
            <c:strRef>
              <c:f>'8.20'!$AD$249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47D4D1"/>
            </a:solidFill>
            <a:ln>
              <a:noFill/>
            </a:ln>
            <a:effectLst/>
          </c:spPr>
          <c:invertIfNegative val="0"/>
          <c:cat>
            <c:strRef>
              <c:f>'8.20'!$AE$247:$AG$247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'8.20'!$AE$249:$AG$249</c:f>
              <c:numCache>
                <c:formatCode>_(* #,##0_);_(* \(#,##0\);_(* "-"??_);_(@_)</c:formatCode>
                <c:ptCount val="3"/>
                <c:pt idx="0">
                  <c:v>922</c:v>
                </c:pt>
                <c:pt idx="1">
                  <c:v>1304</c:v>
                </c:pt>
                <c:pt idx="2">
                  <c:v>568</c:v>
                </c:pt>
              </c:numCache>
            </c:numRef>
          </c:val>
        </c:ser>
        <c:ser>
          <c:idx val="2"/>
          <c:order val="2"/>
          <c:tx>
            <c:strRef>
              <c:f>'8.20'!$AD$250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rgbClr val="1DFFFF"/>
            </a:solidFill>
            <a:ln>
              <a:noFill/>
            </a:ln>
            <a:effectLst/>
          </c:spPr>
          <c:invertIfNegative val="0"/>
          <c:cat>
            <c:strRef>
              <c:f>'8.20'!$AE$247:$AG$247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'8.20'!$AE$250:$AG$250</c:f>
              <c:numCache>
                <c:formatCode>_(* #,##0_);_(* \(#,##0\);_(* "-"??_);_(@_)</c:formatCode>
                <c:ptCount val="3"/>
                <c:pt idx="0">
                  <c:v>1144</c:v>
                </c:pt>
                <c:pt idx="1">
                  <c:v>906</c:v>
                </c:pt>
                <c:pt idx="2">
                  <c:v>1600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531648"/>
        <c:axId val="169533440"/>
      </c:barChart>
      <c:catAx>
        <c:axId val="16953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3440"/>
        <c:crosses val="autoZero"/>
        <c:auto val="1"/>
        <c:lblAlgn val="ctr"/>
        <c:lblOffset val="100"/>
        <c:noMultiLvlLbl val="0"/>
      </c:catAx>
      <c:valAx>
        <c:axId val="1695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1648"/>
        <c:crosses val="autoZero"/>
        <c:crossBetween val="between"/>
      </c:valAx>
      <c:spPr>
        <a:noFill/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54247104495062581"/>
          <c:y val="0.17158546235125621"/>
          <c:w val="0.3805902422321838"/>
          <c:h val="6.1384131746466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8.25:  Number of </a:t>
            </a:r>
            <a:r>
              <a:rPr lang="en-US" sz="1050" b="1" i="0" baseline="0">
                <a:latin typeface="+mn-lt"/>
              </a:rPr>
              <a:t>Cases  concluded and those in courts at the beginning and end of 2015</a:t>
            </a:r>
          </a:p>
        </c:rich>
      </c:tx>
      <c:layout>
        <c:manualLayout>
          <c:xMode val="edge"/>
          <c:yMode val="edge"/>
          <c:x val="0.16331228428360395"/>
          <c:y val="3.021794176342272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82357968423662"/>
          <c:y val="0.18719316416175671"/>
          <c:w val="0.82181368554428824"/>
          <c:h val="0.679899514170138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'8.20'!$AD$262</c:f>
              <c:strCache>
                <c:ptCount val="1"/>
                <c:pt idx="0">
                  <c:v>Starting balance</c:v>
                </c:pt>
              </c:strCache>
            </c:strRef>
          </c:tx>
          <c:spPr>
            <a:solidFill>
              <a:srgbClr val="1C706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'8.20'!$AE$261:$AG$261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'8.20'!$AE$262:$AG$262</c:f>
              <c:numCache>
                <c:formatCode>_(* #,##0_);_(* \(#,##0\);_(* "-"??_);_(@_)</c:formatCode>
                <c:ptCount val="3"/>
                <c:pt idx="0">
                  <c:v>7882</c:v>
                </c:pt>
                <c:pt idx="1">
                  <c:v>3261</c:v>
                </c:pt>
                <c:pt idx="2">
                  <c:v>4621</c:v>
                </c:pt>
              </c:numCache>
            </c:numRef>
          </c:val>
        </c:ser>
        <c:ser>
          <c:idx val="1"/>
          <c:order val="1"/>
          <c:tx>
            <c:strRef>
              <c:f>'8.20'!$AD$263</c:f>
              <c:strCache>
                <c:ptCount val="1"/>
                <c:pt idx="0">
                  <c:v>new cases filed</c:v>
                </c:pt>
              </c:strCache>
            </c:strRef>
          </c:tx>
          <c:spPr>
            <a:solidFill>
              <a:srgbClr val="47D4D1"/>
            </a:solidFill>
            <a:ln>
              <a:noFill/>
            </a:ln>
            <a:effectLst/>
          </c:spPr>
          <c:invertIfNegative val="0"/>
          <c:cat>
            <c:strRef>
              <c:f>'8.20'!$AE$261:$AG$261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'8.20'!$AE$263:$AG$263</c:f>
              <c:numCache>
                <c:formatCode>_(* #,##0_);_(* \(#,##0\);_(* "-"??_);_(@_)</c:formatCode>
                <c:ptCount val="3"/>
                <c:pt idx="0">
                  <c:v>16800</c:v>
                </c:pt>
                <c:pt idx="1">
                  <c:v>6442</c:v>
                </c:pt>
                <c:pt idx="2">
                  <c:v>10358</c:v>
                </c:pt>
              </c:numCache>
            </c:numRef>
          </c:val>
        </c:ser>
        <c:ser>
          <c:idx val="2"/>
          <c:order val="2"/>
          <c:tx>
            <c:strRef>
              <c:f>'8.20'!$AD$264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rgbClr val="1DFFFF"/>
            </a:solidFill>
            <a:ln>
              <a:noFill/>
            </a:ln>
            <a:effectLst/>
          </c:spPr>
          <c:invertIfNegative val="0"/>
          <c:cat>
            <c:strRef>
              <c:f>'8.20'!$AE$261:$AG$261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'8.20'!$AE$264:$AG$264</c:f>
              <c:numCache>
                <c:formatCode>_(* #,##0_);_(* \(#,##0\);_(* "-"??_);_(@_)</c:formatCode>
                <c:ptCount val="3"/>
                <c:pt idx="0">
                  <c:v>18101</c:v>
                </c:pt>
                <c:pt idx="1">
                  <c:v>6772</c:v>
                </c:pt>
                <c:pt idx="2">
                  <c:v>11329</c:v>
                </c:pt>
              </c:numCache>
            </c:numRef>
          </c:val>
        </c:ser>
        <c:ser>
          <c:idx val="3"/>
          <c:order val="3"/>
          <c:tx>
            <c:strRef>
              <c:f>'8.20'!$AD$265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'8.20'!$AE$261:$AG$261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'8.20'!$AE$265:$AG$265</c:f>
              <c:numCache>
                <c:formatCode>_(* #,##0_);_(* \(#,##0\);_(* "-"??_);_(@_)</c:formatCode>
                <c:ptCount val="3"/>
                <c:pt idx="0">
                  <c:v>6444</c:v>
                </c:pt>
                <c:pt idx="1">
                  <c:v>2794</c:v>
                </c:pt>
                <c:pt idx="2">
                  <c:v>3650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097664"/>
        <c:axId val="170119936"/>
      </c:barChart>
      <c:catAx>
        <c:axId val="17009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19936"/>
        <c:crosses val="autoZero"/>
        <c:auto val="1"/>
        <c:lblAlgn val="ctr"/>
        <c:lblOffset val="100"/>
        <c:noMultiLvlLbl val="0"/>
      </c:catAx>
      <c:valAx>
        <c:axId val="17011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2.8024617530170602E-3"/>
              <c:y val="0.341919140446390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9766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38702696821353261"/>
          <c:y val="0.21286002649317806"/>
          <c:w val="0.51354572660515474"/>
          <c:h val="0.172462406737499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8.23: Number of </a:t>
            </a:r>
            <a:r>
              <a:rPr lang="en-US" sz="1050"/>
              <a:t>Cases concluded at courts during 2015</a:t>
            </a:r>
          </a:p>
        </c:rich>
      </c:tx>
      <c:layout>
        <c:manualLayout>
          <c:xMode val="edge"/>
          <c:yMode val="edge"/>
          <c:x val="0.18312897303345127"/>
          <c:y val="2.404352467432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26145386752174"/>
          <c:y val="0.13218027930968385"/>
          <c:w val="0.83001516812841469"/>
          <c:h val="0.728437646143567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'8.20'!$AD$256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rgbClr val="1C706E"/>
            </a:solidFill>
            <a:ln>
              <a:noFill/>
            </a:ln>
            <a:effectLst/>
          </c:spPr>
          <c:invertIfNegative val="0"/>
          <c:cat>
            <c:strRef>
              <c:f>'8.20'!$AE$255:$AG$255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'8.20'!$AE$256:$AG$256</c:f>
              <c:numCache>
                <c:formatCode>_(* #,##0_);_(* \(#,##0\);_(* "-"??_);_(@_)</c:formatCode>
                <c:ptCount val="3"/>
                <c:pt idx="0">
                  <c:v>2634</c:v>
                </c:pt>
                <c:pt idx="1">
                  <c:v>5756</c:v>
                </c:pt>
                <c:pt idx="2">
                  <c:v>9711</c:v>
                </c:pt>
              </c:numCache>
            </c:numRef>
          </c:val>
        </c:ser>
        <c:ser>
          <c:idx val="1"/>
          <c:order val="1"/>
          <c:tx>
            <c:strRef>
              <c:f>'8.20'!$AD$257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27A09D"/>
            </a:solidFill>
            <a:ln>
              <a:noFill/>
            </a:ln>
            <a:effectLst/>
          </c:spPr>
          <c:invertIfNegative val="0"/>
          <c:cat>
            <c:strRef>
              <c:f>'8.20'!$AE$255:$AG$255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'8.20'!$AE$257:$AG$257</c:f>
              <c:numCache>
                <c:formatCode>_(* #,##0_);_(* \(#,##0\);_(* "-"??_);_(@_)</c:formatCode>
                <c:ptCount val="3"/>
                <c:pt idx="0">
                  <c:v>1147</c:v>
                </c:pt>
                <c:pt idx="1">
                  <c:v>2701</c:v>
                </c:pt>
                <c:pt idx="2">
                  <c:v>2924</c:v>
                </c:pt>
              </c:numCache>
            </c:numRef>
          </c:val>
        </c:ser>
        <c:ser>
          <c:idx val="2"/>
          <c:order val="2"/>
          <c:tx>
            <c:strRef>
              <c:f>'8.20'!$AD$258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rgbClr val="1DFFFF"/>
            </a:solidFill>
            <a:ln>
              <a:noFill/>
            </a:ln>
            <a:effectLst/>
          </c:spPr>
          <c:invertIfNegative val="0"/>
          <c:cat>
            <c:strRef>
              <c:f>'8.20'!$AE$255:$AG$255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'8.20'!$AE$258:$AG$258</c:f>
              <c:numCache>
                <c:formatCode>_(* #,##0_);_(* \(#,##0\);_(* "-"??_);_(@_)</c:formatCode>
                <c:ptCount val="3"/>
                <c:pt idx="0">
                  <c:v>1487</c:v>
                </c:pt>
                <c:pt idx="1">
                  <c:v>3055</c:v>
                </c:pt>
                <c:pt idx="2">
                  <c:v>6787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42336"/>
        <c:axId val="170144128"/>
      </c:barChart>
      <c:catAx>
        <c:axId val="170142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44128"/>
        <c:crosses val="autoZero"/>
        <c:auto val="1"/>
        <c:lblAlgn val="ctr"/>
        <c:lblOffset val="100"/>
        <c:noMultiLvlLbl val="0"/>
      </c:catAx>
      <c:valAx>
        <c:axId val="17014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3584855740438269E-3"/>
              <c:y val="0.382250738120664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42336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54800724137558232"/>
          <c:y val="0.14385658870612544"/>
          <c:w val="0.42972224818252308"/>
          <c:h val="7.9916952532995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8.26: Number of </a:t>
            </a:r>
            <a:r>
              <a:rPr lang="en-US" sz="1050"/>
              <a:t>Cases</a:t>
            </a:r>
            <a:r>
              <a:rPr lang="en-US" sz="1050" baseline="0"/>
              <a:t> completed during 2015 and  pending at end year, by Atoll</a:t>
            </a:r>
            <a:endParaRPr lang="en-US" sz="1050"/>
          </a:p>
        </c:rich>
      </c:tx>
      <c:layout>
        <c:manualLayout>
          <c:xMode val="edge"/>
          <c:yMode val="edge"/>
          <c:x val="0.15903807566062594"/>
          <c:y val="2.753092199795619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00051372120441"/>
          <c:y val="0.17863895267348581"/>
          <c:w val="0.87533486747769673"/>
          <c:h val="0.66386619151283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'8.20'!$AE$271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rgbClr val="1C706E"/>
            </a:solidFill>
            <a:ln>
              <a:noFill/>
            </a:ln>
            <a:effectLst/>
          </c:spPr>
          <c:invertIfNegative val="0"/>
          <c:cat>
            <c:strRef>
              <c:f>'8.20'!$AD$272:$AD$291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'8.20'!$AE$272:$AE$291</c:f>
              <c:numCache>
                <c:formatCode>General</c:formatCode>
                <c:ptCount val="20"/>
                <c:pt idx="0">
                  <c:v>83</c:v>
                </c:pt>
                <c:pt idx="1">
                  <c:v>60</c:v>
                </c:pt>
                <c:pt idx="2">
                  <c:v>28</c:v>
                </c:pt>
                <c:pt idx="3">
                  <c:v>57</c:v>
                </c:pt>
                <c:pt idx="4">
                  <c:v>70</c:v>
                </c:pt>
                <c:pt idx="5">
                  <c:v>25</c:v>
                </c:pt>
                <c:pt idx="6">
                  <c:v>111</c:v>
                </c:pt>
                <c:pt idx="7">
                  <c:v>21</c:v>
                </c:pt>
                <c:pt idx="8">
                  <c:v>17</c:v>
                </c:pt>
                <c:pt idx="9">
                  <c:v>19</c:v>
                </c:pt>
                <c:pt idx="10">
                  <c:v>0</c:v>
                </c:pt>
                <c:pt idx="11">
                  <c:v>20</c:v>
                </c:pt>
                <c:pt idx="12">
                  <c:v>11</c:v>
                </c:pt>
                <c:pt idx="13">
                  <c:v>5</c:v>
                </c:pt>
                <c:pt idx="14">
                  <c:v>62</c:v>
                </c:pt>
                <c:pt idx="15">
                  <c:v>252</c:v>
                </c:pt>
                <c:pt idx="16">
                  <c:v>62</c:v>
                </c:pt>
                <c:pt idx="17">
                  <c:v>102</c:v>
                </c:pt>
                <c:pt idx="18">
                  <c:v>162</c:v>
                </c:pt>
                <c:pt idx="19">
                  <c:v>251</c:v>
                </c:pt>
              </c:numCache>
            </c:numRef>
          </c:val>
        </c:ser>
        <c:ser>
          <c:idx val="1"/>
          <c:order val="1"/>
          <c:tx>
            <c:strRef>
              <c:f>'8.20'!$AF$271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77DFDD"/>
            </a:solidFill>
            <a:ln>
              <a:noFill/>
            </a:ln>
            <a:effectLst/>
          </c:spPr>
          <c:invertIfNegative val="0"/>
          <c:cat>
            <c:strRef>
              <c:f>'8.20'!$AD$272:$AD$291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'8.20'!$AF$272:$AF$291</c:f>
              <c:numCache>
                <c:formatCode>General</c:formatCode>
                <c:ptCount val="20"/>
                <c:pt idx="0">
                  <c:v>81</c:v>
                </c:pt>
                <c:pt idx="1">
                  <c:v>297</c:v>
                </c:pt>
                <c:pt idx="2">
                  <c:v>15</c:v>
                </c:pt>
                <c:pt idx="3">
                  <c:v>99</c:v>
                </c:pt>
                <c:pt idx="4">
                  <c:v>68</c:v>
                </c:pt>
                <c:pt idx="5">
                  <c:v>18</c:v>
                </c:pt>
                <c:pt idx="6">
                  <c:v>2</c:v>
                </c:pt>
                <c:pt idx="7">
                  <c:v>51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8</c:v>
                </c:pt>
                <c:pt idx="12">
                  <c:v>5</c:v>
                </c:pt>
                <c:pt idx="13">
                  <c:v>3</c:v>
                </c:pt>
                <c:pt idx="14">
                  <c:v>61</c:v>
                </c:pt>
                <c:pt idx="15">
                  <c:v>9</c:v>
                </c:pt>
                <c:pt idx="16">
                  <c:v>64</c:v>
                </c:pt>
                <c:pt idx="17">
                  <c:v>51</c:v>
                </c:pt>
                <c:pt idx="18">
                  <c:v>138</c:v>
                </c:pt>
                <c:pt idx="19">
                  <c:v>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170464768"/>
        <c:axId val="170466304"/>
      </c:barChart>
      <c:catAx>
        <c:axId val="17046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6304"/>
        <c:crosses val="autoZero"/>
        <c:auto val="1"/>
        <c:lblAlgn val="ctr"/>
        <c:lblOffset val="100"/>
        <c:noMultiLvlLbl val="0"/>
      </c:catAx>
      <c:valAx>
        <c:axId val="170466304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2.6898081626949692E-3"/>
              <c:y val="5.8015226561708419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476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2826506347045294"/>
          <c:y val="0.22278990517494673"/>
          <c:w val="0.46873933966669895"/>
          <c:h val="0.1257811816654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8.27: </a:t>
            </a:r>
            <a:r>
              <a:rPr lang="en-US" sz="1050"/>
              <a:t>C</a:t>
            </a:r>
            <a:r>
              <a:rPr lang="en-US" sz="1050" baseline="0"/>
              <a:t>ompletion rate of cases in majistrate courts, by Atoll, 2015</a:t>
            </a:r>
            <a:endParaRPr lang="en-US" sz="1050"/>
          </a:p>
        </c:rich>
      </c:tx>
      <c:layout>
        <c:manualLayout>
          <c:xMode val="edge"/>
          <c:yMode val="edge"/>
          <c:x val="0.16395572180697568"/>
          <c:y val="4.62854972213459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469881172945333E-2"/>
          <c:y val="0.17184470328787221"/>
          <c:w val="0.91730211124311145"/>
          <c:h val="0.700373158154584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7A09D"/>
            </a:solidFill>
            <a:ln>
              <a:noFill/>
            </a:ln>
            <a:effectLst/>
          </c:spPr>
          <c:invertIfNegative val="0"/>
          <c:cat>
            <c:strRef>
              <c:f>'8.20'!$AE$296:$AE$315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'8.20'!$AF$296:$AF$315</c:f>
              <c:numCache>
                <c:formatCode>0</c:formatCode>
                <c:ptCount val="20"/>
                <c:pt idx="0">
                  <c:v>50.609756097560975</c:v>
                </c:pt>
                <c:pt idx="1">
                  <c:v>16.806722689075631</c:v>
                </c:pt>
                <c:pt idx="2">
                  <c:v>65.116279069767444</c:v>
                </c:pt>
                <c:pt idx="3">
                  <c:v>36.538461538461533</c:v>
                </c:pt>
                <c:pt idx="4">
                  <c:v>50.724637681159422</c:v>
                </c:pt>
                <c:pt idx="5">
                  <c:v>58.139534883720934</c:v>
                </c:pt>
                <c:pt idx="6">
                  <c:v>98.230088495575217</c:v>
                </c:pt>
                <c:pt idx="7">
                  <c:v>29.166666666666668</c:v>
                </c:pt>
                <c:pt idx="8">
                  <c:v>50</c:v>
                </c:pt>
                <c:pt idx="9">
                  <c:v>57.575757575757578</c:v>
                </c:pt>
                <c:pt idx="10">
                  <c:v>0</c:v>
                </c:pt>
                <c:pt idx="11">
                  <c:v>71.428571428571431</c:v>
                </c:pt>
                <c:pt idx="12">
                  <c:v>68.75</c:v>
                </c:pt>
                <c:pt idx="13">
                  <c:v>62.5</c:v>
                </c:pt>
                <c:pt idx="14">
                  <c:v>50.40650406504065</c:v>
                </c:pt>
                <c:pt idx="15">
                  <c:v>96.551724137931032</c:v>
                </c:pt>
                <c:pt idx="16">
                  <c:v>49.206349206349202</c:v>
                </c:pt>
                <c:pt idx="17">
                  <c:v>66.666666666666657</c:v>
                </c:pt>
                <c:pt idx="18">
                  <c:v>54</c:v>
                </c:pt>
                <c:pt idx="19">
                  <c:v>72.334293948126799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483072"/>
        <c:axId val="170509440"/>
      </c:barChart>
      <c:catAx>
        <c:axId val="17048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09440"/>
        <c:crosses val="autoZero"/>
        <c:auto val="1"/>
        <c:lblAlgn val="ctr"/>
        <c:lblOffset val="100"/>
        <c:noMultiLvlLbl val="0"/>
      </c:catAx>
      <c:valAx>
        <c:axId val="17050944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/>
                  <a:t>In percent</a:t>
                </a:r>
              </a:p>
            </c:rich>
          </c:tx>
          <c:layout>
            <c:manualLayout>
              <c:xMode val="edge"/>
              <c:yMode val="edge"/>
              <c:x val="1.2410912657594586E-2"/>
              <c:y val="7.7511692340757554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307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8.28: </a:t>
            </a:r>
            <a:r>
              <a:rPr lang="en-US" sz="1050"/>
              <a:t>Number of Cases</a:t>
            </a:r>
            <a:r>
              <a:rPr lang="en-US" sz="1050" baseline="0"/>
              <a:t> per majistrate by Atoll, 2014</a:t>
            </a:r>
            <a:endParaRPr lang="en-US" sz="1050"/>
          </a:p>
        </c:rich>
      </c:tx>
      <c:layout>
        <c:manualLayout>
          <c:xMode val="edge"/>
          <c:yMode val="edge"/>
          <c:x val="0.2349071197995462"/>
          <c:y val="4.922767707847889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241282188065387E-2"/>
          <c:y val="0.14893938683233029"/>
          <c:w val="0.89633458288816859"/>
          <c:h val="0.740310656952829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'[2]8.20 workings'!$I$68</c:f>
              <c:strCache>
                <c:ptCount val="1"/>
                <c:pt idx="0">
                  <c:v>cases per majistrate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'[2]8.20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'[2]8.20 workings'!$I$69:$I$88</c:f>
              <c:numCache>
                <c:formatCode>General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'[2]8.20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'[2]8.20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'[2]8.20 workings'!$J$69:$J$88</c:f>
              <c:numCache>
                <c:formatCode>General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2"/>
        <c:axId val="170547072"/>
        <c:axId val="170548608"/>
      </c:barChart>
      <c:catAx>
        <c:axId val="17054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8608"/>
        <c:crosses val="autoZero"/>
        <c:auto val="1"/>
        <c:lblAlgn val="ctr"/>
        <c:lblOffset val="100"/>
        <c:noMultiLvlLbl val="0"/>
      </c:catAx>
      <c:valAx>
        <c:axId val="1705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7.2188375032982994E-3"/>
              <c:y val="5.5077171549738124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707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6795606104763329E-2"/>
          <c:y val="0.16819322772079726"/>
          <c:w val="0.56815793712993212"/>
          <c:h val="7.74982089424315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66" l="0.70000000000000062" r="0.70000000000000062" t="0.75000000000000566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8.29:  Number</a:t>
            </a:r>
            <a:r>
              <a:rPr lang="en-US" sz="1050" baseline="0"/>
              <a:t> of </a:t>
            </a:r>
            <a:r>
              <a:rPr lang="en-US" sz="1050"/>
              <a:t>New cases filed at majistrate courts in islands, 2015 </a:t>
            </a:r>
          </a:p>
        </c:rich>
      </c:tx>
      <c:layout>
        <c:manualLayout>
          <c:xMode val="edge"/>
          <c:yMode val="edge"/>
          <c:x val="0.16855319001806568"/>
          <c:y val="2.91970914792388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63702585802825"/>
          <c:y val="0.12385425780110819"/>
          <c:w val="0.87518300275522476"/>
          <c:h val="0.74567048825737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'8.21'!$W$4</c:f>
              <c:strCache>
                <c:ptCount val="1"/>
                <c:pt idx="0">
                  <c:v>Criminal Cases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'8.21'!$A$14:$A$33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'8.21'!$W$14:$W$33</c:f>
              <c:numCache>
                <c:formatCode>#,##0</c:formatCode>
                <c:ptCount val="20"/>
                <c:pt idx="0">
                  <c:v>42</c:v>
                </c:pt>
                <c:pt idx="1">
                  <c:v>66</c:v>
                </c:pt>
                <c:pt idx="2">
                  <c:v>36</c:v>
                </c:pt>
                <c:pt idx="3">
                  <c:v>97</c:v>
                </c:pt>
                <c:pt idx="4">
                  <c:v>56</c:v>
                </c:pt>
                <c:pt idx="5">
                  <c:v>21</c:v>
                </c:pt>
                <c:pt idx="6">
                  <c:v>36</c:v>
                </c:pt>
                <c:pt idx="7">
                  <c:v>62</c:v>
                </c:pt>
                <c:pt idx="8">
                  <c:v>15</c:v>
                </c:pt>
                <c:pt idx="9">
                  <c:v>25</c:v>
                </c:pt>
                <c:pt idx="10">
                  <c:v>0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27</c:v>
                </c:pt>
                <c:pt idx="15">
                  <c:v>116</c:v>
                </c:pt>
                <c:pt idx="16">
                  <c:v>97</c:v>
                </c:pt>
                <c:pt idx="17">
                  <c:v>81</c:v>
                </c:pt>
                <c:pt idx="18">
                  <c:v>138</c:v>
                </c:pt>
                <c:pt idx="19">
                  <c:v>250</c:v>
                </c:pt>
              </c:numCache>
            </c:numRef>
          </c:val>
        </c:ser>
        <c:ser>
          <c:idx val="1"/>
          <c:order val="1"/>
          <c:tx>
            <c:strRef>
              <c:f>'8.21'!$X$4</c:f>
              <c:strCache>
                <c:ptCount val="1"/>
                <c:pt idx="0">
                  <c:v>Civil Cases </c:v>
                </c:pt>
              </c:strCache>
            </c:strRef>
          </c:tx>
          <c:spPr>
            <a:solidFill>
              <a:srgbClr val="27A09D"/>
            </a:solidFill>
          </c:spPr>
          <c:invertIfNegative val="0"/>
          <c:cat>
            <c:strRef>
              <c:f>'8.21'!$A$14:$A$33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'8.21'!$X$14:$X$33</c:f>
              <c:numCache>
                <c:formatCode>#,##0</c:formatCode>
                <c:ptCount val="20"/>
                <c:pt idx="0">
                  <c:v>79</c:v>
                </c:pt>
                <c:pt idx="1">
                  <c:v>112</c:v>
                </c:pt>
                <c:pt idx="2">
                  <c:v>67</c:v>
                </c:pt>
                <c:pt idx="3">
                  <c:v>133</c:v>
                </c:pt>
                <c:pt idx="4">
                  <c:v>153</c:v>
                </c:pt>
                <c:pt idx="5">
                  <c:v>79</c:v>
                </c:pt>
                <c:pt idx="6">
                  <c:v>111</c:v>
                </c:pt>
                <c:pt idx="7">
                  <c:v>102</c:v>
                </c:pt>
                <c:pt idx="8">
                  <c:v>115</c:v>
                </c:pt>
                <c:pt idx="9">
                  <c:v>133</c:v>
                </c:pt>
                <c:pt idx="10">
                  <c:v>23</c:v>
                </c:pt>
                <c:pt idx="11">
                  <c:v>52</c:v>
                </c:pt>
                <c:pt idx="12">
                  <c:v>53</c:v>
                </c:pt>
                <c:pt idx="13">
                  <c:v>44</c:v>
                </c:pt>
                <c:pt idx="14">
                  <c:v>101</c:v>
                </c:pt>
                <c:pt idx="15">
                  <c:v>224</c:v>
                </c:pt>
                <c:pt idx="16">
                  <c:v>412</c:v>
                </c:pt>
                <c:pt idx="17">
                  <c:v>180</c:v>
                </c:pt>
                <c:pt idx="18">
                  <c:v>212</c:v>
                </c:pt>
                <c:pt idx="19">
                  <c:v>362</c:v>
                </c:pt>
              </c:numCache>
            </c:numRef>
          </c:val>
        </c:ser>
        <c:ser>
          <c:idx val="2"/>
          <c:order val="2"/>
          <c:tx>
            <c:strRef>
              <c:f>'8.21'!$Y$4</c:f>
              <c:strCache>
                <c:ptCount val="1"/>
                <c:pt idx="0">
                  <c:v>Family Cases</c:v>
                </c:pt>
              </c:strCache>
            </c:strRef>
          </c:tx>
          <c:spPr>
            <a:solidFill>
              <a:srgbClr val="47D4D1"/>
            </a:solidFill>
          </c:spPr>
          <c:invertIfNegative val="0"/>
          <c:cat>
            <c:strRef>
              <c:f>'8.21'!$A$14:$A$33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'8.21'!$Y$14:$Y$33</c:f>
              <c:numCache>
                <c:formatCode>#,##0</c:formatCode>
                <c:ptCount val="20"/>
                <c:pt idx="0">
                  <c:v>257</c:v>
                </c:pt>
                <c:pt idx="1">
                  <c:v>440</c:v>
                </c:pt>
                <c:pt idx="2">
                  <c:v>262</c:v>
                </c:pt>
                <c:pt idx="3">
                  <c:v>383</c:v>
                </c:pt>
                <c:pt idx="4">
                  <c:v>359</c:v>
                </c:pt>
                <c:pt idx="5">
                  <c:v>175</c:v>
                </c:pt>
                <c:pt idx="6">
                  <c:v>307</c:v>
                </c:pt>
                <c:pt idx="7">
                  <c:v>388</c:v>
                </c:pt>
                <c:pt idx="8">
                  <c:v>234</c:v>
                </c:pt>
                <c:pt idx="9">
                  <c:v>284</c:v>
                </c:pt>
                <c:pt idx="10">
                  <c:v>47</c:v>
                </c:pt>
                <c:pt idx="11">
                  <c:v>130</c:v>
                </c:pt>
                <c:pt idx="12">
                  <c:v>129</c:v>
                </c:pt>
                <c:pt idx="13">
                  <c:v>145</c:v>
                </c:pt>
                <c:pt idx="14">
                  <c:v>277</c:v>
                </c:pt>
                <c:pt idx="15">
                  <c:v>633</c:v>
                </c:pt>
                <c:pt idx="16">
                  <c:v>372</c:v>
                </c:pt>
                <c:pt idx="17">
                  <c:v>505</c:v>
                </c:pt>
                <c:pt idx="18">
                  <c:v>356</c:v>
                </c:pt>
                <c:pt idx="19">
                  <c:v>750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axId val="170845312"/>
        <c:axId val="170846848"/>
      </c:barChart>
      <c:catAx>
        <c:axId val="170845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0846848"/>
        <c:crosses val="autoZero"/>
        <c:auto val="1"/>
        <c:lblAlgn val="ctr"/>
        <c:lblOffset val="100"/>
        <c:noMultiLvlLbl val="0"/>
      </c:catAx>
      <c:valAx>
        <c:axId val="17084684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</a:t>
                </a:r>
                <a:r>
                  <a:rPr lang="en-US" baseline="0"/>
                  <a:t> numbers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598429362739381E-2"/>
              <c:y val="0.3265941236512103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7084531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1801344212485965"/>
          <c:y val="0.18050009789838414"/>
          <c:w val="0.54959617050182241"/>
          <c:h val="8.799474605618945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>
                <a:latin typeface="+mn-lt"/>
              </a:rPr>
              <a:t>Figure</a:t>
            </a:r>
            <a:r>
              <a:rPr lang="en-US" sz="1100" baseline="0">
                <a:latin typeface="+mn-lt"/>
              </a:rPr>
              <a:t> 8.30: </a:t>
            </a:r>
            <a:r>
              <a:rPr lang="en-US" sz="1100">
                <a:latin typeface="+mn-lt"/>
              </a:rPr>
              <a:t>Number of Marriage</a:t>
            </a:r>
            <a:r>
              <a:rPr lang="en-US" sz="1100" baseline="0">
                <a:latin typeface="+mn-lt"/>
              </a:rPr>
              <a:t> and Divorce by locality, 2015</a:t>
            </a:r>
            <a:endParaRPr lang="en-US" sz="1100">
              <a:latin typeface="+mn-lt"/>
            </a:endParaRPr>
          </a:p>
        </c:rich>
      </c:tx>
      <c:layout>
        <c:manualLayout>
          <c:xMode val="edge"/>
          <c:yMode val="edge"/>
          <c:x val="0.15351114630224294"/>
          <c:y val="3.067264402168707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065235560638719"/>
          <c:y val="0.14850721784777027"/>
          <c:w val="0.85138745924915815"/>
          <c:h val="0.68142115447247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'8.21'!$AQ$16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27A09D"/>
            </a:solidFill>
          </c:spPr>
          <c:invertIfNegative val="0"/>
          <c:cat>
            <c:strRef>
              <c:f>'8.21'!$AR$15:$AS$15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'8.21'!$AR$16:$AS$16</c:f>
              <c:numCache>
                <c:formatCode>General_)</c:formatCode>
                <c:ptCount val="2"/>
                <c:pt idx="0">
                  <c:v>5763</c:v>
                </c:pt>
                <c:pt idx="1">
                  <c:v>3358</c:v>
                </c:pt>
              </c:numCache>
            </c:numRef>
          </c:val>
        </c:ser>
        <c:ser>
          <c:idx val="1"/>
          <c:order val="1"/>
          <c:tx>
            <c:strRef>
              <c:f>'8.21'!$AQ$17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strRef>
              <c:f>'8.21'!$AR$15:$AS$15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'8.21'!$AR$17:$AS$17</c:f>
              <c:numCache>
                <c:formatCode>General_)</c:formatCode>
                <c:ptCount val="2"/>
                <c:pt idx="0">
                  <c:v>2610</c:v>
                </c:pt>
                <c:pt idx="1">
                  <c:v>1455</c:v>
                </c:pt>
              </c:numCache>
            </c:numRef>
          </c:val>
        </c:ser>
        <c:ser>
          <c:idx val="2"/>
          <c:order val="2"/>
          <c:tx>
            <c:strRef>
              <c:f>'8.21'!$AQ$18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'8.21'!$AR$15:$AS$15</c:f>
              <c:strCache>
                <c:ptCount val="2"/>
                <c:pt idx="0">
                  <c:v>Marriage</c:v>
                </c:pt>
                <c:pt idx="1">
                  <c:v>Divorce</c:v>
                </c:pt>
              </c:strCache>
            </c:strRef>
          </c:cat>
          <c:val>
            <c:numRef>
              <c:f>'8.21'!$AR$18:$AS$18</c:f>
              <c:numCache>
                <c:formatCode>General_)</c:formatCode>
                <c:ptCount val="2"/>
                <c:pt idx="0">
                  <c:v>3153</c:v>
                </c:pt>
                <c:pt idx="1">
                  <c:v>1903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475712"/>
        <c:axId val="171477248"/>
      </c:barChart>
      <c:catAx>
        <c:axId val="171475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71477248"/>
        <c:crosses val="autoZero"/>
        <c:auto val="1"/>
        <c:lblAlgn val="ctr"/>
        <c:lblOffset val="100"/>
        <c:noMultiLvlLbl val="0"/>
      </c:catAx>
      <c:valAx>
        <c:axId val="17147724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6.3391442155309114E-3"/>
              <c:y val="0.34470107903178765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7147571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9012258174542109"/>
          <c:y val="0.21464421114027538"/>
          <c:w val="0.31690330309345516"/>
          <c:h val="7.522564887722368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050"/>
              <a:t>Figure</a:t>
            </a:r>
            <a:r>
              <a:rPr lang="en-US" sz="1050" baseline="0"/>
              <a:t> 8.31: Number of Marriages by locality, 2014 - 2015</a:t>
            </a:r>
            <a:endParaRPr lang="en-US"/>
          </a:p>
        </c:rich>
      </c:tx>
      <c:layout>
        <c:manualLayout>
          <c:xMode val="edge"/>
          <c:yMode val="edge"/>
          <c:x val="0.2745988700564973"/>
          <c:y val="5.555555555555545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939187686284978"/>
          <c:y val="0.15776647710702996"/>
          <c:w val="0.84456408203211886"/>
          <c:h val="0.69185914260717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7A09D"/>
            </a:solidFill>
          </c:spPr>
          <c:invertIfNegative val="0"/>
          <c:cat>
            <c:strRef>
              <c:f>'8.21'!$AQ$16:$AQ$18</c:f>
              <c:strCache>
                <c:ptCount val="3"/>
                <c:pt idx="0">
                  <c:v>Republic</c:v>
                </c:pt>
                <c:pt idx="1">
                  <c:v> Male'</c:v>
                </c:pt>
                <c:pt idx="2">
                  <c:v> Atolls</c:v>
                </c:pt>
              </c:strCache>
            </c:strRef>
          </c:cat>
          <c:val>
            <c:numRef>
              <c:f>'8.21'!$AR$16:$AR$18</c:f>
              <c:numCache>
                <c:formatCode>General_)</c:formatCode>
                <c:ptCount val="3"/>
                <c:pt idx="0">
                  <c:v>5763</c:v>
                </c:pt>
                <c:pt idx="1">
                  <c:v>2610</c:v>
                </c:pt>
                <c:pt idx="2">
                  <c:v>3153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502208"/>
        <c:axId val="171504000"/>
      </c:barChart>
      <c:catAx>
        <c:axId val="17150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71504000"/>
        <c:crosses val="autoZero"/>
        <c:auto val="1"/>
        <c:lblAlgn val="ctr"/>
        <c:lblOffset val="100"/>
        <c:noMultiLvlLbl val="0"/>
      </c:catAx>
      <c:valAx>
        <c:axId val="171504000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1.5819209039548022E-2"/>
              <c:y val="0.3878627150772862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7150220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8.32: Number of Divorces by locality, 2014 - 2015</a:t>
            </a:r>
          </a:p>
        </c:rich>
      </c:tx>
      <c:layout>
        <c:manualLayout>
          <c:xMode val="edge"/>
          <c:yMode val="edge"/>
          <c:x val="0.16786796388369199"/>
          <c:y val="3.26370162633780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03604389612442"/>
          <c:y val="0.16988572304750565"/>
          <c:w val="0.8508402371872984"/>
          <c:h val="0.681290148009849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'8.21'!$AP$29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27A09D"/>
            </a:solidFill>
          </c:spPr>
          <c:invertIfNegative val="0"/>
          <c:cat>
            <c:numRef>
              <c:f>'8.21'!$AQ$28:$AR$28</c:f>
              <c:numCache>
                <c:formatCode>General_)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'8.21'!$AQ$29:$AR$29</c:f>
              <c:numCache>
                <c:formatCode>General_)</c:formatCode>
                <c:ptCount val="2"/>
                <c:pt idx="0">
                  <c:v>3414</c:v>
                </c:pt>
                <c:pt idx="1">
                  <c:v>3358</c:v>
                </c:pt>
              </c:numCache>
            </c:numRef>
          </c:val>
        </c:ser>
        <c:ser>
          <c:idx val="1"/>
          <c:order val="1"/>
          <c:tx>
            <c:strRef>
              <c:f>'8.21'!$AP$30</c:f>
              <c:strCache>
                <c:ptCount val="1"/>
                <c:pt idx="0">
                  <c:v> Male'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numRef>
              <c:f>'8.21'!$AQ$28:$AR$28</c:f>
              <c:numCache>
                <c:formatCode>General_)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'8.21'!$AQ$30:$AR$30</c:f>
              <c:numCache>
                <c:formatCode>General_)</c:formatCode>
                <c:ptCount val="2"/>
                <c:pt idx="0">
                  <c:v>1524</c:v>
                </c:pt>
                <c:pt idx="1">
                  <c:v>1455</c:v>
                </c:pt>
              </c:numCache>
            </c:numRef>
          </c:val>
        </c:ser>
        <c:ser>
          <c:idx val="2"/>
          <c:order val="2"/>
          <c:tx>
            <c:strRef>
              <c:f>'8.21'!$AP$31</c:f>
              <c:strCache>
                <c:ptCount val="1"/>
                <c:pt idx="0">
                  <c:v> Atolls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'8.21'!$AQ$28:$AR$28</c:f>
              <c:numCache>
                <c:formatCode>General_)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'8.21'!$AQ$31:$AR$31</c:f>
              <c:numCache>
                <c:formatCode>General_)</c:formatCode>
                <c:ptCount val="2"/>
                <c:pt idx="0">
                  <c:v>1890</c:v>
                </c:pt>
                <c:pt idx="1">
                  <c:v>1903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222912"/>
        <c:axId val="171224448"/>
      </c:barChart>
      <c:catAx>
        <c:axId val="171222912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71224448"/>
        <c:crosses val="autoZero"/>
        <c:auto val="1"/>
        <c:lblAlgn val="ctr"/>
        <c:lblOffset val="100"/>
        <c:noMultiLvlLbl val="0"/>
      </c:catAx>
      <c:valAx>
        <c:axId val="17122444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</a:p>
            </c:rich>
          </c:tx>
          <c:overlay val="0"/>
        </c:title>
        <c:numFmt formatCode="General_)" sourceLinked="1"/>
        <c:majorTickMark val="out"/>
        <c:minorTickMark val="none"/>
        <c:tickLblPos val="nextTo"/>
        <c:crossAx val="171222912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2403632545178063"/>
          <c:y val="0.19354834070398735"/>
          <c:w val="0.44539697998880001"/>
          <c:h val="9.892688071525304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8.33: Number of</a:t>
            </a:r>
            <a:r>
              <a:rPr lang="en-US" sz="1050" baseline="0"/>
              <a:t> Marriage and Divorce, Republic, 2014 - 2015</a:t>
            </a:r>
            <a:endParaRPr lang="en-US" sz="105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13198985720092"/>
          <c:y val="0.15364270187876075"/>
          <c:w val="0.84800925308065611"/>
          <c:h val="0.61728076798619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'8.21'!$AP$23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1C706E"/>
              </a:solidFill>
            </c:spPr>
          </c:dPt>
          <c:dPt>
            <c:idx val="3"/>
            <c:invertIfNegative val="0"/>
            <c:bubble3D val="0"/>
            <c:spPr>
              <a:solidFill>
                <a:srgbClr val="1C706E"/>
              </a:solidFill>
            </c:spPr>
          </c:dPt>
          <c:cat>
            <c:multiLvlStrRef>
              <c:f>'8.21'!$AQ$21:$AT$22</c:f>
              <c:multiLvlStrCache>
                <c:ptCount val="4"/>
                <c:lvl>
                  <c:pt idx="0">
                    <c:v>2014 </c:v>
                  </c:pt>
                  <c:pt idx="1">
                    <c:v>2015 </c:v>
                  </c:pt>
                  <c:pt idx="2">
                    <c:v>2014 </c:v>
                  </c:pt>
                  <c:pt idx="3">
                    <c:v>2015 </c:v>
                  </c:pt>
                </c:lvl>
                <c:lvl>
                  <c:pt idx="0">
                    <c:v>Marriage</c:v>
                  </c:pt>
                  <c:pt idx="2">
                    <c:v>Divorce</c:v>
                  </c:pt>
                </c:lvl>
              </c:multiLvlStrCache>
            </c:multiLvlStrRef>
          </c:cat>
          <c:val>
            <c:numRef>
              <c:f>'8.21'!$AQ$23:$AT$23</c:f>
              <c:numCache>
                <c:formatCode>General_)</c:formatCode>
                <c:ptCount val="4"/>
                <c:pt idx="0">
                  <c:v>5587</c:v>
                </c:pt>
                <c:pt idx="1">
                  <c:v>5763</c:v>
                </c:pt>
                <c:pt idx="2">
                  <c:v>3414</c:v>
                </c:pt>
                <c:pt idx="3">
                  <c:v>3358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16"/>
        <c:axId val="171254528"/>
        <c:axId val="171256064"/>
      </c:barChart>
      <c:catAx>
        <c:axId val="171254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71256064"/>
        <c:crosses val="autoZero"/>
        <c:auto val="1"/>
        <c:lblAlgn val="ctr"/>
        <c:lblOffset val="100"/>
        <c:noMultiLvlLbl val="0"/>
      </c:catAx>
      <c:valAx>
        <c:axId val="17125606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1.3559322033898299E-2"/>
              <c:y val="0.34772230790738939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7125452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185017242109681E-2"/>
          <c:y val="0.18310610379697351"/>
          <c:w val="0.89950975764410335"/>
          <c:h val="0.691107785862518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'8.25'!$P$28</c:f>
              <c:strCache>
                <c:ptCount val="1"/>
                <c:pt idx="0">
                  <c:v>Completion rate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1C706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BCE-42CA-B8DB-54985FA8D74C}"/>
              </c:ext>
            </c:extLst>
          </c:dPt>
          <c:cat>
            <c:numRef>
              <c:f>'8.25'!$Q$27:$U$27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'8.25'!$Q$28:$U$28</c:f>
              <c:numCache>
                <c:formatCode>0.0</c:formatCode>
                <c:ptCount val="5"/>
                <c:pt idx="0">
                  <c:v>86.812804453723032</c:v>
                </c:pt>
                <c:pt idx="1">
                  <c:v>61.540749553837003</c:v>
                </c:pt>
                <c:pt idx="2">
                  <c:v>70.99408617290905</c:v>
                </c:pt>
                <c:pt idx="3">
                  <c:v>70.70082449941107</c:v>
                </c:pt>
                <c:pt idx="4">
                  <c:v>70.769571967176759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BCE-42CA-B8DB-54985FA8D74C}"/>
            </c:ext>
          </c:extLst>
        </c:ser>
        <c:ser>
          <c:idx val="1"/>
          <c:order val="1"/>
          <c:tx>
            <c:strRef>
              <c:f>'8.25'!$P$29</c:f>
              <c:strCache>
                <c:ptCount val="1"/>
                <c:pt idx="0">
                  <c:v>Submission rate to courts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'8.25'!$Q$27:$U$27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'8.25'!$Q$29:$U$29</c:f>
              <c:numCache>
                <c:formatCode>0.0</c:formatCode>
                <c:ptCount val="5"/>
                <c:pt idx="0">
                  <c:v>64.370215727209469</c:v>
                </c:pt>
                <c:pt idx="1">
                  <c:v>42.504461629982153</c:v>
                </c:pt>
                <c:pt idx="2">
                  <c:v>51.281329203041395</c:v>
                </c:pt>
                <c:pt idx="3">
                  <c:v>44.081272084805654</c:v>
                </c:pt>
                <c:pt idx="4">
                  <c:v>40.607673541805276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BCE-42CA-B8DB-54985FA8D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415808"/>
        <c:axId val="169417344"/>
      </c:barChart>
      <c:catAx>
        <c:axId val="16941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69417344"/>
        <c:crosses val="autoZero"/>
        <c:auto val="1"/>
        <c:lblAlgn val="ctr"/>
        <c:lblOffset val="100"/>
        <c:noMultiLvlLbl val="0"/>
      </c:catAx>
      <c:valAx>
        <c:axId val="169417344"/>
        <c:scaling>
          <c:orientation val="minMax"/>
        </c:scaling>
        <c:delete val="0"/>
        <c:axPos val="l"/>
        <c:majorGridlines>
          <c:spPr>
            <a:ln w="3175">
              <a:noFill/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1.1679884750303481E-2"/>
              <c:y val="0.3422495740700484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69415808"/>
        <c:crosses val="autoZero"/>
        <c:crossBetween val="between"/>
      </c:valAx>
      <c:spPr>
        <a:solidFill>
          <a:srgbClr val="E7FFF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988373967959698"/>
          <c:y val="0.24484035266688328"/>
          <c:w val="0.40503682480220171"/>
          <c:h val="6.9417523666457384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sq">
      <a:bevel/>
    </a:ln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05237947898864E-2"/>
          <c:y val="0.20435061400504825"/>
          <c:w val="0.89095767483283916"/>
          <c:h val="0.667549401006941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'8.25'!$P$32</c:f>
              <c:strCache>
                <c:ptCount val="1"/>
                <c:pt idx="0">
                  <c:v>Completed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1C706E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BFC-4E70-9C44-C3F13B91BAA7}"/>
              </c:ext>
            </c:extLst>
          </c:dPt>
          <c:cat>
            <c:numRef>
              <c:f>'8.25'!$Q$31:$U$31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'8.25'!$Q$32:$U$32</c:f>
              <c:numCache>
                <c:formatCode>_(* #,##0_);_(* \(#,##0\);_(* "-"??_);_(@_)</c:formatCode>
                <c:ptCount val="5"/>
                <c:pt idx="0">
                  <c:v>2495</c:v>
                </c:pt>
                <c:pt idx="1">
                  <c:v>2069</c:v>
                </c:pt>
                <c:pt idx="2">
                  <c:v>2521</c:v>
                </c:pt>
                <c:pt idx="3">
                  <c:v>2401</c:v>
                </c:pt>
                <c:pt idx="4">
                  <c:v>3191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BFC-4E70-9C44-C3F13B91BAA7}"/>
            </c:ext>
          </c:extLst>
        </c:ser>
        <c:ser>
          <c:idx val="1"/>
          <c:order val="1"/>
          <c:tx>
            <c:strRef>
              <c:f>'8.25'!$P$33</c:f>
              <c:strCache>
                <c:ptCount val="1"/>
                <c:pt idx="0">
                  <c:v>Submitted to court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'8.25'!$Q$31:$U$31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'8.25'!$Q$33:$U$33</c:f>
              <c:numCache>
                <c:formatCode>_(* #,##0_);_(* \(#,##0\);_(* "-"??_);_(@_)</c:formatCode>
                <c:ptCount val="5"/>
                <c:pt idx="0">
                  <c:v>1850</c:v>
                </c:pt>
                <c:pt idx="1">
                  <c:v>1429</c:v>
                </c:pt>
                <c:pt idx="2">
                  <c:v>1821</c:v>
                </c:pt>
                <c:pt idx="3">
                  <c:v>1497</c:v>
                </c:pt>
                <c:pt idx="4">
                  <c:v>1831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BFC-4E70-9C44-C3F13B91BAA7}"/>
            </c:ext>
          </c:extLst>
        </c:ser>
        <c:ser>
          <c:idx val="2"/>
          <c:order val="2"/>
          <c:tx>
            <c:strRef>
              <c:f>'8.25'!$P$34</c:f>
              <c:strCache>
                <c:ptCount val="1"/>
                <c:pt idx="0">
                  <c:v>Not sent to court 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numRef>
              <c:f>'8.25'!$Q$31:$U$31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'8.25'!$Q$34:$U$34</c:f>
              <c:numCache>
                <c:formatCode>_(* #,##0_);_(* \(#,##0\);_(* "-"??_);_(@_)</c:formatCode>
                <c:ptCount val="5"/>
                <c:pt idx="0">
                  <c:v>379</c:v>
                </c:pt>
                <c:pt idx="1">
                  <c:v>1293</c:v>
                </c:pt>
                <c:pt idx="2">
                  <c:v>1030</c:v>
                </c:pt>
                <c:pt idx="3">
                  <c:v>995</c:v>
                </c:pt>
                <c:pt idx="4">
                  <c:v>1318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BFC-4E70-9C44-C3F13B91B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003072"/>
        <c:axId val="170004864"/>
      </c:barChart>
      <c:catAx>
        <c:axId val="17000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70004864"/>
        <c:crosses val="autoZero"/>
        <c:auto val="1"/>
        <c:lblAlgn val="ctr"/>
        <c:lblOffset val="100"/>
        <c:noMultiLvlLbl val="0"/>
      </c:catAx>
      <c:valAx>
        <c:axId val="170004864"/>
        <c:scaling>
          <c:orientation val="minMax"/>
        </c:scaling>
        <c:delete val="0"/>
        <c:axPos val="l"/>
        <c:majorGridlines>
          <c:spPr>
            <a:ln>
              <a:solidFill>
                <a:srgbClr val="1C706E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</a:t>
                </a:r>
                <a:r>
                  <a:rPr lang="en-US" baseline="0"/>
                  <a:t> Numbers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097507419415709E-2"/>
              <c:y val="0.11934286908392276"/>
            </c:manualLayout>
          </c:layout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170003072"/>
        <c:crosses val="autoZero"/>
        <c:crossBetween val="between"/>
      </c:valAx>
      <c:spPr>
        <a:solidFill>
          <a:srgbClr val="E7FFFF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9988062280733174"/>
          <c:y val="0.21830992894447365"/>
          <c:w val="0.52584508339388569"/>
          <c:h val="7.826610454106972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6350" cap="sq">
      <a:bevel/>
    </a:ln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Figure: 8.36: Percentage share of majistrates by sex, 2014</a:t>
            </a:r>
          </a:p>
        </c:rich>
      </c:tx>
      <c:layout>
        <c:manualLayout>
          <c:xMode val="edge"/>
          <c:yMode val="edge"/>
          <c:x val="0.1274085052911669"/>
          <c:y val="3.690546644477784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8298814976133541"/>
          <c:y val="0.14586689163854519"/>
          <c:w val="0.39484258352348067"/>
          <c:h val="0.8116835395575553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Lbls>
            <c:dLbl>
              <c:idx val="0"/>
              <c:layout>
                <c:manualLayout>
                  <c:x val="0.11502017432322061"/>
                  <c:y val="9.35347506627893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8.2462990643060174E-2"/>
                  <c:y val="-8.79988354266564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'[4]8.28'!$X$22:$X$23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'[4]8.28'!$Y$22:$Y$23</c:f>
              <c:numCache>
                <c:formatCode>General</c:formatCode>
                <c:ptCount val="2"/>
                <c:pt idx="0">
                  <c:v>96</c:v>
                </c:pt>
                <c:pt idx="1">
                  <c:v>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57"/>
        <c:holeSize val="50"/>
      </c:doughnutChart>
    </c:plotArea>
    <c:plotVisOnly val="1"/>
    <c:dispBlanksAs val="zero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91676040494947E-2"/>
          <c:y val="0.1862861320953382"/>
          <c:w val="0.85897134733158342"/>
          <c:h val="0.7178191274243507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'[4]8.28'!$W$14:$AA$14</c:f>
              <c:strCache>
                <c:ptCount val="1"/>
                <c:pt idx="0">
                  <c:v>2010 2011 2012 2013 2014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'[4]8.28'!$W$14:$AA$14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'[4]8.28'!$W$17:$AA$17</c:f>
              <c:numCache>
                <c:formatCode>General</c:formatCode>
                <c:ptCount val="5"/>
                <c:pt idx="0">
                  <c:v>1.9801980198019802</c:v>
                </c:pt>
                <c:pt idx="1">
                  <c:v>2.5380710659898478</c:v>
                </c:pt>
                <c:pt idx="2">
                  <c:v>3.0487804878048781</c:v>
                </c:pt>
                <c:pt idx="3">
                  <c:v>4.8648648648648649</c:v>
                </c:pt>
                <c:pt idx="4">
                  <c:v>4.395604395604396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402752"/>
        <c:axId val="171404288"/>
      </c:barChart>
      <c:catAx>
        <c:axId val="17140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404288"/>
        <c:crosses val="autoZero"/>
        <c:auto val="1"/>
        <c:lblAlgn val="ctr"/>
        <c:lblOffset val="100"/>
        <c:noMultiLvlLbl val="0"/>
      </c:catAx>
      <c:valAx>
        <c:axId val="17140428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71402752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1419224</xdr:colOff>
      <xdr:row>19</xdr:row>
      <xdr:rowOff>110289</xdr:rowOff>
    </xdr:from>
    <xdr:to>
      <xdr:col>10</xdr:col>
      <xdr:colOff>647699</xdr:colOff>
      <xdr:row>35</xdr:row>
      <xdr:rowOff>122522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1419224</xdr:colOff>
      <xdr:row>37</xdr:row>
      <xdr:rowOff>152400</xdr:rowOff>
    </xdr:from>
    <xdr:to>
      <xdr:col>10</xdr:col>
      <xdr:colOff>666749</xdr:colOff>
      <xdr:row>52</xdr:row>
      <xdr:rowOff>80720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514350</xdr:colOff>
      <xdr:row>21</xdr:row>
      <xdr:rowOff>19050</xdr:rowOff>
    </xdr:from>
    <xdr:to>
      <xdr:col>9</xdr:col>
      <xdr:colOff>914400</xdr:colOff>
      <xdr:row>21</xdr:row>
      <xdr:rowOff>28575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562225" y="5505450"/>
          <a:ext cx="3952875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3</xdr:col>
      <xdr:colOff>581025</xdr:colOff>
      <xdr:row>39</xdr:row>
      <xdr:rowOff>66674</xdr:rowOff>
    </xdr:from>
    <xdr:to>
      <xdr:col>10</xdr:col>
      <xdr:colOff>342900</xdr:colOff>
      <xdr:row>39</xdr:row>
      <xdr:rowOff>76199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2000250" y="9010649"/>
          <a:ext cx="499110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0.08278</cdr:x>
      <cdr:y>0.0182</cdr:y>
    </cdr:from>
    <cdr:to>
      <cdr:x>0.99031</cdr:x>
      <cdr:y>0.0889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8069" y="50702"/>
          <a:ext cx="5350774" cy="1969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8.2: Percenatage change in selected  crimes,  2010 - 2015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1084716</xdr:colOff>
      <xdr:row>31</xdr:row>
      <xdr:rowOff>85259</xdr:rowOff>
    </xdr:from>
    <xdr:to>
      <xdr:col>10</xdr:col>
      <xdr:colOff>47625</xdr:colOff>
      <xdr:row>47</xdr:row>
      <xdr:rowOff>145395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1309766</xdr:colOff>
      <xdr:row>50</xdr:row>
      <xdr:rowOff>63218</xdr:rowOff>
    </xdr:from>
    <xdr:to>
      <xdr:col>10</xdr:col>
      <xdr:colOff>0</xdr:colOff>
      <xdr:row>65</xdr:row>
      <xdr:rowOff>123559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1496785</xdr:colOff>
      <xdr:row>31</xdr:row>
      <xdr:rowOff>173181</xdr:rowOff>
    </xdr:from>
    <xdr:to>
      <xdr:col>9</xdr:col>
      <xdr:colOff>533399</xdr:colOff>
      <xdr:row>33</xdr:row>
      <xdr:rowOff>28575</xdr:rowOff>
    </xdr:to>
    <xdr:sp macro="" textlink="">
      <xdr:nvSpPr>
        <xdr:cNvPr id="6" name="TextBox 5"/>
        <xdr:cNvSpPr txBox="1"/>
      </xdr:nvSpPr>
      <xdr:spPr>
        <a:xfrm>
          <a:off x="1496785" y="8059881"/>
          <a:ext cx="5732689" cy="23639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8.2: Number of logged cases for Male' and Atolls by type,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1571625</xdr:colOff>
      <xdr:row>33</xdr:row>
      <xdr:rowOff>28574</xdr:rowOff>
    </xdr:from>
    <xdr:to>
      <xdr:col>9</xdr:col>
      <xdr:colOff>257175</xdr:colOff>
      <xdr:row>33</xdr:row>
      <xdr:rowOff>28574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571625" y="8258174"/>
          <a:ext cx="53816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390525</xdr:colOff>
      <xdr:row>51</xdr:row>
      <xdr:rowOff>171449</xdr:rowOff>
    </xdr:from>
    <xdr:to>
      <xdr:col>9</xdr:col>
      <xdr:colOff>161925</xdr:colOff>
      <xdr:row>51</xdr:row>
      <xdr:rowOff>180974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2171700" y="11858624"/>
          <a:ext cx="468630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386715</xdr:colOff>
      <xdr:row>31</xdr:row>
      <xdr:rowOff>79699</xdr:rowOff>
    </xdr:from>
    <xdr:to>
      <xdr:col>9</xdr:col>
      <xdr:colOff>285750</xdr:colOff>
      <xdr:row>44</xdr:row>
      <xdr:rowOff>163209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143539</xdr:colOff>
      <xdr:row>32</xdr:row>
      <xdr:rowOff>166134</xdr:rowOff>
    </xdr:from>
    <xdr:to>
      <xdr:col>6</xdr:col>
      <xdr:colOff>681148</xdr:colOff>
      <xdr:row>32</xdr:row>
      <xdr:rowOff>172557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810414" y="6678576"/>
          <a:ext cx="3328656" cy="6423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19</xdr:row>
      <xdr:rowOff>30480</xdr:rowOff>
    </xdr:from>
    <xdr:to>
      <xdr:col>19</xdr:col>
      <xdr:colOff>257175</xdr:colOff>
      <xdr:row>34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361950</xdr:colOff>
      <xdr:row>20</xdr:row>
      <xdr:rowOff>123823</xdr:rowOff>
    </xdr:from>
    <xdr:to>
      <xdr:col>15</xdr:col>
      <xdr:colOff>247650</xdr:colOff>
      <xdr:row>20</xdr:row>
      <xdr:rowOff>133350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3228975" y="4657723"/>
          <a:ext cx="3886200" cy="9527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0.19391</cdr:x>
      <cdr:y>0.00575</cdr:y>
    </cdr:from>
    <cdr:to>
      <cdr:x>0.7687</cdr:x>
      <cdr:y>0.08887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3533" y="17141"/>
          <a:ext cx="3952842" cy="247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Consolas" pitchFamily="49" charset="0"/>
            </a:rPr>
            <a:t>Figure 8.5: Number of logged cases in Atolls by type, 2015</a:t>
          </a:r>
          <a:endParaRPr lang="en-US" sz="1200">
            <a:effectLst/>
            <a:latin typeface="Candara" pitchFamily="34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150493</xdr:colOff>
      <xdr:row>19</xdr:row>
      <xdr:rowOff>78106</xdr:rowOff>
    </xdr:from>
    <xdr:to>
      <xdr:col>8</xdr:col>
      <xdr:colOff>1590675</xdr:colOff>
      <xdr:row>33</xdr:row>
      <xdr:rowOff>68580</xdr:rowOff>
    </xdr:to>
    <xdr:graphicFrame macro="">
      <xdr:nvGraphicFramePr>
        <xdr:cNvPr id="2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85725</xdr:colOff>
      <xdr:row>21</xdr:row>
      <xdr:rowOff>19049</xdr:rowOff>
    </xdr:from>
    <xdr:to>
      <xdr:col>7</xdr:col>
      <xdr:colOff>304800</xdr:colOff>
      <xdr:row>21</xdr:row>
      <xdr:rowOff>19049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105025" y="4600574"/>
          <a:ext cx="44577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0.22513</cdr:x>
      <cdr:y>0.02079</cdr:y>
    </cdr:from>
    <cdr:to>
      <cdr:x>0.82801</cdr:x>
      <cdr:y>0.1319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33046" y="55255"/>
          <a:ext cx="4641085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8.6: Number of logged cases by month, 2013 - 2015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85532</xdr:colOff>
      <xdr:row>31</xdr:row>
      <xdr:rowOff>241040</xdr:rowOff>
    </xdr:from>
    <xdr:to>
      <xdr:col>4</xdr:col>
      <xdr:colOff>581025</xdr:colOff>
      <xdr:row>41</xdr:row>
      <xdr:rowOff>108857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1009650</xdr:colOff>
      <xdr:row>33</xdr:row>
      <xdr:rowOff>28575</xdr:rowOff>
    </xdr:from>
    <xdr:to>
      <xdr:col>3</xdr:col>
      <xdr:colOff>285750</xdr:colOff>
      <xdr:row>33</xdr:row>
      <xdr:rowOff>28575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009650" y="7677150"/>
          <a:ext cx="35909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0.16887</cdr:x>
      <cdr:y>0.03004</cdr:y>
    </cdr:from>
    <cdr:to>
      <cdr:x>0.87679</cdr:x>
      <cdr:y>0.12949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77327" y="72553"/>
          <a:ext cx="3677809" cy="2401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8.7 : Trend showing logged cases from 1992 to 2015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1688759</xdr:colOff>
      <xdr:row>14</xdr:row>
      <xdr:rowOff>134711</xdr:rowOff>
    </xdr:from>
    <xdr:to>
      <xdr:col>9</xdr:col>
      <xdr:colOff>831419</xdr:colOff>
      <xdr:row>28</xdr:row>
      <xdr:rowOff>121080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8072</xdr:colOff>
      <xdr:row>16</xdr:row>
      <xdr:rowOff>104934</xdr:rowOff>
    </xdr:from>
    <xdr:to>
      <xdr:col>8</xdr:col>
      <xdr:colOff>629619</xdr:colOff>
      <xdr:row>16</xdr:row>
      <xdr:rowOff>113007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857500" y="3592053"/>
          <a:ext cx="4423475" cy="8073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0.16818</cdr:x>
      <cdr:y>0.03925</cdr:y>
    </cdr:from>
    <cdr:to>
      <cdr:x>0.84685</cdr:x>
      <cdr:y>0.12544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34629" y="106869"/>
          <a:ext cx="4578667" cy="2346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8.8:  Number of Theft cases  by type, 2013 - 2015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377938</xdr:colOff>
      <xdr:row>37</xdr:row>
      <xdr:rowOff>26785</xdr:rowOff>
    </xdr:from>
    <xdr:to>
      <xdr:col>9</xdr:col>
      <xdr:colOff>18751</xdr:colOff>
      <xdr:row>51</xdr:row>
      <xdr:rowOff>81138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314324</xdr:colOff>
      <xdr:row>22</xdr:row>
      <xdr:rowOff>61906</xdr:rowOff>
    </xdr:from>
    <xdr:to>
      <xdr:col>9</xdr:col>
      <xdr:colOff>10436</xdr:colOff>
      <xdr:row>34</xdr:row>
      <xdr:rowOff>177517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47625</xdr:colOff>
      <xdr:row>23</xdr:row>
      <xdr:rowOff>19049</xdr:rowOff>
    </xdr:from>
    <xdr:to>
      <xdr:col>7</xdr:col>
      <xdr:colOff>838199</xdr:colOff>
      <xdr:row>23</xdr:row>
      <xdr:rowOff>28574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2543175" y="5714999"/>
          <a:ext cx="3257549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2</xdr:col>
      <xdr:colOff>142875</xdr:colOff>
      <xdr:row>38</xdr:row>
      <xdr:rowOff>114299</xdr:rowOff>
    </xdr:from>
    <xdr:to>
      <xdr:col>8</xdr:col>
      <xdr:colOff>304800</xdr:colOff>
      <xdr:row>38</xdr:row>
      <xdr:rowOff>114299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1876425" y="8696324"/>
          <a:ext cx="44386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0.0799</cdr:x>
      <cdr:y>0.02164</cdr:y>
    </cdr:from>
    <cdr:to>
      <cdr:x>0.9258</cdr:x>
      <cdr:y>0.1142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2555" y="58152"/>
          <a:ext cx="4155812" cy="2487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 10: Percentage share of drug use cases by type, 2015</a:t>
          </a:r>
          <a:endParaRPr lang="en-US" sz="10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0.21351</cdr:x>
      <cdr:y>0.0135</cdr:y>
    </cdr:from>
    <cdr:to>
      <cdr:x>0.89601</cdr:x>
      <cdr:y>0.1352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20420" y="34608"/>
          <a:ext cx="3901110" cy="3119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8.9 </a:t>
          </a: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 cases, 2013 - 2015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922020</xdr:colOff>
      <xdr:row>12</xdr:row>
      <xdr:rowOff>59531</xdr:rowOff>
    </xdr:from>
    <xdr:to>
      <xdr:col>9</xdr:col>
      <xdr:colOff>1043940</xdr:colOff>
      <xdr:row>26</xdr:row>
      <xdr:rowOff>123826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917232</xdr:colOff>
      <xdr:row>27</xdr:row>
      <xdr:rowOff>185095</xdr:rowOff>
    </xdr:from>
    <xdr:to>
      <xdr:col>9</xdr:col>
      <xdr:colOff>978243</xdr:colOff>
      <xdr:row>44</xdr:row>
      <xdr:rowOff>139375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571500</xdr:colOff>
      <xdr:row>28</xdr:row>
      <xdr:rowOff>128202</xdr:rowOff>
    </xdr:from>
    <xdr:to>
      <xdr:col>9</xdr:col>
      <xdr:colOff>47625</xdr:colOff>
      <xdr:row>30</xdr:row>
      <xdr:rowOff>21368</xdr:rowOff>
    </xdr:to>
    <xdr:sp macro="" textlink="">
      <xdr:nvSpPr>
        <xdr:cNvPr id="3" name="TextBox 2"/>
        <xdr:cNvSpPr txBox="1"/>
      </xdr:nvSpPr>
      <xdr:spPr>
        <a:xfrm>
          <a:off x="2133600" y="6738552"/>
          <a:ext cx="5048250" cy="274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8.12: Percentage of assault cases logged  by type,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19051</xdr:colOff>
      <xdr:row>13</xdr:row>
      <xdr:rowOff>180974</xdr:rowOff>
    </xdr:from>
    <xdr:to>
      <xdr:col>8</xdr:col>
      <xdr:colOff>695326</xdr:colOff>
      <xdr:row>13</xdr:row>
      <xdr:rowOff>190498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2305051" y="3905249"/>
          <a:ext cx="4362450" cy="9524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628651</xdr:colOff>
      <xdr:row>29</xdr:row>
      <xdr:rowOff>171450</xdr:rowOff>
    </xdr:from>
    <xdr:to>
      <xdr:col>8</xdr:col>
      <xdr:colOff>1104900</xdr:colOff>
      <xdr:row>29</xdr:row>
      <xdr:rowOff>171450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2190751" y="6972300"/>
          <a:ext cx="4886324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0.19643</cdr:x>
      <cdr:y>0.02476</cdr:y>
    </cdr:from>
    <cdr:to>
      <cdr:x>0.81281</cdr:x>
      <cdr:y>0.10267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425319" y="68341"/>
          <a:ext cx="4472561" cy="2150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Figure: 8.11: Assault by group of persons, 2013 - 2015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636270</xdr:colOff>
      <xdr:row>17</xdr:row>
      <xdr:rowOff>26670</xdr:rowOff>
    </xdr:from>
    <xdr:to>
      <xdr:col>7</xdr:col>
      <xdr:colOff>670638</xdr:colOff>
      <xdr:row>32</xdr:row>
      <xdr:rowOff>155510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165309</xdr:colOff>
      <xdr:row>18</xdr:row>
      <xdr:rowOff>116632</xdr:rowOff>
    </xdr:from>
    <xdr:to>
      <xdr:col>6</xdr:col>
      <xdr:colOff>728955</xdr:colOff>
      <xdr:row>18</xdr:row>
      <xdr:rowOff>134518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905079" y="4918010"/>
          <a:ext cx="3625254" cy="17886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1173480</xdr:colOff>
      <xdr:row>19</xdr:row>
      <xdr:rowOff>55994</xdr:rowOff>
    </xdr:from>
    <xdr:to>
      <xdr:col>10</xdr:col>
      <xdr:colOff>0</xdr:colOff>
      <xdr:row>35</xdr:row>
      <xdr:rowOff>78105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129540</xdr:colOff>
      <xdr:row>19</xdr:row>
      <xdr:rowOff>114300</xdr:rowOff>
    </xdr:from>
    <xdr:to>
      <xdr:col>10</xdr:col>
      <xdr:colOff>0</xdr:colOff>
      <xdr:row>20</xdr:row>
      <xdr:rowOff>167640</xdr:rowOff>
    </xdr:to>
    <xdr:sp macro="" textlink="">
      <xdr:nvSpPr>
        <xdr:cNvPr id="4" name="TextBox 3"/>
        <xdr:cNvSpPr txBox="1"/>
      </xdr:nvSpPr>
      <xdr:spPr>
        <a:xfrm>
          <a:off x="1889760" y="4655820"/>
          <a:ext cx="5669280" cy="236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2</xdr:col>
      <xdr:colOff>90103</xdr:colOff>
      <xdr:row>19</xdr:row>
      <xdr:rowOff>141588</xdr:rowOff>
    </xdr:from>
    <xdr:to>
      <xdr:col>10</xdr:col>
      <xdr:colOff>0</xdr:colOff>
      <xdr:row>20</xdr:row>
      <xdr:rowOff>167332</xdr:rowOff>
    </xdr:to>
    <xdr:sp macro="" textlink="">
      <xdr:nvSpPr>
        <xdr:cNvPr id="5" name="TextBox 4"/>
        <xdr:cNvSpPr txBox="1"/>
      </xdr:nvSpPr>
      <xdr:spPr>
        <a:xfrm>
          <a:off x="1808464" y="4736757"/>
          <a:ext cx="5618462" cy="218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8.14: Number of  logged cases and those completed by type,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114300</xdr:colOff>
      <xdr:row>20</xdr:row>
      <xdr:rowOff>190499</xdr:rowOff>
    </xdr:from>
    <xdr:to>
      <xdr:col>9</xdr:col>
      <xdr:colOff>828675</xdr:colOff>
      <xdr:row>21</xdr:row>
      <xdr:rowOff>9524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828800" y="4972049"/>
          <a:ext cx="5514975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95144</xdr:rowOff>
    </xdr:from>
    <xdr:to>
      <xdr:col>11</xdr:col>
      <xdr:colOff>445214</xdr:colOff>
      <xdr:row>43</xdr:row>
      <xdr:rowOff>18088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752475</xdr:colOff>
      <xdr:row>23</xdr:row>
      <xdr:rowOff>14893</xdr:rowOff>
    </xdr:from>
    <xdr:to>
      <xdr:col>10</xdr:col>
      <xdr:colOff>495300</xdr:colOff>
      <xdr:row>24</xdr:row>
      <xdr:rowOff>96324</xdr:rowOff>
    </xdr:to>
    <xdr:sp macro="" textlink="">
      <xdr:nvSpPr>
        <xdr:cNvPr id="3" name="TextBox 2"/>
        <xdr:cNvSpPr txBox="1"/>
      </xdr:nvSpPr>
      <xdr:spPr>
        <a:xfrm>
          <a:off x="2057400" y="5882293"/>
          <a:ext cx="6219825" cy="243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8.15: Percentage of detainees reported by type of offence and sex,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819150</xdr:colOff>
      <xdr:row>24</xdr:row>
      <xdr:rowOff>104774</xdr:rowOff>
    </xdr:from>
    <xdr:to>
      <xdr:col>10</xdr:col>
      <xdr:colOff>685800</xdr:colOff>
      <xdr:row>24</xdr:row>
      <xdr:rowOff>133349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124075" y="6134099"/>
          <a:ext cx="6343650" cy="2857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617220</xdr:colOff>
      <xdr:row>20</xdr:row>
      <xdr:rowOff>121920</xdr:rowOff>
    </xdr:from>
    <xdr:to>
      <xdr:col>8</xdr:col>
      <xdr:colOff>1089660</xdr:colOff>
      <xdr:row>31</xdr:row>
      <xdr:rowOff>182880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160922</xdr:colOff>
      <xdr:row>21</xdr:row>
      <xdr:rowOff>38100</xdr:rowOff>
    </xdr:from>
    <xdr:to>
      <xdr:col>8</xdr:col>
      <xdr:colOff>891841</xdr:colOff>
      <xdr:row>21</xdr:row>
      <xdr:rowOff>239128</xdr:rowOff>
    </xdr:to>
    <xdr:sp macro="" textlink="">
      <xdr:nvSpPr>
        <xdr:cNvPr id="4" name="TextBox 3"/>
        <xdr:cNvSpPr txBox="1"/>
      </xdr:nvSpPr>
      <xdr:spPr>
        <a:xfrm>
          <a:off x="1932572" y="5181600"/>
          <a:ext cx="5245769" cy="2010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8.16: Detainees arrested by number of times,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209550</xdr:colOff>
      <xdr:row>22</xdr:row>
      <xdr:rowOff>9525</xdr:rowOff>
    </xdr:from>
    <xdr:to>
      <xdr:col>8</xdr:col>
      <xdr:colOff>180975</xdr:colOff>
      <xdr:row>22</xdr:row>
      <xdr:rowOff>9525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981200" y="5400675"/>
          <a:ext cx="448627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188842</xdr:colOff>
      <xdr:row>27</xdr:row>
      <xdr:rowOff>86472</xdr:rowOff>
    </xdr:from>
    <xdr:to>
      <xdr:col>14</xdr:col>
      <xdr:colOff>238125</xdr:colOff>
      <xdr:row>41</xdr:row>
      <xdr:rowOff>121496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611111</xdr:colOff>
      <xdr:row>27</xdr:row>
      <xdr:rowOff>66675</xdr:rowOff>
    </xdr:from>
    <xdr:to>
      <xdr:col>7</xdr:col>
      <xdr:colOff>492653</xdr:colOff>
      <xdr:row>41</xdr:row>
      <xdr:rowOff>112058</xdr:rowOff>
    </xdr:to>
    <xdr:graphicFrame macro="">
      <xdr:nvGraphicFramePr>
        <xdr:cNvPr id="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158965</xdr:colOff>
      <xdr:row>44</xdr:row>
      <xdr:rowOff>140595</xdr:rowOff>
    </xdr:from>
    <xdr:to>
      <xdr:col>11</xdr:col>
      <xdr:colOff>283639</xdr:colOff>
      <xdr:row>60</xdr:row>
      <xdr:rowOff>116959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777408</xdr:colOff>
      <xdr:row>27</xdr:row>
      <xdr:rowOff>119063</xdr:rowOff>
    </xdr:from>
    <xdr:to>
      <xdr:col>7</xdr:col>
      <xdr:colOff>413217</xdr:colOff>
      <xdr:row>28</xdr:row>
      <xdr:rowOff>126066</xdr:rowOff>
    </xdr:to>
    <xdr:sp macro="" textlink="">
      <xdr:nvSpPr>
        <xdr:cNvPr id="6" name="TextBox 5"/>
        <xdr:cNvSpPr txBox="1"/>
      </xdr:nvSpPr>
      <xdr:spPr>
        <a:xfrm>
          <a:off x="2318217" y="6114210"/>
          <a:ext cx="4125165" cy="2451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8.17: Percentage share of detainees by sex, 2015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8</xdr:col>
      <xdr:colOff>532279</xdr:colOff>
      <xdr:row>27</xdr:row>
      <xdr:rowOff>154082</xdr:rowOff>
    </xdr:from>
    <xdr:to>
      <xdr:col>14</xdr:col>
      <xdr:colOff>7004</xdr:colOff>
      <xdr:row>28</xdr:row>
      <xdr:rowOff>133071</xdr:rowOff>
    </xdr:to>
    <xdr:sp macro="" textlink="">
      <xdr:nvSpPr>
        <xdr:cNvPr id="9" name="TextBox 8"/>
        <xdr:cNvSpPr txBox="1"/>
      </xdr:nvSpPr>
      <xdr:spPr>
        <a:xfrm>
          <a:off x="7479926" y="6149229"/>
          <a:ext cx="4111159" cy="217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8.18: Percentage share of detainees by age, 2015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4</xdr:col>
      <xdr:colOff>219075</xdr:colOff>
      <xdr:row>46</xdr:row>
      <xdr:rowOff>38099</xdr:rowOff>
    </xdr:from>
    <xdr:to>
      <xdr:col>9</xdr:col>
      <xdr:colOff>657225</xdr:colOff>
      <xdr:row>46</xdr:row>
      <xdr:rowOff>38099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4324350" y="10153649"/>
          <a:ext cx="41910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809625</xdr:colOff>
      <xdr:row>28</xdr:row>
      <xdr:rowOff>114300</xdr:rowOff>
    </xdr:from>
    <xdr:to>
      <xdr:col>7</xdr:col>
      <xdr:colOff>276225</xdr:colOff>
      <xdr:row>28</xdr:row>
      <xdr:rowOff>123825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 flipV="1">
          <a:off x="2352675" y="6753225"/>
          <a:ext cx="3952875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8</xdr:col>
      <xdr:colOff>590550</xdr:colOff>
      <xdr:row>28</xdr:row>
      <xdr:rowOff>133350</xdr:rowOff>
    </xdr:from>
    <xdr:to>
      <xdr:col>13</xdr:col>
      <xdr:colOff>866775</xdr:colOff>
      <xdr:row>28</xdr:row>
      <xdr:rowOff>142875</xdr:rowOff>
    </xdr:to>
    <xdr:sp macro="" textlink="">
      <xdr:nvSpPr>
        <xdr:cNvPr id="14" name="Line 4"/>
        <xdr:cNvSpPr>
          <a:spLocks noChangeShapeType="1"/>
        </xdr:cNvSpPr>
      </xdr:nvSpPr>
      <xdr:spPr bwMode="auto">
        <a:xfrm flipV="1">
          <a:off x="7534275" y="6772275"/>
          <a:ext cx="3952875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0.15487</cdr:x>
      <cdr:y>0.01149</cdr:y>
    </cdr:from>
    <cdr:to>
      <cdr:x>0.90741</cdr:x>
      <cdr:y>0.09781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19601" y="34498"/>
          <a:ext cx="4468345" cy="2591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8.19: Number of Detainees by age and sex,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619468</xdr:colOff>
      <xdr:row>20</xdr:row>
      <xdr:rowOff>165381</xdr:rowOff>
    </xdr:from>
    <xdr:to>
      <xdr:col>14</xdr:col>
      <xdr:colOff>169333</xdr:colOff>
      <xdr:row>34</xdr:row>
      <xdr:rowOff>110347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243416</xdr:colOff>
      <xdr:row>22</xdr:row>
      <xdr:rowOff>21167</xdr:rowOff>
    </xdr:from>
    <xdr:to>
      <xdr:col>14</xdr:col>
      <xdr:colOff>74083</xdr:colOff>
      <xdr:row>22</xdr:row>
      <xdr:rowOff>51859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963333" y="5132917"/>
          <a:ext cx="5164667" cy="30692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0.03176</cdr:x>
      <cdr:y>0.01985</cdr:y>
    </cdr:from>
    <cdr:to>
      <cdr:x>1</cdr:x>
      <cdr:y>0.17339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5156" y="52662"/>
          <a:ext cx="4729397" cy="4073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8.20: Percentage share of detainees by locals and foreigners, 2015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575732</xdr:colOff>
      <xdr:row>26</xdr:row>
      <xdr:rowOff>133350</xdr:rowOff>
    </xdr:from>
    <xdr:to>
      <xdr:col>13</xdr:col>
      <xdr:colOff>314325</xdr:colOff>
      <xdr:row>41</xdr:row>
      <xdr:rowOff>133350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152399</xdr:colOff>
      <xdr:row>26</xdr:row>
      <xdr:rowOff>152401</xdr:rowOff>
    </xdr:from>
    <xdr:to>
      <xdr:col>13</xdr:col>
      <xdr:colOff>123824</xdr:colOff>
      <xdr:row>28</xdr:row>
      <xdr:rowOff>1</xdr:rowOff>
    </xdr:to>
    <xdr:sp macro="" textlink="">
      <xdr:nvSpPr>
        <xdr:cNvPr id="3" name="TextBox 2"/>
        <xdr:cNvSpPr txBox="1"/>
      </xdr:nvSpPr>
      <xdr:spPr>
        <a:xfrm>
          <a:off x="2905124" y="5686426"/>
          <a:ext cx="606742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8.21: Number of cases dealt by judicial court in Male', 201</a:t>
          </a:r>
          <a:r>
            <a:rPr lang="dv-MV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2</a:t>
          </a: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- 2015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219075</xdr:colOff>
      <xdr:row>28</xdr:row>
      <xdr:rowOff>28575</xdr:rowOff>
    </xdr:from>
    <xdr:to>
      <xdr:col>12</xdr:col>
      <xdr:colOff>533400</xdr:colOff>
      <xdr:row>28</xdr:row>
      <xdr:rowOff>28575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971800" y="5943600"/>
          <a:ext cx="5800725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213714</xdr:colOff>
      <xdr:row>225</xdr:row>
      <xdr:rowOff>116632</xdr:rowOff>
    </xdr:from>
    <xdr:to>
      <xdr:col>6</xdr:col>
      <xdr:colOff>405086</xdr:colOff>
      <xdr:row>239</xdr:row>
      <xdr:rowOff>19655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655015</xdr:colOff>
      <xdr:row>225</xdr:row>
      <xdr:rowOff>147727</xdr:rowOff>
    </xdr:from>
    <xdr:to>
      <xdr:col>24</xdr:col>
      <xdr:colOff>536466</xdr:colOff>
      <xdr:row>239</xdr:row>
      <xdr:rowOff>55036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179591</xdr:colOff>
      <xdr:row>240</xdr:row>
      <xdr:rowOff>142328</xdr:rowOff>
    </xdr:from>
    <xdr:to>
      <xdr:col>6</xdr:col>
      <xdr:colOff>350345</xdr:colOff>
      <xdr:row>254</xdr:row>
      <xdr:rowOff>117187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570415</xdr:colOff>
      <xdr:row>225</xdr:row>
      <xdr:rowOff>129678</xdr:rowOff>
    </xdr:from>
    <xdr:to>
      <xdr:col>15</xdr:col>
      <xdr:colOff>547414</xdr:colOff>
      <xdr:row>239</xdr:row>
      <xdr:rowOff>22766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521814</xdr:colOff>
      <xdr:row>240</xdr:row>
      <xdr:rowOff>131379</xdr:rowOff>
    </xdr:from>
    <xdr:to>
      <xdr:col>15</xdr:col>
      <xdr:colOff>569311</xdr:colOff>
      <xdr:row>254</xdr:row>
      <xdr:rowOff>147019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10711</xdr:colOff>
      <xdr:row>240</xdr:row>
      <xdr:rowOff>174151</xdr:rowOff>
    </xdr:from>
    <xdr:to>
      <xdr:col>24</xdr:col>
      <xdr:colOff>558361</xdr:colOff>
      <xdr:row>254</xdr:row>
      <xdr:rowOff>114119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145358</xdr:colOff>
      <xdr:row>256</xdr:row>
      <xdr:rowOff>21799</xdr:rowOff>
    </xdr:from>
    <xdr:to>
      <xdr:col>8</xdr:col>
      <xdr:colOff>196385</xdr:colOff>
      <xdr:row>271</xdr:row>
      <xdr:rowOff>177682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448203</xdr:colOff>
      <xdr:row>227</xdr:row>
      <xdr:rowOff>14654</xdr:rowOff>
    </xdr:from>
    <xdr:to>
      <xdr:col>5</xdr:col>
      <xdr:colOff>549521</xdr:colOff>
      <xdr:row>227</xdr:row>
      <xdr:rowOff>14654</xdr:rowOff>
    </xdr:to>
    <xdr:sp macro="" textlink="">
      <xdr:nvSpPr>
        <xdr:cNvPr id="17" name="Line 4"/>
        <xdr:cNvSpPr>
          <a:spLocks noChangeShapeType="1"/>
        </xdr:cNvSpPr>
      </xdr:nvSpPr>
      <xdr:spPr bwMode="auto">
        <a:xfrm flipV="1">
          <a:off x="1019703" y="44254616"/>
          <a:ext cx="340576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9</xdr:col>
      <xdr:colOff>10948</xdr:colOff>
      <xdr:row>227</xdr:row>
      <xdr:rowOff>21896</xdr:rowOff>
    </xdr:from>
    <xdr:to>
      <xdr:col>14</xdr:col>
      <xdr:colOff>678793</xdr:colOff>
      <xdr:row>227</xdr:row>
      <xdr:rowOff>21896</xdr:rowOff>
    </xdr:to>
    <xdr:sp macro="" textlink="">
      <xdr:nvSpPr>
        <xdr:cNvPr id="18" name="Line 4"/>
        <xdr:cNvSpPr>
          <a:spLocks noChangeShapeType="1"/>
        </xdr:cNvSpPr>
      </xdr:nvSpPr>
      <xdr:spPr bwMode="auto">
        <a:xfrm flipV="1">
          <a:off x="5999655" y="43344224"/>
          <a:ext cx="3601983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17</xdr:col>
      <xdr:colOff>469563</xdr:colOff>
      <xdr:row>227</xdr:row>
      <xdr:rowOff>28094</xdr:rowOff>
    </xdr:from>
    <xdr:to>
      <xdr:col>23</xdr:col>
      <xdr:colOff>557150</xdr:colOff>
      <xdr:row>227</xdr:row>
      <xdr:rowOff>28094</xdr:rowOff>
    </xdr:to>
    <xdr:sp macro="" textlink="">
      <xdr:nvSpPr>
        <xdr:cNvPr id="19" name="Line 4"/>
        <xdr:cNvSpPr>
          <a:spLocks noChangeShapeType="1"/>
        </xdr:cNvSpPr>
      </xdr:nvSpPr>
      <xdr:spPr bwMode="auto">
        <a:xfrm flipV="1">
          <a:off x="11467275" y="44268056"/>
          <a:ext cx="3597183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8</xdr:col>
      <xdr:colOff>512886</xdr:colOff>
      <xdr:row>242</xdr:row>
      <xdr:rowOff>109904</xdr:rowOff>
    </xdr:from>
    <xdr:to>
      <xdr:col>15</xdr:col>
      <xdr:colOff>278423</xdr:colOff>
      <xdr:row>242</xdr:row>
      <xdr:rowOff>109904</xdr:rowOff>
    </xdr:to>
    <xdr:sp macro="" textlink="">
      <xdr:nvSpPr>
        <xdr:cNvPr id="20" name="Line 4"/>
        <xdr:cNvSpPr>
          <a:spLocks noChangeShapeType="1"/>
        </xdr:cNvSpPr>
      </xdr:nvSpPr>
      <xdr:spPr bwMode="auto">
        <a:xfrm>
          <a:off x="5810251" y="47207366"/>
          <a:ext cx="4073768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17</xdr:col>
      <xdr:colOff>211015</xdr:colOff>
      <xdr:row>242</xdr:row>
      <xdr:rowOff>130419</xdr:rowOff>
    </xdr:from>
    <xdr:to>
      <xdr:col>24</xdr:col>
      <xdr:colOff>139211</xdr:colOff>
      <xdr:row>242</xdr:row>
      <xdr:rowOff>139211</xdr:rowOff>
    </xdr:to>
    <xdr:sp macro="" textlink="">
      <xdr:nvSpPr>
        <xdr:cNvPr id="21" name="Line 4"/>
        <xdr:cNvSpPr>
          <a:spLocks noChangeShapeType="1"/>
        </xdr:cNvSpPr>
      </xdr:nvSpPr>
      <xdr:spPr bwMode="auto">
        <a:xfrm>
          <a:off x="11208727" y="47227881"/>
          <a:ext cx="4104542" cy="8792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341435</xdr:colOff>
      <xdr:row>242</xdr:row>
      <xdr:rowOff>187570</xdr:rowOff>
    </xdr:from>
    <xdr:to>
      <xdr:col>5</xdr:col>
      <xdr:colOff>647987</xdr:colOff>
      <xdr:row>242</xdr:row>
      <xdr:rowOff>187570</xdr:rowOff>
    </xdr:to>
    <xdr:sp macro="" textlink="">
      <xdr:nvSpPr>
        <xdr:cNvPr id="22" name="Line 4"/>
        <xdr:cNvSpPr>
          <a:spLocks noChangeShapeType="1"/>
        </xdr:cNvSpPr>
      </xdr:nvSpPr>
      <xdr:spPr bwMode="auto">
        <a:xfrm flipV="1">
          <a:off x="912935" y="47285032"/>
          <a:ext cx="3610994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16</xdr:col>
      <xdr:colOff>457200</xdr:colOff>
      <xdr:row>260</xdr:row>
      <xdr:rowOff>76200</xdr:rowOff>
    </xdr:from>
    <xdr:to>
      <xdr:col>22</xdr:col>
      <xdr:colOff>529290</xdr:colOff>
      <xdr:row>260</xdr:row>
      <xdr:rowOff>76200</xdr:rowOff>
    </xdr:to>
    <xdr:sp macro="" textlink="">
      <xdr:nvSpPr>
        <xdr:cNvPr id="23" name="Line 4"/>
        <xdr:cNvSpPr>
          <a:spLocks noChangeShapeType="1"/>
        </xdr:cNvSpPr>
      </xdr:nvSpPr>
      <xdr:spPr bwMode="auto">
        <a:xfrm flipV="1">
          <a:off x="10758854" y="50602662"/>
          <a:ext cx="3610994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34</xdr:row>
      <xdr:rowOff>123825</xdr:rowOff>
    </xdr:from>
    <xdr:to>
      <xdr:col>21</xdr:col>
      <xdr:colOff>714375</xdr:colOff>
      <xdr:row>45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228600</xdr:colOff>
      <xdr:row>34</xdr:row>
      <xdr:rowOff>114300</xdr:rowOff>
    </xdr:from>
    <xdr:to>
      <xdr:col>27</xdr:col>
      <xdr:colOff>1038225</xdr:colOff>
      <xdr:row>45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46</xdr:row>
      <xdr:rowOff>238124</xdr:rowOff>
    </xdr:from>
    <xdr:to>
      <xdr:col>21</xdr:col>
      <xdr:colOff>714375</xdr:colOff>
      <xdr:row>59</xdr:row>
      <xdr:rowOff>238124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209550</xdr:colOff>
      <xdr:row>46</xdr:row>
      <xdr:rowOff>200025</xdr:rowOff>
    </xdr:from>
    <xdr:to>
      <xdr:col>27</xdr:col>
      <xdr:colOff>1085850</xdr:colOff>
      <xdr:row>59</xdr:row>
      <xdr:rowOff>200025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61</xdr:row>
      <xdr:rowOff>28576</xdr:rowOff>
    </xdr:from>
    <xdr:to>
      <xdr:col>21</xdr:col>
      <xdr:colOff>695325</xdr:colOff>
      <xdr:row>69</xdr:row>
      <xdr:rowOff>361951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1409702</xdr:colOff>
      <xdr:row>32</xdr:row>
      <xdr:rowOff>109715</xdr:rowOff>
    </xdr:from>
    <xdr:to>
      <xdr:col>7</xdr:col>
      <xdr:colOff>1514475</xdr:colOff>
      <xdr:row>46</xdr:row>
      <xdr:rowOff>50781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1381124</xdr:colOff>
      <xdr:row>17</xdr:row>
      <xdr:rowOff>66676</xdr:rowOff>
    </xdr:from>
    <xdr:to>
      <xdr:col>7</xdr:col>
      <xdr:colOff>1714499</xdr:colOff>
      <xdr:row>31</xdr:row>
      <xdr:rowOff>22206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2152651</xdr:colOff>
      <xdr:row>17</xdr:row>
      <xdr:rowOff>152401</xdr:rowOff>
    </xdr:from>
    <xdr:to>
      <xdr:col>7</xdr:col>
      <xdr:colOff>1571625</xdr:colOff>
      <xdr:row>18</xdr:row>
      <xdr:rowOff>209550</xdr:rowOff>
    </xdr:to>
    <xdr:sp macro="" textlink="">
      <xdr:nvSpPr>
        <xdr:cNvPr id="4" name="TextBox 3"/>
        <xdr:cNvSpPr txBox="1"/>
      </xdr:nvSpPr>
      <xdr:spPr>
        <a:xfrm>
          <a:off x="2152651" y="5248276"/>
          <a:ext cx="6962774" cy="276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8.34: Number of cases completed and number of cases not sent to court,  2011 - 2015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05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2286000</xdr:colOff>
      <xdr:row>18</xdr:row>
      <xdr:rowOff>171449</xdr:rowOff>
    </xdr:from>
    <xdr:to>
      <xdr:col>7</xdr:col>
      <xdr:colOff>1447800</xdr:colOff>
      <xdr:row>18</xdr:row>
      <xdr:rowOff>180974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286000" y="5486399"/>
          <a:ext cx="670560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314325</xdr:colOff>
      <xdr:row>34</xdr:row>
      <xdr:rowOff>104775</xdr:rowOff>
    </xdr:from>
    <xdr:to>
      <xdr:col>7</xdr:col>
      <xdr:colOff>276225</xdr:colOff>
      <xdr:row>34</xdr:row>
      <xdr:rowOff>104775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2828925" y="8858250"/>
          <a:ext cx="49911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0.18057</cdr:x>
      <cdr:y>0.04116</cdr:y>
    </cdr:from>
    <cdr:to>
      <cdr:x>0.88005</cdr:x>
      <cdr:y>0.14029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81124" y="107348"/>
          <a:ext cx="5350004" cy="2585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8.35: Number of cases completed by PG Office, 2011 - 2015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1704975</xdr:colOff>
      <xdr:row>11</xdr:row>
      <xdr:rowOff>142875</xdr:rowOff>
    </xdr:from>
    <xdr:to>
      <xdr:col>5</xdr:col>
      <xdr:colOff>691515</xdr:colOff>
      <xdr:row>26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1691640</xdr:colOff>
      <xdr:row>28</xdr:row>
      <xdr:rowOff>3810</xdr:rowOff>
    </xdr:from>
    <xdr:to>
      <xdr:col>5</xdr:col>
      <xdr:colOff>739140</xdr:colOff>
      <xdr:row>43</xdr:row>
      <xdr:rowOff>3810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2173741</xdr:colOff>
      <xdr:row>28</xdr:row>
      <xdr:rowOff>114300</xdr:rowOff>
    </xdr:from>
    <xdr:ext cx="4922520" cy="225878"/>
    <xdr:sp macro="" textlink="">
      <xdr:nvSpPr>
        <xdr:cNvPr id="4" name="TextBox 3"/>
        <xdr:cNvSpPr txBox="1"/>
      </xdr:nvSpPr>
      <xdr:spPr>
        <a:xfrm>
          <a:off x="2173741" y="5133975"/>
          <a:ext cx="4922520" cy="2258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00" b="1">
              <a:latin typeface="Consolas" pitchFamily="49" charset="0"/>
              <a:cs typeface="Consolas" pitchFamily="49" charset="0"/>
            </a:rPr>
            <a:t>Figure 8.37: Share of female judges / majistrates, 2010 - 2014</a:t>
          </a:r>
        </a:p>
      </xdr:txBody>
    </xdr:sp>
    <xdr:clientData/>
  </xdr:oneCellAnchor>
  <xdr:twoCellAnchor>
    <xdr:from>
      <xdr:col>0</xdr:col>
      <xdr:colOff>2375536</xdr:colOff>
      <xdr:row>13</xdr:row>
      <xdr:rowOff>133350</xdr:rowOff>
    </xdr:from>
    <xdr:to>
      <xdr:col>5</xdr:col>
      <xdr:colOff>34018</xdr:colOff>
      <xdr:row>13</xdr:row>
      <xdr:rowOff>136072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375536" y="2295525"/>
          <a:ext cx="4154532" cy="2722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2349420</xdr:colOff>
      <xdr:row>29</xdr:row>
      <xdr:rowOff>141582</xdr:rowOff>
    </xdr:from>
    <xdr:to>
      <xdr:col>5</xdr:col>
      <xdr:colOff>425223</xdr:colOff>
      <xdr:row>29</xdr:row>
      <xdr:rowOff>144576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2349420" y="5351757"/>
          <a:ext cx="4571853" cy="2994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j/Stat%20Book%202012/stat%20book%20-%202012%20-%20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11"/>
      <sheetName val="s12a"/>
      <sheetName val="s13a"/>
      <sheetName val="s12"/>
      <sheetName val="s16"/>
      <sheetName val="f1"/>
      <sheetName val="f12"/>
      <sheetName val="f13"/>
      <sheetName val="s2"/>
      <sheetName val="s21"/>
      <sheetName val="s22"/>
      <sheetName val="s23"/>
      <sheetName val="s24"/>
      <sheetName val="s25"/>
      <sheetName val="s26"/>
      <sheetName val="s28"/>
      <sheetName val="s29"/>
      <sheetName val="s210"/>
      <sheetName val="s211"/>
      <sheetName val="s212"/>
      <sheetName val="s214a"/>
      <sheetName val="s214"/>
      <sheetName val="s215"/>
      <sheetName val="s3"/>
      <sheetName val="s31"/>
      <sheetName val="s32"/>
      <sheetName val="s33"/>
      <sheetName val="s34"/>
      <sheetName val="s35"/>
      <sheetName val="s37"/>
      <sheetName val="s38 "/>
      <sheetName val="s39"/>
      <sheetName val="s310"/>
      <sheetName val="s312"/>
      <sheetName val="f31"/>
      <sheetName val="s4"/>
      <sheetName val="s41"/>
      <sheetName val="s42"/>
      <sheetName val="s43"/>
      <sheetName val="s46"/>
      <sheetName val="s5"/>
      <sheetName val="s51"/>
      <sheetName val="s52"/>
      <sheetName val="s53"/>
      <sheetName val="s54"/>
      <sheetName val="s55"/>
      <sheetName val="s56"/>
      <sheetName val="s57"/>
      <sheetName val="s58"/>
      <sheetName val="s59"/>
      <sheetName val="s510"/>
      <sheetName val="S511"/>
      <sheetName val="11"/>
      <sheetName val="Chart1"/>
      <sheetName val="Chart2"/>
      <sheetName val="Chart4"/>
      <sheetName val="Chart 3"/>
      <sheetName val="Crime tr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>
        <row r="8">
          <cell r="B8">
            <v>450</v>
          </cell>
        </row>
        <row r="12">
          <cell r="B12">
            <v>600</v>
          </cell>
        </row>
        <row r="14">
          <cell r="B14">
            <v>23</v>
          </cell>
        </row>
        <row r="20">
          <cell r="B20">
            <v>186</v>
          </cell>
        </row>
        <row r="22">
          <cell r="B22">
            <v>212</v>
          </cell>
        </row>
        <row r="23">
          <cell r="B23">
            <v>1675</v>
          </cell>
        </row>
        <row r="31">
          <cell r="B31">
            <v>5</v>
          </cell>
        </row>
        <row r="32">
          <cell r="B32">
            <v>140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28"/>
  <sheetViews>
    <sheetView topLeftCell="A16" zoomScaleNormal="100" zoomScaleSheetLayoutView="100" workbookViewId="0">
      <selection activeCell="M45" sqref="M45"/>
    </sheetView>
  </sheetViews>
  <sheetFormatPr defaultColWidth="9.140625" defaultRowHeight="15"/>
  <cols>
    <col min="1" max="1" width="21.28515625" style="2" customWidth="1"/>
    <col min="2" max="2" width="12" style="2" hidden="1" customWidth="1"/>
    <col min="3" max="3" width="8.42578125" style="2" hidden="1" customWidth="1"/>
    <col min="4" max="4" width="9.42578125" style="2" customWidth="1"/>
    <col min="5" max="5" width="9.7109375" style="2" customWidth="1"/>
    <col min="6" max="8" width="9.42578125" style="2" customWidth="1"/>
    <col min="9" max="9" width="15.28515625" style="2" customWidth="1"/>
    <col min="10" max="10" width="15.7109375" style="2" customWidth="1"/>
    <col min="11" max="11" width="21.5703125" style="2" customWidth="1"/>
    <col min="12" max="12" width="2.140625" style="2" customWidth="1"/>
    <col min="13" max="14" width="9.140625" style="2"/>
    <col min="15" max="17" width="9.140625" style="559"/>
    <col min="18" max="22" width="9.140625" style="2"/>
    <col min="23" max="23" width="13.28515625" style="2" customWidth="1"/>
    <col min="24" max="16384" width="9.140625" style="2"/>
  </cols>
  <sheetData>
    <row r="1" spans="1:23" ht="21.75">
      <c r="A1" s="864" t="s">
        <v>321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</row>
    <row r="2" spans="1:23" ht="21.75" customHeight="1">
      <c r="A2" s="865" t="s">
        <v>322</v>
      </c>
      <c r="B2" s="865"/>
      <c r="C2" s="865"/>
      <c r="D2" s="865"/>
      <c r="E2" s="865"/>
      <c r="F2" s="865"/>
      <c r="G2" s="865"/>
      <c r="H2" s="865"/>
      <c r="I2" s="865"/>
      <c r="J2" s="865"/>
      <c r="K2" s="865"/>
    </row>
    <row r="3" spans="1:23" ht="51.75" customHeight="1">
      <c r="A3" s="866" t="s">
        <v>140</v>
      </c>
      <c r="B3" s="868">
        <v>2008</v>
      </c>
      <c r="C3" s="868">
        <v>2009</v>
      </c>
      <c r="D3" s="870">
        <v>2011</v>
      </c>
      <c r="E3" s="870">
        <v>2012</v>
      </c>
      <c r="F3" s="870">
        <v>2013</v>
      </c>
      <c r="G3" s="870">
        <v>2014</v>
      </c>
      <c r="H3" s="870">
        <v>2015</v>
      </c>
      <c r="I3" s="463" t="s">
        <v>148</v>
      </c>
      <c r="J3" s="463" t="s">
        <v>291</v>
      </c>
      <c r="K3" s="872" t="s">
        <v>4</v>
      </c>
      <c r="N3" s="3"/>
      <c r="O3" s="3"/>
      <c r="P3" s="3"/>
      <c r="Q3" s="3"/>
      <c r="R3" s="3"/>
      <c r="S3" s="3"/>
      <c r="T3" s="3"/>
      <c r="U3" s="3"/>
      <c r="V3" s="3"/>
    </row>
    <row r="4" spans="1:23" ht="23.25" customHeight="1">
      <c r="A4" s="867"/>
      <c r="B4" s="869"/>
      <c r="C4" s="869"/>
      <c r="D4" s="871"/>
      <c r="E4" s="871"/>
      <c r="F4" s="871"/>
      <c r="G4" s="871"/>
      <c r="H4" s="871"/>
      <c r="I4" s="377" t="s">
        <v>290</v>
      </c>
      <c r="J4" s="377" t="s">
        <v>292</v>
      </c>
      <c r="K4" s="873"/>
      <c r="N4" s="3"/>
      <c r="O4" s="3"/>
      <c r="P4" s="3"/>
      <c r="Q4" s="3"/>
      <c r="R4" s="3"/>
      <c r="S4" s="3"/>
      <c r="T4" s="3"/>
      <c r="U4" s="3"/>
      <c r="V4" s="3"/>
    </row>
    <row r="5" spans="1:23" ht="19.5" customHeight="1">
      <c r="A5" s="136" t="s">
        <v>0</v>
      </c>
      <c r="B5" s="5">
        <v>17674</v>
      </c>
      <c r="C5" s="100">
        <v>19259</v>
      </c>
      <c r="D5" s="247">
        <f t="shared" ref="D5:G5" si="0">SUM(D6:D17)</f>
        <v>17803</v>
      </c>
      <c r="E5" s="247">
        <f t="shared" si="0"/>
        <v>20512</v>
      </c>
      <c r="F5" s="247">
        <f t="shared" si="0"/>
        <v>21885</v>
      </c>
      <c r="G5" s="247">
        <f t="shared" si="0"/>
        <v>18193</v>
      </c>
      <c r="H5" s="247">
        <v>16363</v>
      </c>
      <c r="I5" s="371">
        <f>H5/$H$5*100</f>
        <v>100</v>
      </c>
      <c r="J5" s="372">
        <f>((H5-G5)/G5)*100</f>
        <v>-10.058813829494859</v>
      </c>
      <c r="K5" s="86" t="s">
        <v>1</v>
      </c>
      <c r="M5" s="291"/>
      <c r="N5" s="3"/>
      <c r="O5" s="3"/>
      <c r="P5" s="3"/>
      <c r="Q5" s="3"/>
      <c r="R5" s="3"/>
      <c r="S5" s="3"/>
      <c r="T5" s="3"/>
      <c r="U5" s="3"/>
      <c r="V5" s="3" t="s">
        <v>5</v>
      </c>
      <c r="W5" s="324">
        <f>I6</f>
        <v>24.384281610951536</v>
      </c>
    </row>
    <row r="6" spans="1:23" ht="19.5" customHeight="1">
      <c r="A6" s="137" t="s">
        <v>5</v>
      </c>
      <c r="B6" s="7">
        <v>3903</v>
      </c>
      <c r="C6" s="101">
        <v>4007</v>
      </c>
      <c r="D6" s="842">
        <v>4734</v>
      </c>
      <c r="E6" s="842">
        <v>6571</v>
      </c>
      <c r="F6" s="842">
        <v>6683</v>
      </c>
      <c r="G6" s="842">
        <v>5080</v>
      </c>
      <c r="H6" s="842">
        <v>3990</v>
      </c>
      <c r="I6" s="373">
        <f>H6/$H$5*100</f>
        <v>24.384281610951536</v>
      </c>
      <c r="J6" s="374">
        <f t="shared" ref="J6:J17" si="1">((H6-G6)/G6)*100</f>
        <v>-21.456692913385826</v>
      </c>
      <c r="K6" s="98" t="s">
        <v>6</v>
      </c>
      <c r="M6" s="137"/>
      <c r="N6" s="3"/>
      <c r="O6" s="3"/>
      <c r="P6" s="3"/>
      <c r="Q6" s="3"/>
      <c r="R6" s="3"/>
      <c r="S6" s="3"/>
      <c r="T6" s="3"/>
      <c r="U6" s="3"/>
      <c r="V6" s="3" t="s">
        <v>9</v>
      </c>
      <c r="W6" s="324">
        <f t="shared" ref="W6:W16" si="2">I7</f>
        <v>12.497708244209498</v>
      </c>
    </row>
    <row r="7" spans="1:23" ht="19.5" customHeight="1">
      <c r="A7" s="137" t="s">
        <v>127</v>
      </c>
      <c r="B7" s="7">
        <v>3838</v>
      </c>
      <c r="C7" s="101">
        <v>3013</v>
      </c>
      <c r="D7" s="842">
        <v>2251</v>
      </c>
      <c r="E7" s="842">
        <v>1974</v>
      </c>
      <c r="F7" s="842">
        <v>1930</v>
      </c>
      <c r="G7" s="842">
        <v>2137</v>
      </c>
      <c r="H7" s="842">
        <v>2045</v>
      </c>
      <c r="I7" s="373">
        <f>H7/$H$5*100</f>
        <v>12.497708244209498</v>
      </c>
      <c r="J7" s="374">
        <f t="shared" si="1"/>
        <v>-4.3051006083294343</v>
      </c>
      <c r="K7" s="98" t="s">
        <v>8</v>
      </c>
      <c r="M7" s="137"/>
      <c r="N7" s="3"/>
      <c r="O7" s="3"/>
      <c r="P7" s="3"/>
      <c r="Q7" s="3"/>
      <c r="R7" s="3"/>
      <c r="S7" s="3"/>
      <c r="T7" s="3"/>
      <c r="U7" s="3"/>
      <c r="V7" s="3" t="s">
        <v>127</v>
      </c>
      <c r="W7" s="324">
        <f t="shared" si="2"/>
        <v>12.699382753773758</v>
      </c>
    </row>
    <row r="8" spans="1:23" ht="19.5" customHeight="1">
      <c r="A8" s="137" t="s">
        <v>9</v>
      </c>
      <c r="B8" s="7">
        <v>2484</v>
      </c>
      <c r="C8" s="101">
        <v>2366</v>
      </c>
      <c r="D8" s="842">
        <v>1823</v>
      </c>
      <c r="E8" s="842">
        <v>2534</v>
      </c>
      <c r="F8" s="842">
        <v>3965</v>
      </c>
      <c r="G8" s="842">
        <v>3140</v>
      </c>
      <c r="H8" s="842">
        <v>2078</v>
      </c>
      <c r="I8" s="373">
        <f>H8/$H$5*100</f>
        <v>12.699382753773758</v>
      </c>
      <c r="J8" s="374">
        <f t="shared" si="1"/>
        <v>-33.821656050955411</v>
      </c>
      <c r="K8" s="98" t="s">
        <v>10</v>
      </c>
      <c r="M8" s="137"/>
      <c r="N8" s="3"/>
      <c r="O8" s="3"/>
      <c r="P8" s="3"/>
      <c r="Q8" s="3"/>
      <c r="R8" s="3"/>
      <c r="S8" s="3"/>
      <c r="T8" s="3"/>
      <c r="U8" s="3"/>
      <c r="V8" s="3" t="s">
        <v>139</v>
      </c>
      <c r="W8" s="324">
        <f t="shared" si="2"/>
        <v>10.493185846116237</v>
      </c>
    </row>
    <row r="9" spans="1:23" ht="19.5" customHeight="1">
      <c r="A9" s="137" t="s">
        <v>139</v>
      </c>
      <c r="B9" s="7">
        <v>1520</v>
      </c>
      <c r="C9" s="101">
        <v>2139</v>
      </c>
      <c r="D9" s="843">
        <v>1480</v>
      </c>
      <c r="E9" s="843">
        <v>1508</v>
      </c>
      <c r="F9" s="843">
        <v>1983</v>
      </c>
      <c r="G9" s="843">
        <v>2014</v>
      </c>
      <c r="H9" s="843">
        <v>1717</v>
      </c>
      <c r="I9" s="373">
        <f t="shared" ref="I9:I17" si="3">H9/$H$5*100</f>
        <v>10.493185846116237</v>
      </c>
      <c r="J9" s="374">
        <f t="shared" si="1"/>
        <v>-14.746772591857003</v>
      </c>
      <c r="K9" s="98" t="s">
        <v>12</v>
      </c>
      <c r="M9" s="137"/>
      <c r="N9" s="3"/>
      <c r="O9" s="3"/>
      <c r="P9" s="3"/>
      <c r="Q9" s="3"/>
      <c r="R9" s="3"/>
      <c r="S9" s="3"/>
      <c r="T9" s="3"/>
      <c r="U9" s="3"/>
      <c r="V9" s="3" t="s">
        <v>13</v>
      </c>
      <c r="W9" s="324">
        <f t="shared" si="2"/>
        <v>5.7141111043207236</v>
      </c>
    </row>
    <row r="10" spans="1:23" ht="19.5" customHeight="1">
      <c r="A10" s="137" t="s">
        <v>13</v>
      </c>
      <c r="B10" s="7">
        <v>1602</v>
      </c>
      <c r="C10" s="101">
        <v>2000</v>
      </c>
      <c r="D10" s="842">
        <v>1320</v>
      </c>
      <c r="E10" s="842">
        <v>1264</v>
      </c>
      <c r="F10" s="842">
        <v>1289</v>
      </c>
      <c r="G10" s="842">
        <v>1062</v>
      </c>
      <c r="H10" s="842">
        <v>935</v>
      </c>
      <c r="I10" s="373">
        <f t="shared" si="3"/>
        <v>5.7141111043207236</v>
      </c>
      <c r="J10" s="374">
        <f t="shared" si="1"/>
        <v>-11.958568738229754</v>
      </c>
      <c r="K10" s="98" t="s">
        <v>14</v>
      </c>
      <c r="M10" s="137"/>
      <c r="N10" s="3"/>
      <c r="O10" s="3"/>
      <c r="P10" s="3"/>
      <c r="Q10" s="3"/>
      <c r="R10" s="3"/>
      <c r="S10" s="3"/>
      <c r="T10" s="3"/>
      <c r="U10" s="3"/>
      <c r="V10" s="3" t="s">
        <v>17</v>
      </c>
      <c r="W10" s="324">
        <f t="shared" si="2"/>
        <v>3.2634602456762209</v>
      </c>
    </row>
    <row r="11" spans="1:23" ht="19.5" customHeight="1">
      <c r="A11" s="137" t="s">
        <v>15</v>
      </c>
      <c r="B11" s="7">
        <v>648</v>
      </c>
      <c r="C11" s="101">
        <v>902</v>
      </c>
      <c r="D11" s="842">
        <v>775</v>
      </c>
      <c r="E11" s="842">
        <v>880</v>
      </c>
      <c r="F11" s="842">
        <v>728</v>
      </c>
      <c r="G11" s="842">
        <v>520</v>
      </c>
      <c r="H11" s="842">
        <v>534</v>
      </c>
      <c r="I11" s="373">
        <f>H11/$H$5*100</f>
        <v>3.2634602456762209</v>
      </c>
      <c r="J11" s="374">
        <f t="shared" si="1"/>
        <v>2.6923076923076925</v>
      </c>
      <c r="K11" s="98" t="s">
        <v>16</v>
      </c>
      <c r="M11" s="137"/>
      <c r="N11" s="3"/>
      <c r="O11" s="3"/>
      <c r="P11" s="3"/>
      <c r="Q11" s="3"/>
      <c r="R11" s="3"/>
      <c r="S11" s="3"/>
      <c r="T11" s="3"/>
      <c r="U11" s="3"/>
      <c r="V11" s="3" t="s">
        <v>15</v>
      </c>
      <c r="W11" s="324">
        <f t="shared" si="2"/>
        <v>3.3245737334229664</v>
      </c>
    </row>
    <row r="12" spans="1:23" ht="19.5" customHeight="1">
      <c r="A12" s="137" t="s">
        <v>17</v>
      </c>
      <c r="B12" s="7">
        <v>596</v>
      </c>
      <c r="C12" s="101">
        <v>589</v>
      </c>
      <c r="D12" s="842">
        <v>718</v>
      </c>
      <c r="E12" s="842">
        <v>972</v>
      </c>
      <c r="F12" s="842">
        <v>729</v>
      </c>
      <c r="G12" s="842">
        <v>620</v>
      </c>
      <c r="H12" s="842">
        <v>544</v>
      </c>
      <c r="I12" s="373">
        <f t="shared" si="3"/>
        <v>3.3245737334229664</v>
      </c>
      <c r="J12" s="374">
        <f t="shared" si="1"/>
        <v>-12.258064516129032</v>
      </c>
      <c r="K12" s="98" t="s">
        <v>18</v>
      </c>
      <c r="M12" s="137"/>
      <c r="N12" s="3"/>
      <c r="O12" s="3"/>
      <c r="P12" s="3"/>
      <c r="Q12" s="3"/>
      <c r="R12" s="3"/>
      <c r="S12" s="3"/>
      <c r="T12" s="3"/>
      <c r="U12" s="3"/>
      <c r="V12" s="3" t="s">
        <v>19</v>
      </c>
      <c r="W12" s="324">
        <f t="shared" si="2"/>
        <v>3.2451261993521969</v>
      </c>
    </row>
    <row r="13" spans="1:23" ht="19.5" customHeight="1">
      <c r="A13" s="137" t="s">
        <v>19</v>
      </c>
      <c r="B13" s="7">
        <v>455</v>
      </c>
      <c r="C13" s="101">
        <v>563</v>
      </c>
      <c r="D13" s="842">
        <v>642</v>
      </c>
      <c r="E13" s="842">
        <v>577</v>
      </c>
      <c r="F13" s="842">
        <v>573</v>
      </c>
      <c r="G13" s="842">
        <v>475</v>
      </c>
      <c r="H13" s="842">
        <v>531</v>
      </c>
      <c r="I13" s="373">
        <f t="shared" si="3"/>
        <v>3.2451261993521969</v>
      </c>
      <c r="J13" s="374">
        <f t="shared" si="1"/>
        <v>11.789473684210526</v>
      </c>
      <c r="K13" s="98" t="s">
        <v>20</v>
      </c>
      <c r="M13" s="137"/>
      <c r="N13" s="3"/>
      <c r="O13" s="3"/>
      <c r="P13" s="3"/>
      <c r="Q13" s="3"/>
      <c r="R13" s="3"/>
      <c r="S13" s="3"/>
      <c r="T13" s="3"/>
      <c r="U13" s="3"/>
      <c r="V13" s="3" t="s">
        <v>21</v>
      </c>
      <c r="W13" s="324">
        <f t="shared" si="2"/>
        <v>4.5285094420338563</v>
      </c>
    </row>
    <row r="14" spans="1:23" ht="19.5" customHeight="1">
      <c r="A14" s="137" t="s">
        <v>21</v>
      </c>
      <c r="B14" s="7">
        <v>313</v>
      </c>
      <c r="C14" s="101">
        <v>391</v>
      </c>
      <c r="D14" s="842">
        <v>364</v>
      </c>
      <c r="E14" s="842">
        <v>311</v>
      </c>
      <c r="F14" s="842">
        <v>391</v>
      </c>
      <c r="G14" s="842">
        <v>377</v>
      </c>
      <c r="H14" s="842">
        <v>741</v>
      </c>
      <c r="I14" s="373">
        <f t="shared" si="3"/>
        <v>4.5285094420338563</v>
      </c>
      <c r="J14" s="374">
        <f t="shared" si="1"/>
        <v>96.551724137931032</v>
      </c>
      <c r="K14" s="98" t="s">
        <v>22</v>
      </c>
      <c r="M14" s="137"/>
      <c r="N14" s="3"/>
      <c r="O14" s="3"/>
      <c r="P14" s="3"/>
      <c r="Q14" s="3"/>
      <c r="R14" s="3"/>
      <c r="S14" s="3"/>
      <c r="T14" s="3"/>
      <c r="U14" s="3"/>
      <c r="V14" s="3" t="s">
        <v>23</v>
      </c>
      <c r="W14" s="324">
        <f t="shared" si="2"/>
        <v>2.0656358858400048</v>
      </c>
    </row>
    <row r="15" spans="1:23" ht="19.5" customHeight="1">
      <c r="A15" s="137" t="s">
        <v>23</v>
      </c>
      <c r="B15" s="7">
        <v>172</v>
      </c>
      <c r="C15" s="101">
        <v>156</v>
      </c>
      <c r="D15" s="842">
        <v>146</v>
      </c>
      <c r="E15" s="842">
        <v>179</v>
      </c>
      <c r="F15" s="842">
        <v>207</v>
      </c>
      <c r="G15" s="842">
        <v>186</v>
      </c>
      <c r="H15" s="842">
        <v>338</v>
      </c>
      <c r="I15" s="373">
        <f t="shared" si="3"/>
        <v>2.0656358858400048</v>
      </c>
      <c r="J15" s="374">
        <f t="shared" si="1"/>
        <v>81.72043010752688</v>
      </c>
      <c r="K15" s="98" t="s">
        <v>24</v>
      </c>
      <c r="M15" s="137"/>
      <c r="N15" s="3"/>
      <c r="O15" s="3"/>
      <c r="P15" s="3"/>
      <c r="Q15" s="3"/>
      <c r="R15" s="3"/>
      <c r="S15" s="3"/>
      <c r="T15" s="3"/>
      <c r="U15" s="3"/>
      <c r="V15" s="3" t="s">
        <v>281</v>
      </c>
      <c r="W15" s="324">
        <f t="shared" si="2"/>
        <v>0.55613273849538591</v>
      </c>
    </row>
    <row r="16" spans="1:23" ht="19.5" customHeight="1">
      <c r="A16" s="137" t="s">
        <v>281</v>
      </c>
      <c r="B16" s="7">
        <v>98</v>
      </c>
      <c r="C16" s="101">
        <v>133</v>
      </c>
      <c r="D16" s="842">
        <v>136</v>
      </c>
      <c r="E16" s="842">
        <v>126</v>
      </c>
      <c r="F16" s="842">
        <v>97</v>
      </c>
      <c r="G16" s="842">
        <v>77</v>
      </c>
      <c r="H16" s="842">
        <v>91</v>
      </c>
      <c r="I16" s="373">
        <f>H16/$H$5*100</f>
        <v>0.55613273849538591</v>
      </c>
      <c r="J16" s="374">
        <f t="shared" si="1"/>
        <v>18.181818181818183</v>
      </c>
      <c r="K16" s="98" t="s">
        <v>282</v>
      </c>
      <c r="M16" s="137"/>
      <c r="N16" s="3"/>
      <c r="O16" s="3"/>
      <c r="P16" s="3"/>
      <c r="Q16" s="3"/>
      <c r="R16" s="3"/>
      <c r="S16" s="3"/>
      <c r="T16" s="3"/>
      <c r="U16" s="3"/>
      <c r="V16" s="3" t="s">
        <v>27</v>
      </c>
      <c r="W16" s="324">
        <f t="shared" si="2"/>
        <v>17.227892195807616</v>
      </c>
    </row>
    <row r="17" spans="1:28" ht="19.5" customHeight="1">
      <c r="A17" s="138" t="s">
        <v>27</v>
      </c>
      <c r="B17" s="10">
        <v>1763</v>
      </c>
      <c r="C17" s="102">
        <v>2399</v>
      </c>
      <c r="D17" s="297">
        <v>3414</v>
      </c>
      <c r="E17" s="297">
        <v>3616</v>
      </c>
      <c r="F17" s="297">
        <v>3310</v>
      </c>
      <c r="G17" s="297">
        <v>2505</v>
      </c>
      <c r="H17" s="297">
        <v>2819</v>
      </c>
      <c r="I17" s="375">
        <f t="shared" si="3"/>
        <v>17.227892195807616</v>
      </c>
      <c r="J17" s="376">
        <f t="shared" si="1"/>
        <v>12.53493013972056</v>
      </c>
      <c r="K17" s="99" t="s">
        <v>28</v>
      </c>
      <c r="M17" s="137"/>
      <c r="N17" s="3"/>
      <c r="O17" s="3"/>
      <c r="P17" s="3"/>
      <c r="Q17" s="3"/>
      <c r="R17" s="3"/>
      <c r="S17" s="3"/>
      <c r="T17" s="3"/>
      <c r="U17" s="3"/>
    </row>
    <row r="18" spans="1:28" s="105" customFormat="1">
      <c r="A18" s="298" t="s">
        <v>29</v>
      </c>
      <c r="B18" s="104"/>
      <c r="C18" s="104"/>
      <c r="D18" s="104"/>
      <c r="E18" s="104"/>
      <c r="F18" s="104"/>
      <c r="G18" s="104"/>
      <c r="H18" s="104"/>
      <c r="I18" s="104"/>
      <c r="J18" s="104"/>
      <c r="K18" s="299" t="s">
        <v>78</v>
      </c>
      <c r="M18" s="471"/>
      <c r="N18" s="106"/>
      <c r="O18" s="106"/>
      <c r="P18" s="106"/>
      <c r="Q18" s="106"/>
      <c r="R18" s="106"/>
      <c r="S18" s="106"/>
      <c r="T18" s="106"/>
      <c r="U18" s="106"/>
      <c r="V18" s="106"/>
    </row>
    <row r="19" spans="1:28" s="105" customFormat="1">
      <c r="A19" s="411"/>
      <c r="B19" s="104"/>
      <c r="C19" s="104"/>
      <c r="D19" s="104"/>
      <c r="E19" s="104"/>
      <c r="F19" s="104"/>
      <c r="G19" s="104"/>
      <c r="H19" s="104"/>
      <c r="I19" s="104"/>
      <c r="J19" s="104"/>
      <c r="K19" s="412"/>
      <c r="M19" s="471"/>
      <c r="N19" s="106"/>
      <c r="O19" s="106"/>
      <c r="P19" s="106"/>
      <c r="Q19" s="106"/>
      <c r="R19" s="106"/>
      <c r="S19" s="106"/>
      <c r="T19" s="106"/>
      <c r="U19" s="106"/>
      <c r="V19" s="106"/>
    </row>
    <row r="20" spans="1:28">
      <c r="M20" s="70"/>
    </row>
    <row r="21" spans="1:28">
      <c r="W21" s="2">
        <v>2010</v>
      </c>
      <c r="X21" s="2">
        <v>2011</v>
      </c>
      <c r="Y21" s="2">
        <v>2012</v>
      </c>
      <c r="Z21" s="2">
        <v>2013</v>
      </c>
      <c r="AA21" s="2">
        <v>2014</v>
      </c>
      <c r="AB21" s="2">
        <v>2015</v>
      </c>
    </row>
    <row r="22" spans="1:28">
      <c r="N22" s="3"/>
      <c r="O22" s="3"/>
      <c r="P22" s="3"/>
      <c r="Q22" s="3"/>
      <c r="R22" s="3"/>
      <c r="S22" s="3"/>
      <c r="T22" s="3"/>
      <c r="U22" s="3"/>
      <c r="V22" s="137" t="s">
        <v>5</v>
      </c>
      <c r="W22" s="426">
        <v>-0.14973795857249811</v>
      </c>
      <c r="X22" s="426">
        <v>18.320419895026244</v>
      </c>
      <c r="Y22" s="426">
        <v>38.804393747359526</v>
      </c>
      <c r="Z22" s="426">
        <v>1.7044589864556383</v>
      </c>
      <c r="AA22" s="426">
        <v>-23.986233727367949</v>
      </c>
      <c r="AB22" s="426">
        <f>((H6-G6)/G6)*100</f>
        <v>-21.456692913385826</v>
      </c>
    </row>
    <row r="23" spans="1:28">
      <c r="N23" s="3"/>
      <c r="O23" s="3"/>
      <c r="P23" s="3"/>
      <c r="Q23" s="3"/>
      <c r="R23" s="3"/>
      <c r="S23" s="3"/>
      <c r="T23" s="3"/>
      <c r="U23" s="3"/>
      <c r="V23" s="137" t="s">
        <v>127</v>
      </c>
      <c r="W23" s="426">
        <v>-19.349485562562229</v>
      </c>
      <c r="X23" s="426">
        <v>-7.3662551440329223</v>
      </c>
      <c r="Y23" s="426">
        <v>-12.305641936916926</v>
      </c>
      <c r="Z23" s="426">
        <v>-2.2289766970618032</v>
      </c>
      <c r="AA23" s="426">
        <v>10.725388601036268</v>
      </c>
      <c r="AB23" s="426">
        <f>((H7-G7)/G7)*100</f>
        <v>-4.3051006083294343</v>
      </c>
    </row>
    <row r="24" spans="1:28">
      <c r="N24" s="3"/>
      <c r="O24" s="3"/>
      <c r="P24" s="3"/>
      <c r="Q24" s="3"/>
      <c r="R24" s="3"/>
      <c r="S24" s="3"/>
      <c r="T24" s="3"/>
      <c r="U24" s="3"/>
      <c r="V24" s="137" t="s">
        <v>9</v>
      </c>
      <c r="W24" s="426">
        <v>-31.65680473372781</v>
      </c>
      <c r="X24" s="426">
        <v>12.739641311069882</v>
      </c>
      <c r="Y24" s="426">
        <v>39.001645639056498</v>
      </c>
      <c r="Z24" s="426">
        <v>56.471981057616418</v>
      </c>
      <c r="AA24" s="426">
        <v>-20.807061790668349</v>
      </c>
      <c r="AB24" s="426">
        <f>((H8-G8)/G8)*100</f>
        <v>-33.821656050955411</v>
      </c>
    </row>
    <row r="25" spans="1:28">
      <c r="N25" s="3"/>
      <c r="O25" s="3"/>
      <c r="P25" s="3"/>
      <c r="Q25" s="3"/>
      <c r="R25" s="3"/>
      <c r="S25" s="3"/>
      <c r="T25" s="3"/>
      <c r="U25" s="3"/>
      <c r="V25" s="137" t="s">
        <v>139</v>
      </c>
      <c r="W25" s="426">
        <v>-19.91584852734923</v>
      </c>
      <c r="X25" s="426">
        <v>-13.601868067717454</v>
      </c>
      <c r="Y25" s="426">
        <v>1.8918918918918921</v>
      </c>
      <c r="Z25" s="426">
        <v>31.49867374005305</v>
      </c>
      <c r="AA25" s="426">
        <v>1.5632879475542107</v>
      </c>
      <c r="AB25" s="426">
        <f>((H9-G9)/G9)*100</f>
        <v>-14.746772591857003</v>
      </c>
    </row>
    <row r="26" spans="1:28" ht="17.25">
      <c r="A26" s="6"/>
      <c r="B26" s="7"/>
      <c r="C26" s="7"/>
      <c r="D26" s="7"/>
      <c r="E26" s="7"/>
      <c r="F26" s="8"/>
      <c r="G26" s="8"/>
      <c r="H26" s="8"/>
      <c r="I26" s="8"/>
      <c r="J26" s="8"/>
      <c r="K26" s="9"/>
      <c r="N26" s="3"/>
      <c r="O26" s="3"/>
      <c r="P26" s="3"/>
      <c r="Q26" s="3"/>
      <c r="R26" s="3"/>
      <c r="S26" s="3"/>
      <c r="T26" s="3"/>
      <c r="U26" s="3"/>
      <c r="V26" s="137" t="s">
        <v>13</v>
      </c>
      <c r="W26" s="426">
        <v>-23.7</v>
      </c>
      <c r="X26" s="426">
        <v>-13.499344692005241</v>
      </c>
      <c r="Y26" s="426">
        <v>-4.2424242424242431</v>
      </c>
      <c r="Z26" s="426">
        <v>1.9778481012658229</v>
      </c>
      <c r="AA26" s="426">
        <v>-17.610550814584951</v>
      </c>
      <c r="AB26" s="426">
        <f>((H10-G10)/G10)*100</f>
        <v>-11.958568738229754</v>
      </c>
    </row>
    <row r="27" spans="1:28">
      <c r="N27" s="3"/>
      <c r="O27" s="3"/>
      <c r="P27" s="3"/>
      <c r="Q27" s="3"/>
      <c r="R27" s="3"/>
      <c r="S27" s="3"/>
      <c r="T27" s="3"/>
      <c r="U27" s="3"/>
      <c r="V27" s="3"/>
    </row>
    <row r="28" spans="1:28">
      <c r="N28" s="3"/>
      <c r="O28" s="3"/>
      <c r="P28" s="3"/>
      <c r="Q28" s="3"/>
      <c r="R28" s="3"/>
      <c r="S28" s="3"/>
      <c r="T28" s="3"/>
      <c r="U28" s="3"/>
      <c r="V28" s="3"/>
    </row>
  </sheetData>
  <sortState ref="V5:W16">
    <sortCondition descending="1" ref="W5"/>
  </sortState>
  <mergeCells count="11">
    <mergeCell ref="A1:K1"/>
    <mergeCell ref="A2:K2"/>
    <mergeCell ref="A3:A4"/>
    <mergeCell ref="B3:B4"/>
    <mergeCell ref="C3:C4"/>
    <mergeCell ref="D3:D4"/>
    <mergeCell ref="E3:E4"/>
    <mergeCell ref="K3:K4"/>
    <mergeCell ref="F3:F4"/>
    <mergeCell ref="G3:G4"/>
    <mergeCell ref="H3:H4"/>
  </mergeCells>
  <pageMargins left="0.17" right="0.16" top="0.25" bottom="0.28999999999999998" header="0.17" footer="0.3"/>
  <pageSetup paperSize="9" scale="87" orientation="landscape" r:id="rId1"/>
  <rowBreaks count="1" manualBreakCount="1">
    <brk id="19" max="11" man="1"/>
  </rowBreaks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41"/>
  <sheetViews>
    <sheetView view="pageBreakPreview" zoomScaleNormal="100" zoomScaleSheetLayoutView="100" workbookViewId="0">
      <selection activeCell="D8" sqref="D8"/>
    </sheetView>
  </sheetViews>
  <sheetFormatPr defaultColWidth="9.140625" defaultRowHeight="15"/>
  <cols>
    <col min="1" max="1" width="26.7109375" style="2" customWidth="1"/>
    <col min="2" max="7" width="9.140625" style="2" customWidth="1"/>
    <col min="8" max="9" width="9.42578125" style="2" customWidth="1"/>
    <col min="10" max="10" width="9.28515625" style="2" customWidth="1"/>
    <col min="11" max="11" width="35.140625" style="2" customWidth="1"/>
    <col min="12" max="12" width="10.7109375" style="70" customWidth="1"/>
    <col min="13" max="41" width="9.140625" style="70"/>
    <col min="42" max="16384" width="9.140625" style="2"/>
  </cols>
  <sheetData>
    <row r="1" spans="1:41" ht="21">
      <c r="A1" s="874" t="s">
        <v>323</v>
      </c>
      <c r="B1" s="875"/>
      <c r="C1" s="875"/>
      <c r="D1" s="875"/>
      <c r="E1" s="875"/>
      <c r="F1" s="875"/>
      <c r="G1" s="875"/>
      <c r="H1" s="875"/>
      <c r="I1" s="875"/>
      <c r="J1" s="875"/>
      <c r="K1" s="875"/>
    </row>
    <row r="2" spans="1:41" ht="21.75" customHeight="1">
      <c r="A2" s="865" t="s">
        <v>324</v>
      </c>
      <c r="B2" s="865"/>
      <c r="C2" s="865"/>
      <c r="D2" s="865"/>
      <c r="E2" s="865"/>
      <c r="F2" s="865"/>
      <c r="G2" s="865"/>
      <c r="H2" s="865"/>
      <c r="I2" s="865"/>
      <c r="J2" s="865"/>
      <c r="K2" s="865"/>
    </row>
    <row r="3" spans="1:41" ht="30.75" customHeight="1">
      <c r="A3" s="866" t="s">
        <v>194</v>
      </c>
      <c r="B3" s="880">
        <v>2014</v>
      </c>
      <c r="C3" s="880"/>
      <c r="D3" s="881"/>
      <c r="E3" s="884">
        <v>2015</v>
      </c>
      <c r="F3" s="880"/>
      <c r="G3" s="881"/>
      <c r="H3" s="886" t="s">
        <v>286</v>
      </c>
      <c r="I3" s="886"/>
      <c r="J3" s="886"/>
      <c r="K3" s="877" t="s">
        <v>4</v>
      </c>
    </row>
    <row r="4" spans="1:41" ht="16.5" customHeight="1">
      <c r="A4" s="876"/>
      <c r="B4" s="882"/>
      <c r="C4" s="882"/>
      <c r="D4" s="883"/>
      <c r="E4" s="885"/>
      <c r="F4" s="882"/>
      <c r="G4" s="883"/>
      <c r="H4" s="887" t="s">
        <v>292</v>
      </c>
      <c r="I4" s="887"/>
      <c r="J4" s="887"/>
      <c r="K4" s="878"/>
      <c r="N4" s="273"/>
      <c r="O4" s="273"/>
      <c r="P4" s="273"/>
      <c r="Q4" s="273"/>
      <c r="R4" s="273"/>
      <c r="S4" s="273"/>
    </row>
    <row r="5" spans="1:41" ht="13.5" customHeight="1">
      <c r="A5" s="876"/>
      <c r="B5" s="221" t="s">
        <v>276</v>
      </c>
      <c r="C5" s="221" t="s">
        <v>115</v>
      </c>
      <c r="D5" s="222" t="s">
        <v>145</v>
      </c>
      <c r="E5" s="418" t="s">
        <v>276</v>
      </c>
      <c r="F5" s="221" t="s">
        <v>115</v>
      </c>
      <c r="G5" s="222" t="s">
        <v>145</v>
      </c>
      <c r="H5" s="221" t="s">
        <v>276</v>
      </c>
      <c r="I5" s="221" t="s">
        <v>115</v>
      </c>
      <c r="J5" s="221" t="s">
        <v>145</v>
      </c>
      <c r="K5" s="878"/>
      <c r="N5" s="273"/>
      <c r="O5" s="273"/>
      <c r="P5" s="273"/>
      <c r="Q5" s="273"/>
      <c r="R5" s="273"/>
      <c r="S5" s="273"/>
    </row>
    <row r="6" spans="1:41" ht="13.5" customHeight="1">
      <c r="A6" s="867"/>
      <c r="B6" s="465" t="s">
        <v>126</v>
      </c>
      <c r="C6" s="465" t="s">
        <v>87</v>
      </c>
      <c r="D6" s="223" t="s">
        <v>124</v>
      </c>
      <c r="E6" s="224" t="s">
        <v>126</v>
      </c>
      <c r="F6" s="465" t="s">
        <v>87</v>
      </c>
      <c r="G6" s="223" t="s">
        <v>124</v>
      </c>
      <c r="H6" s="465" t="s">
        <v>126</v>
      </c>
      <c r="I6" s="464" t="s">
        <v>87</v>
      </c>
      <c r="J6" s="464" t="s">
        <v>124</v>
      </c>
      <c r="K6" s="879"/>
      <c r="N6" s="273"/>
      <c r="O6" s="273"/>
      <c r="P6" s="273"/>
      <c r="Q6" s="273"/>
      <c r="R6" s="273"/>
      <c r="S6" s="273"/>
    </row>
    <row r="7" spans="1:41" s="95" customFormat="1" ht="19.5" customHeight="1">
      <c r="A7" s="136" t="s">
        <v>0</v>
      </c>
      <c r="B7" s="302">
        <f>SUM(C7:D7)</f>
        <v>18193</v>
      </c>
      <c r="C7" s="303">
        <f>SUM(C8:C19)</f>
        <v>12660</v>
      </c>
      <c r="D7" s="304">
        <f>SUM(D8:D19)</f>
        <v>5533</v>
      </c>
      <c r="E7" s="305">
        <f>SUM(F7:G7)</f>
        <v>16363</v>
      </c>
      <c r="F7" s="303">
        <v>11289</v>
      </c>
      <c r="G7" s="302">
        <v>5074</v>
      </c>
      <c r="H7" s="413">
        <f t="shared" ref="H7:J7" si="0">(E7-B7)/B7*100</f>
        <v>-10.058813829494859</v>
      </c>
      <c r="I7" s="419">
        <f t="shared" si="0"/>
        <v>-10.829383886255924</v>
      </c>
      <c r="J7" s="419">
        <f t="shared" si="0"/>
        <v>-8.2956804626784741</v>
      </c>
      <c r="K7" s="472" t="s">
        <v>1</v>
      </c>
      <c r="L7" s="474"/>
      <c r="M7" s="452"/>
      <c r="N7" s="451"/>
      <c r="O7" s="451"/>
      <c r="P7" s="452"/>
      <c r="Q7" s="451"/>
      <c r="R7" s="451"/>
      <c r="S7" s="136"/>
      <c r="T7" s="136"/>
      <c r="U7" s="136"/>
      <c r="V7" s="474"/>
      <c r="W7" s="474"/>
      <c r="X7" s="474"/>
      <c r="Y7" s="474"/>
      <c r="Z7" s="474"/>
      <c r="AA7" s="474"/>
      <c r="AB7" s="474"/>
      <c r="AC7" s="474"/>
      <c r="AD7" s="474"/>
      <c r="AE7" s="474"/>
      <c r="AF7" s="474"/>
      <c r="AG7" s="474"/>
      <c r="AH7" s="474"/>
      <c r="AI7" s="474"/>
      <c r="AJ7" s="474"/>
      <c r="AK7" s="474"/>
      <c r="AL7" s="474"/>
      <c r="AM7" s="474"/>
      <c r="AN7" s="474"/>
      <c r="AO7" s="474"/>
    </row>
    <row r="8" spans="1:41" ht="19.5" customHeight="1">
      <c r="A8" s="137" t="s">
        <v>5</v>
      </c>
      <c r="B8" s="303">
        <f>SUM(C8:D8)</f>
        <v>5080</v>
      </c>
      <c r="C8" s="306">
        <v>3662</v>
      </c>
      <c r="D8" s="307">
        <v>1418</v>
      </c>
      <c r="E8" s="308">
        <f>SUM(F8:G8)</f>
        <v>3990</v>
      </c>
      <c r="F8" s="306">
        <v>2844</v>
      </c>
      <c r="G8" s="307">
        <v>1146</v>
      </c>
      <c r="H8" s="414">
        <f>(E8-B8)/B8*100</f>
        <v>-21.456692913385826</v>
      </c>
      <c r="I8" s="415">
        <f t="shared" ref="I8:I30" si="1">(F8-C8)/C8*100</f>
        <v>-22.33752048061169</v>
      </c>
      <c r="J8" s="415">
        <f t="shared" ref="J8:J30" si="2">(G8-D8)/D8*100</f>
        <v>-19.181946403385052</v>
      </c>
      <c r="K8" s="226" t="s">
        <v>6</v>
      </c>
      <c r="L8" s="137"/>
      <c r="M8" s="452"/>
      <c r="N8" s="451"/>
      <c r="O8" s="451"/>
      <c r="P8" s="452"/>
      <c r="Q8" s="451"/>
      <c r="R8" s="451"/>
      <c r="S8" s="136"/>
      <c r="T8" s="136"/>
      <c r="U8" s="136"/>
    </row>
    <row r="9" spans="1:41" ht="19.5" customHeight="1">
      <c r="A9" s="137" t="s">
        <v>195</v>
      </c>
      <c r="B9" s="303">
        <f t="shared" ref="B9:B29" si="3">SUM(C9:D9)</f>
        <v>2137</v>
      </c>
      <c r="C9" s="306">
        <v>1993</v>
      </c>
      <c r="D9" s="307">
        <v>144</v>
      </c>
      <c r="E9" s="308">
        <f t="shared" ref="E9:E30" si="4">SUM(F9:G9)</f>
        <v>2045</v>
      </c>
      <c r="F9" s="306">
        <v>1934</v>
      </c>
      <c r="G9" s="307">
        <v>111</v>
      </c>
      <c r="H9" s="414">
        <f t="shared" ref="H9:H30" si="5">(E9-B9)/B9*100</f>
        <v>-4.3051006083294343</v>
      </c>
      <c r="I9" s="415">
        <f t="shared" si="1"/>
        <v>-2.9603612644254889</v>
      </c>
      <c r="J9" s="415">
        <f t="shared" si="2"/>
        <v>-22.916666666666664</v>
      </c>
      <c r="K9" s="226" t="s">
        <v>196</v>
      </c>
      <c r="L9" s="137"/>
      <c r="M9" s="452"/>
      <c r="N9" s="451"/>
      <c r="O9" s="451"/>
      <c r="P9" s="452"/>
      <c r="Q9" s="451"/>
      <c r="R9" s="451"/>
      <c r="S9" s="136"/>
      <c r="T9" s="136"/>
      <c r="U9" s="136"/>
    </row>
    <row r="10" spans="1:41" ht="19.5" customHeight="1">
      <c r="A10" s="137" t="s">
        <v>9</v>
      </c>
      <c r="B10" s="303">
        <f t="shared" si="3"/>
        <v>3140</v>
      </c>
      <c r="C10" s="306">
        <v>1906</v>
      </c>
      <c r="D10" s="307">
        <v>1234</v>
      </c>
      <c r="E10" s="308">
        <f t="shared" si="4"/>
        <v>2078</v>
      </c>
      <c r="F10" s="306">
        <v>1192</v>
      </c>
      <c r="G10" s="307">
        <v>886</v>
      </c>
      <c r="H10" s="414">
        <f t="shared" si="5"/>
        <v>-33.821656050955411</v>
      </c>
      <c r="I10" s="415">
        <f t="shared" si="1"/>
        <v>-37.460650577124873</v>
      </c>
      <c r="J10" s="415">
        <f t="shared" si="2"/>
        <v>-28.200972447325768</v>
      </c>
      <c r="K10" s="226" t="s">
        <v>10</v>
      </c>
      <c r="L10" s="137"/>
      <c r="M10" s="452"/>
      <c r="N10" s="451"/>
      <c r="O10" s="451"/>
      <c r="P10" s="452"/>
      <c r="Q10" s="451"/>
      <c r="R10" s="451"/>
      <c r="S10" s="136"/>
      <c r="T10" s="136"/>
      <c r="U10" s="136"/>
    </row>
    <row r="11" spans="1:41" ht="19.5" customHeight="1">
      <c r="A11" s="137" t="s">
        <v>11</v>
      </c>
      <c r="B11" s="303">
        <f t="shared" si="3"/>
        <v>2014</v>
      </c>
      <c r="C11" s="306">
        <v>1611</v>
      </c>
      <c r="D11" s="307">
        <v>403</v>
      </c>
      <c r="E11" s="308">
        <f t="shared" si="4"/>
        <v>1717</v>
      </c>
      <c r="F11" s="306">
        <v>1369</v>
      </c>
      <c r="G11" s="307">
        <v>348</v>
      </c>
      <c r="H11" s="414">
        <f t="shared" si="5"/>
        <v>-14.746772591857003</v>
      </c>
      <c r="I11" s="415">
        <f t="shared" si="1"/>
        <v>-15.021725636250777</v>
      </c>
      <c r="J11" s="415">
        <f t="shared" si="2"/>
        <v>-13.647642679900745</v>
      </c>
      <c r="K11" s="226" t="s">
        <v>12</v>
      </c>
      <c r="L11" s="137"/>
      <c r="M11" s="452"/>
      <c r="N11" s="451"/>
      <c r="O11" s="451"/>
      <c r="P11" s="452"/>
      <c r="Q11" s="451"/>
      <c r="R11" s="451"/>
      <c r="S11" s="136"/>
      <c r="T11" s="136"/>
      <c r="U11" s="136"/>
    </row>
    <row r="12" spans="1:41" ht="19.5" customHeight="1">
      <c r="A12" s="137" t="s">
        <v>13</v>
      </c>
      <c r="B12" s="303">
        <f t="shared" si="3"/>
        <v>1062</v>
      </c>
      <c r="C12" s="306">
        <v>494</v>
      </c>
      <c r="D12" s="307">
        <v>568</v>
      </c>
      <c r="E12" s="308">
        <f t="shared" si="4"/>
        <v>935</v>
      </c>
      <c r="F12" s="306">
        <v>406</v>
      </c>
      <c r="G12" s="307">
        <v>529</v>
      </c>
      <c r="H12" s="414">
        <f t="shared" si="5"/>
        <v>-11.958568738229754</v>
      </c>
      <c r="I12" s="415">
        <f t="shared" si="1"/>
        <v>-17.813765182186234</v>
      </c>
      <c r="J12" s="415">
        <f t="shared" si="2"/>
        <v>-6.8661971830985919</v>
      </c>
      <c r="K12" s="226" t="s">
        <v>14</v>
      </c>
      <c r="L12" s="137"/>
      <c r="M12" s="452"/>
      <c r="N12" s="451"/>
      <c r="O12" s="451"/>
      <c r="P12" s="452"/>
      <c r="Q12" s="451"/>
      <c r="R12" s="451"/>
      <c r="S12" s="136"/>
      <c r="T12" s="136"/>
      <c r="U12" s="136"/>
    </row>
    <row r="13" spans="1:41" ht="19.5" customHeight="1">
      <c r="A13" s="137" t="s">
        <v>15</v>
      </c>
      <c r="B13" s="303">
        <f t="shared" si="3"/>
        <v>520</v>
      </c>
      <c r="C13" s="306">
        <v>277</v>
      </c>
      <c r="D13" s="307">
        <v>243</v>
      </c>
      <c r="E13" s="308">
        <f t="shared" si="4"/>
        <v>534</v>
      </c>
      <c r="F13" s="306">
        <v>291</v>
      </c>
      <c r="G13" s="307">
        <v>243</v>
      </c>
      <c r="H13" s="414">
        <f t="shared" si="5"/>
        <v>2.6923076923076925</v>
      </c>
      <c r="I13" s="415">
        <f t="shared" si="1"/>
        <v>5.0541516245487363</v>
      </c>
      <c r="J13" s="415">
        <f t="shared" si="2"/>
        <v>0</v>
      </c>
      <c r="K13" s="226" t="s">
        <v>16</v>
      </c>
      <c r="L13" s="137"/>
      <c r="M13" s="452"/>
      <c r="N13" s="451"/>
      <c r="O13" s="451"/>
      <c r="P13" s="452"/>
      <c r="Q13" s="451"/>
      <c r="R13" s="451"/>
      <c r="S13" s="136"/>
      <c r="T13" s="136"/>
      <c r="U13" s="136"/>
    </row>
    <row r="14" spans="1:41" ht="19.5" customHeight="1">
      <c r="A14" s="137" t="s">
        <v>17</v>
      </c>
      <c r="B14" s="303">
        <f t="shared" si="3"/>
        <v>620</v>
      </c>
      <c r="C14" s="306">
        <v>561</v>
      </c>
      <c r="D14" s="307">
        <v>59</v>
      </c>
      <c r="E14" s="308">
        <f t="shared" si="4"/>
        <v>544</v>
      </c>
      <c r="F14" s="306">
        <v>495</v>
      </c>
      <c r="G14" s="307">
        <v>49</v>
      </c>
      <c r="H14" s="414">
        <f t="shared" si="5"/>
        <v>-12.258064516129032</v>
      </c>
      <c r="I14" s="415">
        <f t="shared" si="1"/>
        <v>-11.76470588235294</v>
      </c>
      <c r="J14" s="415">
        <f t="shared" si="2"/>
        <v>-16.949152542372879</v>
      </c>
      <c r="K14" s="226" t="s">
        <v>18</v>
      </c>
      <c r="L14" s="137"/>
      <c r="M14" s="452"/>
      <c r="N14" s="451"/>
      <c r="O14" s="451"/>
      <c r="P14" s="452"/>
      <c r="Q14" s="451"/>
      <c r="R14" s="451"/>
      <c r="S14" s="136"/>
      <c r="T14" s="136"/>
      <c r="U14" s="136"/>
    </row>
    <row r="15" spans="1:41" ht="19.5" customHeight="1">
      <c r="A15" s="137" t="s">
        <v>19</v>
      </c>
      <c r="B15" s="303">
        <f t="shared" si="3"/>
        <v>475</v>
      </c>
      <c r="C15" s="306">
        <v>136</v>
      </c>
      <c r="D15" s="307">
        <v>339</v>
      </c>
      <c r="E15" s="308">
        <f t="shared" si="4"/>
        <v>531</v>
      </c>
      <c r="F15" s="306">
        <v>147</v>
      </c>
      <c r="G15" s="307">
        <v>384</v>
      </c>
      <c r="H15" s="414">
        <f t="shared" si="5"/>
        <v>11.789473684210526</v>
      </c>
      <c r="I15" s="415">
        <f t="shared" si="1"/>
        <v>8.0882352941176467</v>
      </c>
      <c r="J15" s="415">
        <f t="shared" si="2"/>
        <v>13.274336283185843</v>
      </c>
      <c r="K15" s="226" t="s">
        <v>20</v>
      </c>
      <c r="L15" s="137"/>
      <c r="M15" s="452"/>
      <c r="N15" s="451"/>
      <c r="O15" s="451"/>
      <c r="P15" s="452"/>
      <c r="Q15" s="451"/>
      <c r="R15" s="451"/>
      <c r="S15" s="136"/>
      <c r="T15" s="136"/>
      <c r="U15" s="136"/>
    </row>
    <row r="16" spans="1:41" ht="19.5" customHeight="1">
      <c r="A16" s="137" t="s">
        <v>21</v>
      </c>
      <c r="B16" s="303">
        <f t="shared" si="3"/>
        <v>377</v>
      </c>
      <c r="C16" s="306">
        <v>288</v>
      </c>
      <c r="D16" s="307">
        <v>89</v>
      </c>
      <c r="E16" s="308">
        <f t="shared" si="4"/>
        <v>741</v>
      </c>
      <c r="F16" s="306">
        <v>612</v>
      </c>
      <c r="G16" s="307">
        <v>129</v>
      </c>
      <c r="H16" s="414">
        <f t="shared" si="5"/>
        <v>96.551724137931032</v>
      </c>
      <c r="I16" s="415">
        <f t="shared" si="1"/>
        <v>112.5</v>
      </c>
      <c r="J16" s="415">
        <f t="shared" si="2"/>
        <v>44.943820224719097</v>
      </c>
      <c r="K16" s="226" t="s">
        <v>22</v>
      </c>
      <c r="L16" s="137"/>
      <c r="M16" s="452"/>
      <c r="N16" s="451"/>
      <c r="O16" s="451"/>
      <c r="P16" s="452"/>
      <c r="Q16" s="451"/>
      <c r="R16" s="451"/>
      <c r="S16" s="136"/>
      <c r="T16" s="136"/>
      <c r="U16" s="136"/>
    </row>
    <row r="17" spans="1:21" ht="19.5" customHeight="1">
      <c r="A17" s="137" t="s">
        <v>23</v>
      </c>
      <c r="B17" s="303">
        <f t="shared" si="3"/>
        <v>186</v>
      </c>
      <c r="C17" s="306">
        <v>101</v>
      </c>
      <c r="D17" s="307">
        <v>85</v>
      </c>
      <c r="E17" s="308">
        <f t="shared" si="4"/>
        <v>338</v>
      </c>
      <c r="F17" s="306">
        <v>139</v>
      </c>
      <c r="G17" s="307">
        <v>199</v>
      </c>
      <c r="H17" s="414">
        <f t="shared" si="5"/>
        <v>81.72043010752688</v>
      </c>
      <c r="I17" s="415">
        <f t="shared" si="1"/>
        <v>37.623762376237622</v>
      </c>
      <c r="J17" s="415">
        <f t="shared" si="2"/>
        <v>134.11764705882351</v>
      </c>
      <c r="K17" s="226" t="s">
        <v>24</v>
      </c>
      <c r="L17" s="137"/>
      <c r="M17" s="452"/>
      <c r="N17" s="451"/>
      <c r="O17" s="451"/>
      <c r="P17" s="452"/>
      <c r="Q17" s="451"/>
      <c r="R17" s="451"/>
      <c r="S17" s="136"/>
      <c r="T17" s="136"/>
      <c r="U17" s="136"/>
    </row>
    <row r="18" spans="1:21" ht="19.5" customHeight="1">
      <c r="A18" s="137" t="s">
        <v>281</v>
      </c>
      <c r="B18" s="303">
        <f t="shared" si="3"/>
        <v>77</v>
      </c>
      <c r="C18" s="306">
        <v>65</v>
      </c>
      <c r="D18" s="307">
        <v>12</v>
      </c>
      <c r="E18" s="308">
        <f t="shared" si="4"/>
        <v>91</v>
      </c>
      <c r="F18" s="306">
        <v>79</v>
      </c>
      <c r="G18" s="307">
        <v>12</v>
      </c>
      <c r="H18" s="414">
        <f t="shared" si="5"/>
        <v>18.181818181818183</v>
      </c>
      <c r="I18" s="415">
        <f t="shared" si="1"/>
        <v>21.53846153846154</v>
      </c>
      <c r="J18" s="415">
        <f t="shared" si="2"/>
        <v>0</v>
      </c>
      <c r="K18" s="98" t="s">
        <v>282</v>
      </c>
      <c r="L18" s="137"/>
      <c r="M18" s="452"/>
      <c r="N18" s="451"/>
      <c r="O18" s="451"/>
      <c r="P18" s="452"/>
      <c r="Q18" s="451"/>
      <c r="R18" s="451"/>
      <c r="S18" s="136"/>
      <c r="T18" s="136"/>
      <c r="U18" s="136"/>
    </row>
    <row r="19" spans="1:21" ht="19.5" customHeight="1">
      <c r="A19" s="137" t="s">
        <v>27</v>
      </c>
      <c r="B19" s="303">
        <f t="shared" si="3"/>
        <v>2505</v>
      </c>
      <c r="C19" s="306">
        <f>SUM(C20:C30)</f>
        <v>1566</v>
      </c>
      <c r="D19" s="307">
        <f>SUM(D20:D30)</f>
        <v>939</v>
      </c>
      <c r="E19" s="308">
        <f t="shared" si="4"/>
        <v>2819</v>
      </c>
      <c r="F19" s="306">
        <v>1781</v>
      </c>
      <c r="G19" s="307">
        <v>1038</v>
      </c>
      <c r="H19" s="414">
        <f t="shared" si="5"/>
        <v>12.53493013972056</v>
      </c>
      <c r="I19" s="415">
        <f t="shared" si="1"/>
        <v>13.729246487867178</v>
      </c>
      <c r="J19" s="415">
        <f t="shared" si="2"/>
        <v>10.543130990415335</v>
      </c>
      <c r="K19" s="226" t="s">
        <v>28</v>
      </c>
      <c r="L19" s="137"/>
      <c r="M19" s="452"/>
      <c r="N19" s="451"/>
      <c r="O19" s="451"/>
      <c r="P19" s="452"/>
      <c r="Q19" s="451"/>
      <c r="R19" s="451"/>
      <c r="S19" s="136"/>
      <c r="T19" s="136"/>
      <c r="U19" s="136"/>
    </row>
    <row r="20" spans="1:21" ht="19.5" customHeight="1">
      <c r="A20" s="227" t="s">
        <v>197</v>
      </c>
      <c r="B20" s="303">
        <f t="shared" si="3"/>
        <v>592</v>
      </c>
      <c r="C20" s="306">
        <v>329</v>
      </c>
      <c r="D20" s="307">
        <v>263</v>
      </c>
      <c r="E20" s="308">
        <f t="shared" si="4"/>
        <v>532</v>
      </c>
      <c r="F20" s="306">
        <v>272</v>
      </c>
      <c r="G20" s="307">
        <v>260</v>
      </c>
      <c r="H20" s="414">
        <f t="shared" si="5"/>
        <v>-10.135135135135135</v>
      </c>
      <c r="I20" s="415">
        <f t="shared" si="1"/>
        <v>-17.325227963525837</v>
      </c>
      <c r="J20" s="415">
        <f t="shared" si="2"/>
        <v>-1.1406844106463878</v>
      </c>
      <c r="K20" s="226" t="s">
        <v>266</v>
      </c>
      <c r="N20" s="273"/>
      <c r="O20" s="273"/>
      <c r="P20" s="273"/>
      <c r="Q20" s="273"/>
      <c r="R20" s="273"/>
      <c r="S20" s="273"/>
    </row>
    <row r="21" spans="1:21" ht="19.5" customHeight="1">
      <c r="A21" s="227" t="s">
        <v>198</v>
      </c>
      <c r="B21" s="303">
        <f t="shared" si="3"/>
        <v>57</v>
      </c>
      <c r="C21" s="306">
        <v>22</v>
      </c>
      <c r="D21" s="307">
        <v>35</v>
      </c>
      <c r="E21" s="308">
        <f t="shared" si="4"/>
        <v>61</v>
      </c>
      <c r="F21" s="306">
        <v>31</v>
      </c>
      <c r="G21" s="307">
        <v>30</v>
      </c>
      <c r="H21" s="414">
        <f t="shared" si="5"/>
        <v>7.0175438596491224</v>
      </c>
      <c r="I21" s="415">
        <f t="shared" si="1"/>
        <v>40.909090909090914</v>
      </c>
      <c r="J21" s="415">
        <f t="shared" si="2"/>
        <v>-14.285714285714285</v>
      </c>
      <c r="K21" s="226" t="s">
        <v>267</v>
      </c>
      <c r="N21" s="273"/>
      <c r="O21" s="273"/>
      <c r="P21" s="273"/>
      <c r="Q21" s="273"/>
      <c r="R21" s="273"/>
      <c r="S21" s="273"/>
    </row>
    <row r="22" spans="1:21" ht="19.5" customHeight="1">
      <c r="A22" s="227" t="s">
        <v>199</v>
      </c>
      <c r="B22" s="303">
        <f t="shared" si="3"/>
        <v>52</v>
      </c>
      <c r="C22" s="306">
        <v>4</v>
      </c>
      <c r="D22" s="307">
        <v>48</v>
      </c>
      <c r="E22" s="308">
        <f t="shared" si="4"/>
        <v>25</v>
      </c>
      <c r="F22" s="306">
        <v>8</v>
      </c>
      <c r="G22" s="307">
        <v>17</v>
      </c>
      <c r="H22" s="414">
        <f t="shared" si="5"/>
        <v>-51.923076923076927</v>
      </c>
      <c r="I22" s="415">
        <f t="shared" si="1"/>
        <v>100</v>
      </c>
      <c r="J22" s="415">
        <f t="shared" si="2"/>
        <v>-64.583333333333343</v>
      </c>
      <c r="K22" s="228" t="s">
        <v>200</v>
      </c>
      <c r="N22" s="273"/>
      <c r="O22" s="273"/>
      <c r="P22" s="273"/>
      <c r="Q22" s="273"/>
      <c r="R22" s="273"/>
      <c r="S22" s="273"/>
    </row>
    <row r="23" spans="1:21" ht="35.25" customHeight="1">
      <c r="A23" s="227" t="s">
        <v>201</v>
      </c>
      <c r="B23" s="303">
        <f t="shared" si="3"/>
        <v>40</v>
      </c>
      <c r="C23" s="309">
        <v>26</v>
      </c>
      <c r="D23" s="310">
        <v>14</v>
      </c>
      <c r="E23" s="308">
        <f t="shared" si="4"/>
        <v>38</v>
      </c>
      <c r="F23" s="309">
        <v>20</v>
      </c>
      <c r="G23" s="310">
        <v>18</v>
      </c>
      <c r="H23" s="414">
        <f t="shared" si="5"/>
        <v>-5</v>
      </c>
      <c r="I23" s="415">
        <f t="shared" si="1"/>
        <v>-23.076923076923077</v>
      </c>
      <c r="J23" s="415">
        <f t="shared" si="2"/>
        <v>28.571428571428569</v>
      </c>
      <c r="K23" s="475" t="s">
        <v>202</v>
      </c>
      <c r="N23" s="273"/>
      <c r="O23" s="273"/>
      <c r="P23" s="273"/>
      <c r="Q23" s="273"/>
      <c r="R23" s="273"/>
      <c r="S23" s="273"/>
    </row>
    <row r="24" spans="1:21" ht="19.5" customHeight="1">
      <c r="A24" s="227" t="s">
        <v>203</v>
      </c>
      <c r="B24" s="303">
        <f t="shared" si="3"/>
        <v>42</v>
      </c>
      <c r="C24" s="309">
        <v>5</v>
      </c>
      <c r="D24" s="310">
        <v>37</v>
      </c>
      <c r="E24" s="308">
        <f t="shared" si="4"/>
        <v>60</v>
      </c>
      <c r="F24" s="309">
        <v>14</v>
      </c>
      <c r="G24" s="310">
        <v>46</v>
      </c>
      <c r="H24" s="414">
        <f t="shared" si="5"/>
        <v>42.857142857142854</v>
      </c>
      <c r="I24" s="415">
        <f t="shared" si="1"/>
        <v>180</v>
      </c>
      <c r="J24" s="415">
        <f t="shared" si="2"/>
        <v>24.324324324324326</v>
      </c>
      <c r="K24" s="228" t="s">
        <v>204</v>
      </c>
      <c r="N24" s="273"/>
      <c r="O24" s="273"/>
      <c r="P24" s="273"/>
      <c r="Q24" s="273"/>
      <c r="R24" s="273"/>
      <c r="S24" s="273"/>
    </row>
    <row r="25" spans="1:21" ht="19.5" customHeight="1">
      <c r="A25" s="227" t="s">
        <v>205</v>
      </c>
      <c r="B25" s="303">
        <f t="shared" si="3"/>
        <v>166</v>
      </c>
      <c r="C25" s="309">
        <v>70</v>
      </c>
      <c r="D25" s="310">
        <v>96</v>
      </c>
      <c r="E25" s="308">
        <f t="shared" si="4"/>
        <v>145</v>
      </c>
      <c r="F25" s="309">
        <v>79</v>
      </c>
      <c r="G25" s="310">
        <v>66</v>
      </c>
      <c r="H25" s="414">
        <f t="shared" si="5"/>
        <v>-12.650602409638553</v>
      </c>
      <c r="I25" s="415">
        <f t="shared" si="1"/>
        <v>12.857142857142856</v>
      </c>
      <c r="J25" s="415">
        <f t="shared" si="2"/>
        <v>-31.25</v>
      </c>
      <c r="K25" s="228" t="s">
        <v>206</v>
      </c>
      <c r="N25" s="273"/>
      <c r="O25" s="273"/>
      <c r="P25" s="273"/>
      <c r="Q25" s="273"/>
      <c r="R25" s="273"/>
      <c r="S25" s="273"/>
    </row>
    <row r="26" spans="1:21" ht="19.5" customHeight="1">
      <c r="A26" s="227" t="s">
        <v>207</v>
      </c>
      <c r="B26" s="303">
        <f t="shared" si="3"/>
        <v>65</v>
      </c>
      <c r="C26" s="309">
        <v>39</v>
      </c>
      <c r="D26" s="310">
        <v>26</v>
      </c>
      <c r="E26" s="308">
        <f t="shared" si="4"/>
        <v>96</v>
      </c>
      <c r="F26" s="309">
        <v>58</v>
      </c>
      <c r="G26" s="310">
        <v>38</v>
      </c>
      <c r="H26" s="414">
        <f t="shared" si="5"/>
        <v>47.692307692307693</v>
      </c>
      <c r="I26" s="415">
        <f t="shared" si="1"/>
        <v>48.717948717948715</v>
      </c>
      <c r="J26" s="415">
        <f t="shared" si="2"/>
        <v>46.153846153846153</v>
      </c>
      <c r="K26" s="228" t="s">
        <v>208</v>
      </c>
      <c r="N26" s="273"/>
      <c r="O26" s="273"/>
      <c r="P26" s="273"/>
      <c r="Q26" s="273"/>
      <c r="R26" s="273"/>
      <c r="S26" s="273"/>
    </row>
    <row r="27" spans="1:21" ht="19.5" customHeight="1">
      <c r="A27" s="227" t="s">
        <v>209</v>
      </c>
      <c r="B27" s="303">
        <f t="shared" si="3"/>
        <v>5</v>
      </c>
      <c r="C27" s="309">
        <v>3</v>
      </c>
      <c r="D27" s="310">
        <v>2</v>
      </c>
      <c r="E27" s="308">
        <f t="shared" si="4"/>
        <v>6</v>
      </c>
      <c r="F27" s="309">
        <v>0</v>
      </c>
      <c r="G27" s="310">
        <v>6</v>
      </c>
      <c r="H27" s="414">
        <f t="shared" si="5"/>
        <v>20</v>
      </c>
      <c r="I27" s="415">
        <f t="shared" si="1"/>
        <v>-100</v>
      </c>
      <c r="J27" s="415">
        <f t="shared" si="2"/>
        <v>200</v>
      </c>
      <c r="K27" s="228" t="s">
        <v>210</v>
      </c>
      <c r="N27" s="273"/>
      <c r="O27" s="273"/>
      <c r="P27" s="273"/>
      <c r="Q27" s="273"/>
      <c r="R27" s="273"/>
      <c r="S27" s="273"/>
    </row>
    <row r="28" spans="1:21" ht="19.5" customHeight="1">
      <c r="A28" s="227" t="s">
        <v>211</v>
      </c>
      <c r="B28" s="303">
        <f t="shared" si="3"/>
        <v>42</v>
      </c>
      <c r="C28" s="309">
        <v>22</v>
      </c>
      <c r="D28" s="310">
        <v>20</v>
      </c>
      <c r="E28" s="308">
        <f t="shared" si="4"/>
        <v>62</v>
      </c>
      <c r="F28" s="309">
        <v>29</v>
      </c>
      <c r="G28" s="310">
        <v>33</v>
      </c>
      <c r="H28" s="414">
        <f t="shared" si="5"/>
        <v>47.619047619047613</v>
      </c>
      <c r="I28" s="415">
        <f t="shared" si="1"/>
        <v>31.818181818181817</v>
      </c>
      <c r="J28" s="415">
        <f t="shared" si="2"/>
        <v>65</v>
      </c>
      <c r="K28" s="228" t="s">
        <v>212</v>
      </c>
      <c r="N28" s="273"/>
      <c r="O28" s="273"/>
      <c r="P28" s="273"/>
      <c r="Q28" s="273"/>
      <c r="R28" s="273"/>
      <c r="S28" s="273"/>
    </row>
    <row r="29" spans="1:21" ht="19.5" customHeight="1">
      <c r="A29" s="227" t="s">
        <v>213</v>
      </c>
      <c r="B29" s="303">
        <f t="shared" si="3"/>
        <v>77</v>
      </c>
      <c r="C29" s="306">
        <v>48</v>
      </c>
      <c r="D29" s="307">
        <v>29</v>
      </c>
      <c r="E29" s="308">
        <f t="shared" si="4"/>
        <v>45</v>
      </c>
      <c r="F29" s="306">
        <v>23</v>
      </c>
      <c r="G29" s="307">
        <v>22</v>
      </c>
      <c r="H29" s="414">
        <f t="shared" si="5"/>
        <v>-41.558441558441558</v>
      </c>
      <c r="I29" s="415">
        <f t="shared" si="1"/>
        <v>-52.083333333333336</v>
      </c>
      <c r="J29" s="415">
        <f t="shared" si="2"/>
        <v>-24.137931034482758</v>
      </c>
      <c r="K29" s="228" t="s">
        <v>214</v>
      </c>
      <c r="N29" s="273"/>
      <c r="O29" s="273"/>
      <c r="P29" s="273"/>
      <c r="Q29" s="273"/>
      <c r="R29" s="273"/>
      <c r="S29" s="273"/>
    </row>
    <row r="30" spans="1:21" ht="19.5" customHeight="1">
      <c r="A30" s="229" t="s">
        <v>27</v>
      </c>
      <c r="B30" s="311">
        <f>SUM(C30:D30)</f>
        <v>1367</v>
      </c>
      <c r="C30" s="312">
        <v>998</v>
      </c>
      <c r="D30" s="378">
        <v>369</v>
      </c>
      <c r="E30" s="358">
        <f t="shared" si="4"/>
        <v>1749</v>
      </c>
      <c r="F30" s="312">
        <v>1247</v>
      </c>
      <c r="G30" s="312">
        <v>502</v>
      </c>
      <c r="H30" s="416">
        <f t="shared" si="5"/>
        <v>27.944403803950259</v>
      </c>
      <c r="I30" s="417">
        <f t="shared" si="1"/>
        <v>24.949899799599198</v>
      </c>
      <c r="J30" s="417">
        <f t="shared" si="2"/>
        <v>36.043360433604335</v>
      </c>
      <c r="K30" s="230" t="s">
        <v>28</v>
      </c>
      <c r="N30" s="273"/>
      <c r="O30" s="273"/>
      <c r="P30" s="273"/>
      <c r="Q30" s="273"/>
      <c r="R30" s="273"/>
      <c r="S30" s="273"/>
    </row>
    <row r="31" spans="1:21" ht="17.25" customHeight="1">
      <c r="A31" s="1" t="s">
        <v>29</v>
      </c>
      <c r="B31" s="206"/>
      <c r="C31" s="206"/>
      <c r="D31" s="206"/>
      <c r="E31" s="206"/>
      <c r="F31" s="206"/>
      <c r="G31" s="206"/>
      <c r="H31" s="206"/>
      <c r="I31" s="206"/>
      <c r="J31" s="206"/>
      <c r="K31" s="473" t="s">
        <v>78</v>
      </c>
      <c r="N31" s="273"/>
      <c r="O31" s="273"/>
      <c r="P31" s="273"/>
      <c r="Q31" s="273"/>
      <c r="R31" s="273"/>
      <c r="S31" s="273"/>
    </row>
    <row r="33" spans="1:19">
      <c r="A33" s="231"/>
      <c r="B33" s="231"/>
      <c r="C33" s="231"/>
      <c r="D33" s="231"/>
      <c r="E33" s="231"/>
      <c r="F33" s="231"/>
      <c r="G33" s="231"/>
      <c r="H33" s="231"/>
      <c r="I33" s="231"/>
      <c r="J33" s="231"/>
      <c r="K33" s="231"/>
      <c r="N33" s="273"/>
      <c r="O33" s="273"/>
      <c r="P33" s="273"/>
      <c r="Q33" s="273"/>
      <c r="R33" s="273"/>
      <c r="S33" s="273"/>
    </row>
    <row r="34" spans="1:19">
      <c r="A34" s="231"/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N34" s="273"/>
      <c r="O34" s="273"/>
      <c r="P34" s="273"/>
      <c r="Q34" s="273"/>
      <c r="R34" s="273"/>
      <c r="S34" s="273"/>
    </row>
    <row r="35" spans="1:19">
      <c r="N35" s="273"/>
      <c r="O35" s="273"/>
      <c r="P35" s="273"/>
      <c r="Q35" s="273"/>
      <c r="R35" s="273"/>
      <c r="S35" s="273"/>
    </row>
    <row r="36" spans="1:19">
      <c r="N36" s="273"/>
      <c r="O36" s="273"/>
      <c r="P36" s="273"/>
      <c r="Q36" s="273"/>
      <c r="R36" s="273"/>
      <c r="S36" s="273"/>
    </row>
    <row r="37" spans="1:19">
      <c r="N37" s="273"/>
      <c r="O37" s="273"/>
      <c r="P37" s="273"/>
      <c r="Q37" s="273"/>
      <c r="R37" s="273"/>
      <c r="S37" s="273"/>
    </row>
    <row r="38" spans="1:19">
      <c r="N38" s="273"/>
      <c r="O38" s="273"/>
      <c r="P38" s="273"/>
      <c r="Q38" s="273"/>
      <c r="R38" s="273"/>
      <c r="S38" s="273"/>
    </row>
    <row r="39" spans="1:19" ht="17.25">
      <c r="A39" s="6"/>
      <c r="B39" s="8"/>
      <c r="C39" s="8"/>
      <c r="D39" s="8"/>
      <c r="E39" s="8"/>
      <c r="F39" s="8"/>
      <c r="G39" s="8"/>
      <c r="H39" s="8"/>
      <c r="I39" s="8"/>
      <c r="J39" s="8"/>
      <c r="K39" s="9"/>
      <c r="N39" s="273"/>
      <c r="O39" s="273"/>
      <c r="P39" s="273"/>
      <c r="Q39" s="273"/>
      <c r="R39" s="273"/>
      <c r="S39" s="273"/>
    </row>
    <row r="40" spans="1:19">
      <c r="N40" s="273"/>
      <c r="O40" s="273"/>
      <c r="P40" s="273"/>
      <c r="Q40" s="273"/>
      <c r="R40" s="273"/>
      <c r="S40" s="273"/>
    </row>
    <row r="41" spans="1:19">
      <c r="N41" s="273"/>
      <c r="O41" s="273"/>
      <c r="P41" s="273"/>
      <c r="Q41" s="273"/>
      <c r="R41" s="273"/>
      <c r="S41" s="273"/>
    </row>
  </sheetData>
  <sheetProtection selectLockedCells="1" selectUnlockedCells="1"/>
  <mergeCells count="8">
    <mergeCell ref="A1:K1"/>
    <mergeCell ref="A2:K2"/>
    <mergeCell ref="A3:A6"/>
    <mergeCell ref="K3:K6"/>
    <mergeCell ref="B3:D4"/>
    <mergeCell ref="E3:G4"/>
    <mergeCell ref="H3:J3"/>
    <mergeCell ref="H4:J4"/>
  </mergeCells>
  <pageMargins left="0.18" right="0.17" top="0.41" bottom="0.41" header="0.3" footer="0.3"/>
  <pageSetup paperSize="9" scale="89" orientation="landscape" r:id="rId1"/>
  <rowBreaks count="1" manualBreakCount="1">
    <brk id="31" max="16" man="1"/>
  </rowBreaks>
  <colBreaks count="1" manualBreakCount="1">
    <brk id="1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U39"/>
  <sheetViews>
    <sheetView topLeftCell="A25" zoomScale="172" zoomScaleNormal="172" workbookViewId="0">
      <selection activeCell="L42" sqref="L42"/>
    </sheetView>
  </sheetViews>
  <sheetFormatPr defaultColWidth="9.140625" defaultRowHeight="15"/>
  <cols>
    <col min="1" max="1" width="14.5703125" style="2" customWidth="1"/>
    <col min="2" max="7" width="10.42578125" style="2" bestFit="1" customWidth="1"/>
    <col min="8" max="8" width="1.42578125" style="2" customWidth="1"/>
    <col min="9" max="9" width="16" style="2" customWidth="1"/>
    <col min="10" max="10" width="11" style="2" customWidth="1"/>
    <col min="11" max="11" width="4.42578125" style="2" customWidth="1"/>
    <col min="12" max="12" width="6.5703125" style="2" bestFit="1" customWidth="1"/>
    <col min="13" max="16384" width="9.140625" style="2"/>
  </cols>
  <sheetData>
    <row r="1" spans="1:18" ht="21.75">
      <c r="A1" s="888" t="s">
        <v>325</v>
      </c>
      <c r="B1" s="888"/>
      <c r="C1" s="888"/>
      <c r="D1" s="888"/>
      <c r="E1" s="888"/>
      <c r="F1" s="888"/>
      <c r="G1" s="888"/>
      <c r="H1" s="888"/>
      <c r="I1" s="888"/>
      <c r="J1" s="888"/>
    </row>
    <row r="2" spans="1:18" ht="21.75" customHeight="1">
      <c r="A2" s="889" t="s">
        <v>326</v>
      </c>
      <c r="B2" s="889"/>
      <c r="C2" s="889"/>
      <c r="D2" s="889"/>
      <c r="E2" s="889"/>
      <c r="F2" s="889"/>
      <c r="G2" s="889"/>
      <c r="H2" s="889"/>
      <c r="I2" s="889"/>
      <c r="J2" s="889"/>
    </row>
    <row r="3" spans="1:18" ht="16.5" customHeight="1">
      <c r="A3" s="866" t="s">
        <v>144</v>
      </c>
      <c r="B3" s="870">
        <v>2010</v>
      </c>
      <c r="C3" s="870">
        <v>2011</v>
      </c>
      <c r="D3" s="870">
        <v>2012</v>
      </c>
      <c r="E3" s="870">
        <v>2013</v>
      </c>
      <c r="F3" s="870">
        <v>2014</v>
      </c>
      <c r="G3" s="870">
        <v>2015</v>
      </c>
      <c r="H3" s="461"/>
      <c r="I3" s="463" t="s">
        <v>172</v>
      </c>
      <c r="J3" s="891" t="s">
        <v>173</v>
      </c>
      <c r="M3" s="3"/>
      <c r="N3" s="3"/>
      <c r="O3" s="3"/>
      <c r="P3" s="3"/>
      <c r="Q3" s="3"/>
      <c r="R3" s="3"/>
    </row>
    <row r="4" spans="1:18" ht="15.75" customHeight="1">
      <c r="A4" s="876"/>
      <c r="B4" s="890"/>
      <c r="C4" s="890"/>
      <c r="D4" s="890"/>
      <c r="E4" s="890"/>
      <c r="F4" s="890"/>
      <c r="G4" s="890"/>
      <c r="H4" s="292"/>
      <c r="I4" s="467" t="s">
        <v>174</v>
      </c>
      <c r="J4" s="892"/>
      <c r="M4" s="3"/>
      <c r="N4" s="3"/>
      <c r="O4" s="3"/>
      <c r="P4" s="3"/>
      <c r="Q4" s="3"/>
      <c r="R4" s="3"/>
    </row>
    <row r="5" spans="1:18" ht="15.75" customHeight="1">
      <c r="A5" s="867"/>
      <c r="B5" s="871"/>
      <c r="C5" s="871"/>
      <c r="D5" s="871"/>
      <c r="E5" s="871"/>
      <c r="F5" s="871"/>
      <c r="G5" s="871"/>
      <c r="H5" s="462"/>
      <c r="I5" s="214" t="s">
        <v>292</v>
      </c>
      <c r="J5" s="873"/>
      <c r="M5" s="3"/>
      <c r="N5" s="3"/>
      <c r="O5" s="3"/>
      <c r="P5" s="3"/>
      <c r="Q5" s="3"/>
      <c r="R5" s="3"/>
    </row>
    <row r="6" spans="1:18" s="215" customFormat="1" ht="15.75" customHeight="1">
      <c r="A6" s="136" t="s">
        <v>126</v>
      </c>
      <c r="B6" s="313">
        <f t="shared" ref="B6:D6" si="0">SUM(B7:B8)</f>
        <v>16994</v>
      </c>
      <c r="C6" s="303">
        <f t="shared" si="0"/>
        <v>17803</v>
      </c>
      <c r="D6" s="303">
        <f t="shared" si="0"/>
        <v>20512</v>
      </c>
      <c r="E6" s="303">
        <f>SUM(E7:E8)</f>
        <v>21885</v>
      </c>
      <c r="F6" s="303">
        <f>SUM(F7:F8)</f>
        <v>18193</v>
      </c>
      <c r="G6" s="303">
        <f>SUM(G7:G8)</f>
        <v>16363</v>
      </c>
      <c r="H6" s="314"/>
      <c r="I6" s="257">
        <f t="shared" ref="I6:I28" si="1">((G6-F6)/F6)*100</f>
        <v>-10.058813829494859</v>
      </c>
      <c r="J6" s="380" t="s">
        <v>175</v>
      </c>
      <c r="M6" s="279"/>
      <c r="N6" s="281"/>
      <c r="O6" s="137"/>
      <c r="P6" s="216"/>
      <c r="Q6" s="216"/>
      <c r="R6" s="216"/>
    </row>
    <row r="7" spans="1:18" s="215" customFormat="1" ht="15.75" customHeight="1">
      <c r="A7" s="136" t="s">
        <v>87</v>
      </c>
      <c r="B7" s="313">
        <v>12238</v>
      </c>
      <c r="C7" s="303">
        <v>11907</v>
      </c>
      <c r="D7" s="303">
        <v>14555</v>
      </c>
      <c r="E7" s="303">
        <v>15284</v>
      </c>
      <c r="F7" s="303">
        <v>12660</v>
      </c>
      <c r="G7" s="303">
        <v>11289</v>
      </c>
      <c r="H7" s="314"/>
      <c r="I7" s="476">
        <f t="shared" si="1"/>
        <v>-10.829383886255924</v>
      </c>
      <c r="J7" s="380" t="s">
        <v>176</v>
      </c>
      <c r="M7" s="279"/>
      <c r="N7" s="281"/>
      <c r="O7" s="137"/>
      <c r="P7" s="216"/>
      <c r="Q7" s="216"/>
      <c r="R7" s="216"/>
    </row>
    <row r="8" spans="1:18" s="215" customFormat="1" ht="15.75" customHeight="1">
      <c r="A8" s="136" t="s">
        <v>124</v>
      </c>
      <c r="B8" s="313">
        <f>SUM(B9:B28)</f>
        <v>4756</v>
      </c>
      <c r="C8" s="303">
        <f t="shared" ref="C8:D8" si="2">SUM(C9:C28)</f>
        <v>5896</v>
      </c>
      <c r="D8" s="303">
        <f t="shared" si="2"/>
        <v>5957</v>
      </c>
      <c r="E8" s="303">
        <f>SUM(E9:E28)</f>
        <v>6601</v>
      </c>
      <c r="F8" s="303">
        <f>SUM(F9:F29)</f>
        <v>5533</v>
      </c>
      <c r="G8" s="303">
        <f>SUM(G9:G28)</f>
        <v>5074</v>
      </c>
      <c r="H8" s="314"/>
      <c r="I8" s="476">
        <f t="shared" si="1"/>
        <v>-8.2956804626784741</v>
      </c>
      <c r="J8" s="381" t="s">
        <v>145</v>
      </c>
      <c r="M8" s="279"/>
      <c r="N8" s="281"/>
      <c r="O8" s="137"/>
      <c r="P8" s="216"/>
      <c r="Q8" s="216"/>
      <c r="R8" s="216"/>
    </row>
    <row r="9" spans="1:18" s="218" customFormat="1" ht="15.75" customHeight="1">
      <c r="A9" s="245" t="s">
        <v>93</v>
      </c>
      <c r="B9" s="306">
        <v>269</v>
      </c>
      <c r="C9" s="306">
        <v>246</v>
      </c>
      <c r="D9" s="306">
        <v>236</v>
      </c>
      <c r="E9" s="306">
        <v>236</v>
      </c>
      <c r="F9" s="306">
        <v>210</v>
      </c>
      <c r="G9" s="306">
        <v>210</v>
      </c>
      <c r="H9" s="314"/>
      <c r="I9" s="301">
        <f t="shared" si="1"/>
        <v>0</v>
      </c>
      <c r="J9" s="382" t="s">
        <v>177</v>
      </c>
      <c r="L9" s="137"/>
      <c r="M9" s="279"/>
      <c r="N9" s="281"/>
      <c r="O9" s="137"/>
      <c r="P9" s="219"/>
      <c r="Q9" s="219"/>
      <c r="R9" s="219"/>
    </row>
    <row r="10" spans="1:18" s="218" customFormat="1" ht="15.75" customHeight="1">
      <c r="A10" s="245" t="s">
        <v>94</v>
      </c>
      <c r="B10" s="306">
        <v>575</v>
      </c>
      <c r="C10" s="306">
        <v>726</v>
      </c>
      <c r="D10" s="306">
        <v>630</v>
      </c>
      <c r="E10" s="306">
        <v>608</v>
      </c>
      <c r="F10" s="306">
        <v>568</v>
      </c>
      <c r="G10" s="306">
        <v>394</v>
      </c>
      <c r="H10" s="314"/>
      <c r="I10" s="301">
        <f t="shared" si="1"/>
        <v>-30.633802816901408</v>
      </c>
      <c r="J10" s="382" t="s">
        <v>178</v>
      </c>
      <c r="L10" s="137"/>
      <c r="M10" s="279"/>
      <c r="N10" s="281"/>
      <c r="O10" s="137"/>
      <c r="P10" s="219"/>
      <c r="Q10" s="219"/>
      <c r="R10" s="219"/>
    </row>
    <row r="11" spans="1:18" s="218" customFormat="1" ht="15.75" customHeight="1">
      <c r="A11" s="245" t="s">
        <v>95</v>
      </c>
      <c r="B11" s="306">
        <v>164</v>
      </c>
      <c r="C11" s="306">
        <v>186</v>
      </c>
      <c r="D11" s="306">
        <v>171</v>
      </c>
      <c r="E11" s="306">
        <v>138</v>
      </c>
      <c r="F11" s="306">
        <v>155</v>
      </c>
      <c r="G11" s="306">
        <v>145</v>
      </c>
      <c r="H11" s="314"/>
      <c r="I11" s="301">
        <f t="shared" si="1"/>
        <v>-6.4516129032258061</v>
      </c>
      <c r="J11" s="382" t="s">
        <v>112</v>
      </c>
      <c r="L11" s="137"/>
      <c r="M11" s="279"/>
      <c r="N11" s="281"/>
      <c r="O11" s="137"/>
      <c r="P11" s="219"/>
      <c r="Q11" s="219"/>
      <c r="R11" s="219"/>
    </row>
    <row r="12" spans="1:18" s="218" customFormat="1" ht="15.75" customHeight="1">
      <c r="A12" s="245" t="s">
        <v>96</v>
      </c>
      <c r="B12" s="306">
        <v>199</v>
      </c>
      <c r="C12" s="306">
        <v>232</v>
      </c>
      <c r="D12" s="306">
        <v>268</v>
      </c>
      <c r="E12" s="306">
        <v>260</v>
      </c>
      <c r="F12" s="306">
        <v>221</v>
      </c>
      <c r="G12" s="306">
        <v>142</v>
      </c>
      <c r="H12" s="314"/>
      <c r="I12" s="301">
        <f t="shared" si="1"/>
        <v>-35.74660633484163</v>
      </c>
      <c r="J12" s="382" t="s">
        <v>179</v>
      </c>
      <c r="L12" s="137"/>
      <c r="M12" s="279"/>
      <c r="N12" s="281"/>
      <c r="O12" s="137"/>
      <c r="P12" s="219"/>
      <c r="Q12" s="219"/>
      <c r="R12" s="219"/>
    </row>
    <row r="13" spans="1:18" s="218" customFormat="1" ht="15.75" customHeight="1">
      <c r="A13" s="245" t="s">
        <v>97</v>
      </c>
      <c r="B13" s="306">
        <v>205</v>
      </c>
      <c r="C13" s="306">
        <v>250</v>
      </c>
      <c r="D13" s="306">
        <v>220</v>
      </c>
      <c r="E13" s="306">
        <v>229</v>
      </c>
      <c r="F13" s="306">
        <v>242</v>
      </c>
      <c r="G13" s="306">
        <v>259</v>
      </c>
      <c r="H13" s="314"/>
      <c r="I13" s="301">
        <f t="shared" si="1"/>
        <v>7.0247933884297522</v>
      </c>
      <c r="J13" s="382" t="s">
        <v>180</v>
      </c>
      <c r="L13" s="137"/>
      <c r="M13" s="279"/>
      <c r="N13" s="281"/>
      <c r="O13" s="137"/>
      <c r="P13" s="219"/>
      <c r="Q13" s="219"/>
      <c r="R13" s="219"/>
    </row>
    <row r="14" spans="1:18" s="218" customFormat="1" ht="15.75" customHeight="1">
      <c r="A14" s="245" t="s">
        <v>98</v>
      </c>
      <c r="B14" s="306">
        <v>173</v>
      </c>
      <c r="C14" s="306">
        <v>218</v>
      </c>
      <c r="D14" s="306">
        <v>245</v>
      </c>
      <c r="E14" s="306">
        <v>157</v>
      </c>
      <c r="F14" s="306">
        <v>167</v>
      </c>
      <c r="G14" s="306">
        <v>138</v>
      </c>
      <c r="H14" s="314"/>
      <c r="I14" s="301">
        <f t="shared" si="1"/>
        <v>-17.365269461077844</v>
      </c>
      <c r="J14" s="382" t="s">
        <v>181</v>
      </c>
      <c r="L14" s="137"/>
      <c r="M14" s="279"/>
      <c r="N14" s="281"/>
      <c r="O14" s="137"/>
      <c r="P14" s="219"/>
      <c r="Q14" s="219"/>
      <c r="R14" s="219"/>
    </row>
    <row r="15" spans="1:18" s="218" customFormat="1" ht="15.75" customHeight="1">
      <c r="A15" s="245" t="s">
        <v>99</v>
      </c>
      <c r="B15" s="306">
        <v>182</v>
      </c>
      <c r="C15" s="306">
        <v>185</v>
      </c>
      <c r="D15" s="306">
        <v>253</v>
      </c>
      <c r="E15" s="306">
        <v>208</v>
      </c>
      <c r="F15" s="306">
        <v>245</v>
      </c>
      <c r="G15" s="306">
        <v>235</v>
      </c>
      <c r="H15" s="314"/>
      <c r="I15" s="301">
        <f t="shared" si="1"/>
        <v>-4.0816326530612246</v>
      </c>
      <c r="J15" s="382" t="s">
        <v>108</v>
      </c>
      <c r="L15" s="137"/>
      <c r="M15" s="279"/>
      <c r="N15" s="281"/>
      <c r="O15" s="137"/>
      <c r="P15" s="219"/>
      <c r="Q15" s="219"/>
      <c r="R15" s="219"/>
    </row>
    <row r="16" spans="1:18" s="218" customFormat="1" ht="15.75" customHeight="1">
      <c r="A16" s="245" t="s">
        <v>100</v>
      </c>
      <c r="B16" s="306">
        <v>228</v>
      </c>
      <c r="C16" s="306">
        <v>363</v>
      </c>
      <c r="D16" s="306">
        <v>372</v>
      </c>
      <c r="E16" s="306">
        <v>281</v>
      </c>
      <c r="F16" s="306">
        <v>277</v>
      </c>
      <c r="G16" s="306">
        <v>369</v>
      </c>
      <c r="H16" s="314"/>
      <c r="I16" s="301">
        <f t="shared" si="1"/>
        <v>33.2129963898917</v>
      </c>
      <c r="J16" s="382" t="s">
        <v>182</v>
      </c>
      <c r="L16" s="137"/>
      <c r="M16" s="279"/>
      <c r="N16" s="281"/>
      <c r="O16" s="137"/>
      <c r="P16" s="219"/>
      <c r="Q16" s="219"/>
      <c r="R16" s="219"/>
    </row>
    <row r="17" spans="1:21" s="218" customFormat="1" ht="15.75" customHeight="1">
      <c r="A17" s="245" t="s">
        <v>101</v>
      </c>
      <c r="B17" s="306">
        <v>114</v>
      </c>
      <c r="C17" s="306">
        <v>111</v>
      </c>
      <c r="D17" s="306">
        <v>103</v>
      </c>
      <c r="E17" s="306">
        <v>135</v>
      </c>
      <c r="F17" s="306">
        <v>91</v>
      </c>
      <c r="G17" s="306">
        <v>121</v>
      </c>
      <c r="H17" s="314"/>
      <c r="I17" s="301">
        <f t="shared" si="1"/>
        <v>32.967032967032964</v>
      </c>
      <c r="J17" s="382" t="s">
        <v>183</v>
      </c>
      <c r="L17" s="137"/>
      <c r="M17" s="279"/>
      <c r="N17" s="281"/>
      <c r="O17" s="137"/>
      <c r="P17" s="219"/>
      <c r="Q17" s="219"/>
      <c r="R17" s="219"/>
    </row>
    <row r="18" spans="1:21" s="218" customFormat="1" ht="15.75" customHeight="1">
      <c r="A18" s="245" t="s">
        <v>102</v>
      </c>
      <c r="B18" s="306">
        <v>141</v>
      </c>
      <c r="C18" s="306">
        <v>187</v>
      </c>
      <c r="D18" s="306">
        <v>151</v>
      </c>
      <c r="E18" s="306">
        <v>500</v>
      </c>
      <c r="F18" s="306">
        <v>284</v>
      </c>
      <c r="G18" s="306">
        <v>252</v>
      </c>
      <c r="H18" s="314"/>
      <c r="I18" s="301">
        <f t="shared" si="1"/>
        <v>-11.267605633802818</v>
      </c>
      <c r="J18" s="382" t="s">
        <v>184</v>
      </c>
      <c r="L18" s="137"/>
      <c r="M18" s="279"/>
      <c r="N18" s="281"/>
      <c r="O18" s="137"/>
      <c r="P18" s="219"/>
      <c r="Q18" s="219"/>
      <c r="R18" s="219"/>
    </row>
    <row r="19" spans="1:21" s="218" customFormat="1" ht="15.75" customHeight="1">
      <c r="A19" s="245" t="s">
        <v>103</v>
      </c>
      <c r="B19" s="306">
        <v>15</v>
      </c>
      <c r="C19" s="306">
        <v>18</v>
      </c>
      <c r="D19" s="306">
        <v>27</v>
      </c>
      <c r="E19" s="306">
        <v>19</v>
      </c>
      <c r="F19" s="306">
        <v>32</v>
      </c>
      <c r="G19" s="306">
        <v>39</v>
      </c>
      <c r="H19" s="314"/>
      <c r="I19" s="301">
        <f t="shared" si="1"/>
        <v>21.875</v>
      </c>
      <c r="J19" s="382" t="s">
        <v>185</v>
      </c>
      <c r="L19" s="137"/>
      <c r="M19" s="279"/>
      <c r="N19" s="281"/>
      <c r="O19" s="137"/>
      <c r="P19" s="219"/>
      <c r="Q19" s="219"/>
      <c r="R19" s="219"/>
    </row>
    <row r="20" spans="1:21" s="218" customFormat="1" ht="15.75" customHeight="1">
      <c r="A20" s="245" t="s">
        <v>104</v>
      </c>
      <c r="B20" s="306">
        <v>83</v>
      </c>
      <c r="C20" s="306">
        <v>105</v>
      </c>
      <c r="D20" s="306">
        <v>108</v>
      </c>
      <c r="E20" s="306">
        <v>77</v>
      </c>
      <c r="F20" s="306">
        <v>64</v>
      </c>
      <c r="G20" s="306">
        <v>64</v>
      </c>
      <c r="H20" s="314"/>
      <c r="I20" s="301">
        <f t="shared" si="1"/>
        <v>0</v>
      </c>
      <c r="J20" s="382" t="s">
        <v>186</v>
      </c>
      <c r="L20" s="137"/>
      <c r="M20" s="279"/>
      <c r="N20" s="281"/>
      <c r="O20" s="137"/>
      <c r="P20" s="219"/>
      <c r="Q20" s="219"/>
      <c r="R20" s="219"/>
    </row>
    <row r="21" spans="1:21" s="218" customFormat="1" ht="15.75" customHeight="1">
      <c r="A21" s="245" t="s">
        <v>105</v>
      </c>
      <c r="B21" s="306">
        <v>43</v>
      </c>
      <c r="C21" s="306">
        <v>56</v>
      </c>
      <c r="D21" s="306">
        <v>64</v>
      </c>
      <c r="E21" s="306">
        <v>39</v>
      </c>
      <c r="F21" s="306">
        <v>64</v>
      </c>
      <c r="G21" s="306">
        <v>72</v>
      </c>
      <c r="H21" s="314"/>
      <c r="I21" s="301">
        <f t="shared" si="1"/>
        <v>12.5</v>
      </c>
      <c r="J21" s="382" t="s">
        <v>187</v>
      </c>
      <c r="L21" s="137"/>
      <c r="M21" s="279"/>
      <c r="N21" s="281"/>
      <c r="O21" s="137"/>
      <c r="P21" s="219"/>
      <c r="Q21" s="219"/>
      <c r="R21" s="219"/>
    </row>
    <row r="22" spans="1:21" s="218" customFormat="1" ht="15.75" customHeight="1">
      <c r="A22" s="245" t="s">
        <v>106</v>
      </c>
      <c r="B22" s="306">
        <v>50</v>
      </c>
      <c r="C22" s="306">
        <v>89</v>
      </c>
      <c r="D22" s="306">
        <v>62</v>
      </c>
      <c r="E22" s="306">
        <v>79</v>
      </c>
      <c r="F22" s="306">
        <v>73</v>
      </c>
      <c r="G22" s="306">
        <v>63</v>
      </c>
      <c r="H22" s="314"/>
      <c r="I22" s="301">
        <f t="shared" si="1"/>
        <v>-13.698630136986301</v>
      </c>
      <c r="J22" s="382" t="s">
        <v>188</v>
      </c>
      <c r="L22" s="137"/>
      <c r="M22" s="279"/>
      <c r="N22" s="281"/>
      <c r="O22" s="137"/>
      <c r="P22" s="219"/>
      <c r="Q22" s="219"/>
      <c r="R22" s="219"/>
    </row>
    <row r="23" spans="1:21" s="218" customFormat="1" ht="15.75" customHeight="1">
      <c r="A23" s="245" t="s">
        <v>107</v>
      </c>
      <c r="B23" s="306">
        <v>160</v>
      </c>
      <c r="C23" s="306">
        <v>145</v>
      </c>
      <c r="D23" s="306">
        <v>172</v>
      </c>
      <c r="E23" s="306">
        <v>220</v>
      </c>
      <c r="F23" s="306">
        <v>167</v>
      </c>
      <c r="G23" s="306">
        <v>136</v>
      </c>
      <c r="H23" s="314"/>
      <c r="I23" s="301">
        <f t="shared" si="1"/>
        <v>-18.562874251497004</v>
      </c>
      <c r="J23" s="382" t="s">
        <v>189</v>
      </c>
      <c r="L23" s="137"/>
      <c r="M23" s="279"/>
      <c r="N23" s="281"/>
      <c r="O23" s="137"/>
      <c r="P23" s="219"/>
      <c r="Q23" s="219"/>
      <c r="R23" s="219"/>
    </row>
    <row r="24" spans="1:21" s="218" customFormat="1" ht="15.75" customHeight="1">
      <c r="A24" s="245" t="s">
        <v>108</v>
      </c>
      <c r="B24" s="306">
        <v>454</v>
      </c>
      <c r="C24" s="306">
        <v>487</v>
      </c>
      <c r="D24" s="306">
        <v>403</v>
      </c>
      <c r="E24" s="306">
        <v>397</v>
      </c>
      <c r="F24" s="306">
        <v>345</v>
      </c>
      <c r="G24" s="306">
        <v>363</v>
      </c>
      <c r="H24" s="314"/>
      <c r="I24" s="301">
        <f t="shared" si="1"/>
        <v>5.2173913043478262</v>
      </c>
      <c r="J24" s="382" t="s">
        <v>190</v>
      </c>
      <c r="L24" s="137"/>
      <c r="M24" s="279"/>
      <c r="N24" s="281"/>
      <c r="O24" s="137"/>
      <c r="P24" s="219"/>
      <c r="Q24" s="219"/>
      <c r="R24" s="219"/>
    </row>
    <row r="25" spans="1:21" s="218" customFormat="1" ht="15.75" customHeight="1">
      <c r="A25" s="245" t="s">
        <v>109</v>
      </c>
      <c r="B25" s="306">
        <v>237</v>
      </c>
      <c r="C25" s="306">
        <v>389</v>
      </c>
      <c r="D25" s="306">
        <v>337</v>
      </c>
      <c r="E25" s="306">
        <v>558</v>
      </c>
      <c r="F25" s="306">
        <v>383</v>
      </c>
      <c r="G25" s="306">
        <v>410</v>
      </c>
      <c r="H25" s="314"/>
      <c r="I25" s="301">
        <f t="shared" si="1"/>
        <v>7.0496083550913839</v>
      </c>
      <c r="J25" s="382" t="s">
        <v>191</v>
      </c>
      <c r="L25" s="137"/>
      <c r="M25" s="279"/>
      <c r="N25" s="281"/>
      <c r="O25" s="137"/>
      <c r="P25" s="219"/>
      <c r="Q25" s="219"/>
      <c r="R25" s="219"/>
    </row>
    <row r="26" spans="1:21" s="218" customFormat="1" ht="15.75" customHeight="1">
      <c r="A26" s="245" t="s">
        <v>110</v>
      </c>
      <c r="B26" s="306">
        <v>396</v>
      </c>
      <c r="C26" s="306">
        <v>454</v>
      </c>
      <c r="D26" s="306">
        <v>354</v>
      </c>
      <c r="E26" s="306">
        <v>494</v>
      </c>
      <c r="F26" s="306">
        <v>426</v>
      </c>
      <c r="G26" s="306">
        <v>394</v>
      </c>
      <c r="H26" s="314"/>
      <c r="I26" s="301">
        <f t="shared" si="1"/>
        <v>-7.511737089201878</v>
      </c>
      <c r="J26" s="382" t="s">
        <v>192</v>
      </c>
      <c r="L26" s="137"/>
      <c r="M26" s="280"/>
      <c r="N26" s="280"/>
      <c r="O26" s="219"/>
      <c r="P26" s="219"/>
      <c r="Q26" s="219"/>
      <c r="R26" s="219"/>
    </row>
    <row r="27" spans="1:21" s="218" customFormat="1" ht="15.75" customHeight="1">
      <c r="A27" s="245" t="s">
        <v>111</v>
      </c>
      <c r="B27" s="306">
        <v>228</v>
      </c>
      <c r="C27" s="306">
        <v>453</v>
      </c>
      <c r="D27" s="306">
        <v>676</v>
      </c>
      <c r="E27" s="306">
        <v>617</v>
      </c>
      <c r="F27" s="306">
        <v>525</v>
      </c>
      <c r="G27" s="306">
        <v>365</v>
      </c>
      <c r="H27" s="314"/>
      <c r="I27" s="301">
        <f t="shared" si="1"/>
        <v>-30.476190476190478</v>
      </c>
      <c r="J27" s="382" t="s">
        <v>96</v>
      </c>
      <c r="L27" s="137"/>
      <c r="M27" s="219"/>
      <c r="N27" s="219"/>
      <c r="O27" s="219"/>
      <c r="P27" s="219"/>
      <c r="Q27" s="219"/>
      <c r="R27" s="219"/>
    </row>
    <row r="28" spans="1:21" s="846" customFormat="1" ht="15.75" customHeight="1">
      <c r="A28" s="245" t="s">
        <v>112</v>
      </c>
      <c r="B28" s="306">
        <v>840</v>
      </c>
      <c r="C28" s="306">
        <v>996</v>
      </c>
      <c r="D28" s="306">
        <v>1105</v>
      </c>
      <c r="E28" s="306">
        <v>1349</v>
      </c>
      <c r="F28" s="306">
        <v>988</v>
      </c>
      <c r="G28" s="306">
        <v>903</v>
      </c>
      <c r="H28" s="314"/>
      <c r="I28" s="301">
        <f t="shared" si="1"/>
        <v>-8.6032388663967598</v>
      </c>
      <c r="J28" s="844" t="s">
        <v>193</v>
      </c>
      <c r="L28" s="137"/>
      <c r="M28" s="280"/>
      <c r="N28" s="280"/>
      <c r="O28" s="280"/>
      <c r="P28" s="280"/>
      <c r="Q28" s="280"/>
      <c r="R28" s="280"/>
    </row>
    <row r="29" spans="1:21" s="218" customFormat="1" ht="15.75" customHeight="1">
      <c r="A29" s="379" t="s">
        <v>791</v>
      </c>
      <c r="B29" s="845" t="s">
        <v>275</v>
      </c>
      <c r="C29" s="845" t="s">
        <v>275</v>
      </c>
      <c r="D29" s="845" t="s">
        <v>275</v>
      </c>
      <c r="E29" s="845" t="s">
        <v>275</v>
      </c>
      <c r="F29" s="845">
        <v>6</v>
      </c>
      <c r="G29" s="845">
        <v>0</v>
      </c>
      <c r="H29" s="845">
        <v>6</v>
      </c>
      <c r="I29" s="479">
        <f>((G29-F29)/F29)*100</f>
        <v>-100</v>
      </c>
      <c r="J29" s="845"/>
      <c r="K29" s="306"/>
      <c r="L29" s="306"/>
      <c r="M29" s="848"/>
      <c r="P29" s="219"/>
      <c r="Q29" s="219"/>
      <c r="R29" s="219"/>
      <c r="S29" s="219"/>
      <c r="T29" s="219"/>
      <c r="U29" s="219"/>
    </row>
    <row r="30" spans="1:21" s="105" customFormat="1">
      <c r="A30" s="847" t="s">
        <v>792</v>
      </c>
      <c r="B30" s="104"/>
      <c r="C30" s="104"/>
      <c r="D30" s="104"/>
      <c r="E30" s="104"/>
      <c r="F30" s="104"/>
      <c r="G30" s="104"/>
      <c r="H30" s="104"/>
      <c r="I30" s="104"/>
      <c r="J30" s="299" t="s">
        <v>78</v>
      </c>
      <c r="M30" s="106"/>
      <c r="N30" s="106"/>
      <c r="O30" s="106"/>
      <c r="P30" s="106"/>
      <c r="Q30" s="106"/>
      <c r="R30" s="106"/>
    </row>
    <row r="31" spans="1:21">
      <c r="A31" s="298" t="s">
        <v>29</v>
      </c>
      <c r="M31" s="3"/>
      <c r="N31" s="3"/>
      <c r="O31" s="3"/>
      <c r="P31" s="3"/>
      <c r="Q31" s="3"/>
      <c r="R31" s="3"/>
    </row>
    <row r="32" spans="1:21">
      <c r="A32" s="11"/>
      <c r="M32" s="3"/>
      <c r="N32" s="3"/>
      <c r="O32" s="3"/>
      <c r="P32" s="3"/>
      <c r="Q32" s="3"/>
      <c r="R32" s="3"/>
    </row>
    <row r="33" spans="1:18">
      <c r="M33" s="3"/>
      <c r="N33" s="3"/>
      <c r="O33" s="3"/>
      <c r="P33" s="3"/>
      <c r="Q33" s="3"/>
      <c r="R33" s="3"/>
    </row>
    <row r="34" spans="1:18">
      <c r="M34" s="3"/>
      <c r="N34" s="3"/>
      <c r="O34" s="3"/>
      <c r="P34" s="3"/>
      <c r="Q34" s="3"/>
      <c r="R34" s="3"/>
    </row>
    <row r="35" spans="1:18">
      <c r="M35" s="3"/>
      <c r="N35" s="3"/>
      <c r="O35" s="3"/>
      <c r="P35" s="3"/>
      <c r="Q35" s="3"/>
      <c r="R35" s="3"/>
    </row>
    <row r="36" spans="1:18">
      <c r="M36" s="3"/>
      <c r="N36" s="3"/>
      <c r="O36" s="3"/>
      <c r="P36" s="3"/>
      <c r="Q36" s="3"/>
      <c r="R36" s="3"/>
    </row>
    <row r="37" spans="1:18" ht="17.25">
      <c r="A37" s="6"/>
      <c r="B37" s="7"/>
      <c r="C37" s="7"/>
      <c r="D37" s="7"/>
      <c r="E37" s="7"/>
      <c r="F37" s="7"/>
      <c r="G37" s="7"/>
      <c r="H37" s="7"/>
      <c r="I37" s="7"/>
      <c r="J37" s="9"/>
      <c r="M37" s="3"/>
      <c r="N37" s="3"/>
      <c r="O37" s="3"/>
      <c r="P37" s="3"/>
      <c r="Q37" s="3"/>
      <c r="R37" s="3"/>
    </row>
    <row r="38" spans="1:18">
      <c r="M38" s="3"/>
      <c r="N38" s="3"/>
      <c r="O38" s="3"/>
      <c r="P38" s="3"/>
      <c r="Q38" s="3"/>
      <c r="R38" s="3"/>
    </row>
    <row r="39" spans="1:18">
      <c r="M39" s="3"/>
      <c r="N39" s="3"/>
      <c r="O39" s="3"/>
      <c r="P39" s="3"/>
      <c r="Q39" s="3"/>
      <c r="R39" s="3"/>
    </row>
  </sheetData>
  <mergeCells count="10">
    <mergeCell ref="A1:J1"/>
    <mergeCell ref="A2:J2"/>
    <mergeCell ref="A3:A5"/>
    <mergeCell ref="B3:B5"/>
    <mergeCell ref="C3:C5"/>
    <mergeCell ref="D3:D5"/>
    <mergeCell ref="J3:J5"/>
    <mergeCell ref="E3:E5"/>
    <mergeCell ref="F3:F5"/>
    <mergeCell ref="G3:G5"/>
  </mergeCells>
  <pageMargins left="0.22" right="0.49" top="0.19" bottom="0.16" header="0.16" footer="0.16"/>
  <pageSetup paperSize="9" scale="83" orientation="landscape" r:id="rId1"/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61"/>
  <sheetViews>
    <sheetView view="pageBreakPreview" zoomScale="89" zoomScaleNormal="100" zoomScaleSheetLayoutView="89" workbookViewId="0">
      <selection activeCell="B60" sqref="B60"/>
    </sheetView>
  </sheetViews>
  <sheetFormatPr defaultColWidth="9.140625" defaultRowHeight="15"/>
  <cols>
    <col min="1" max="1" width="14.85546875" style="2" customWidth="1"/>
    <col min="2" max="2" width="10.140625" style="2" customWidth="1"/>
    <col min="3" max="22" width="6" style="2" customWidth="1"/>
    <col min="23" max="23" width="19.28515625" style="2" customWidth="1"/>
    <col min="24" max="24" width="1.140625" style="2" customWidth="1"/>
    <col min="25" max="16384" width="9.140625" style="2"/>
  </cols>
  <sheetData>
    <row r="1" spans="1:26" ht="21.75">
      <c r="A1" s="864" t="s">
        <v>293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  <c r="M1" s="864"/>
      <c r="N1" s="864"/>
      <c r="O1" s="864"/>
      <c r="P1" s="864"/>
      <c r="Q1" s="864"/>
      <c r="R1" s="864"/>
      <c r="S1" s="864"/>
      <c r="T1" s="864"/>
      <c r="U1" s="864"/>
      <c r="V1" s="864"/>
      <c r="W1" s="864"/>
    </row>
    <row r="2" spans="1:26">
      <c r="A2" s="865" t="s">
        <v>294</v>
      </c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865"/>
      <c r="U2" s="865"/>
      <c r="V2" s="865"/>
      <c r="W2" s="865"/>
    </row>
    <row r="3" spans="1:26" ht="18.75">
      <c r="A3" s="866" t="s">
        <v>194</v>
      </c>
      <c r="B3" s="232" t="s">
        <v>63</v>
      </c>
      <c r="C3" s="233" t="s">
        <v>177</v>
      </c>
      <c r="D3" s="233" t="s">
        <v>178</v>
      </c>
      <c r="E3" s="233" t="s">
        <v>112</v>
      </c>
      <c r="F3" s="233" t="s">
        <v>179</v>
      </c>
      <c r="G3" s="233" t="s">
        <v>180</v>
      </c>
      <c r="H3" s="233" t="s">
        <v>181</v>
      </c>
      <c r="I3" s="233" t="s">
        <v>108</v>
      </c>
      <c r="J3" s="233" t="s">
        <v>182</v>
      </c>
      <c r="K3" s="233" t="s">
        <v>183</v>
      </c>
      <c r="L3" s="233" t="s">
        <v>184</v>
      </c>
      <c r="M3" s="233" t="s">
        <v>185</v>
      </c>
      <c r="N3" s="233" t="s">
        <v>186</v>
      </c>
      <c r="O3" s="233" t="s">
        <v>187</v>
      </c>
      <c r="P3" s="233" t="s">
        <v>188</v>
      </c>
      <c r="Q3" s="233" t="s">
        <v>189</v>
      </c>
      <c r="R3" s="233" t="s">
        <v>190</v>
      </c>
      <c r="S3" s="233" t="s">
        <v>191</v>
      </c>
      <c r="T3" s="233" t="s">
        <v>192</v>
      </c>
      <c r="U3" s="233" t="s">
        <v>96</v>
      </c>
      <c r="V3" s="233" t="s">
        <v>193</v>
      </c>
      <c r="W3" s="872" t="s">
        <v>4</v>
      </c>
    </row>
    <row r="4" spans="1:26" s="103" customFormat="1" ht="15" customHeight="1">
      <c r="A4" s="867"/>
      <c r="B4" s="295" t="s">
        <v>0</v>
      </c>
      <c r="C4" s="293" t="s">
        <v>93</v>
      </c>
      <c r="D4" s="293" t="s">
        <v>94</v>
      </c>
      <c r="E4" s="293" t="s">
        <v>95</v>
      </c>
      <c r="F4" s="293" t="s">
        <v>96</v>
      </c>
      <c r="G4" s="293" t="s">
        <v>97</v>
      </c>
      <c r="H4" s="293" t="s">
        <v>98</v>
      </c>
      <c r="I4" s="293" t="s">
        <v>99</v>
      </c>
      <c r="J4" s="293" t="s">
        <v>100</v>
      </c>
      <c r="K4" s="293" t="s">
        <v>101</v>
      </c>
      <c r="L4" s="293" t="s">
        <v>102</v>
      </c>
      <c r="M4" s="293" t="s">
        <v>103</v>
      </c>
      <c r="N4" s="293" t="s">
        <v>104</v>
      </c>
      <c r="O4" s="293" t="s">
        <v>105</v>
      </c>
      <c r="P4" s="293" t="s">
        <v>106</v>
      </c>
      <c r="Q4" s="293" t="s">
        <v>107</v>
      </c>
      <c r="R4" s="293" t="s">
        <v>108</v>
      </c>
      <c r="S4" s="293" t="s">
        <v>109</v>
      </c>
      <c r="T4" s="293" t="s">
        <v>110</v>
      </c>
      <c r="U4" s="293" t="s">
        <v>111</v>
      </c>
      <c r="V4" s="293" t="s">
        <v>112</v>
      </c>
      <c r="W4" s="893"/>
    </row>
    <row r="5" spans="1:26" s="215" customFormat="1" ht="18.75">
      <c r="A5" s="136" t="s">
        <v>0</v>
      </c>
      <c r="B5" s="315">
        <f t="shared" ref="B5:V5" si="0">SUM(B6:B17)</f>
        <v>5074</v>
      </c>
      <c r="C5" s="315">
        <f t="shared" si="0"/>
        <v>210</v>
      </c>
      <c r="D5" s="315">
        <f t="shared" si="0"/>
        <v>394</v>
      </c>
      <c r="E5" s="315">
        <f t="shared" si="0"/>
        <v>145</v>
      </c>
      <c r="F5" s="315">
        <f t="shared" si="0"/>
        <v>142</v>
      </c>
      <c r="G5" s="315">
        <f t="shared" si="0"/>
        <v>259</v>
      </c>
      <c r="H5" s="315">
        <f t="shared" si="0"/>
        <v>138</v>
      </c>
      <c r="I5" s="315">
        <f t="shared" si="0"/>
        <v>235</v>
      </c>
      <c r="J5" s="315">
        <f t="shared" si="0"/>
        <v>369</v>
      </c>
      <c r="K5" s="315">
        <f t="shared" si="0"/>
        <v>121</v>
      </c>
      <c r="L5" s="315">
        <f t="shared" si="0"/>
        <v>252</v>
      </c>
      <c r="M5" s="315">
        <f t="shared" si="0"/>
        <v>39</v>
      </c>
      <c r="N5" s="315">
        <f t="shared" si="0"/>
        <v>64</v>
      </c>
      <c r="O5" s="315">
        <f t="shared" si="0"/>
        <v>72</v>
      </c>
      <c r="P5" s="315">
        <f t="shared" si="0"/>
        <v>63</v>
      </c>
      <c r="Q5" s="315">
        <f t="shared" si="0"/>
        <v>136</v>
      </c>
      <c r="R5" s="315">
        <f t="shared" si="0"/>
        <v>363</v>
      </c>
      <c r="S5" s="315">
        <f t="shared" si="0"/>
        <v>410</v>
      </c>
      <c r="T5" s="315">
        <f t="shared" si="0"/>
        <v>394</v>
      </c>
      <c r="U5" s="315">
        <f t="shared" si="0"/>
        <v>365</v>
      </c>
      <c r="V5" s="315">
        <f t="shared" si="0"/>
        <v>903</v>
      </c>
      <c r="W5" s="234" t="s">
        <v>63</v>
      </c>
    </row>
    <row r="6" spans="1:26" s="71" customFormat="1" ht="18.75">
      <c r="A6" s="137" t="s">
        <v>5</v>
      </c>
      <c r="B6" s="383">
        <f t="shared" ref="B6:B17" si="1">SUM(C6:V6)</f>
        <v>1146</v>
      </c>
      <c r="C6" s="453">
        <v>41</v>
      </c>
      <c r="D6" s="453">
        <v>94</v>
      </c>
      <c r="E6" s="453">
        <v>28</v>
      </c>
      <c r="F6" s="453">
        <v>28</v>
      </c>
      <c r="G6" s="453">
        <v>53</v>
      </c>
      <c r="H6" s="453">
        <v>31</v>
      </c>
      <c r="I6" s="453">
        <v>53</v>
      </c>
      <c r="J6" s="453">
        <v>78</v>
      </c>
      <c r="K6" s="453">
        <v>16</v>
      </c>
      <c r="L6" s="453">
        <v>42</v>
      </c>
      <c r="M6" s="453">
        <v>4</v>
      </c>
      <c r="N6" s="453">
        <v>13</v>
      </c>
      <c r="O6" s="453">
        <v>14</v>
      </c>
      <c r="P6" s="453">
        <v>9</v>
      </c>
      <c r="Q6" s="453">
        <v>27</v>
      </c>
      <c r="R6" s="453">
        <v>65</v>
      </c>
      <c r="S6" s="453">
        <v>98</v>
      </c>
      <c r="T6" s="453">
        <v>103</v>
      </c>
      <c r="U6" s="453">
        <v>95</v>
      </c>
      <c r="V6" s="453">
        <v>254</v>
      </c>
      <c r="W6" s="98" t="s">
        <v>6</v>
      </c>
      <c r="Y6" s="137"/>
    </row>
    <row r="7" spans="1:26" s="71" customFormat="1" ht="18.75">
      <c r="A7" s="137" t="s">
        <v>195</v>
      </c>
      <c r="B7" s="383">
        <f t="shared" si="1"/>
        <v>111</v>
      </c>
      <c r="C7" s="453">
        <v>2</v>
      </c>
      <c r="D7" s="453">
        <v>14</v>
      </c>
      <c r="E7" s="453">
        <v>0</v>
      </c>
      <c r="F7" s="453">
        <v>1</v>
      </c>
      <c r="G7" s="453">
        <v>7</v>
      </c>
      <c r="H7" s="453">
        <v>1</v>
      </c>
      <c r="I7" s="453">
        <v>3</v>
      </c>
      <c r="J7" s="453">
        <v>3</v>
      </c>
      <c r="K7" s="453">
        <v>0</v>
      </c>
      <c r="L7" s="453">
        <v>3</v>
      </c>
      <c r="M7" s="453">
        <v>0</v>
      </c>
      <c r="N7" s="453">
        <v>1</v>
      </c>
      <c r="O7" s="453">
        <v>0</v>
      </c>
      <c r="P7" s="453">
        <v>0</v>
      </c>
      <c r="Q7" s="453">
        <v>0</v>
      </c>
      <c r="R7" s="453">
        <v>5</v>
      </c>
      <c r="S7" s="453">
        <v>5</v>
      </c>
      <c r="T7" s="453">
        <v>6</v>
      </c>
      <c r="U7" s="453">
        <v>8</v>
      </c>
      <c r="V7" s="453">
        <v>52</v>
      </c>
      <c r="W7" s="98" t="s">
        <v>196</v>
      </c>
      <c r="Y7" s="137"/>
    </row>
    <row r="8" spans="1:26" s="71" customFormat="1" ht="18.75">
      <c r="A8" s="137" t="s">
        <v>9</v>
      </c>
      <c r="B8" s="383">
        <f t="shared" si="1"/>
        <v>886</v>
      </c>
      <c r="C8" s="453">
        <v>19</v>
      </c>
      <c r="D8" s="453">
        <v>51</v>
      </c>
      <c r="E8" s="453">
        <v>22</v>
      </c>
      <c r="F8" s="453">
        <v>40</v>
      </c>
      <c r="G8" s="453">
        <v>49</v>
      </c>
      <c r="H8" s="453">
        <v>7</v>
      </c>
      <c r="I8" s="453">
        <v>53</v>
      </c>
      <c r="J8" s="453">
        <v>79</v>
      </c>
      <c r="K8" s="453">
        <v>19</v>
      </c>
      <c r="L8" s="453">
        <v>35</v>
      </c>
      <c r="M8" s="453">
        <v>3</v>
      </c>
      <c r="N8" s="453">
        <v>16</v>
      </c>
      <c r="O8" s="453">
        <v>3</v>
      </c>
      <c r="P8" s="453">
        <v>11</v>
      </c>
      <c r="Q8" s="453">
        <v>40</v>
      </c>
      <c r="R8" s="453">
        <v>70</v>
      </c>
      <c r="S8" s="453">
        <v>84</v>
      </c>
      <c r="T8" s="453">
        <v>77</v>
      </c>
      <c r="U8" s="453">
        <v>68</v>
      </c>
      <c r="V8" s="453">
        <v>140</v>
      </c>
      <c r="W8" s="98" t="s">
        <v>10</v>
      </c>
      <c r="Y8" s="137"/>
    </row>
    <row r="9" spans="1:26" s="71" customFormat="1" ht="18.75">
      <c r="A9" s="137" t="s">
        <v>11</v>
      </c>
      <c r="B9" s="383">
        <f t="shared" si="1"/>
        <v>348</v>
      </c>
      <c r="C9" s="453">
        <v>12</v>
      </c>
      <c r="D9" s="453">
        <v>28</v>
      </c>
      <c r="E9" s="453">
        <v>10</v>
      </c>
      <c r="F9" s="453">
        <v>5</v>
      </c>
      <c r="G9" s="453">
        <v>8</v>
      </c>
      <c r="H9" s="453">
        <v>8</v>
      </c>
      <c r="I9" s="453">
        <v>15</v>
      </c>
      <c r="J9" s="453">
        <v>49</v>
      </c>
      <c r="K9" s="453">
        <v>9</v>
      </c>
      <c r="L9" s="453">
        <v>54</v>
      </c>
      <c r="M9" s="453">
        <v>4</v>
      </c>
      <c r="N9" s="453">
        <v>3</v>
      </c>
      <c r="O9" s="453">
        <v>9</v>
      </c>
      <c r="P9" s="453">
        <v>7</v>
      </c>
      <c r="Q9" s="453">
        <v>4</v>
      </c>
      <c r="R9" s="453">
        <v>11</v>
      </c>
      <c r="S9" s="453">
        <v>16</v>
      </c>
      <c r="T9" s="453">
        <v>18</v>
      </c>
      <c r="U9" s="453">
        <v>29</v>
      </c>
      <c r="V9" s="453">
        <v>49</v>
      </c>
      <c r="W9" s="98" t="s">
        <v>12</v>
      </c>
      <c r="Y9" s="137"/>
    </row>
    <row r="10" spans="1:26" s="71" customFormat="1" ht="18.75">
      <c r="A10" s="137" t="s">
        <v>13</v>
      </c>
      <c r="B10" s="383">
        <f t="shared" si="1"/>
        <v>529</v>
      </c>
      <c r="C10" s="453">
        <v>16</v>
      </c>
      <c r="D10" s="453">
        <v>39</v>
      </c>
      <c r="E10" s="453">
        <v>11</v>
      </c>
      <c r="F10" s="453">
        <v>15</v>
      </c>
      <c r="G10" s="453">
        <v>36</v>
      </c>
      <c r="H10" s="453">
        <v>13</v>
      </c>
      <c r="I10" s="453">
        <v>26</v>
      </c>
      <c r="J10" s="453">
        <v>32</v>
      </c>
      <c r="K10" s="453">
        <v>12</v>
      </c>
      <c r="L10" s="453">
        <v>24</v>
      </c>
      <c r="M10" s="453">
        <v>4</v>
      </c>
      <c r="N10" s="453">
        <v>3</v>
      </c>
      <c r="O10" s="453">
        <v>11</v>
      </c>
      <c r="P10" s="453">
        <v>5</v>
      </c>
      <c r="Q10" s="453">
        <v>15</v>
      </c>
      <c r="R10" s="453">
        <v>46</v>
      </c>
      <c r="S10" s="453">
        <v>55</v>
      </c>
      <c r="T10" s="453">
        <v>47</v>
      </c>
      <c r="U10" s="453">
        <v>34</v>
      </c>
      <c r="V10" s="453">
        <v>85</v>
      </c>
      <c r="W10" s="98" t="s">
        <v>14</v>
      </c>
      <c r="Y10" s="137"/>
    </row>
    <row r="11" spans="1:26" s="71" customFormat="1" ht="18.75">
      <c r="A11" s="137" t="s">
        <v>15</v>
      </c>
      <c r="B11" s="383">
        <f t="shared" si="1"/>
        <v>243</v>
      </c>
      <c r="C11" s="453">
        <v>11</v>
      </c>
      <c r="D11" s="453">
        <v>23</v>
      </c>
      <c r="E11" s="453">
        <v>11</v>
      </c>
      <c r="F11" s="453">
        <v>7</v>
      </c>
      <c r="G11" s="453">
        <v>11</v>
      </c>
      <c r="H11" s="453">
        <v>7</v>
      </c>
      <c r="I11" s="453">
        <v>10</v>
      </c>
      <c r="J11" s="453">
        <v>9</v>
      </c>
      <c r="K11" s="453">
        <v>3</v>
      </c>
      <c r="L11" s="453">
        <v>9</v>
      </c>
      <c r="M11" s="453">
        <v>3</v>
      </c>
      <c r="N11" s="453">
        <v>1</v>
      </c>
      <c r="O11" s="453">
        <v>7</v>
      </c>
      <c r="P11" s="453">
        <v>8</v>
      </c>
      <c r="Q11" s="453">
        <v>5</v>
      </c>
      <c r="R11" s="453">
        <v>12</v>
      </c>
      <c r="S11" s="453">
        <v>22</v>
      </c>
      <c r="T11" s="453">
        <v>14</v>
      </c>
      <c r="U11" s="453">
        <v>16</v>
      </c>
      <c r="V11" s="453">
        <v>54</v>
      </c>
      <c r="W11" s="98" t="s">
        <v>16</v>
      </c>
      <c r="Y11" s="137"/>
    </row>
    <row r="12" spans="1:26" s="71" customFormat="1" ht="18.75">
      <c r="A12" s="137" t="s">
        <v>17</v>
      </c>
      <c r="B12" s="383">
        <f t="shared" si="1"/>
        <v>49</v>
      </c>
      <c r="C12" s="453">
        <v>0</v>
      </c>
      <c r="D12" s="453">
        <v>11</v>
      </c>
      <c r="E12" s="453">
        <v>0</v>
      </c>
      <c r="F12" s="453">
        <v>0</v>
      </c>
      <c r="G12" s="453">
        <v>0</v>
      </c>
      <c r="H12" s="453">
        <v>1</v>
      </c>
      <c r="I12" s="453">
        <v>0</v>
      </c>
      <c r="J12" s="453">
        <v>2</v>
      </c>
      <c r="K12" s="453">
        <v>1</v>
      </c>
      <c r="L12" s="453">
        <v>0</v>
      </c>
      <c r="M12" s="453">
        <v>0</v>
      </c>
      <c r="N12" s="453">
        <v>0</v>
      </c>
      <c r="O12" s="453">
        <v>0</v>
      </c>
      <c r="P12" s="453">
        <v>0</v>
      </c>
      <c r="Q12" s="453">
        <v>0</v>
      </c>
      <c r="R12" s="453">
        <v>1</v>
      </c>
      <c r="S12" s="453">
        <v>6</v>
      </c>
      <c r="T12" s="453">
        <v>3</v>
      </c>
      <c r="U12" s="453">
        <v>7</v>
      </c>
      <c r="V12" s="453">
        <v>17</v>
      </c>
      <c r="W12" s="98" t="s">
        <v>18</v>
      </c>
      <c r="Y12" s="137"/>
    </row>
    <row r="13" spans="1:26" s="71" customFormat="1" ht="18.75">
      <c r="A13" s="137" t="s">
        <v>19</v>
      </c>
      <c r="B13" s="383">
        <f t="shared" si="1"/>
        <v>384</v>
      </c>
      <c r="C13" s="453">
        <v>31</v>
      </c>
      <c r="D13" s="453">
        <v>28</v>
      </c>
      <c r="E13" s="453">
        <v>16</v>
      </c>
      <c r="F13" s="453">
        <v>10</v>
      </c>
      <c r="G13" s="453">
        <v>26</v>
      </c>
      <c r="H13" s="453">
        <v>12</v>
      </c>
      <c r="I13" s="453">
        <v>17</v>
      </c>
      <c r="J13" s="453">
        <v>28</v>
      </c>
      <c r="K13" s="453">
        <v>19</v>
      </c>
      <c r="L13" s="453">
        <v>12</v>
      </c>
      <c r="M13" s="453">
        <v>5</v>
      </c>
      <c r="N13" s="453">
        <v>4</v>
      </c>
      <c r="O13" s="453">
        <v>7</v>
      </c>
      <c r="P13" s="453">
        <v>6</v>
      </c>
      <c r="Q13" s="453">
        <v>7</v>
      </c>
      <c r="R13" s="453">
        <v>35</v>
      </c>
      <c r="S13" s="453">
        <v>32</v>
      </c>
      <c r="T13" s="453">
        <v>27</v>
      </c>
      <c r="U13" s="453">
        <v>18</v>
      </c>
      <c r="V13" s="453">
        <v>44</v>
      </c>
      <c r="W13" s="98" t="s">
        <v>20</v>
      </c>
      <c r="Y13" s="137"/>
      <c r="Z13" s="477"/>
    </row>
    <row r="14" spans="1:26" s="71" customFormat="1" ht="18.75">
      <c r="A14" s="137" t="s">
        <v>21</v>
      </c>
      <c r="B14" s="383">
        <f t="shared" si="1"/>
        <v>129</v>
      </c>
      <c r="C14" s="453">
        <v>13</v>
      </c>
      <c r="D14" s="453">
        <v>18</v>
      </c>
      <c r="E14" s="453">
        <v>9</v>
      </c>
      <c r="F14" s="453">
        <v>1</v>
      </c>
      <c r="G14" s="453">
        <v>6</v>
      </c>
      <c r="H14" s="453">
        <v>4</v>
      </c>
      <c r="I14" s="453">
        <v>8</v>
      </c>
      <c r="J14" s="453">
        <v>7</v>
      </c>
      <c r="K14" s="453">
        <v>0</v>
      </c>
      <c r="L14" s="453">
        <v>6</v>
      </c>
      <c r="M14" s="453">
        <v>1</v>
      </c>
      <c r="N14" s="453">
        <v>1</v>
      </c>
      <c r="O14" s="453">
        <v>2</v>
      </c>
      <c r="P14" s="453">
        <v>2</v>
      </c>
      <c r="Q14" s="453">
        <v>2</v>
      </c>
      <c r="R14" s="453">
        <v>7</v>
      </c>
      <c r="S14" s="453">
        <v>4</v>
      </c>
      <c r="T14" s="453">
        <v>6</v>
      </c>
      <c r="U14" s="453">
        <v>6</v>
      </c>
      <c r="V14" s="453">
        <v>26</v>
      </c>
      <c r="W14" s="98" t="s">
        <v>22</v>
      </c>
      <c r="Y14" s="137"/>
      <c r="Z14" s="477"/>
    </row>
    <row r="15" spans="1:26" s="71" customFormat="1" ht="18.75">
      <c r="A15" s="137" t="s">
        <v>23</v>
      </c>
      <c r="B15" s="383">
        <f t="shared" si="1"/>
        <v>199</v>
      </c>
      <c r="C15" s="453">
        <v>7</v>
      </c>
      <c r="D15" s="453">
        <v>15</v>
      </c>
      <c r="E15" s="453">
        <v>3</v>
      </c>
      <c r="F15" s="453">
        <v>4</v>
      </c>
      <c r="G15" s="453">
        <v>12</v>
      </c>
      <c r="H15" s="453">
        <v>7</v>
      </c>
      <c r="I15" s="453">
        <v>16</v>
      </c>
      <c r="J15" s="453">
        <v>11</v>
      </c>
      <c r="K15" s="453">
        <v>12</v>
      </c>
      <c r="L15" s="453">
        <v>6</v>
      </c>
      <c r="M15" s="453">
        <v>1</v>
      </c>
      <c r="N15" s="453">
        <v>3</v>
      </c>
      <c r="O15" s="453">
        <v>7</v>
      </c>
      <c r="P15" s="453">
        <v>3</v>
      </c>
      <c r="Q15" s="453">
        <v>5</v>
      </c>
      <c r="R15" s="453">
        <v>18</v>
      </c>
      <c r="S15" s="453">
        <v>12</v>
      </c>
      <c r="T15" s="453">
        <v>17</v>
      </c>
      <c r="U15" s="453">
        <v>8</v>
      </c>
      <c r="V15" s="453">
        <v>32</v>
      </c>
      <c r="W15" s="98" t="s">
        <v>24</v>
      </c>
      <c r="Y15" s="137"/>
      <c r="Z15" s="477"/>
    </row>
    <row r="16" spans="1:26" s="71" customFormat="1" ht="18.75">
      <c r="A16" s="137" t="s">
        <v>25</v>
      </c>
      <c r="B16" s="383">
        <f t="shared" si="1"/>
        <v>12</v>
      </c>
      <c r="C16" s="454">
        <v>1</v>
      </c>
      <c r="D16" s="454">
        <v>0</v>
      </c>
      <c r="E16" s="454">
        <v>1</v>
      </c>
      <c r="F16" s="454">
        <v>0</v>
      </c>
      <c r="G16" s="454">
        <v>0</v>
      </c>
      <c r="H16" s="454">
        <v>0</v>
      </c>
      <c r="I16" s="454">
        <v>1</v>
      </c>
      <c r="J16" s="454">
        <v>0</v>
      </c>
      <c r="K16" s="454">
        <v>0</v>
      </c>
      <c r="L16" s="454">
        <v>0</v>
      </c>
      <c r="M16" s="454">
        <v>0</v>
      </c>
      <c r="N16" s="454">
        <v>1</v>
      </c>
      <c r="O16" s="454">
        <v>0</v>
      </c>
      <c r="P16" s="454">
        <v>0</v>
      </c>
      <c r="Q16" s="454">
        <v>0</v>
      </c>
      <c r="R16" s="454">
        <v>3</v>
      </c>
      <c r="S16" s="454">
        <v>0</v>
      </c>
      <c r="T16" s="454">
        <v>1</v>
      </c>
      <c r="U16" s="454">
        <v>1</v>
      </c>
      <c r="V16" s="454">
        <v>3</v>
      </c>
      <c r="W16" s="98" t="s">
        <v>26</v>
      </c>
      <c r="Y16" s="137"/>
      <c r="Z16" s="477"/>
    </row>
    <row r="17" spans="1:26" s="71" customFormat="1" ht="18.75">
      <c r="A17" s="138" t="s">
        <v>27</v>
      </c>
      <c r="B17" s="384">
        <f t="shared" si="1"/>
        <v>1038</v>
      </c>
      <c r="C17" s="455">
        <v>57</v>
      </c>
      <c r="D17" s="455">
        <v>73</v>
      </c>
      <c r="E17" s="455">
        <v>34</v>
      </c>
      <c r="F17" s="455">
        <v>31</v>
      </c>
      <c r="G17" s="455">
        <v>51</v>
      </c>
      <c r="H17" s="455">
        <v>47</v>
      </c>
      <c r="I17" s="455">
        <v>33</v>
      </c>
      <c r="J17" s="455">
        <v>71</v>
      </c>
      <c r="K17" s="455">
        <v>30</v>
      </c>
      <c r="L17" s="455">
        <v>61</v>
      </c>
      <c r="M17" s="455">
        <v>14</v>
      </c>
      <c r="N17" s="455">
        <v>18</v>
      </c>
      <c r="O17" s="455">
        <v>12</v>
      </c>
      <c r="P17" s="455">
        <v>12</v>
      </c>
      <c r="Q17" s="455">
        <v>31</v>
      </c>
      <c r="R17" s="455">
        <v>90</v>
      </c>
      <c r="S17" s="455">
        <v>76</v>
      </c>
      <c r="T17" s="455">
        <v>75</v>
      </c>
      <c r="U17" s="455">
        <v>75</v>
      </c>
      <c r="V17" s="455">
        <v>147</v>
      </c>
      <c r="W17" s="99" t="s">
        <v>28</v>
      </c>
      <c r="Y17" s="137"/>
      <c r="Z17" s="477"/>
    </row>
    <row r="18" spans="1:26" s="96" customFormat="1" ht="13.15" customHeight="1">
      <c r="A18" s="316" t="s">
        <v>29</v>
      </c>
      <c r="B18" s="317"/>
      <c r="C18" s="318"/>
      <c r="D18" s="318"/>
      <c r="E18" s="318"/>
      <c r="F18" s="318"/>
      <c r="G18" s="318"/>
      <c r="H18" s="318"/>
      <c r="I18" s="318"/>
      <c r="J18" s="300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9" t="s">
        <v>78</v>
      </c>
      <c r="Y18" s="478"/>
      <c r="Z18" s="478"/>
    </row>
    <row r="19" spans="1:26">
      <c r="J19" s="3"/>
      <c r="Y19" s="70"/>
      <c r="Z19" s="70"/>
    </row>
    <row r="20" spans="1:26">
      <c r="J20" s="3"/>
      <c r="Y20" s="70"/>
      <c r="Z20" s="70"/>
    </row>
    <row r="21" spans="1:26">
      <c r="A21" s="11"/>
      <c r="B21" s="11"/>
      <c r="Y21" s="70"/>
      <c r="Z21" s="70"/>
    </row>
    <row r="22" spans="1:26">
      <c r="Y22" s="70"/>
      <c r="Z22" s="70"/>
    </row>
    <row r="23" spans="1:26">
      <c r="Y23" s="70"/>
      <c r="Z23" s="70"/>
    </row>
    <row r="24" spans="1:26">
      <c r="Y24" s="70"/>
      <c r="Z24" s="70"/>
    </row>
    <row r="25" spans="1:26">
      <c r="Y25" s="70"/>
      <c r="Z25" s="70"/>
    </row>
    <row r="26" spans="1:26" ht="17.25">
      <c r="A26" s="6"/>
      <c r="B26" s="6"/>
      <c r="C26" s="7"/>
      <c r="D26" s="7"/>
      <c r="E26" s="7"/>
      <c r="F26" s="7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Y26" s="70"/>
      <c r="Z26" s="70"/>
    </row>
    <row r="27" spans="1:26">
      <c r="Y27" s="70"/>
      <c r="Z27" s="70"/>
    </row>
    <row r="28" spans="1:26">
      <c r="Y28" s="70"/>
      <c r="Z28" s="70"/>
    </row>
    <row r="29" spans="1:26">
      <c r="Y29" s="70"/>
      <c r="Z29" s="70"/>
    </row>
    <row r="30" spans="1:26">
      <c r="Y30" s="70"/>
      <c r="Z30" s="70"/>
    </row>
    <row r="37" ht="4.9000000000000004" customHeight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50" spans="1:2">
      <c r="A50" s="137" t="s">
        <v>5</v>
      </c>
      <c r="B50" s="383">
        <v>1146</v>
      </c>
    </row>
    <row r="51" spans="1:2">
      <c r="A51" s="137" t="s">
        <v>9</v>
      </c>
      <c r="B51" s="383">
        <v>111</v>
      </c>
    </row>
    <row r="52" spans="1:2">
      <c r="A52" s="137" t="s">
        <v>13</v>
      </c>
      <c r="B52" s="383">
        <v>886</v>
      </c>
    </row>
    <row r="53" spans="1:2">
      <c r="A53" s="137" t="s">
        <v>11</v>
      </c>
      <c r="B53" s="383">
        <v>348</v>
      </c>
    </row>
    <row r="54" spans="1:2">
      <c r="A54" s="137" t="s">
        <v>19</v>
      </c>
      <c r="B54" s="383">
        <v>529</v>
      </c>
    </row>
    <row r="55" spans="1:2">
      <c r="A55" s="137" t="s">
        <v>15</v>
      </c>
      <c r="B55" s="383">
        <v>243</v>
      </c>
    </row>
    <row r="56" spans="1:2">
      <c r="A56" s="137" t="s">
        <v>195</v>
      </c>
      <c r="B56" s="383">
        <v>49</v>
      </c>
    </row>
    <row r="57" spans="1:2">
      <c r="A57" s="137" t="s">
        <v>21</v>
      </c>
      <c r="B57" s="383">
        <v>384</v>
      </c>
    </row>
    <row r="58" spans="1:2">
      <c r="A58" s="137" t="s">
        <v>23</v>
      </c>
      <c r="B58" s="383">
        <v>129</v>
      </c>
    </row>
    <row r="59" spans="1:2">
      <c r="A59" s="137" t="s">
        <v>17</v>
      </c>
      <c r="B59" s="383">
        <v>199</v>
      </c>
    </row>
    <row r="60" spans="1:2">
      <c r="A60" s="138" t="s">
        <v>25</v>
      </c>
      <c r="B60" s="384">
        <v>12</v>
      </c>
    </row>
    <row r="61" spans="1:2">
      <c r="A61" s="137" t="s">
        <v>27</v>
      </c>
      <c r="B61" s="383">
        <v>1038</v>
      </c>
    </row>
  </sheetData>
  <sortState ref="A56:B67">
    <sortCondition descending="1" ref="B50"/>
  </sortState>
  <mergeCells count="4">
    <mergeCell ref="A1:W1"/>
    <mergeCell ref="A2:W2"/>
    <mergeCell ref="A3:A4"/>
    <mergeCell ref="W3:W4"/>
  </mergeCells>
  <pageMargins left="0.17" right="0.17" top="0.44" bottom="0.28000000000000003" header="0.3" footer="0.17"/>
  <pageSetup paperSize="9" scale="8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8"/>
  <sheetViews>
    <sheetView zoomScaleNormal="100" workbookViewId="0">
      <selection activeCell="A2" sqref="A2:I2"/>
    </sheetView>
  </sheetViews>
  <sheetFormatPr defaultColWidth="9.140625" defaultRowHeight="15"/>
  <cols>
    <col min="1" max="1" width="22.7109375" style="12" customWidth="1"/>
    <col min="2" max="2" width="7.5703125" style="12" bestFit="1" customWidth="1"/>
    <col min="3" max="8" width="12.7109375" style="12" customWidth="1"/>
    <col min="9" max="9" width="24.85546875" style="12" customWidth="1"/>
    <col min="10" max="10" width="9.140625" style="12"/>
    <col min="11" max="11" width="7.140625" style="12" customWidth="1"/>
    <col min="12" max="12" width="6.7109375" style="12" bestFit="1" customWidth="1"/>
    <col min="13" max="15" width="3.28515625" style="12" customWidth="1"/>
    <col min="16" max="16" width="7.5703125" style="12" customWidth="1"/>
    <col min="17" max="17" width="7.28515625" style="12" customWidth="1"/>
    <col min="18" max="23" width="3.28515625" style="12" customWidth="1"/>
    <col min="24" max="24" width="9.140625" style="12"/>
    <col min="25" max="29" width="9.85546875" style="12" customWidth="1"/>
    <col min="30" max="16384" width="9.140625" style="12"/>
  </cols>
  <sheetData>
    <row r="1" spans="1:11" ht="19.5">
      <c r="A1" s="894" t="s">
        <v>296</v>
      </c>
      <c r="B1" s="894"/>
      <c r="C1" s="894"/>
      <c r="D1" s="894"/>
      <c r="E1" s="894"/>
      <c r="F1" s="894"/>
      <c r="G1" s="894"/>
      <c r="H1" s="894"/>
      <c r="I1" s="894"/>
    </row>
    <row r="2" spans="1:11" ht="15.75">
      <c r="A2" s="895" t="s">
        <v>295</v>
      </c>
      <c r="B2" s="895"/>
      <c r="C2" s="895"/>
      <c r="D2" s="895"/>
      <c r="E2" s="895"/>
      <c r="F2" s="895"/>
      <c r="G2" s="895"/>
      <c r="H2" s="895"/>
      <c r="I2" s="895"/>
    </row>
    <row r="3" spans="1:11" ht="5.25" customHeight="1">
      <c r="A3" s="85"/>
      <c r="B3" s="85"/>
      <c r="C3" s="85"/>
      <c r="D3" s="85"/>
      <c r="E3" s="85"/>
      <c r="F3" s="85"/>
      <c r="G3" s="85"/>
      <c r="H3" s="85"/>
      <c r="I3" s="85"/>
    </row>
    <row r="4" spans="1:11" s="113" customFormat="1" ht="19.5" customHeight="1">
      <c r="A4" s="116" t="s">
        <v>3</v>
      </c>
      <c r="B4" s="115">
        <v>2009</v>
      </c>
      <c r="C4" s="115">
        <v>2010</v>
      </c>
      <c r="D4" s="115">
        <v>2011</v>
      </c>
      <c r="E4" s="115">
        <v>2012</v>
      </c>
      <c r="F4" s="115">
        <v>2013</v>
      </c>
      <c r="G4" s="115">
        <v>2014</v>
      </c>
      <c r="H4" s="115">
        <v>2015</v>
      </c>
      <c r="I4" s="114" t="s">
        <v>268</v>
      </c>
    </row>
    <row r="5" spans="1:11" ht="15.75">
      <c r="A5" s="107" t="s">
        <v>0</v>
      </c>
      <c r="B5" s="108">
        <f t="shared" ref="B5:G5" si="0">SUM(B6:B17)</f>
        <v>19259</v>
      </c>
      <c r="C5" s="289">
        <f t="shared" si="0"/>
        <v>16994</v>
      </c>
      <c r="D5" s="108">
        <f t="shared" si="0"/>
        <v>17803</v>
      </c>
      <c r="E5" s="108">
        <f t="shared" si="0"/>
        <v>20512</v>
      </c>
      <c r="F5" s="108">
        <f t="shared" si="0"/>
        <v>21885</v>
      </c>
      <c r="G5" s="108">
        <f t="shared" si="0"/>
        <v>18193</v>
      </c>
      <c r="H5" s="108">
        <f t="shared" ref="H5" si="1">SUM(H6:H17)</f>
        <v>16363</v>
      </c>
      <c r="I5" s="86" t="s">
        <v>1</v>
      </c>
      <c r="K5" s="113"/>
    </row>
    <row r="6" spans="1:11" ht="18.75">
      <c r="A6" s="13" t="s">
        <v>30</v>
      </c>
      <c r="B6" s="109">
        <v>1834</v>
      </c>
      <c r="C6" s="109">
        <v>1495</v>
      </c>
      <c r="D6" s="109">
        <v>1490</v>
      </c>
      <c r="E6" s="110">
        <v>1688</v>
      </c>
      <c r="F6" s="110">
        <v>1676</v>
      </c>
      <c r="G6" s="110">
        <v>2011</v>
      </c>
      <c r="H6" s="110">
        <v>1371</v>
      </c>
      <c r="I6" s="87" t="s">
        <v>31</v>
      </c>
      <c r="K6" s="113"/>
    </row>
    <row r="7" spans="1:11" ht="18.75">
      <c r="A7" s="13" t="s">
        <v>32</v>
      </c>
      <c r="B7" s="109">
        <v>1601</v>
      </c>
      <c r="C7" s="109">
        <v>1327</v>
      </c>
      <c r="D7" s="109">
        <v>1404</v>
      </c>
      <c r="E7" s="110">
        <v>1423</v>
      </c>
      <c r="F7" s="110">
        <v>1597</v>
      </c>
      <c r="G7" s="110">
        <v>1552</v>
      </c>
      <c r="H7" s="110">
        <v>1414</v>
      </c>
      <c r="I7" s="87" t="s">
        <v>33</v>
      </c>
      <c r="K7" s="113"/>
    </row>
    <row r="8" spans="1:11" ht="18.75">
      <c r="A8" s="13" t="s">
        <v>34</v>
      </c>
      <c r="B8" s="109">
        <v>1877</v>
      </c>
      <c r="C8" s="109">
        <v>1516</v>
      </c>
      <c r="D8" s="109">
        <v>1735</v>
      </c>
      <c r="E8" s="110">
        <v>1578</v>
      </c>
      <c r="F8" s="110">
        <v>1952</v>
      </c>
      <c r="G8" s="110">
        <v>1798</v>
      </c>
      <c r="H8" s="110">
        <v>1441</v>
      </c>
      <c r="I8" s="87" t="s">
        <v>35</v>
      </c>
      <c r="K8" s="113"/>
    </row>
    <row r="9" spans="1:11" ht="18.75">
      <c r="A9" s="13" t="s">
        <v>36</v>
      </c>
      <c r="B9" s="109">
        <v>1701</v>
      </c>
      <c r="C9" s="109">
        <v>1621</v>
      </c>
      <c r="D9" s="109">
        <v>1477</v>
      </c>
      <c r="E9" s="110">
        <v>1959</v>
      </c>
      <c r="F9" s="110">
        <v>1796</v>
      </c>
      <c r="G9" s="110">
        <v>1650</v>
      </c>
      <c r="H9" s="110">
        <v>1271</v>
      </c>
      <c r="I9" s="87" t="s">
        <v>37</v>
      </c>
      <c r="K9" s="113"/>
    </row>
    <row r="10" spans="1:11" ht="18.75">
      <c r="A10" s="13" t="s">
        <v>38</v>
      </c>
      <c r="B10" s="109">
        <v>1556</v>
      </c>
      <c r="C10" s="109">
        <v>1493</v>
      </c>
      <c r="D10" s="109">
        <v>1473</v>
      </c>
      <c r="E10" s="110">
        <v>1621</v>
      </c>
      <c r="F10" s="110">
        <v>1740</v>
      </c>
      <c r="G10" s="110">
        <v>1640</v>
      </c>
      <c r="H10" s="110">
        <v>1332</v>
      </c>
      <c r="I10" s="87" t="s">
        <v>39</v>
      </c>
      <c r="K10" s="113"/>
    </row>
    <row r="11" spans="1:11" ht="18.75">
      <c r="A11" s="13" t="s">
        <v>40</v>
      </c>
      <c r="B11" s="109">
        <v>1663</v>
      </c>
      <c r="C11" s="109">
        <v>1366</v>
      </c>
      <c r="D11" s="109">
        <v>1505</v>
      </c>
      <c r="E11" s="110">
        <v>1668</v>
      </c>
      <c r="F11" s="110">
        <v>1942</v>
      </c>
      <c r="G11" s="110">
        <v>1489</v>
      </c>
      <c r="H11" s="110">
        <v>1263</v>
      </c>
      <c r="I11" s="87" t="s">
        <v>41</v>
      </c>
      <c r="K11" s="113"/>
    </row>
    <row r="12" spans="1:11" ht="18.75">
      <c r="A12" s="13" t="s">
        <v>42</v>
      </c>
      <c r="B12" s="109">
        <v>1597</v>
      </c>
      <c r="C12" s="109">
        <v>1253</v>
      </c>
      <c r="D12" s="109">
        <v>1300</v>
      </c>
      <c r="E12" s="110">
        <v>1773</v>
      </c>
      <c r="F12" s="110">
        <v>2005</v>
      </c>
      <c r="G12" s="110">
        <v>1412</v>
      </c>
      <c r="H12" s="110">
        <v>1326</v>
      </c>
      <c r="I12" s="87" t="s">
        <v>43</v>
      </c>
      <c r="K12" s="113"/>
    </row>
    <row r="13" spans="1:11" ht="18.75">
      <c r="A13" s="13" t="s">
        <v>44</v>
      </c>
      <c r="B13" s="109">
        <v>1433</v>
      </c>
      <c r="C13" s="109">
        <v>1510</v>
      </c>
      <c r="D13" s="109">
        <v>1464</v>
      </c>
      <c r="E13" s="110">
        <v>2001</v>
      </c>
      <c r="F13" s="110">
        <v>2007</v>
      </c>
      <c r="G13" s="110">
        <v>1380</v>
      </c>
      <c r="H13" s="110">
        <v>1609</v>
      </c>
      <c r="I13" s="87" t="s">
        <v>45</v>
      </c>
      <c r="K13" s="113"/>
    </row>
    <row r="14" spans="1:11" ht="18.75">
      <c r="A14" s="13" t="s">
        <v>46</v>
      </c>
      <c r="B14" s="109">
        <v>1699</v>
      </c>
      <c r="C14" s="109">
        <v>1395</v>
      </c>
      <c r="D14" s="109">
        <v>1460</v>
      </c>
      <c r="E14" s="110">
        <v>1732</v>
      </c>
      <c r="F14" s="110">
        <v>1833</v>
      </c>
      <c r="G14" s="110">
        <v>1245</v>
      </c>
      <c r="H14" s="110">
        <v>1428</v>
      </c>
      <c r="I14" s="87" t="s">
        <v>47</v>
      </c>
      <c r="K14" s="113"/>
    </row>
    <row r="15" spans="1:11" ht="18.75">
      <c r="A15" s="13" t="s">
        <v>48</v>
      </c>
      <c r="B15" s="109">
        <v>1574</v>
      </c>
      <c r="C15" s="109">
        <v>1517</v>
      </c>
      <c r="D15" s="109">
        <v>1712</v>
      </c>
      <c r="E15" s="110">
        <v>1704</v>
      </c>
      <c r="F15" s="110">
        <v>1727</v>
      </c>
      <c r="G15" s="110">
        <v>1497</v>
      </c>
      <c r="H15" s="110">
        <v>1369</v>
      </c>
      <c r="I15" s="87" t="s">
        <v>49</v>
      </c>
      <c r="K15" s="113"/>
    </row>
    <row r="16" spans="1:11" ht="18.75">
      <c r="A16" s="13" t="s">
        <v>50</v>
      </c>
      <c r="B16" s="109">
        <v>1387</v>
      </c>
      <c r="C16" s="109">
        <v>1252</v>
      </c>
      <c r="D16" s="109">
        <v>1374</v>
      </c>
      <c r="E16" s="110">
        <v>1724</v>
      </c>
      <c r="F16" s="110">
        <v>1706</v>
      </c>
      <c r="G16" s="110">
        <v>1349</v>
      </c>
      <c r="H16" s="110">
        <v>1285</v>
      </c>
      <c r="I16" s="87" t="s">
        <v>51</v>
      </c>
      <c r="K16" s="113"/>
    </row>
    <row r="17" spans="1:11" ht="18.75" customHeight="1">
      <c r="A17" s="14" t="s">
        <v>52</v>
      </c>
      <c r="B17" s="111">
        <v>1337</v>
      </c>
      <c r="C17" s="111">
        <v>1249</v>
      </c>
      <c r="D17" s="111">
        <v>1409</v>
      </c>
      <c r="E17" s="112">
        <v>1641</v>
      </c>
      <c r="F17" s="112">
        <v>1904</v>
      </c>
      <c r="G17" s="112">
        <v>1170</v>
      </c>
      <c r="H17" s="112">
        <v>1254</v>
      </c>
      <c r="I17" s="88" t="s">
        <v>53</v>
      </c>
      <c r="K17" s="113"/>
    </row>
    <row r="18" spans="1:11">
      <c r="A18" s="139" t="s">
        <v>29</v>
      </c>
      <c r="B18" s="117"/>
      <c r="C18" s="117"/>
      <c r="D18" s="117"/>
      <c r="E18" s="117"/>
      <c r="F18" s="117"/>
      <c r="G18" s="117"/>
      <c r="H18" s="117"/>
      <c r="I18" s="118" t="s">
        <v>78</v>
      </c>
    </row>
  </sheetData>
  <sortState ref="P22:Q34">
    <sortCondition descending="1" ref="Q22:Q34"/>
  </sortState>
  <mergeCells count="2">
    <mergeCell ref="A1:I1"/>
    <mergeCell ref="A2:I2"/>
  </mergeCells>
  <pageMargins left="0.16" right="0.16" top="0.19" bottom="0.23" header="0.17" footer="0.17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70"/>
  <sheetViews>
    <sheetView zoomScaleNormal="100" zoomScaleSheetLayoutView="98" workbookViewId="0">
      <selection activeCell="A3" sqref="A3:B3"/>
    </sheetView>
  </sheetViews>
  <sheetFormatPr defaultColWidth="9.140625" defaultRowHeight="20.25" customHeight="1"/>
  <cols>
    <col min="1" max="1" width="26.7109375" style="71" customWidth="1"/>
    <col min="2" max="2" width="28.85546875" style="2" customWidth="1"/>
    <col min="3" max="5" width="9.140625" style="2"/>
    <col min="6" max="6" width="1.140625" style="2" customWidth="1"/>
    <col min="7" max="16384" width="9.140625" style="2"/>
  </cols>
  <sheetData>
    <row r="1" spans="1:18" ht="7.5" customHeight="1"/>
    <row r="2" spans="1:18" ht="20.25" customHeight="1">
      <c r="A2" s="896" t="s">
        <v>298</v>
      </c>
      <c r="B2" s="896"/>
      <c r="P2" s="70"/>
      <c r="Q2" s="77"/>
      <c r="R2" s="77"/>
    </row>
    <row r="3" spans="1:18" ht="20.25" customHeight="1">
      <c r="A3" s="897" t="s">
        <v>297</v>
      </c>
      <c r="B3" s="897"/>
      <c r="C3" s="60"/>
      <c r="D3" s="61"/>
      <c r="E3" s="61"/>
      <c r="F3" s="61"/>
      <c r="G3" s="61"/>
      <c r="H3" s="62"/>
      <c r="I3" s="62"/>
    </row>
    <row r="4" spans="1:18" ht="6" customHeight="1">
      <c r="A4" s="63"/>
      <c r="B4" s="64"/>
      <c r="C4" s="65"/>
      <c r="D4" s="62"/>
      <c r="E4" s="62"/>
      <c r="F4" s="62"/>
      <c r="G4" s="62"/>
      <c r="H4" s="62"/>
      <c r="I4" s="62"/>
    </row>
    <row r="5" spans="1:18" ht="20.25" customHeight="1">
      <c r="A5" s="84" t="s">
        <v>116</v>
      </c>
      <c r="B5" s="84" t="s">
        <v>117</v>
      </c>
      <c r="C5" s="65"/>
      <c r="D5" s="62"/>
      <c r="E5" s="62"/>
      <c r="F5" s="62"/>
      <c r="G5" s="62"/>
      <c r="H5" s="62"/>
      <c r="I5" s="62"/>
    </row>
    <row r="6" spans="1:18" ht="20.25" customHeight="1">
      <c r="A6" s="66" t="s">
        <v>118</v>
      </c>
      <c r="B6" s="66" t="s">
        <v>119</v>
      </c>
      <c r="C6" s="65"/>
      <c r="D6" s="62"/>
      <c r="E6" s="62"/>
      <c r="F6" s="62"/>
      <c r="G6" s="62"/>
      <c r="H6" s="62"/>
      <c r="I6" s="62"/>
    </row>
    <row r="7" spans="1:18" ht="18.75" customHeight="1">
      <c r="A7" s="67">
        <v>1992</v>
      </c>
      <c r="B7" s="321">
        <v>3843</v>
      </c>
      <c r="C7" s="68"/>
      <c r="D7" s="62"/>
      <c r="E7" s="62"/>
      <c r="F7" s="62"/>
      <c r="G7" s="62"/>
      <c r="H7" s="62"/>
      <c r="I7" s="62"/>
    </row>
    <row r="8" spans="1:18" ht="18.75" customHeight="1">
      <c r="A8" s="67">
        <v>1993</v>
      </c>
      <c r="B8" s="321">
        <v>5067</v>
      </c>
      <c r="C8" s="68"/>
      <c r="D8" s="62"/>
      <c r="E8" s="62"/>
      <c r="F8" s="62"/>
      <c r="G8" s="62"/>
      <c r="H8" s="62"/>
      <c r="I8" s="62"/>
    </row>
    <row r="9" spans="1:18" ht="18.75" customHeight="1">
      <c r="A9" s="67">
        <v>1994</v>
      </c>
      <c r="B9" s="321">
        <v>5344</v>
      </c>
      <c r="C9" s="68"/>
      <c r="D9" s="62"/>
      <c r="E9" s="62"/>
      <c r="F9" s="62"/>
      <c r="G9" s="62"/>
      <c r="H9" s="62"/>
      <c r="I9" s="62"/>
    </row>
    <row r="10" spans="1:18" ht="18.75" customHeight="1">
      <c r="A10" s="67">
        <v>1995</v>
      </c>
      <c r="B10" s="321">
        <v>5449</v>
      </c>
      <c r="C10" s="68"/>
      <c r="D10" s="62"/>
      <c r="E10" s="62"/>
      <c r="F10" s="62"/>
      <c r="G10" s="62"/>
      <c r="H10" s="62"/>
      <c r="I10" s="62"/>
    </row>
    <row r="11" spans="1:18" ht="18.75" customHeight="1">
      <c r="A11" s="67">
        <v>1996</v>
      </c>
      <c r="B11" s="321">
        <v>5287</v>
      </c>
      <c r="C11" s="68"/>
      <c r="D11" s="62"/>
      <c r="E11" s="62"/>
      <c r="F11" s="62"/>
      <c r="G11" s="62"/>
      <c r="H11" s="62"/>
      <c r="I11" s="62"/>
    </row>
    <row r="12" spans="1:18" ht="18.75" customHeight="1">
      <c r="A12" s="67">
        <v>1997</v>
      </c>
      <c r="B12" s="321">
        <v>6979</v>
      </c>
      <c r="C12" s="68"/>
      <c r="D12" s="62"/>
      <c r="E12" s="62"/>
      <c r="F12" s="62"/>
      <c r="G12" s="62"/>
      <c r="H12" s="62"/>
      <c r="I12" s="62"/>
    </row>
    <row r="13" spans="1:18" ht="18.75" customHeight="1">
      <c r="A13" s="67">
        <v>1998</v>
      </c>
      <c r="B13" s="321">
        <v>6266</v>
      </c>
      <c r="C13" s="68"/>
      <c r="D13" s="62"/>
      <c r="E13" s="62"/>
      <c r="F13" s="62"/>
      <c r="G13" s="62"/>
      <c r="H13" s="62"/>
      <c r="I13" s="62"/>
    </row>
    <row r="14" spans="1:18" ht="18.75" customHeight="1">
      <c r="A14" s="67">
        <v>1999</v>
      </c>
      <c r="B14" s="321">
        <v>4586</v>
      </c>
      <c r="C14" s="68"/>
      <c r="D14" s="62"/>
      <c r="E14" s="62"/>
      <c r="F14" s="62"/>
      <c r="G14" s="62"/>
      <c r="H14" s="62"/>
      <c r="I14" s="62"/>
    </row>
    <row r="15" spans="1:18" ht="18.75" customHeight="1">
      <c r="A15" s="67">
        <v>2000</v>
      </c>
      <c r="B15" s="321">
        <v>4567</v>
      </c>
      <c r="C15" s="68"/>
      <c r="D15" s="62"/>
      <c r="E15" s="62"/>
      <c r="F15" s="62"/>
      <c r="G15" s="62"/>
      <c r="H15" s="62"/>
      <c r="I15" s="62"/>
    </row>
    <row r="16" spans="1:18" ht="18.75" customHeight="1">
      <c r="A16" s="67">
        <v>2001</v>
      </c>
      <c r="B16" s="321">
        <v>6417</v>
      </c>
      <c r="C16" s="68"/>
      <c r="D16" s="62"/>
      <c r="E16" s="62"/>
      <c r="F16" s="62"/>
      <c r="G16" s="62"/>
      <c r="H16" s="62"/>
      <c r="I16" s="62"/>
    </row>
    <row r="17" spans="1:9" ht="18.75" customHeight="1">
      <c r="A17" s="67">
        <v>2002</v>
      </c>
      <c r="B17" s="321">
        <v>7045</v>
      </c>
      <c r="C17" s="68"/>
      <c r="D17" s="62"/>
      <c r="E17" s="62"/>
      <c r="F17" s="62"/>
      <c r="G17" s="62"/>
      <c r="H17" s="62"/>
      <c r="I17" s="62"/>
    </row>
    <row r="18" spans="1:9" ht="18.75" customHeight="1">
      <c r="A18" s="67">
        <v>2003</v>
      </c>
      <c r="B18" s="321">
        <v>9085</v>
      </c>
      <c r="C18" s="68"/>
      <c r="D18" s="62"/>
      <c r="E18" s="62"/>
      <c r="F18" s="62"/>
      <c r="G18" s="62"/>
      <c r="H18" s="62"/>
      <c r="I18" s="62"/>
    </row>
    <row r="19" spans="1:9" ht="18.75" customHeight="1">
      <c r="A19" s="67">
        <v>2004</v>
      </c>
      <c r="B19" s="321">
        <v>9140</v>
      </c>
      <c r="C19" s="68"/>
      <c r="D19" s="62"/>
      <c r="E19" s="62"/>
      <c r="F19" s="62"/>
      <c r="G19" s="62"/>
      <c r="H19" s="62"/>
      <c r="I19" s="62"/>
    </row>
    <row r="20" spans="1:9" ht="18.75" customHeight="1">
      <c r="A20" s="67">
        <v>2005</v>
      </c>
      <c r="B20" s="321">
        <v>8230</v>
      </c>
      <c r="C20" s="68"/>
      <c r="D20" s="62"/>
      <c r="E20" s="62"/>
      <c r="F20" s="62"/>
      <c r="G20" s="62"/>
      <c r="H20" s="62"/>
      <c r="I20" s="62"/>
    </row>
    <row r="21" spans="1:9" ht="18.75" customHeight="1">
      <c r="A21" s="67">
        <v>2006</v>
      </c>
      <c r="B21" s="321">
        <v>8560</v>
      </c>
      <c r="C21" s="68"/>
      <c r="D21" s="62"/>
      <c r="E21" s="62"/>
      <c r="F21" s="62"/>
      <c r="G21" s="62"/>
      <c r="H21" s="62"/>
      <c r="I21" s="62"/>
    </row>
    <row r="22" spans="1:9" ht="18.75" customHeight="1">
      <c r="A22" s="67">
        <v>2007</v>
      </c>
      <c r="B22" s="321">
        <v>11452</v>
      </c>
      <c r="C22" s="68"/>
      <c r="D22" s="62"/>
      <c r="E22" s="62"/>
      <c r="F22" s="62"/>
      <c r="G22" s="62"/>
      <c r="H22" s="62"/>
      <c r="I22" s="62"/>
    </row>
    <row r="23" spans="1:9" ht="18.75" customHeight="1">
      <c r="A23" s="67">
        <v>2008</v>
      </c>
      <c r="B23" s="322">
        <v>17674</v>
      </c>
      <c r="C23" s="68"/>
      <c r="D23" s="62"/>
      <c r="E23" s="62"/>
      <c r="F23" s="62"/>
      <c r="G23" s="62"/>
      <c r="H23" s="62"/>
      <c r="I23" s="62"/>
    </row>
    <row r="24" spans="1:9" ht="18.75" customHeight="1">
      <c r="A24" s="67">
        <v>2009</v>
      </c>
      <c r="B24" s="321">
        <v>19259</v>
      </c>
      <c r="C24" s="68"/>
      <c r="D24" s="62"/>
      <c r="E24" s="62"/>
      <c r="F24" s="62"/>
      <c r="G24" s="62"/>
      <c r="H24" s="62"/>
      <c r="I24" s="62"/>
    </row>
    <row r="25" spans="1:9" ht="18.75" customHeight="1">
      <c r="A25" s="67">
        <v>2010</v>
      </c>
      <c r="B25" s="321">
        <v>16994</v>
      </c>
      <c r="C25" s="69"/>
      <c r="D25" s="62"/>
      <c r="E25" s="62"/>
      <c r="F25" s="62"/>
      <c r="G25" s="62"/>
      <c r="H25" s="62"/>
      <c r="I25" s="62"/>
    </row>
    <row r="26" spans="1:9" s="70" customFormat="1" ht="18.75" customHeight="1">
      <c r="A26" s="67">
        <v>2011</v>
      </c>
      <c r="B26" s="321">
        <v>17803</v>
      </c>
      <c r="C26" s="69"/>
      <c r="D26" s="65"/>
      <c r="E26" s="65"/>
      <c r="F26" s="65"/>
      <c r="G26" s="65"/>
      <c r="H26" s="65"/>
      <c r="I26" s="65"/>
    </row>
    <row r="27" spans="1:9" s="70" customFormat="1" ht="18.75" customHeight="1">
      <c r="A27" s="67">
        <v>2012</v>
      </c>
      <c r="B27" s="321">
        <v>20512</v>
      </c>
      <c r="C27" s="69"/>
      <c r="D27" s="65"/>
      <c r="E27" s="269"/>
      <c r="F27" s="65"/>
      <c r="G27" s="65"/>
      <c r="H27" s="65"/>
      <c r="I27" s="65"/>
    </row>
    <row r="28" spans="1:9" s="70" customFormat="1" ht="18.75" customHeight="1">
      <c r="A28" s="33">
        <v>2013</v>
      </c>
      <c r="B28" s="321">
        <v>21885</v>
      </c>
      <c r="C28" s="69"/>
      <c r="D28" s="65"/>
      <c r="E28" s="269"/>
      <c r="F28" s="65"/>
      <c r="G28" s="65"/>
      <c r="H28" s="65"/>
      <c r="I28" s="65"/>
    </row>
    <row r="29" spans="1:9" ht="18.75" customHeight="1">
      <c r="A29" s="33">
        <v>2014</v>
      </c>
      <c r="B29" s="321">
        <v>18193</v>
      </c>
      <c r="C29" s="69"/>
      <c r="D29" s="62"/>
      <c r="E29" s="320"/>
      <c r="F29" s="62"/>
      <c r="G29" s="62"/>
      <c r="H29" s="62"/>
      <c r="I29" s="62"/>
    </row>
    <row r="30" spans="1:9" ht="18.75" customHeight="1">
      <c r="A30" s="385">
        <v>2015</v>
      </c>
      <c r="B30" s="456">
        <f>'8.5'!H5</f>
        <v>16363</v>
      </c>
      <c r="C30" s="69"/>
      <c r="D30" s="62"/>
      <c r="E30" s="320"/>
      <c r="F30" s="62"/>
      <c r="G30" s="62"/>
      <c r="H30" s="62"/>
      <c r="I30" s="62"/>
    </row>
    <row r="31" spans="1:9" ht="17.25">
      <c r="A31" s="127" t="s">
        <v>29</v>
      </c>
      <c r="B31" s="267" t="s">
        <v>137</v>
      </c>
      <c r="C31" s="62"/>
      <c r="D31" s="62"/>
      <c r="E31" s="62"/>
      <c r="F31" s="62"/>
      <c r="G31" s="62"/>
      <c r="H31" s="62"/>
      <c r="I31" s="62"/>
    </row>
    <row r="49" spans="1:2" ht="20.25" customHeight="1">
      <c r="A49" s="123"/>
      <c r="B49" s="124"/>
    </row>
    <row r="50" spans="1:2" ht="20.25" customHeight="1">
      <c r="A50" s="125"/>
      <c r="B50" s="126"/>
    </row>
    <row r="51" spans="1:2" ht="20.25" customHeight="1">
      <c r="A51" s="125"/>
      <c r="B51" s="126"/>
    </row>
    <row r="52" spans="1:2" ht="20.25" customHeight="1">
      <c r="A52" s="125"/>
      <c r="B52" s="126"/>
    </row>
    <row r="53" spans="1:2" ht="20.25" customHeight="1">
      <c r="A53" s="125"/>
      <c r="B53" s="126"/>
    </row>
    <row r="54" spans="1:2" ht="20.25" customHeight="1">
      <c r="A54" s="125"/>
      <c r="B54" s="126"/>
    </row>
    <row r="55" spans="1:2" ht="20.25" customHeight="1">
      <c r="A55" s="125"/>
      <c r="B55" s="126"/>
    </row>
    <row r="56" spans="1:2" ht="20.25" customHeight="1">
      <c r="A56" s="125"/>
      <c r="B56" s="126"/>
    </row>
    <row r="57" spans="1:2" ht="20.25" customHeight="1">
      <c r="A57" s="125"/>
      <c r="B57" s="126"/>
    </row>
    <row r="58" spans="1:2" ht="20.25" customHeight="1">
      <c r="A58" s="125"/>
      <c r="B58" s="126"/>
    </row>
    <row r="59" spans="1:2" ht="20.25" customHeight="1">
      <c r="A59" s="125"/>
      <c r="B59" s="126"/>
    </row>
    <row r="60" spans="1:2" ht="20.25" customHeight="1">
      <c r="A60" s="125"/>
      <c r="B60" s="126"/>
    </row>
    <row r="61" spans="1:2" ht="20.25" customHeight="1">
      <c r="A61" s="125"/>
      <c r="B61" s="126"/>
    </row>
    <row r="62" spans="1:2" ht="20.25" customHeight="1">
      <c r="A62" s="125"/>
      <c r="B62" s="126"/>
    </row>
    <row r="63" spans="1:2" ht="20.25" customHeight="1">
      <c r="A63" s="125"/>
      <c r="B63" s="126"/>
    </row>
    <row r="64" spans="1:2" ht="20.25" customHeight="1">
      <c r="A64" s="125"/>
      <c r="B64" s="126"/>
    </row>
    <row r="65" spans="1:2" ht="20.25" customHeight="1">
      <c r="A65" s="125"/>
      <c r="B65" s="126"/>
    </row>
    <row r="66" spans="1:2" ht="20.25" customHeight="1">
      <c r="A66" s="125"/>
      <c r="B66" s="126"/>
    </row>
    <row r="67" spans="1:2" ht="20.25" customHeight="1">
      <c r="A67" s="125"/>
      <c r="B67" s="126"/>
    </row>
    <row r="68" spans="1:2" ht="20.25" customHeight="1">
      <c r="A68" s="125"/>
      <c r="B68" s="126"/>
    </row>
    <row r="69" spans="1:2" ht="20.25" customHeight="1">
      <c r="A69" s="125"/>
      <c r="B69" s="126"/>
    </row>
    <row r="70" spans="1:2" ht="20.25" customHeight="1">
      <c r="A70" s="125"/>
      <c r="B70" s="126"/>
    </row>
  </sheetData>
  <mergeCells count="2">
    <mergeCell ref="A2:B2"/>
    <mergeCell ref="A3:B3"/>
  </mergeCells>
  <pageMargins left="0.17" right="0.17" top="0.55000000000000004" bottom="0.18" header="0.3" footer="0.18"/>
  <pageSetup paperSize="9" scale="95" orientation="portrait" r:id="rId1"/>
  <colBreaks count="1" manualBreakCount="1">
    <brk id="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R23"/>
  <sheetViews>
    <sheetView view="pageBreakPreview" zoomScale="118" zoomScaleNormal="100" zoomScaleSheetLayoutView="118" workbookViewId="0">
      <selection activeCell="A2" sqref="A2:J2"/>
    </sheetView>
  </sheetViews>
  <sheetFormatPr defaultColWidth="9.140625" defaultRowHeight="15"/>
  <cols>
    <col min="1" max="1" width="33" style="2" customWidth="1"/>
    <col min="2" max="6" width="9.7109375" style="2" customWidth="1"/>
    <col min="7" max="7" width="2.7109375" style="2" customWidth="1"/>
    <col min="8" max="8" width="15.5703125" style="2" customWidth="1"/>
    <col min="9" max="9" width="14.28515625" style="2" customWidth="1"/>
    <col min="10" max="10" width="38.28515625" style="2" customWidth="1"/>
    <col min="11" max="11" width="5.42578125" style="2" customWidth="1"/>
    <col min="12" max="16384" width="9.140625" style="2"/>
  </cols>
  <sheetData>
    <row r="1" spans="1:18" ht="15.75" customHeight="1">
      <c r="A1" s="874" t="s">
        <v>300</v>
      </c>
      <c r="B1" s="875"/>
      <c r="C1" s="875"/>
      <c r="D1" s="875"/>
      <c r="E1" s="875"/>
      <c r="F1" s="875"/>
      <c r="G1" s="875"/>
      <c r="H1" s="875"/>
      <c r="I1" s="875"/>
      <c r="J1" s="875"/>
    </row>
    <row r="2" spans="1:18" ht="15.75" customHeight="1">
      <c r="A2" s="865" t="s">
        <v>299</v>
      </c>
      <c r="B2" s="865"/>
      <c r="C2" s="865"/>
      <c r="D2" s="865"/>
      <c r="E2" s="865"/>
      <c r="F2" s="865"/>
      <c r="G2" s="865"/>
      <c r="H2" s="865"/>
      <c r="I2" s="865"/>
      <c r="J2" s="865"/>
    </row>
    <row r="3" spans="1:18" ht="15.75" customHeight="1">
      <c r="A3" s="898" t="s">
        <v>128</v>
      </c>
      <c r="B3" s="901">
        <v>2011</v>
      </c>
      <c r="C3" s="901">
        <v>2012</v>
      </c>
      <c r="D3" s="901">
        <v>2013</v>
      </c>
      <c r="E3" s="901">
        <v>2014</v>
      </c>
      <c r="F3" s="901">
        <v>2015</v>
      </c>
      <c r="G3" s="466"/>
      <c r="H3" s="463" t="s">
        <v>172</v>
      </c>
      <c r="I3" s="213" t="s">
        <v>216</v>
      </c>
      <c r="J3" s="891" t="s">
        <v>215</v>
      </c>
      <c r="M3" s="3"/>
      <c r="N3" s="3"/>
      <c r="O3" s="3"/>
      <c r="P3" s="3"/>
      <c r="Q3" s="3"/>
      <c r="R3" s="3"/>
    </row>
    <row r="4" spans="1:18" ht="16.5" customHeight="1">
      <c r="A4" s="899"/>
      <c r="B4" s="902"/>
      <c r="C4" s="902"/>
      <c r="D4" s="902"/>
      <c r="E4" s="902"/>
      <c r="F4" s="902"/>
      <c r="G4" s="467"/>
      <c r="H4" s="236" t="s">
        <v>174</v>
      </c>
      <c r="I4" s="849" t="s">
        <v>217</v>
      </c>
      <c r="J4" s="892"/>
      <c r="M4" s="3"/>
      <c r="N4" s="3"/>
      <c r="O4" s="3"/>
      <c r="P4" s="3"/>
      <c r="Q4" s="3"/>
      <c r="R4" s="3"/>
    </row>
    <row r="5" spans="1:18" ht="15.75" customHeight="1">
      <c r="A5" s="900"/>
      <c r="B5" s="903"/>
      <c r="C5" s="903"/>
      <c r="D5" s="903"/>
      <c r="E5" s="903"/>
      <c r="F5" s="903"/>
      <c r="G5" s="468"/>
      <c r="H5" s="4" t="s">
        <v>301</v>
      </c>
      <c r="I5" s="4">
        <v>2015</v>
      </c>
      <c r="J5" s="873"/>
      <c r="M5" s="3"/>
      <c r="N5" s="3"/>
      <c r="O5" s="3"/>
      <c r="P5" s="3"/>
      <c r="Q5" s="3"/>
      <c r="R5" s="3"/>
    </row>
    <row r="6" spans="1:18" s="215" customFormat="1">
      <c r="A6" s="136" t="s">
        <v>0</v>
      </c>
      <c r="B6" s="237">
        <f>SUM(B7:B13)</f>
        <v>4734</v>
      </c>
      <c r="C6" s="237">
        <f>SUM(C7:C13)</f>
        <v>6571</v>
      </c>
      <c r="D6" s="237">
        <f>SUM(D7:D13)</f>
        <v>6683</v>
      </c>
      <c r="E6" s="237">
        <f>SUM(E7:E13)</f>
        <v>5080</v>
      </c>
      <c r="F6" s="237">
        <f>SUM(F7:F13)</f>
        <v>3990</v>
      </c>
      <c r="G6" s="237"/>
      <c r="H6" s="238">
        <f t="shared" ref="H6:H13" si="0">((F6-E6)/E6*100)</f>
        <v>-21.456692913385826</v>
      </c>
      <c r="I6" s="238">
        <f>F6/$F$6*100</f>
        <v>100</v>
      </c>
      <c r="J6" s="205"/>
      <c r="L6" s="237"/>
      <c r="M6" s="216"/>
      <c r="N6" s="216"/>
      <c r="O6" s="216"/>
      <c r="P6" s="216"/>
      <c r="Q6" s="216"/>
      <c r="R6" s="216"/>
    </row>
    <row r="7" spans="1:18" s="71" customFormat="1" ht="18.75">
      <c r="A7" s="137" t="s">
        <v>218</v>
      </c>
      <c r="B7" s="239">
        <v>2194</v>
      </c>
      <c r="C7" s="239">
        <v>3099</v>
      </c>
      <c r="D7" s="239">
        <v>3285</v>
      </c>
      <c r="E7" s="239">
        <v>2275</v>
      </c>
      <c r="F7" s="239">
        <v>1382</v>
      </c>
      <c r="G7" s="239"/>
      <c r="H7" s="240">
        <f t="shared" si="0"/>
        <v>-39.252747252747255</v>
      </c>
      <c r="I7" s="240">
        <f>F7/$F$6*100</f>
        <v>34.636591478696744</v>
      </c>
      <c r="J7" s="98" t="s">
        <v>219</v>
      </c>
      <c r="L7" s="239"/>
      <c r="M7" s="216"/>
      <c r="N7" s="219"/>
      <c r="O7" s="219"/>
      <c r="P7" s="219"/>
      <c r="Q7" s="219"/>
      <c r="R7" s="219"/>
    </row>
    <row r="8" spans="1:18" s="71" customFormat="1" ht="18.75">
      <c r="A8" s="137" t="s">
        <v>220</v>
      </c>
      <c r="B8" s="239">
        <v>913</v>
      </c>
      <c r="C8" s="239">
        <v>1379</v>
      </c>
      <c r="D8" s="239">
        <v>1017</v>
      </c>
      <c r="E8" s="239">
        <v>602</v>
      </c>
      <c r="F8" s="239">
        <v>651</v>
      </c>
      <c r="G8" s="239"/>
      <c r="H8" s="240">
        <f t="shared" si="0"/>
        <v>8.1395348837209305</v>
      </c>
      <c r="I8" s="240">
        <f t="shared" ref="I8:I12" si="1">F8/$F$6*100</f>
        <v>16.315789473684212</v>
      </c>
      <c r="J8" s="98" t="s">
        <v>221</v>
      </c>
      <c r="L8" s="239"/>
      <c r="M8" s="216"/>
      <c r="N8" s="219"/>
      <c r="O8" s="219"/>
      <c r="P8" s="219"/>
      <c r="Q8" s="219"/>
      <c r="R8" s="219"/>
    </row>
    <row r="9" spans="1:18" s="71" customFormat="1" ht="18.75">
      <c r="A9" s="137" t="s">
        <v>222</v>
      </c>
      <c r="B9" s="239">
        <v>643</v>
      </c>
      <c r="C9" s="239">
        <v>865</v>
      </c>
      <c r="D9" s="239">
        <v>1022</v>
      </c>
      <c r="E9" s="239">
        <v>817</v>
      </c>
      <c r="F9" s="239">
        <v>807</v>
      </c>
      <c r="G9" s="239"/>
      <c r="H9" s="240">
        <f t="shared" si="0"/>
        <v>-1.2239902080783354</v>
      </c>
      <c r="I9" s="240">
        <f>F9/$F$6*100</f>
        <v>20.225563909774436</v>
      </c>
      <c r="J9" s="98" t="s">
        <v>223</v>
      </c>
      <c r="L9" s="239"/>
      <c r="M9" s="216"/>
      <c r="N9" s="219"/>
      <c r="O9" s="219"/>
      <c r="P9" s="219"/>
      <c r="Q9" s="219"/>
      <c r="R9" s="219"/>
    </row>
    <row r="10" spans="1:18" s="71" customFormat="1" ht="18.75">
      <c r="A10" s="137" t="s">
        <v>224</v>
      </c>
      <c r="B10" s="239">
        <v>200</v>
      </c>
      <c r="C10" s="239">
        <v>278</v>
      </c>
      <c r="D10" s="239">
        <v>324</v>
      </c>
      <c r="E10" s="239">
        <v>258</v>
      </c>
      <c r="F10" s="239">
        <v>285</v>
      </c>
      <c r="G10" s="239"/>
      <c r="H10" s="240">
        <f t="shared" si="0"/>
        <v>10.465116279069768</v>
      </c>
      <c r="I10" s="240">
        <f t="shared" si="1"/>
        <v>7.1428571428571423</v>
      </c>
      <c r="J10" s="98" t="s">
        <v>225</v>
      </c>
      <c r="L10" s="239"/>
      <c r="M10" s="216"/>
      <c r="N10" s="219"/>
      <c r="O10" s="219"/>
      <c r="P10" s="219"/>
      <c r="Q10" s="219"/>
      <c r="R10" s="219"/>
    </row>
    <row r="11" spans="1:18" s="71" customFormat="1" ht="18.75">
      <c r="A11" s="137" t="s">
        <v>226</v>
      </c>
      <c r="B11" s="239">
        <v>174</v>
      </c>
      <c r="C11" s="239">
        <v>235</v>
      </c>
      <c r="D11" s="239">
        <v>218</v>
      </c>
      <c r="E11" s="239">
        <v>238</v>
      </c>
      <c r="F11" s="239">
        <v>166</v>
      </c>
      <c r="G11" s="239"/>
      <c r="H11" s="240">
        <f t="shared" si="0"/>
        <v>-30.252100840336134</v>
      </c>
      <c r="I11" s="240">
        <f>F11/$F$6*100</f>
        <v>4.1604010025062657</v>
      </c>
      <c r="J11" s="98" t="s">
        <v>227</v>
      </c>
      <c r="L11" s="361"/>
      <c r="M11" s="480"/>
      <c r="N11" s="219"/>
      <c r="O11" s="219"/>
      <c r="P11" s="219"/>
      <c r="Q11" s="219"/>
      <c r="R11" s="219"/>
    </row>
    <row r="12" spans="1:18" s="71" customFormat="1" ht="18.75">
      <c r="A12" s="137" t="s">
        <v>793</v>
      </c>
      <c r="B12" s="239">
        <v>111</v>
      </c>
      <c r="C12" s="239">
        <v>73</v>
      </c>
      <c r="D12" s="239">
        <v>130</v>
      </c>
      <c r="E12" s="239">
        <v>237</v>
      </c>
      <c r="F12" s="239">
        <v>219</v>
      </c>
      <c r="G12" s="239"/>
      <c r="H12" s="240">
        <f t="shared" si="0"/>
        <v>-7.59493670886076</v>
      </c>
      <c r="I12" s="240">
        <f t="shared" si="1"/>
        <v>5.488721804511278</v>
      </c>
      <c r="J12" s="98" t="s">
        <v>228</v>
      </c>
      <c r="L12" s="361"/>
      <c r="M12" s="480"/>
      <c r="N12" s="219"/>
      <c r="O12" s="219"/>
      <c r="P12" s="219"/>
      <c r="Q12" s="219"/>
      <c r="R12" s="219"/>
    </row>
    <row r="13" spans="1:18" s="71" customFormat="1" ht="18.75">
      <c r="A13" s="138" t="s">
        <v>229</v>
      </c>
      <c r="B13" s="241">
        <v>499</v>
      </c>
      <c r="C13" s="241">
        <v>642</v>
      </c>
      <c r="D13" s="241">
        <v>687</v>
      </c>
      <c r="E13" s="241">
        <v>653</v>
      </c>
      <c r="F13" s="241">
        <v>480</v>
      </c>
      <c r="G13" s="241"/>
      <c r="H13" s="242">
        <f t="shared" si="0"/>
        <v>-26.493108728943337</v>
      </c>
      <c r="I13" s="242">
        <f>F13/$F$6*100</f>
        <v>12.030075187969924</v>
      </c>
      <c r="J13" s="99" t="s">
        <v>230</v>
      </c>
      <c r="L13" s="361"/>
      <c r="M13" s="480"/>
      <c r="N13" s="219"/>
      <c r="O13" s="219"/>
      <c r="P13" s="219"/>
      <c r="Q13" s="219"/>
      <c r="R13" s="219"/>
    </row>
    <row r="14" spans="1:18">
      <c r="A14" s="1" t="s">
        <v>29</v>
      </c>
      <c r="B14" s="206"/>
      <c r="C14" s="206"/>
      <c r="D14" s="206"/>
      <c r="E14" s="206"/>
      <c r="F14" s="206"/>
      <c r="G14" s="206"/>
      <c r="H14" s="206"/>
      <c r="I14" s="206"/>
      <c r="J14" s="164" t="s">
        <v>78</v>
      </c>
      <c r="L14" s="361"/>
      <c r="M14" s="481"/>
      <c r="N14" s="3"/>
      <c r="O14" s="3"/>
      <c r="P14" s="3"/>
      <c r="Q14" s="3"/>
      <c r="R14" s="3"/>
    </row>
    <row r="15" spans="1:18">
      <c r="L15" s="70"/>
      <c r="M15" s="273"/>
      <c r="N15" s="3"/>
      <c r="O15" s="3"/>
      <c r="P15" s="3"/>
      <c r="Q15" s="3"/>
      <c r="R15" s="3"/>
    </row>
    <row r="16" spans="1:18">
      <c r="A16" s="11"/>
      <c r="L16" s="70"/>
      <c r="M16" s="273"/>
      <c r="N16" s="3"/>
      <c r="O16" s="3"/>
      <c r="P16" s="3"/>
      <c r="Q16" s="3"/>
      <c r="R16" s="3"/>
    </row>
    <row r="17" spans="1:18">
      <c r="L17" s="70"/>
      <c r="M17" s="273"/>
      <c r="N17" s="3"/>
      <c r="O17" s="3"/>
      <c r="P17" s="3"/>
      <c r="Q17" s="3"/>
      <c r="R17" s="3"/>
    </row>
    <row r="18" spans="1:18">
      <c r="L18" s="70"/>
      <c r="M18" s="273"/>
      <c r="N18" s="3"/>
      <c r="O18" s="3"/>
      <c r="P18" s="3"/>
      <c r="Q18" s="3"/>
      <c r="R18" s="3"/>
    </row>
    <row r="19" spans="1:18">
      <c r="L19" s="70"/>
      <c r="M19" s="273"/>
      <c r="N19" s="3"/>
      <c r="O19" s="3"/>
      <c r="P19" s="3"/>
      <c r="Q19" s="3"/>
      <c r="R19" s="3"/>
    </row>
    <row r="20" spans="1:18">
      <c r="L20" s="70"/>
      <c r="M20" s="273"/>
      <c r="N20" s="3"/>
      <c r="O20" s="3"/>
      <c r="P20" s="3"/>
      <c r="Q20" s="3"/>
      <c r="R20" s="3"/>
    </row>
    <row r="21" spans="1:18" ht="17.25">
      <c r="A21" s="6"/>
      <c r="B21" s="7"/>
      <c r="C21" s="8"/>
      <c r="D21" s="8"/>
      <c r="E21" s="8"/>
      <c r="F21" s="8"/>
      <c r="G21" s="8"/>
      <c r="H21" s="8"/>
      <c r="I21" s="8"/>
      <c r="J21" s="9"/>
      <c r="L21" s="70"/>
      <c r="M21" s="273"/>
      <c r="N21" s="3"/>
      <c r="O21" s="3"/>
      <c r="P21" s="3"/>
      <c r="Q21" s="3"/>
      <c r="R21" s="3"/>
    </row>
    <row r="22" spans="1:18">
      <c r="L22" s="70"/>
      <c r="M22" s="273"/>
      <c r="N22" s="3"/>
      <c r="O22" s="3"/>
      <c r="P22" s="3"/>
      <c r="Q22" s="3"/>
      <c r="R22" s="3"/>
    </row>
    <row r="23" spans="1:18">
      <c r="M23" s="3"/>
      <c r="N23" s="3"/>
      <c r="O23" s="3"/>
      <c r="P23" s="3"/>
      <c r="Q23" s="3"/>
      <c r="R23" s="3"/>
    </row>
  </sheetData>
  <mergeCells count="9">
    <mergeCell ref="A1:J1"/>
    <mergeCell ref="A2:J2"/>
    <mergeCell ref="A3:A5"/>
    <mergeCell ref="B3:B5"/>
    <mergeCell ref="C3:C5"/>
    <mergeCell ref="J3:J5"/>
    <mergeCell ref="D3:D5"/>
    <mergeCell ref="E3:E5"/>
    <mergeCell ref="F3:F5"/>
  </mergeCells>
  <pageMargins left="0.17" right="0.51" top="0.42" bottom="0.44" header="0.3" footer="0.3"/>
  <pageSetup paperSize="9" scale="9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31"/>
  <sheetViews>
    <sheetView view="pageBreakPreview" zoomScale="115" zoomScaleNormal="100" zoomScaleSheetLayoutView="115" workbookViewId="0">
      <selection activeCell="A2" sqref="A2:J2"/>
    </sheetView>
  </sheetViews>
  <sheetFormatPr defaultColWidth="9.140625" defaultRowHeight="15"/>
  <cols>
    <col min="1" max="1" width="14.5703125" style="2" customWidth="1"/>
    <col min="2" max="6" width="11.42578125" style="2" customWidth="1"/>
    <col min="7" max="7" width="2.7109375" style="2" customWidth="1"/>
    <col min="8" max="8" width="15.7109375" style="2" bestFit="1" customWidth="1"/>
    <col min="9" max="9" width="14.7109375" style="2" customWidth="1"/>
    <col min="10" max="10" width="23.7109375" style="2" customWidth="1"/>
    <col min="11" max="11" width="7.5703125" style="2" customWidth="1"/>
    <col min="12" max="16" width="9.140625" style="2"/>
    <col min="17" max="17" width="18.7109375" style="2" customWidth="1"/>
    <col min="18" max="18" width="9.140625" style="2"/>
    <col min="19" max="19" width="13.7109375" style="2" customWidth="1"/>
    <col min="20" max="16384" width="9.140625" style="2"/>
  </cols>
  <sheetData>
    <row r="1" spans="1:18" ht="21">
      <c r="A1" s="874" t="s">
        <v>302</v>
      </c>
      <c r="B1" s="875"/>
      <c r="C1" s="875"/>
      <c r="D1" s="875"/>
      <c r="E1" s="875"/>
      <c r="F1" s="875"/>
      <c r="G1" s="875"/>
      <c r="H1" s="875"/>
      <c r="I1" s="875"/>
      <c r="J1" s="875"/>
    </row>
    <row r="2" spans="1:18" ht="21.75" customHeight="1">
      <c r="A2" s="865" t="s">
        <v>303</v>
      </c>
      <c r="B2" s="865"/>
      <c r="C2" s="865"/>
      <c r="D2" s="865"/>
      <c r="E2" s="865"/>
      <c r="F2" s="865"/>
      <c r="G2" s="865"/>
      <c r="H2" s="904"/>
      <c r="I2" s="904"/>
      <c r="J2" s="865"/>
    </row>
    <row r="3" spans="1:18" ht="14.25" customHeight="1">
      <c r="A3" s="898" t="s">
        <v>128</v>
      </c>
      <c r="B3" s="905">
        <v>2011</v>
      </c>
      <c r="C3" s="905">
        <v>2012</v>
      </c>
      <c r="D3" s="905">
        <v>2013</v>
      </c>
      <c r="E3" s="905">
        <v>2014</v>
      </c>
      <c r="F3" s="905">
        <v>2015</v>
      </c>
      <c r="G3" s="243"/>
      <c r="H3" s="463" t="s">
        <v>172</v>
      </c>
      <c r="I3" s="853">
        <v>2015</v>
      </c>
      <c r="J3" s="891" t="s">
        <v>151</v>
      </c>
    </row>
    <row r="4" spans="1:18" ht="15.75" customHeight="1">
      <c r="A4" s="899"/>
      <c r="B4" s="906"/>
      <c r="C4" s="906"/>
      <c r="D4" s="906"/>
      <c r="E4" s="906"/>
      <c r="F4" s="906"/>
      <c r="G4" s="213"/>
      <c r="H4" s="236" t="s">
        <v>174</v>
      </c>
      <c r="I4" s="213" t="s">
        <v>216</v>
      </c>
      <c r="J4" s="892"/>
      <c r="M4" s="3"/>
      <c r="N4" s="3"/>
      <c r="O4" s="3"/>
      <c r="P4" s="3"/>
      <c r="Q4" s="3"/>
      <c r="R4" s="3"/>
    </row>
    <row r="5" spans="1:18" ht="15.75" customHeight="1">
      <c r="A5" s="900"/>
      <c r="B5" s="907"/>
      <c r="C5" s="907"/>
      <c r="D5" s="907"/>
      <c r="E5" s="907"/>
      <c r="F5" s="907"/>
      <c r="G5" s="4"/>
      <c r="H5" s="4" t="s">
        <v>292</v>
      </c>
      <c r="I5" s="4" t="s">
        <v>217</v>
      </c>
      <c r="J5" s="908"/>
      <c r="M5" s="3"/>
      <c r="N5" s="3"/>
      <c r="O5" s="3"/>
      <c r="P5" s="3"/>
      <c r="Q5" s="3"/>
      <c r="R5" s="3"/>
    </row>
    <row r="6" spans="1:18" ht="18.75">
      <c r="A6" s="136" t="s">
        <v>0</v>
      </c>
      <c r="B6" s="278">
        <f>B7+B14+B21</f>
        <v>1823</v>
      </c>
      <c r="C6" s="278">
        <f>C7+C14+C21</f>
        <v>2534</v>
      </c>
      <c r="D6" s="326">
        <f>D7+D14+D21</f>
        <v>3965</v>
      </c>
      <c r="E6" s="326">
        <f>E7+E14+E21</f>
        <v>3140</v>
      </c>
      <c r="F6" s="326">
        <f>F7+F14+F21</f>
        <v>2078</v>
      </c>
      <c r="G6" s="208"/>
      <c r="H6" s="850">
        <f t="shared" ref="H6:H21" si="0">((F6-E6)/E6*100)</f>
        <v>-33.821656050955411</v>
      </c>
      <c r="I6" s="854">
        <f>F6/F6*100</f>
        <v>100</v>
      </c>
      <c r="J6" s="244" t="s">
        <v>63</v>
      </c>
      <c r="M6" s="3"/>
      <c r="N6" s="3"/>
      <c r="O6" s="3"/>
      <c r="P6" s="3"/>
      <c r="Q6" s="3"/>
      <c r="R6" s="3"/>
    </row>
    <row r="7" spans="1:18" s="95" customFormat="1" ht="18.75">
      <c r="A7" s="136" t="s">
        <v>9</v>
      </c>
      <c r="B7" s="208">
        <f>SUM(B8:B13)</f>
        <v>1618</v>
      </c>
      <c r="C7" s="208">
        <f>SUM(C8:C13)</f>
        <v>2349</v>
      </c>
      <c r="D7" s="208">
        <f>SUM(D8:D13)</f>
        <v>3444</v>
      </c>
      <c r="E7" s="208">
        <f>SUM(E8:E13)</f>
        <v>2868</v>
      </c>
      <c r="F7" s="208">
        <f>SUM(F8:F13)</f>
        <v>1912</v>
      </c>
      <c r="G7" s="208"/>
      <c r="H7" s="253">
        <f t="shared" si="0"/>
        <v>-33.333333333333329</v>
      </c>
      <c r="I7" s="855">
        <f>F7/$F$6*100</f>
        <v>92.011549566891233</v>
      </c>
      <c r="J7" s="244" t="s">
        <v>231</v>
      </c>
      <c r="K7" s="208"/>
      <c r="L7" s="579"/>
      <c r="M7" s="225"/>
      <c r="N7" s="225"/>
      <c r="O7" s="225"/>
      <c r="P7" s="225"/>
      <c r="Q7" s="225"/>
      <c r="R7" s="225"/>
    </row>
    <row r="8" spans="1:18" ht="18.75">
      <c r="A8" s="245" t="s">
        <v>232</v>
      </c>
      <c r="B8" s="209">
        <v>660</v>
      </c>
      <c r="C8" s="209">
        <v>1374</v>
      </c>
      <c r="D8" s="209">
        <v>2139</v>
      </c>
      <c r="E8" s="209">
        <v>2036</v>
      </c>
      <c r="F8" s="209">
        <v>1152</v>
      </c>
      <c r="G8" s="209"/>
      <c r="H8" s="240">
        <f t="shared" si="0"/>
        <v>-43.418467583497055</v>
      </c>
      <c r="I8" s="856">
        <f>F8/$F$6*100</f>
        <v>55.437921077959572</v>
      </c>
      <c r="J8" s="98" t="s">
        <v>233</v>
      </c>
      <c r="K8" s="209"/>
      <c r="M8" s="3"/>
      <c r="N8" s="3"/>
      <c r="O8" s="3"/>
      <c r="P8" s="3"/>
      <c r="Q8" s="3"/>
      <c r="R8" s="3"/>
    </row>
    <row r="9" spans="1:18" ht="18.75">
      <c r="A9" s="245" t="s">
        <v>234</v>
      </c>
      <c r="B9" s="209">
        <v>842</v>
      </c>
      <c r="C9" s="209">
        <v>809</v>
      </c>
      <c r="D9" s="209">
        <v>833</v>
      </c>
      <c r="E9" s="209">
        <v>597</v>
      </c>
      <c r="F9" s="209">
        <v>578</v>
      </c>
      <c r="G9" s="209"/>
      <c r="H9" s="240">
        <f t="shared" si="0"/>
        <v>-3.1825795644891124</v>
      </c>
      <c r="I9" s="856">
        <f>F9/$F$6*100</f>
        <v>27.815206929740132</v>
      </c>
      <c r="J9" s="98" t="s">
        <v>235</v>
      </c>
      <c r="K9" s="209"/>
      <c r="M9" s="3"/>
      <c r="N9" s="3"/>
      <c r="O9" s="3"/>
      <c r="P9" s="3"/>
      <c r="Q9" s="3"/>
      <c r="R9" s="3"/>
    </row>
    <row r="10" spans="1:18" ht="18.75">
      <c r="A10" s="245" t="s">
        <v>242</v>
      </c>
      <c r="B10" s="209" t="s">
        <v>275</v>
      </c>
      <c r="C10" s="209" t="s">
        <v>275</v>
      </c>
      <c r="D10" s="209">
        <v>2</v>
      </c>
      <c r="E10" s="209">
        <v>7</v>
      </c>
      <c r="F10" s="209">
        <v>2</v>
      </c>
      <c r="G10" s="209"/>
      <c r="H10" s="240">
        <f t="shared" si="0"/>
        <v>-71.428571428571431</v>
      </c>
      <c r="I10" s="856">
        <f t="shared" ref="I10:I21" si="1">F10/$F$6*100</f>
        <v>9.6246390760346495E-2</v>
      </c>
      <c r="J10" s="98" t="s">
        <v>243</v>
      </c>
      <c r="K10" s="209"/>
      <c r="M10" s="3"/>
      <c r="N10" s="3"/>
      <c r="O10" s="3"/>
      <c r="P10" s="3"/>
      <c r="Q10" s="3"/>
      <c r="R10" s="3"/>
    </row>
    <row r="11" spans="1:18" ht="18.75">
      <c r="A11" s="245" t="s">
        <v>236</v>
      </c>
      <c r="B11" s="209">
        <v>87</v>
      </c>
      <c r="C11" s="209">
        <v>106</v>
      </c>
      <c r="D11" s="209">
        <v>130</v>
      </c>
      <c r="E11" s="209">
        <v>98</v>
      </c>
      <c r="F11" s="209">
        <v>71</v>
      </c>
      <c r="G11" s="209"/>
      <c r="H11" s="240">
        <f t="shared" si="0"/>
        <v>-27.551020408163261</v>
      </c>
      <c r="I11" s="856">
        <f t="shared" si="1"/>
        <v>3.4167468719923004</v>
      </c>
      <c r="J11" s="98" t="s">
        <v>237</v>
      </c>
      <c r="K11" s="209"/>
      <c r="M11" s="3"/>
      <c r="N11" s="3"/>
      <c r="O11" s="3"/>
      <c r="P11" s="3"/>
      <c r="Q11" s="3"/>
      <c r="R11" s="3"/>
    </row>
    <row r="12" spans="1:18" ht="18.75">
      <c r="A12" s="245" t="s">
        <v>238</v>
      </c>
      <c r="B12" s="209">
        <v>29</v>
      </c>
      <c r="C12" s="209">
        <v>60</v>
      </c>
      <c r="D12" s="209">
        <v>38</v>
      </c>
      <c r="E12" s="209">
        <v>27</v>
      </c>
      <c r="F12" s="209">
        <v>73</v>
      </c>
      <c r="G12" s="209"/>
      <c r="H12" s="240">
        <f t="shared" si="0"/>
        <v>170.37037037037038</v>
      </c>
      <c r="I12" s="856">
        <f t="shared" si="1"/>
        <v>3.512993262752647</v>
      </c>
      <c r="J12" s="98" t="s">
        <v>239</v>
      </c>
      <c r="K12" s="209"/>
      <c r="M12" s="3"/>
      <c r="N12" s="3"/>
      <c r="O12" s="3"/>
      <c r="P12" s="3"/>
      <c r="Q12" s="3"/>
      <c r="R12" s="3"/>
    </row>
    <row r="13" spans="1:18" ht="18.75">
      <c r="A13" s="245" t="s">
        <v>274</v>
      </c>
      <c r="B13" s="209" t="s">
        <v>275</v>
      </c>
      <c r="C13" s="209" t="s">
        <v>275</v>
      </c>
      <c r="D13" s="209">
        <v>302</v>
      </c>
      <c r="E13" s="209">
        <v>103</v>
      </c>
      <c r="F13" s="209">
        <v>36</v>
      </c>
      <c r="G13" s="209"/>
      <c r="H13" s="240">
        <f t="shared" si="0"/>
        <v>-65.048543689320397</v>
      </c>
      <c r="I13" s="856">
        <f t="shared" si="1"/>
        <v>1.7324350336862366</v>
      </c>
      <c r="J13" s="270" t="s">
        <v>28</v>
      </c>
      <c r="K13" s="209"/>
      <c r="M13" s="3"/>
      <c r="N13" s="3"/>
      <c r="O13" s="3"/>
      <c r="P13" s="3"/>
      <c r="Q13" s="3"/>
      <c r="R13" s="3"/>
    </row>
    <row r="14" spans="1:18" s="95" customFormat="1" ht="18.75">
      <c r="A14" s="136" t="s">
        <v>240</v>
      </c>
      <c r="B14" s="208">
        <f>SUM(B15:B20)</f>
        <v>182</v>
      </c>
      <c r="C14" s="208">
        <f>SUM(C15:C20)</f>
        <v>166</v>
      </c>
      <c r="D14" s="208">
        <f>SUM(D15:D20)</f>
        <v>502</v>
      </c>
      <c r="E14" s="208">
        <f>SUM(E15:E20)</f>
        <v>262</v>
      </c>
      <c r="F14" s="208">
        <f>SUM(F15:F20)</f>
        <v>161</v>
      </c>
      <c r="G14" s="208"/>
      <c r="H14" s="253">
        <f t="shared" si="0"/>
        <v>-38.549618320610683</v>
      </c>
      <c r="I14" s="855">
        <f>F14/$F$6*100</f>
        <v>7.747834456207892</v>
      </c>
      <c r="J14" s="244" t="s">
        <v>241</v>
      </c>
      <c r="K14" s="208"/>
      <c r="L14" s="579"/>
      <c r="M14" s="225"/>
      <c r="N14" s="225"/>
      <c r="O14" s="225"/>
      <c r="P14" s="225"/>
      <c r="Q14" s="225"/>
      <c r="R14" s="225"/>
    </row>
    <row r="15" spans="1:18" ht="18.75">
      <c r="A15" s="245" t="s">
        <v>232</v>
      </c>
      <c r="B15" s="209">
        <v>65</v>
      </c>
      <c r="C15" s="209">
        <v>71</v>
      </c>
      <c r="D15" s="209">
        <v>75</v>
      </c>
      <c r="E15" s="209">
        <v>62</v>
      </c>
      <c r="F15" s="209">
        <v>63</v>
      </c>
      <c r="G15" s="209"/>
      <c r="H15" s="240">
        <f t="shared" si="0"/>
        <v>1.6129032258064515</v>
      </c>
      <c r="I15" s="856">
        <f t="shared" si="1"/>
        <v>3.0317613089509141</v>
      </c>
      <c r="J15" s="98" t="s">
        <v>233</v>
      </c>
      <c r="K15" s="209"/>
      <c r="M15" s="3"/>
      <c r="N15" s="3"/>
      <c r="O15" s="3"/>
      <c r="P15" s="3"/>
      <c r="Q15" s="3"/>
      <c r="R15" s="3"/>
    </row>
    <row r="16" spans="1:18" ht="18.75">
      <c r="A16" s="245" t="s">
        <v>234</v>
      </c>
      <c r="B16" s="209">
        <v>96</v>
      </c>
      <c r="C16" s="209">
        <v>55</v>
      </c>
      <c r="D16" s="209">
        <v>359</v>
      </c>
      <c r="E16" s="209">
        <v>170</v>
      </c>
      <c r="F16" s="209">
        <v>55</v>
      </c>
      <c r="G16" s="209"/>
      <c r="H16" s="240">
        <f t="shared" si="0"/>
        <v>-67.64705882352942</v>
      </c>
      <c r="I16" s="856">
        <f t="shared" si="1"/>
        <v>2.6467757459095282</v>
      </c>
      <c r="J16" s="98" t="s">
        <v>235</v>
      </c>
      <c r="K16" s="209"/>
      <c r="M16" s="3"/>
      <c r="N16" s="3"/>
      <c r="O16" s="3"/>
      <c r="P16" s="3"/>
      <c r="Q16" s="3"/>
      <c r="R16" s="3"/>
    </row>
    <row r="17" spans="1:19" ht="18.75">
      <c r="A17" s="245" t="s">
        <v>242</v>
      </c>
      <c r="B17" s="209">
        <v>8</v>
      </c>
      <c r="C17" s="209">
        <v>17</v>
      </c>
      <c r="D17" s="209">
        <v>17</v>
      </c>
      <c r="E17" s="209">
        <v>13</v>
      </c>
      <c r="F17" s="209">
        <v>13</v>
      </c>
      <c r="G17" s="209"/>
      <c r="H17" s="240">
        <f t="shared" si="0"/>
        <v>0</v>
      </c>
      <c r="I17" s="856">
        <f t="shared" si="1"/>
        <v>0.62560153994225209</v>
      </c>
      <c r="J17" s="98" t="s">
        <v>243</v>
      </c>
      <c r="K17" s="209"/>
      <c r="M17" s="3"/>
      <c r="N17" s="3"/>
      <c r="O17" s="3"/>
      <c r="P17" s="3"/>
      <c r="Q17" s="3"/>
      <c r="R17" s="3"/>
    </row>
    <row r="18" spans="1:19" ht="18.75">
      <c r="A18" s="245" t="s">
        <v>236</v>
      </c>
      <c r="B18" s="209">
        <v>7</v>
      </c>
      <c r="C18" s="209">
        <v>11</v>
      </c>
      <c r="D18" s="209">
        <v>11</v>
      </c>
      <c r="E18" s="209">
        <v>3</v>
      </c>
      <c r="F18" s="209">
        <v>9</v>
      </c>
      <c r="G18" s="209"/>
      <c r="H18" s="240">
        <f t="shared" si="0"/>
        <v>200</v>
      </c>
      <c r="I18" s="856">
        <f t="shared" si="1"/>
        <v>0.43310875842155916</v>
      </c>
      <c r="J18" s="98" t="s">
        <v>237</v>
      </c>
      <c r="K18" s="209"/>
      <c r="M18" s="3"/>
      <c r="N18" s="3"/>
      <c r="O18" s="3"/>
      <c r="P18" s="3"/>
      <c r="Q18" s="3"/>
      <c r="R18" s="3"/>
    </row>
    <row r="19" spans="1:19" ht="18.75">
      <c r="A19" s="245" t="s">
        <v>238</v>
      </c>
      <c r="B19" s="209">
        <v>4</v>
      </c>
      <c r="C19" s="209">
        <v>12</v>
      </c>
      <c r="D19" s="209">
        <v>6</v>
      </c>
      <c r="E19" s="209">
        <v>3</v>
      </c>
      <c r="F19" s="209">
        <v>13</v>
      </c>
      <c r="G19" s="209"/>
      <c r="H19" s="240">
        <f t="shared" si="0"/>
        <v>333.33333333333337</v>
      </c>
      <c r="I19" s="856">
        <f t="shared" si="1"/>
        <v>0.62560153994225209</v>
      </c>
      <c r="J19" s="98" t="s">
        <v>239</v>
      </c>
      <c r="K19" s="209"/>
      <c r="M19" s="3"/>
      <c r="N19" s="3"/>
      <c r="O19" s="3"/>
      <c r="P19" s="3"/>
      <c r="Q19" s="3"/>
      <c r="R19" s="3"/>
    </row>
    <row r="20" spans="1:19" s="70" customFormat="1" ht="18.75">
      <c r="A20" s="245" t="s">
        <v>27</v>
      </c>
      <c r="B20" s="209">
        <v>2</v>
      </c>
      <c r="C20" s="209">
        <v>0</v>
      </c>
      <c r="D20" s="209">
        <v>34</v>
      </c>
      <c r="E20" s="209">
        <v>11</v>
      </c>
      <c r="F20" s="209">
        <v>8</v>
      </c>
      <c r="G20" s="209"/>
      <c r="H20" s="240">
        <f t="shared" si="0"/>
        <v>-27.27272727272727</v>
      </c>
      <c r="I20" s="856">
        <f t="shared" si="1"/>
        <v>0.38498556304138598</v>
      </c>
      <c r="J20" s="270" t="s">
        <v>28</v>
      </c>
      <c r="K20" s="209"/>
      <c r="L20" s="2"/>
      <c r="M20" s="273"/>
      <c r="N20" s="273"/>
      <c r="O20" s="273"/>
      <c r="P20" s="273"/>
      <c r="Q20" s="273"/>
      <c r="R20" s="273"/>
    </row>
    <row r="21" spans="1:19" s="579" customFormat="1" ht="38.25">
      <c r="A21" s="271" t="s">
        <v>272</v>
      </c>
      <c r="B21" s="272">
        <v>23</v>
      </c>
      <c r="C21" s="272">
        <v>19</v>
      </c>
      <c r="D21" s="272">
        <v>19</v>
      </c>
      <c r="E21" s="272">
        <v>10</v>
      </c>
      <c r="F21" s="272">
        <v>5</v>
      </c>
      <c r="G21" s="852"/>
      <c r="H21" s="851">
        <f t="shared" si="0"/>
        <v>-50</v>
      </c>
      <c r="I21" s="857">
        <f t="shared" si="1"/>
        <v>0.2406159769008662</v>
      </c>
      <c r="J21" s="838" t="s">
        <v>273</v>
      </c>
      <c r="K21" s="208"/>
      <c r="M21" s="225"/>
      <c r="N21" s="225"/>
      <c r="O21" s="225"/>
      <c r="P21" s="225"/>
      <c r="Q21" s="225"/>
    </row>
    <row r="22" spans="1:19" ht="15.6" customHeight="1">
      <c r="A22" s="1" t="s">
        <v>29</v>
      </c>
      <c r="B22" s="206"/>
      <c r="C22" s="206"/>
      <c r="D22" s="206"/>
      <c r="E22" s="206"/>
      <c r="F22" s="206"/>
      <c r="G22" s="206"/>
      <c r="H22" s="206"/>
      <c r="I22" s="164"/>
      <c r="J22" s="164" t="s">
        <v>78</v>
      </c>
      <c r="M22" s="3"/>
      <c r="N22" s="3"/>
      <c r="O22" s="3"/>
      <c r="P22" s="3"/>
      <c r="Q22" s="3"/>
      <c r="R22" s="3"/>
    </row>
    <row r="23" spans="1:19" ht="25.5" customHeight="1">
      <c r="A23" s="11"/>
      <c r="M23" s="3"/>
      <c r="N23" s="3"/>
      <c r="O23" s="3"/>
      <c r="P23" s="3"/>
      <c r="Q23" s="3"/>
      <c r="R23" s="3"/>
    </row>
    <row r="24" spans="1:19">
      <c r="M24" s="3"/>
      <c r="N24" s="3"/>
      <c r="O24" s="3"/>
      <c r="P24" s="3"/>
      <c r="Q24" s="3"/>
      <c r="R24" s="3"/>
    </row>
    <row r="25" spans="1:19">
      <c r="M25" s="3"/>
      <c r="N25" s="3"/>
      <c r="O25" s="3"/>
      <c r="P25" s="3"/>
      <c r="Q25" s="3"/>
      <c r="R25" s="3"/>
    </row>
    <row r="26" spans="1:19">
      <c r="M26" s="3"/>
      <c r="O26" s="3"/>
      <c r="P26" s="3"/>
      <c r="Q26" s="3"/>
      <c r="R26" s="3"/>
    </row>
    <row r="27" spans="1:19">
      <c r="M27" s="3"/>
      <c r="O27" s="3"/>
      <c r="P27" s="3"/>
      <c r="Q27" s="3"/>
      <c r="R27" s="3"/>
    </row>
    <row r="28" spans="1:19" ht="17.25">
      <c r="A28" s="6"/>
      <c r="B28" s="7"/>
      <c r="C28" s="7"/>
      <c r="D28" s="7"/>
      <c r="E28" s="7"/>
      <c r="F28" s="7"/>
      <c r="G28" s="7"/>
      <c r="H28" s="8"/>
      <c r="I28" s="8"/>
      <c r="J28" s="9"/>
      <c r="M28" s="3"/>
      <c r="N28" s="3"/>
      <c r="O28" s="3"/>
      <c r="P28" s="3"/>
      <c r="Q28" s="3"/>
      <c r="R28" s="3">
        <f>SUM(R29:R31)</f>
        <v>2078</v>
      </c>
      <c r="S28" s="2">
        <f>R28/R28*100</f>
        <v>100</v>
      </c>
    </row>
    <row r="29" spans="1:19">
      <c r="M29" s="3"/>
      <c r="N29" s="3"/>
      <c r="O29" s="3"/>
      <c r="P29" s="3"/>
      <c r="Q29" s="136" t="s">
        <v>9</v>
      </c>
      <c r="R29" s="208">
        <f>F7</f>
        <v>1912</v>
      </c>
      <c r="S29" s="325">
        <f>R29/R28*100</f>
        <v>92.011549566891233</v>
      </c>
    </row>
    <row r="30" spans="1:19">
      <c r="M30" s="3"/>
      <c r="N30" s="3"/>
      <c r="O30" s="3"/>
      <c r="P30" s="3"/>
      <c r="Q30" s="136" t="s">
        <v>240</v>
      </c>
      <c r="R30" s="208">
        <f>F14</f>
        <v>161</v>
      </c>
      <c r="S30" s="325">
        <f>R30/R28*100</f>
        <v>7.747834456207892</v>
      </c>
    </row>
    <row r="31" spans="1:19">
      <c r="Q31" s="248" t="s">
        <v>272</v>
      </c>
      <c r="R31" s="208">
        <f>F21</f>
        <v>5</v>
      </c>
      <c r="S31" s="325">
        <f>R31/R28*100</f>
        <v>0.2406159769008662</v>
      </c>
    </row>
  </sheetData>
  <mergeCells count="9">
    <mergeCell ref="A1:J1"/>
    <mergeCell ref="A2:J2"/>
    <mergeCell ref="A3:A5"/>
    <mergeCell ref="B3:B5"/>
    <mergeCell ref="C3:C5"/>
    <mergeCell ref="J3:J5"/>
    <mergeCell ref="D3:D5"/>
    <mergeCell ref="E3:E5"/>
    <mergeCell ref="F3:F5"/>
  </mergeCells>
  <pageMargins left="0.19" right="0.06" top="0.4" bottom="0.22" header="0.3" footer="0.16"/>
  <pageSetup paperSize="9" scale="91" orientation="landscape" r:id="rId1"/>
  <rowBreaks count="1" manualBreakCount="1">
    <brk id="22" max="9" man="1"/>
  </rowBreaks>
  <colBreaks count="1" manualBreakCount="1">
    <brk id="10" max="21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E2049"/>
  </sheetPr>
  <dimension ref="A1:K16"/>
  <sheetViews>
    <sheetView view="pageBreakPreview" zoomScaleNormal="100" zoomScaleSheetLayoutView="100" workbookViewId="0">
      <selection activeCell="N6" sqref="N6"/>
    </sheetView>
  </sheetViews>
  <sheetFormatPr defaultColWidth="9.140625" defaultRowHeight="15"/>
  <cols>
    <col min="1" max="1" width="13.5703125" style="70" customWidth="1"/>
    <col min="2" max="8" width="10.85546875" style="70" customWidth="1"/>
    <col min="9" max="9" width="13.85546875" style="70" customWidth="1"/>
    <col min="10" max="11" width="6.7109375" style="70" customWidth="1"/>
    <col min="12" max="16384" width="9.140625" style="70"/>
  </cols>
  <sheetData>
    <row r="1" spans="1:11" ht="21" customHeight="1">
      <c r="A1" s="911" t="s">
        <v>304</v>
      </c>
      <c r="B1" s="912"/>
      <c r="C1" s="912"/>
      <c r="D1" s="912"/>
      <c r="E1" s="912"/>
      <c r="F1" s="912"/>
      <c r="G1" s="912"/>
      <c r="H1" s="912"/>
      <c r="I1" s="912"/>
    </row>
    <row r="2" spans="1:11" ht="18.600000000000001" customHeight="1">
      <c r="A2" s="913" t="s">
        <v>305</v>
      </c>
      <c r="B2" s="913"/>
      <c r="C2" s="913"/>
      <c r="D2" s="913"/>
      <c r="E2" s="913"/>
      <c r="F2" s="913"/>
      <c r="G2" s="913"/>
      <c r="H2" s="913"/>
      <c r="I2" s="913"/>
      <c r="J2" s="72"/>
      <c r="K2" s="77"/>
    </row>
    <row r="3" spans="1:11" ht="6" hidden="1" customHeight="1">
      <c r="A3" s="368"/>
      <c r="B3" s="368"/>
      <c r="C3" s="368"/>
      <c r="D3" s="368"/>
      <c r="E3" s="368"/>
      <c r="F3" s="368"/>
      <c r="G3" s="368"/>
      <c r="H3" s="423"/>
      <c r="I3" s="368"/>
      <c r="J3" s="72"/>
      <c r="K3" s="77"/>
    </row>
    <row r="4" spans="1:11" ht="16.5" customHeight="1">
      <c r="A4" s="914" t="s">
        <v>133</v>
      </c>
      <c r="B4" s="916" t="s">
        <v>269</v>
      </c>
      <c r="C4" s="916"/>
      <c r="D4" s="916"/>
      <c r="E4" s="917" t="s">
        <v>132</v>
      </c>
      <c r="F4" s="917"/>
      <c r="G4" s="917"/>
      <c r="H4" s="917"/>
      <c r="I4" s="909" t="s">
        <v>129</v>
      </c>
      <c r="J4" s="74"/>
      <c r="K4" s="77"/>
    </row>
    <row r="5" spans="1:11">
      <c r="A5" s="915"/>
      <c r="B5" s="79">
        <v>2009</v>
      </c>
      <c r="C5" s="79">
        <v>2010</v>
      </c>
      <c r="D5" s="79">
        <v>2011</v>
      </c>
      <c r="E5" s="79">
        <v>2012</v>
      </c>
      <c r="F5" s="79">
        <v>2013</v>
      </c>
      <c r="G5" s="79">
        <v>2014</v>
      </c>
      <c r="H5" s="429">
        <v>2015</v>
      </c>
      <c r="I5" s="910"/>
      <c r="K5" s="77"/>
    </row>
    <row r="6" spans="1:11" ht="18.75">
      <c r="A6" s="260" t="s">
        <v>0</v>
      </c>
      <c r="B6" s="90">
        <f t="shared" ref="B6:G6" si="0">SUM(B7:B10)</f>
        <v>5627.6266999999998</v>
      </c>
      <c r="C6" s="90">
        <f t="shared" si="0"/>
        <v>3737.2701000000002</v>
      </c>
      <c r="D6" s="258">
        <f t="shared" si="0"/>
        <v>10180.494439999999</v>
      </c>
      <c r="E6" s="258">
        <f t="shared" si="0"/>
        <v>26936.360290000001</v>
      </c>
      <c r="F6" s="258">
        <f t="shared" si="0"/>
        <v>10288.645349999999</v>
      </c>
      <c r="G6" s="258">
        <f t="shared" si="0"/>
        <v>26925.248299999999</v>
      </c>
      <c r="H6" s="258">
        <f t="shared" ref="H6" si="1">SUM(H7:H10)</f>
        <v>0</v>
      </c>
      <c r="I6" s="261" t="s">
        <v>63</v>
      </c>
      <c r="K6" s="77"/>
    </row>
    <row r="7" spans="1:11" ht="21" customHeight="1">
      <c r="A7" s="262" t="s">
        <v>120</v>
      </c>
      <c r="B7" s="210">
        <v>1350.5146999999999</v>
      </c>
      <c r="C7" s="210">
        <v>1754.8649</v>
      </c>
      <c r="D7" s="211">
        <v>0</v>
      </c>
      <c r="E7" s="211">
        <v>0</v>
      </c>
      <c r="F7" s="211">
        <v>0</v>
      </c>
      <c r="G7" s="211">
        <v>0</v>
      </c>
      <c r="H7" s="425"/>
      <c r="I7" s="263" t="s">
        <v>138</v>
      </c>
      <c r="K7" s="77"/>
    </row>
    <row r="8" spans="1:11" ht="21" customHeight="1">
      <c r="A8" s="264" t="s">
        <v>121</v>
      </c>
      <c r="B8" s="210">
        <v>0</v>
      </c>
      <c r="C8" s="210">
        <v>0</v>
      </c>
      <c r="D8" s="211">
        <v>5154.4753999999994</v>
      </c>
      <c r="E8" s="211">
        <v>10107.0682</v>
      </c>
      <c r="F8" s="211">
        <v>8869.9667499999996</v>
      </c>
      <c r="G8" s="211">
        <v>21947.937300000001</v>
      </c>
      <c r="H8" s="425"/>
      <c r="I8" s="263" t="s">
        <v>136</v>
      </c>
      <c r="K8" s="77"/>
    </row>
    <row r="9" spans="1:11" ht="21" customHeight="1">
      <c r="A9" s="264" t="s">
        <v>122</v>
      </c>
      <c r="B9" s="211">
        <v>3739.5270999999998</v>
      </c>
      <c r="C9" s="211">
        <v>1957.8159000000001</v>
      </c>
      <c r="D9" s="210">
        <v>5026.0190400000001</v>
      </c>
      <c r="E9" s="210">
        <v>16821.554290000004</v>
      </c>
      <c r="F9" s="210">
        <v>1418.6786</v>
      </c>
      <c r="G9" s="210">
        <v>4977.3109999999997</v>
      </c>
      <c r="H9" s="427"/>
      <c r="I9" s="263" t="s">
        <v>130</v>
      </c>
      <c r="K9" s="77"/>
    </row>
    <row r="10" spans="1:11" ht="21" customHeight="1">
      <c r="A10" s="265" t="s">
        <v>123</v>
      </c>
      <c r="B10" s="259">
        <v>537.58489999999995</v>
      </c>
      <c r="C10" s="259">
        <v>24.589300000000001</v>
      </c>
      <c r="D10" s="212">
        <v>0</v>
      </c>
      <c r="E10" s="212">
        <v>7.7378</v>
      </c>
      <c r="F10" s="212">
        <v>0</v>
      </c>
      <c r="G10" s="212">
        <v>0</v>
      </c>
      <c r="H10" s="428"/>
      <c r="I10" s="266" t="s">
        <v>131</v>
      </c>
      <c r="K10" s="77"/>
    </row>
    <row r="11" spans="1:11" s="81" customFormat="1" ht="20.25" customHeight="1">
      <c r="A11" s="127" t="s">
        <v>29</v>
      </c>
      <c r="B11" s="127"/>
      <c r="C11" s="128"/>
      <c r="D11" s="129"/>
      <c r="E11" s="130"/>
      <c r="F11" s="130"/>
      <c r="G11" s="130"/>
      <c r="H11" s="130"/>
      <c r="I11" s="323" t="s">
        <v>137</v>
      </c>
      <c r="K11" s="80"/>
    </row>
    <row r="12" spans="1:11">
      <c r="A12" s="78"/>
      <c r="B12" s="78"/>
      <c r="C12" s="77"/>
      <c r="D12" s="77"/>
      <c r="E12" s="77"/>
      <c r="F12" s="77"/>
      <c r="G12" s="77"/>
      <c r="H12" s="77"/>
      <c r="I12" s="77"/>
      <c r="J12" s="77"/>
      <c r="K12" s="77"/>
    </row>
    <row r="13" spans="1:11">
      <c r="A13" s="78"/>
      <c r="B13" s="78"/>
      <c r="C13" s="77"/>
      <c r="D13" s="77"/>
      <c r="E13" s="77"/>
      <c r="F13" s="77"/>
      <c r="G13" s="77"/>
      <c r="H13" s="77"/>
      <c r="I13" s="77"/>
      <c r="J13" s="77"/>
      <c r="K13" s="77"/>
    </row>
    <row r="14" spans="1:11">
      <c r="A14" s="78"/>
      <c r="B14" s="78"/>
      <c r="C14" s="77"/>
      <c r="D14" s="77"/>
      <c r="E14" s="77"/>
      <c r="F14" s="77"/>
      <c r="G14" s="77"/>
      <c r="H14" s="77"/>
      <c r="I14" s="77"/>
      <c r="J14" s="77"/>
      <c r="K14" s="77"/>
    </row>
    <row r="15" spans="1:11">
      <c r="A15" s="78"/>
      <c r="B15" s="78"/>
      <c r="C15" s="77"/>
      <c r="D15" s="77"/>
      <c r="E15" s="77"/>
      <c r="F15" s="77"/>
      <c r="G15" s="77"/>
      <c r="H15" s="77"/>
      <c r="I15" s="77"/>
      <c r="J15" s="77"/>
      <c r="K15" s="77"/>
    </row>
    <row r="16" spans="1:11">
      <c r="A16" s="78"/>
      <c r="B16" s="78"/>
      <c r="C16" s="77"/>
      <c r="D16" s="77"/>
      <c r="E16" s="77"/>
      <c r="F16" s="77"/>
      <c r="G16" s="77"/>
      <c r="H16" s="77"/>
      <c r="I16" s="77"/>
      <c r="J16" s="77"/>
      <c r="K16" s="77"/>
    </row>
  </sheetData>
  <mergeCells count="6">
    <mergeCell ref="I4:I5"/>
    <mergeCell ref="A1:I1"/>
    <mergeCell ref="A2:I2"/>
    <mergeCell ref="A4:A5"/>
    <mergeCell ref="B4:D4"/>
    <mergeCell ref="E4:H4"/>
  </mergeCells>
  <pageMargins left="0.16" right="0.14000000000000001" top="0.16" bottom="0.75" header="0.16" footer="0.3"/>
  <pageSetup paperSize="9" scale="97" orientation="portrait" r:id="rId1"/>
  <colBreaks count="1" manualBreakCount="1">
    <brk id="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36"/>
  <sheetViews>
    <sheetView view="pageBreakPreview" zoomScaleNormal="70" zoomScaleSheetLayoutView="100" workbookViewId="0">
      <selection activeCell="A2" sqref="A2:J2"/>
    </sheetView>
  </sheetViews>
  <sheetFormatPr defaultColWidth="15.42578125" defaultRowHeight="15"/>
  <cols>
    <col min="1" max="1" width="23.42578125" style="2" customWidth="1"/>
    <col min="2" max="6" width="10.85546875" style="2" customWidth="1"/>
    <col min="7" max="7" width="1" style="559" customWidth="1"/>
    <col min="8" max="8" width="11.5703125" style="559" customWidth="1"/>
    <col min="9" max="9" width="17.42578125" style="2" customWidth="1"/>
    <col min="10" max="10" width="21.140625" style="2" customWidth="1"/>
    <col min="11" max="16384" width="15.42578125" style="2"/>
  </cols>
  <sheetData>
    <row r="1" spans="1:16" ht="18.75">
      <c r="A1" s="918" t="s">
        <v>306</v>
      </c>
      <c r="B1" s="919"/>
      <c r="C1" s="919"/>
      <c r="D1" s="919"/>
      <c r="E1" s="919"/>
      <c r="F1" s="919"/>
      <c r="G1" s="919"/>
      <c r="H1" s="919"/>
      <c r="I1" s="919"/>
      <c r="J1" s="919"/>
    </row>
    <row r="2" spans="1:16" ht="21.75" customHeight="1">
      <c r="A2" s="865" t="s">
        <v>307</v>
      </c>
      <c r="B2" s="865"/>
      <c r="C2" s="865"/>
      <c r="D2" s="865"/>
      <c r="E2" s="865"/>
      <c r="F2" s="865"/>
      <c r="G2" s="865"/>
      <c r="H2" s="865"/>
      <c r="I2" s="865"/>
      <c r="J2" s="865"/>
    </row>
    <row r="3" spans="1:16" ht="33.75" customHeight="1">
      <c r="A3" s="898" t="s">
        <v>128</v>
      </c>
      <c r="B3" s="905">
        <v>2011</v>
      </c>
      <c r="C3" s="905">
        <v>2012</v>
      </c>
      <c r="D3" s="905">
        <v>2013</v>
      </c>
      <c r="E3" s="905">
        <v>2014</v>
      </c>
      <c r="F3" s="905">
        <v>2015</v>
      </c>
      <c r="G3" s="840"/>
      <c r="H3" s="859" t="s">
        <v>795</v>
      </c>
      <c r="I3" s="839" t="s">
        <v>244</v>
      </c>
      <c r="J3" s="891" t="s">
        <v>215</v>
      </c>
      <c r="M3" s="3"/>
      <c r="N3" s="3"/>
      <c r="O3" s="3"/>
      <c r="P3" s="3"/>
    </row>
    <row r="4" spans="1:16" ht="25.5" customHeight="1">
      <c r="A4" s="900"/>
      <c r="B4" s="907"/>
      <c r="C4" s="907"/>
      <c r="D4" s="907"/>
      <c r="E4" s="907"/>
      <c r="F4" s="907"/>
      <c r="G4" s="841"/>
      <c r="H4" s="858" t="s">
        <v>796</v>
      </c>
      <c r="I4" s="4" t="s">
        <v>301</v>
      </c>
      <c r="J4" s="873"/>
      <c r="M4" s="3"/>
      <c r="N4" s="3"/>
      <c r="O4" s="3"/>
      <c r="P4" s="3"/>
    </row>
    <row r="5" spans="1:16" s="215" customFormat="1" ht="24.75" customHeight="1">
      <c r="A5" s="136" t="s">
        <v>0</v>
      </c>
      <c r="B5" s="237">
        <f>B6+B10</f>
        <v>1320</v>
      </c>
      <c r="C5" s="237">
        <f>C6+C10</f>
        <v>1264</v>
      </c>
      <c r="D5" s="237">
        <f>D6+D10</f>
        <v>1289</v>
      </c>
      <c r="E5" s="237">
        <f>E6+E10</f>
        <v>1062</v>
      </c>
      <c r="F5" s="237">
        <f>F6+F10</f>
        <v>935</v>
      </c>
      <c r="G5" s="237"/>
      <c r="H5" s="860">
        <f>F5/F5*100</f>
        <v>100</v>
      </c>
      <c r="I5" s="386">
        <f t="shared" ref="I5:I10" si="0">((F5-E5)/E5*100)</f>
        <v>-11.958568738229754</v>
      </c>
      <c r="J5" s="246" t="s">
        <v>63</v>
      </c>
      <c r="K5" s="362"/>
      <c r="L5" s="237"/>
      <c r="M5" s="216"/>
      <c r="N5" s="216"/>
      <c r="O5" s="216"/>
      <c r="P5" s="216"/>
    </row>
    <row r="6" spans="1:16" s="215" customFormat="1" ht="24.75" customHeight="1">
      <c r="A6" s="136" t="s">
        <v>245</v>
      </c>
      <c r="B6" s="247">
        <f>SUM(B7:B9)</f>
        <v>207</v>
      </c>
      <c r="C6" s="247">
        <f>SUM(C7:C9)</f>
        <v>158</v>
      </c>
      <c r="D6" s="247">
        <f>SUM(D7:D9)</f>
        <v>192</v>
      </c>
      <c r="E6" s="247">
        <f>SUM(E7:E9)</f>
        <v>268</v>
      </c>
      <c r="F6" s="247">
        <f>SUM(F7:F9)</f>
        <v>195</v>
      </c>
      <c r="G6" s="247"/>
      <c r="H6" s="861">
        <f>F6/$F$5*100</f>
        <v>20.855614973262032</v>
      </c>
      <c r="I6" s="386">
        <f t="shared" si="0"/>
        <v>-27.238805970149254</v>
      </c>
      <c r="J6" s="246" t="s">
        <v>246</v>
      </c>
      <c r="K6" s="247"/>
      <c r="L6" s="247"/>
      <c r="M6" s="216"/>
      <c r="N6" s="216"/>
      <c r="O6" s="216"/>
      <c r="P6" s="216"/>
    </row>
    <row r="7" spans="1:16" s="71" customFormat="1" ht="24.75" customHeight="1">
      <c r="A7" s="245" t="s">
        <v>247</v>
      </c>
      <c r="B7" s="239">
        <v>113</v>
      </c>
      <c r="C7" s="239">
        <v>34</v>
      </c>
      <c r="D7" s="239">
        <v>23</v>
      </c>
      <c r="E7" s="360">
        <v>20</v>
      </c>
      <c r="F7" s="360">
        <v>16</v>
      </c>
      <c r="G7" s="360"/>
      <c r="H7" s="862">
        <f>F7/$F$5*100</f>
        <v>1.7112299465240641</v>
      </c>
      <c r="I7" s="387">
        <f t="shared" si="0"/>
        <v>-20</v>
      </c>
      <c r="J7" s="98" t="s">
        <v>248</v>
      </c>
      <c r="K7" s="361"/>
      <c r="L7" s="239"/>
      <c r="M7" s="216"/>
      <c r="N7" s="219"/>
      <c r="O7" s="219"/>
      <c r="P7" s="219"/>
    </row>
    <row r="8" spans="1:16" s="71" customFormat="1" ht="24.75" customHeight="1">
      <c r="A8" s="245" t="s">
        <v>249</v>
      </c>
      <c r="B8" s="239">
        <v>49</v>
      </c>
      <c r="C8" s="239">
        <v>38</v>
      </c>
      <c r="D8" s="239">
        <v>26</v>
      </c>
      <c r="E8" s="360">
        <v>21</v>
      </c>
      <c r="F8" s="360">
        <v>20</v>
      </c>
      <c r="G8" s="360"/>
      <c r="H8" s="862">
        <f>F8/$F$5*100</f>
        <v>2.1390374331550799</v>
      </c>
      <c r="I8" s="387">
        <f t="shared" si="0"/>
        <v>-4.7619047619047619</v>
      </c>
      <c r="J8" s="98" t="s">
        <v>251</v>
      </c>
      <c r="K8" s="361"/>
      <c r="L8" s="361"/>
      <c r="M8" s="216"/>
      <c r="N8" s="219"/>
      <c r="O8" s="219"/>
      <c r="P8" s="219"/>
    </row>
    <row r="9" spans="1:16" s="71" customFormat="1" ht="24.75" customHeight="1">
      <c r="A9" s="245" t="s">
        <v>250</v>
      </c>
      <c r="B9" s="239">
        <v>45</v>
      </c>
      <c r="C9" s="239">
        <v>86</v>
      </c>
      <c r="D9" s="239">
        <v>143</v>
      </c>
      <c r="E9" s="360">
        <v>227</v>
      </c>
      <c r="F9" s="360">
        <v>159</v>
      </c>
      <c r="G9" s="360"/>
      <c r="H9" s="862">
        <f>F9/$F$5*100</f>
        <v>17.005347593582886</v>
      </c>
      <c r="I9" s="387">
        <f t="shared" si="0"/>
        <v>-29.955947136563875</v>
      </c>
      <c r="J9" s="98" t="s">
        <v>287</v>
      </c>
      <c r="K9" s="361"/>
      <c r="L9" s="361"/>
      <c r="M9" s="216"/>
      <c r="N9" s="219"/>
      <c r="O9" s="219"/>
      <c r="P9" s="219"/>
    </row>
    <row r="10" spans="1:16" s="328" customFormat="1" ht="24.75" customHeight="1">
      <c r="A10" s="248" t="s">
        <v>252</v>
      </c>
      <c r="B10" s="249">
        <v>1113</v>
      </c>
      <c r="C10" s="249">
        <v>1106</v>
      </c>
      <c r="D10" s="249">
        <v>1097</v>
      </c>
      <c r="E10" s="272">
        <v>794</v>
      </c>
      <c r="F10" s="272">
        <v>740</v>
      </c>
      <c r="G10" s="272"/>
      <c r="H10" s="863">
        <f>F10/$F$5*100</f>
        <v>79.144385026737979</v>
      </c>
      <c r="I10" s="327">
        <f t="shared" si="0"/>
        <v>-6.8010075566750636</v>
      </c>
      <c r="J10" s="250" t="s">
        <v>253</v>
      </c>
      <c r="K10" s="247"/>
      <c r="L10" s="247"/>
      <c r="M10" s="216"/>
      <c r="N10" s="216"/>
      <c r="O10" s="216"/>
      <c r="P10" s="216"/>
    </row>
    <row r="11" spans="1:16">
      <c r="A11" s="1" t="s">
        <v>29</v>
      </c>
      <c r="B11" s="206"/>
      <c r="C11" s="206"/>
      <c r="D11" s="206"/>
      <c r="E11" s="206"/>
      <c r="F11" s="206"/>
      <c r="G11" s="206"/>
      <c r="H11" s="206"/>
      <c r="I11" s="206"/>
      <c r="J11" s="164" t="s">
        <v>78</v>
      </c>
      <c r="L11" s="70"/>
      <c r="M11" s="3"/>
      <c r="N11" s="3"/>
      <c r="O11" s="3"/>
      <c r="P11" s="3"/>
    </row>
    <row r="12" spans="1:16">
      <c r="A12" s="235"/>
      <c r="B12" s="206"/>
      <c r="C12" s="206"/>
      <c r="D12" s="206"/>
      <c r="E12" s="206"/>
      <c r="F12" s="206"/>
      <c r="G12" s="206"/>
      <c r="H12" s="206"/>
      <c r="I12" s="206"/>
      <c r="J12" s="329"/>
      <c r="L12" s="70"/>
      <c r="M12" s="3"/>
      <c r="N12" s="3"/>
      <c r="O12" s="3"/>
      <c r="P12" s="3"/>
    </row>
    <row r="13" spans="1:16">
      <c r="L13" s="70"/>
      <c r="M13" s="3"/>
      <c r="N13" s="3"/>
      <c r="O13" s="3"/>
      <c r="P13" s="3"/>
    </row>
    <row r="14" spans="1:16">
      <c r="A14" s="11"/>
      <c r="L14" s="70"/>
      <c r="M14" s="3"/>
      <c r="N14" s="3"/>
      <c r="O14" s="3"/>
      <c r="P14" s="3"/>
    </row>
    <row r="15" spans="1:16">
      <c r="L15" s="70"/>
      <c r="M15" s="3"/>
      <c r="N15" s="3"/>
      <c r="O15" s="3"/>
      <c r="P15" s="3"/>
    </row>
    <row r="16" spans="1:16">
      <c r="L16" s="70"/>
      <c r="M16" s="3"/>
      <c r="N16" s="3"/>
      <c r="O16" s="3"/>
      <c r="P16" s="3"/>
    </row>
    <row r="17" spans="1:16">
      <c r="M17" s="3"/>
      <c r="N17" s="3"/>
      <c r="O17" s="3"/>
      <c r="P17" s="3"/>
    </row>
    <row r="18" spans="1:16">
      <c r="M18" s="3"/>
      <c r="N18" s="3"/>
      <c r="O18" s="3"/>
      <c r="P18" s="3"/>
    </row>
    <row r="19" spans="1:16" ht="17.25">
      <c r="A19" s="6"/>
      <c r="B19" s="7"/>
      <c r="C19" s="7"/>
      <c r="D19" s="7"/>
      <c r="E19" s="7"/>
      <c r="F19" s="7"/>
      <c r="G19" s="7"/>
      <c r="H19" s="7"/>
      <c r="I19" s="8"/>
      <c r="J19" s="9"/>
      <c r="M19" s="3"/>
      <c r="N19" s="3"/>
      <c r="O19" s="3"/>
      <c r="P19" s="3"/>
    </row>
    <row r="20" spans="1:16">
      <c r="M20" s="3"/>
      <c r="N20" s="3"/>
      <c r="O20" s="3"/>
      <c r="P20" s="3"/>
    </row>
    <row r="21" spans="1:16">
      <c r="M21" s="3"/>
      <c r="N21" s="3"/>
      <c r="O21" s="3"/>
      <c r="P21" s="3"/>
    </row>
    <row r="28" spans="1:16">
      <c r="K28" s="76"/>
      <c r="L28" s="76"/>
      <c r="M28" s="76"/>
    </row>
    <row r="29" spans="1:16">
      <c r="K29" s="215"/>
      <c r="L29" s="215"/>
      <c r="M29" s="76"/>
    </row>
    <row r="30" spans="1:16">
      <c r="N30" s="363" t="s">
        <v>245</v>
      </c>
      <c r="O30" s="207">
        <f>F6/F5*100</f>
        <v>20.855614973262032</v>
      </c>
      <c r="P30" s="76"/>
    </row>
    <row r="31" spans="1:16">
      <c r="N31" s="363" t="s">
        <v>252</v>
      </c>
      <c r="O31" s="207">
        <f>F10/F5*100</f>
        <v>79.144385026737979</v>
      </c>
      <c r="P31" s="76"/>
    </row>
    <row r="32" spans="1:16">
      <c r="K32" s="76"/>
      <c r="L32" s="76"/>
      <c r="M32" s="76"/>
      <c r="O32" s="248"/>
      <c r="P32" s="249"/>
    </row>
    <row r="33" spans="11:13">
      <c r="K33" s="76"/>
      <c r="L33" s="76"/>
      <c r="M33" s="76"/>
    </row>
    <row r="34" spans="11:13">
      <c r="K34" s="76"/>
      <c r="L34" s="76"/>
      <c r="M34" s="76"/>
    </row>
    <row r="35" spans="11:13">
      <c r="K35" s="76"/>
      <c r="L35" s="76"/>
      <c r="M35" s="76"/>
    </row>
    <row r="36" spans="11:13">
      <c r="K36" s="76"/>
      <c r="L36" s="76"/>
      <c r="M36" s="76"/>
    </row>
  </sheetData>
  <mergeCells count="9">
    <mergeCell ref="A1:J1"/>
    <mergeCell ref="A2:J2"/>
    <mergeCell ref="A3:A4"/>
    <mergeCell ref="B3:B4"/>
    <mergeCell ref="C3:C4"/>
    <mergeCell ref="J3:J4"/>
    <mergeCell ref="D3:D4"/>
    <mergeCell ref="E3:E4"/>
    <mergeCell ref="F3:F4"/>
  </mergeCells>
  <pageMargins left="0.2" right="0.17" top="0.3" bottom="0.75" header="0.3" footer="0.3"/>
  <pageSetup paperSize="9" scale="76" orientation="portrait" r:id="rId1"/>
  <colBreaks count="1" manualBreakCount="1">
    <brk id="10" max="1048575" man="1"/>
  </colBreaks>
  <ignoredErrors>
    <ignoredError sqref="B6:F6" formulaRange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K20"/>
  <sheetViews>
    <sheetView zoomScale="98" zoomScaleNormal="98" workbookViewId="0">
      <selection activeCell="A12" sqref="A12:XFD15"/>
    </sheetView>
  </sheetViews>
  <sheetFormatPr defaultColWidth="9.140625" defaultRowHeight="15"/>
  <cols>
    <col min="1" max="1" width="26.140625" style="2" customWidth="1"/>
    <col min="2" max="6" width="9.140625" style="2"/>
    <col min="7" max="8" width="19.7109375" style="2" customWidth="1"/>
    <col min="9" max="9" width="24.85546875" style="2" customWidth="1"/>
    <col min="10" max="10" width="25.7109375" style="2" customWidth="1"/>
    <col min="11" max="16384" width="9.140625" style="2"/>
  </cols>
  <sheetData>
    <row r="1" spans="1:11" ht="21">
      <c r="A1" s="874" t="s">
        <v>309</v>
      </c>
      <c r="B1" s="875"/>
      <c r="C1" s="875"/>
      <c r="D1" s="875"/>
      <c r="E1" s="875"/>
      <c r="F1" s="875"/>
      <c r="G1" s="875"/>
      <c r="H1" s="875"/>
      <c r="I1" s="875"/>
    </row>
    <row r="2" spans="1:11">
      <c r="A2" s="920" t="s">
        <v>310</v>
      </c>
      <c r="B2" s="920"/>
      <c r="C2" s="920"/>
      <c r="D2" s="920"/>
      <c r="E2" s="920"/>
      <c r="F2" s="920"/>
      <c r="G2" s="920"/>
      <c r="H2" s="920"/>
      <c r="I2" s="920"/>
    </row>
    <row r="3" spans="1:11" ht="31.9" customHeight="1">
      <c r="A3" s="898" t="s">
        <v>128</v>
      </c>
      <c r="B3" s="901">
        <v>2011</v>
      </c>
      <c r="C3" s="901">
        <v>2012</v>
      </c>
      <c r="D3" s="901">
        <v>2013</v>
      </c>
      <c r="E3" s="901">
        <v>2014</v>
      </c>
      <c r="F3" s="921">
        <v>2015</v>
      </c>
      <c r="G3" s="294" t="s">
        <v>244</v>
      </c>
      <c r="H3" s="422" t="s">
        <v>244</v>
      </c>
      <c r="I3" s="891" t="s">
        <v>215</v>
      </c>
    </row>
    <row r="4" spans="1:11" ht="12" customHeight="1">
      <c r="A4" s="900"/>
      <c r="B4" s="903"/>
      <c r="C4" s="903"/>
      <c r="D4" s="903"/>
      <c r="E4" s="903"/>
      <c r="F4" s="922"/>
      <c r="G4" s="4" t="s">
        <v>280</v>
      </c>
      <c r="H4" s="4" t="s">
        <v>292</v>
      </c>
      <c r="I4" s="873"/>
    </row>
    <row r="5" spans="1:11" s="95" customFormat="1" ht="23.25" customHeight="1">
      <c r="A5" s="136" t="s">
        <v>0</v>
      </c>
      <c r="B5" s="364">
        <f>SUM(B6:B11)</f>
        <v>171</v>
      </c>
      <c r="C5" s="364">
        <f>SUM(C6:C11)</f>
        <v>190</v>
      </c>
      <c r="D5" s="364">
        <f>SUM(D6:D11)</f>
        <v>183</v>
      </c>
      <c r="E5" s="388">
        <v>174</v>
      </c>
      <c r="F5" s="388">
        <f>SUM(F6:F11)</f>
        <v>171</v>
      </c>
      <c r="G5" s="252">
        <f>((E5-D5)/D5)*100</f>
        <v>-4.918032786885246</v>
      </c>
      <c r="H5" s="252">
        <f>((F5-E5)/E5)*100</f>
        <v>-1.7241379310344827</v>
      </c>
      <c r="I5" s="244" t="s">
        <v>63</v>
      </c>
      <c r="K5" s="75"/>
    </row>
    <row r="6" spans="1:11" s="75" customFormat="1" ht="23.25" customHeight="1">
      <c r="A6" s="137" t="s">
        <v>255</v>
      </c>
      <c r="B6" s="217">
        <v>3</v>
      </c>
      <c r="C6" s="217">
        <v>10</v>
      </c>
      <c r="D6" s="330">
        <v>3</v>
      </c>
      <c r="E6" s="361">
        <v>3</v>
      </c>
      <c r="F6" s="430">
        <v>11</v>
      </c>
      <c r="G6" s="240">
        <f t="shared" ref="G6:H9" si="0">((E6-D6)/D6*100)</f>
        <v>0</v>
      </c>
      <c r="H6" s="240">
        <f>((F6-E6)/E6*100)</f>
        <v>266.66666666666663</v>
      </c>
      <c r="I6" s="98" t="s">
        <v>256</v>
      </c>
    </row>
    <row r="7" spans="1:11" s="75" customFormat="1" ht="23.25" customHeight="1">
      <c r="A7" s="137" t="s">
        <v>257</v>
      </c>
      <c r="B7" s="217">
        <v>13</v>
      </c>
      <c r="C7" s="217">
        <v>8</v>
      </c>
      <c r="D7" s="330">
        <v>19</v>
      </c>
      <c r="E7" s="361">
        <v>12</v>
      </c>
      <c r="F7" s="430">
        <v>15</v>
      </c>
      <c r="G7" s="240">
        <f t="shared" si="0"/>
        <v>-36.84210526315789</v>
      </c>
      <c r="H7" s="240">
        <f t="shared" si="0"/>
        <v>25</v>
      </c>
      <c r="I7" s="226" t="s">
        <v>258</v>
      </c>
    </row>
    <row r="8" spans="1:11" s="75" customFormat="1" ht="23.25" customHeight="1">
      <c r="A8" s="137" t="s">
        <v>259</v>
      </c>
      <c r="B8" s="217">
        <v>13</v>
      </c>
      <c r="C8" s="217">
        <v>12</v>
      </c>
      <c r="D8" s="330">
        <v>15</v>
      </c>
      <c r="E8" s="361">
        <v>14</v>
      </c>
      <c r="F8" s="430">
        <v>11</v>
      </c>
      <c r="G8" s="240">
        <f t="shared" si="0"/>
        <v>-6.666666666666667</v>
      </c>
      <c r="H8" s="240">
        <f t="shared" si="0"/>
        <v>-21.428571428571427</v>
      </c>
      <c r="I8" s="226" t="s">
        <v>260</v>
      </c>
    </row>
    <row r="9" spans="1:11" s="75" customFormat="1" ht="23.25" customHeight="1">
      <c r="A9" s="137" t="s">
        <v>127</v>
      </c>
      <c r="B9" s="217">
        <v>7</v>
      </c>
      <c r="C9" s="217">
        <v>5</v>
      </c>
      <c r="D9" s="330">
        <v>2</v>
      </c>
      <c r="E9" s="361">
        <v>10</v>
      </c>
      <c r="F9" s="430">
        <v>11</v>
      </c>
      <c r="G9" s="240">
        <f t="shared" si="0"/>
        <v>400</v>
      </c>
      <c r="H9" s="240">
        <f t="shared" si="0"/>
        <v>10</v>
      </c>
      <c r="I9" s="226" t="s">
        <v>261</v>
      </c>
    </row>
    <row r="10" spans="1:11" s="75" customFormat="1" ht="23.25" customHeight="1">
      <c r="A10" s="137" t="s">
        <v>262</v>
      </c>
      <c r="B10" s="217">
        <v>8</v>
      </c>
      <c r="C10" s="217">
        <v>30</v>
      </c>
      <c r="D10" s="330">
        <v>15</v>
      </c>
      <c r="E10" s="361">
        <v>13</v>
      </c>
      <c r="F10" s="430">
        <v>18</v>
      </c>
      <c r="G10" s="240">
        <f t="shared" ref="G10:H11" si="1">((E10-D10)/D10*100)</f>
        <v>-13.333333333333334</v>
      </c>
      <c r="H10" s="240">
        <f>((F10-E10)/E10*100)</f>
        <v>38.461538461538467</v>
      </c>
      <c r="I10" s="226" t="s">
        <v>263</v>
      </c>
    </row>
    <row r="11" spans="1:11" s="439" customFormat="1" ht="23.25" customHeight="1">
      <c r="A11" s="432" t="s">
        <v>264</v>
      </c>
      <c r="B11" s="433">
        <v>127</v>
      </c>
      <c r="C11" s="433">
        <v>125</v>
      </c>
      <c r="D11" s="434">
        <v>129</v>
      </c>
      <c r="E11" s="435">
        <v>122</v>
      </c>
      <c r="F11" s="436">
        <v>105</v>
      </c>
      <c r="G11" s="437">
        <f t="shared" si="1"/>
        <v>-5.4263565891472867</v>
      </c>
      <c r="H11" s="437">
        <f t="shared" si="1"/>
        <v>-13.934426229508196</v>
      </c>
      <c r="I11" s="438" t="s">
        <v>265</v>
      </c>
      <c r="K11" s="70"/>
    </row>
    <row r="12" spans="1:11" s="75" customFormat="1" ht="23.25" customHeight="1">
      <c r="A12" s="460" t="s">
        <v>308</v>
      </c>
      <c r="B12" s="442"/>
      <c r="C12" s="442"/>
      <c r="D12" s="443"/>
      <c r="E12" s="436"/>
      <c r="F12" s="436"/>
      <c r="G12" s="444"/>
      <c r="H12" s="444"/>
      <c r="I12" s="445"/>
      <c r="K12" s="2"/>
    </row>
    <row r="13" spans="1:11" s="75" customFormat="1" ht="23.25" customHeight="1">
      <c r="A13" s="440"/>
      <c r="B13" s="442"/>
      <c r="C13" s="442"/>
      <c r="D13" s="443"/>
      <c r="E13" s="436"/>
      <c r="F13" s="436"/>
      <c r="G13" s="444"/>
      <c r="H13" s="444"/>
      <c r="I13" s="445"/>
      <c r="K13" s="2"/>
    </row>
    <row r="14" spans="1:11" s="75" customFormat="1" ht="23.25" customHeight="1">
      <c r="A14" s="440"/>
      <c r="B14" s="442"/>
      <c r="C14" s="442"/>
      <c r="D14" s="443"/>
      <c r="E14" s="436"/>
      <c r="F14" s="436"/>
      <c r="G14" s="444"/>
      <c r="H14" s="444"/>
      <c r="I14" s="445"/>
      <c r="K14" s="2"/>
    </row>
    <row r="15" spans="1:11" s="75" customFormat="1" ht="23.25" customHeight="1">
      <c r="A15" s="441"/>
      <c r="B15" s="446"/>
      <c r="C15" s="446"/>
      <c r="D15" s="447"/>
      <c r="E15" s="431"/>
      <c r="F15" s="431"/>
      <c r="G15" s="448"/>
      <c r="H15" s="448"/>
      <c r="I15" s="449"/>
      <c r="K15" s="2"/>
    </row>
    <row r="16" spans="1:11">
      <c r="A16" s="1" t="s">
        <v>29</v>
      </c>
      <c r="B16" s="206"/>
      <c r="C16" s="206"/>
      <c r="D16" s="206"/>
      <c r="E16" s="206"/>
      <c r="F16" s="206"/>
      <c r="G16" s="206"/>
      <c r="H16" s="206"/>
      <c r="I16" s="164" t="s">
        <v>78</v>
      </c>
    </row>
    <row r="20" spans="2:2">
      <c r="B20" s="5"/>
    </row>
  </sheetData>
  <mergeCells count="9">
    <mergeCell ref="A1:I1"/>
    <mergeCell ref="A2:I2"/>
    <mergeCell ref="A3:A4"/>
    <mergeCell ref="B3:B4"/>
    <mergeCell ref="C3:C4"/>
    <mergeCell ref="I3:I4"/>
    <mergeCell ref="D3:D4"/>
    <mergeCell ref="E3:E4"/>
    <mergeCell ref="F3:F4"/>
  </mergeCells>
  <pageMargins left="0.3" right="0.17" top="0.75" bottom="0.75" header="0.3" footer="0.3"/>
  <pageSetup paperSize="9" scale="95" orientation="landscape" r:id="rId1"/>
  <rowBreaks count="1" manualBreakCount="1">
    <brk id="16" max="8" man="1"/>
  </row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F31"/>
  <sheetViews>
    <sheetView view="pageBreakPreview" zoomScaleNormal="100" zoomScaleSheetLayoutView="100" workbookViewId="0">
      <selection activeCell="A2" sqref="A2:M2"/>
    </sheetView>
  </sheetViews>
  <sheetFormatPr defaultColWidth="9.140625" defaultRowHeight="15"/>
  <cols>
    <col min="1" max="1" width="16.28515625" style="2" customWidth="1"/>
    <col min="2" max="4" width="9.42578125" style="2" customWidth="1"/>
    <col min="5" max="5" width="10.85546875" style="2" bestFit="1" customWidth="1"/>
    <col min="6" max="9" width="10.5703125" style="2" bestFit="1" customWidth="1"/>
    <col min="10" max="10" width="16.42578125" style="2" customWidth="1"/>
    <col min="11" max="11" width="2.42578125" style="2" hidden="1" customWidth="1"/>
    <col min="12" max="12" width="14.140625" style="2" customWidth="1"/>
    <col min="13" max="13" width="14.7109375" style="2" customWidth="1"/>
    <col min="14" max="26" width="3.42578125" style="2" customWidth="1"/>
    <col min="27" max="16384" width="9.140625" style="2"/>
  </cols>
  <sheetData>
    <row r="1" spans="1:32" ht="21.75">
      <c r="A1" s="864" t="s">
        <v>311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  <c r="M1" s="864"/>
    </row>
    <row r="2" spans="1:32" ht="21.75" customHeight="1">
      <c r="A2" s="865" t="s">
        <v>312</v>
      </c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</row>
    <row r="3" spans="1:32" ht="33" customHeight="1">
      <c r="A3" s="898" t="s">
        <v>194</v>
      </c>
      <c r="B3" s="870">
        <v>2008</v>
      </c>
      <c r="C3" s="870">
        <v>2009</v>
      </c>
      <c r="D3" s="901">
        <v>2010</v>
      </c>
      <c r="E3" s="870">
        <v>2011</v>
      </c>
      <c r="F3" s="870">
        <v>2012</v>
      </c>
      <c r="G3" s="870">
        <v>2013</v>
      </c>
      <c r="H3" s="870">
        <v>2014</v>
      </c>
      <c r="I3" s="870">
        <v>2015</v>
      </c>
      <c r="J3" s="463" t="s">
        <v>244</v>
      </c>
      <c r="K3" s="461"/>
      <c r="L3" s="213" t="s">
        <v>795</v>
      </c>
      <c r="M3" s="891" t="s">
        <v>215</v>
      </c>
      <c r="AB3" s="3"/>
      <c r="AC3" s="3"/>
      <c r="AD3" s="3"/>
      <c r="AE3" s="3"/>
      <c r="AF3" s="3"/>
    </row>
    <row r="4" spans="1:32" ht="26.25" customHeight="1">
      <c r="A4" s="900"/>
      <c r="B4" s="871"/>
      <c r="C4" s="871"/>
      <c r="D4" s="903"/>
      <c r="E4" s="871"/>
      <c r="F4" s="871"/>
      <c r="G4" s="871"/>
      <c r="H4" s="871"/>
      <c r="I4" s="871"/>
      <c r="J4" s="4" t="s">
        <v>301</v>
      </c>
      <c r="K4" s="462"/>
      <c r="L4" s="4" t="s">
        <v>794</v>
      </c>
      <c r="M4" s="873"/>
      <c r="AB4" s="3"/>
      <c r="AC4" s="3"/>
      <c r="AD4" s="3"/>
      <c r="AE4" s="3"/>
      <c r="AF4" s="3"/>
    </row>
    <row r="5" spans="1:32" s="95" customFormat="1" ht="15.75">
      <c r="A5" s="251" t="s">
        <v>0</v>
      </c>
      <c r="B5" s="364">
        <v>16499</v>
      </c>
      <c r="C5" s="364">
        <v>18904</v>
      </c>
      <c r="D5" s="364">
        <v>17601</v>
      </c>
      <c r="E5" s="364">
        <v>16255</v>
      </c>
      <c r="F5" s="364">
        <v>19741</v>
      </c>
      <c r="G5" s="364">
        <v>19614</v>
      </c>
      <c r="H5" s="364">
        <v>21984</v>
      </c>
      <c r="I5" s="364">
        <f>SUM(I6:I17)</f>
        <v>20290</v>
      </c>
      <c r="J5" s="252">
        <f t="shared" ref="J5:J17" si="0">((I5-H5)/H5*100)</f>
        <v>-7.7056040756914124</v>
      </c>
      <c r="K5" s="364"/>
      <c r="L5" s="253">
        <f>I5/$I$5*100</f>
        <v>100</v>
      </c>
      <c r="M5" s="254" t="s">
        <v>1</v>
      </c>
      <c r="AB5" s="225"/>
      <c r="AC5" s="225"/>
      <c r="AD5" s="225"/>
      <c r="AE5" s="225"/>
      <c r="AF5" s="225"/>
    </row>
    <row r="6" spans="1:32" ht="18.75">
      <c r="A6" s="231" t="s">
        <v>5</v>
      </c>
      <c r="B6" s="217">
        <v>3846</v>
      </c>
      <c r="C6" s="217">
        <v>4479</v>
      </c>
      <c r="D6" s="217">
        <v>3956</v>
      </c>
      <c r="E6" s="217">
        <v>4608</v>
      </c>
      <c r="F6" s="217">
        <v>6289</v>
      </c>
      <c r="G6" s="217">
        <v>5734</v>
      </c>
      <c r="H6" s="217">
        <v>6785</v>
      </c>
      <c r="I6" s="217">
        <v>4618</v>
      </c>
      <c r="J6" s="240">
        <f t="shared" si="0"/>
        <v>-31.938098747236548</v>
      </c>
      <c r="K6" s="217"/>
      <c r="L6" s="240">
        <f>I6/$I$5*100</f>
        <v>22.7599802858551</v>
      </c>
      <c r="M6" s="98" t="s">
        <v>6</v>
      </c>
      <c r="AA6" s="137"/>
      <c r="AB6" s="225"/>
      <c r="AC6" s="3"/>
      <c r="AD6" s="3"/>
      <c r="AE6" s="3"/>
      <c r="AF6" s="3"/>
    </row>
    <row r="7" spans="1:32" ht="18.75">
      <c r="A7" s="231" t="s">
        <v>195</v>
      </c>
      <c r="B7" s="217">
        <v>2544</v>
      </c>
      <c r="C7" s="217">
        <v>2723</v>
      </c>
      <c r="D7" s="217">
        <v>2560</v>
      </c>
      <c r="E7" s="217">
        <v>2135</v>
      </c>
      <c r="F7" s="217">
        <v>2167</v>
      </c>
      <c r="G7" s="217">
        <v>1962</v>
      </c>
      <c r="H7" s="217">
        <v>2267</v>
      </c>
      <c r="I7" s="217">
        <v>1998</v>
      </c>
      <c r="J7" s="240">
        <f t="shared" si="0"/>
        <v>-11.865902073224525</v>
      </c>
      <c r="K7" s="217"/>
      <c r="L7" s="240">
        <f t="shared" ref="L7:L17" si="1">I7/$I$5*100</f>
        <v>9.8472153770330202</v>
      </c>
      <c r="M7" s="98" t="s">
        <v>196</v>
      </c>
      <c r="AA7" s="137"/>
      <c r="AB7" s="225"/>
      <c r="AC7" s="3"/>
      <c r="AD7" s="3"/>
      <c r="AE7" s="3"/>
      <c r="AF7" s="3"/>
    </row>
    <row r="8" spans="1:32" ht="18.75">
      <c r="A8" s="231" t="s">
        <v>9</v>
      </c>
      <c r="B8" s="217">
        <v>2531</v>
      </c>
      <c r="C8" s="217">
        <v>1804</v>
      </c>
      <c r="D8" s="217">
        <v>2002</v>
      </c>
      <c r="E8" s="217">
        <v>1172</v>
      </c>
      <c r="F8" s="217">
        <v>1736</v>
      </c>
      <c r="G8" s="217">
        <v>3237</v>
      </c>
      <c r="H8" s="217">
        <v>2939</v>
      </c>
      <c r="I8" s="217">
        <v>4528</v>
      </c>
      <c r="J8" s="240">
        <f t="shared" si="0"/>
        <v>54.066008846546445</v>
      </c>
      <c r="K8" s="217"/>
      <c r="L8" s="240">
        <f t="shared" si="1"/>
        <v>22.316412025628388</v>
      </c>
      <c r="M8" s="98" t="s">
        <v>10</v>
      </c>
      <c r="AA8" s="137"/>
      <c r="AB8" s="225"/>
      <c r="AC8" s="3"/>
      <c r="AD8" s="3"/>
      <c r="AE8" s="3"/>
      <c r="AF8" s="3"/>
    </row>
    <row r="9" spans="1:32" ht="18.75">
      <c r="A9" s="231" t="s">
        <v>11</v>
      </c>
      <c r="B9" s="217">
        <v>1260</v>
      </c>
      <c r="C9" s="217">
        <v>2212</v>
      </c>
      <c r="D9" s="217">
        <v>1757</v>
      </c>
      <c r="E9" s="217">
        <v>1499</v>
      </c>
      <c r="F9" s="217">
        <v>1500</v>
      </c>
      <c r="G9" s="217">
        <v>1864</v>
      </c>
      <c r="H9" s="217">
        <v>2175</v>
      </c>
      <c r="I9" s="217">
        <v>1765</v>
      </c>
      <c r="J9" s="240">
        <f t="shared" si="0"/>
        <v>-18.850574712643677</v>
      </c>
      <c r="K9" s="217"/>
      <c r="L9" s="240">
        <f t="shared" si="1"/>
        <v>8.6988664366683093</v>
      </c>
      <c r="M9" s="98" t="s">
        <v>12</v>
      </c>
      <c r="AA9" s="137"/>
      <c r="AB9" s="225"/>
      <c r="AC9" s="3"/>
      <c r="AD9" s="3"/>
      <c r="AE9" s="3"/>
      <c r="AF9" s="3"/>
    </row>
    <row r="10" spans="1:32" ht="18.75">
      <c r="A10" s="231" t="s">
        <v>13</v>
      </c>
      <c r="B10" s="217">
        <v>1370</v>
      </c>
      <c r="C10" s="217">
        <v>1679</v>
      </c>
      <c r="D10" s="217">
        <v>1580</v>
      </c>
      <c r="E10" s="217">
        <v>1265</v>
      </c>
      <c r="F10" s="217">
        <v>1342</v>
      </c>
      <c r="G10" s="217">
        <v>1149</v>
      </c>
      <c r="H10" s="217">
        <v>1507</v>
      </c>
      <c r="I10" s="217">
        <v>1200</v>
      </c>
      <c r="J10" s="240">
        <f t="shared" si="0"/>
        <v>-20.371599203715991</v>
      </c>
      <c r="K10" s="217"/>
      <c r="L10" s="240">
        <f t="shared" si="1"/>
        <v>5.9142434696895023</v>
      </c>
      <c r="M10" s="98" t="s">
        <v>14</v>
      </c>
      <c r="AA10" s="137"/>
      <c r="AB10" s="225"/>
      <c r="AC10" s="3"/>
      <c r="AD10" s="3"/>
      <c r="AE10" s="3"/>
      <c r="AF10" s="3"/>
    </row>
    <row r="11" spans="1:32" ht="18.75">
      <c r="A11" s="231" t="s">
        <v>15</v>
      </c>
      <c r="B11" s="217">
        <v>433</v>
      </c>
      <c r="C11" s="217">
        <v>866</v>
      </c>
      <c r="D11" s="217">
        <v>869</v>
      </c>
      <c r="E11" s="217">
        <v>757</v>
      </c>
      <c r="F11" s="217">
        <v>849</v>
      </c>
      <c r="G11" s="217">
        <v>681</v>
      </c>
      <c r="H11" s="217">
        <v>731</v>
      </c>
      <c r="I11" s="217">
        <v>617</v>
      </c>
      <c r="J11" s="240">
        <f t="shared" si="0"/>
        <v>-15.595075239398085</v>
      </c>
      <c r="K11" s="217"/>
      <c r="L11" s="240">
        <f t="shared" si="1"/>
        <v>3.0409068506653525</v>
      </c>
      <c r="M11" s="98" t="s">
        <v>16</v>
      </c>
      <c r="AA11" s="137"/>
      <c r="AB11" s="225"/>
      <c r="AC11" s="3"/>
      <c r="AD11" s="3"/>
      <c r="AE11" s="3"/>
      <c r="AF11" s="3"/>
    </row>
    <row r="12" spans="1:32" ht="18.75">
      <c r="A12" s="231" t="s">
        <v>17</v>
      </c>
      <c r="B12" s="217">
        <v>608</v>
      </c>
      <c r="C12" s="217">
        <v>642</v>
      </c>
      <c r="D12" s="217">
        <v>564</v>
      </c>
      <c r="E12" s="217">
        <v>661</v>
      </c>
      <c r="F12" s="217">
        <v>961</v>
      </c>
      <c r="G12" s="217">
        <v>678</v>
      </c>
      <c r="H12" s="217">
        <v>823</v>
      </c>
      <c r="I12" s="217">
        <v>590</v>
      </c>
      <c r="J12" s="240">
        <f t="shared" si="0"/>
        <v>-28.311057108140947</v>
      </c>
      <c r="K12" s="217"/>
      <c r="L12" s="240">
        <f t="shared" si="1"/>
        <v>2.9078363725973384</v>
      </c>
      <c r="M12" s="98" t="s">
        <v>18</v>
      </c>
      <c r="AA12" s="137"/>
      <c r="AB12" s="225"/>
      <c r="AC12" s="3"/>
      <c r="AD12" s="3"/>
      <c r="AE12" s="3"/>
      <c r="AF12" s="3"/>
    </row>
    <row r="13" spans="1:32" ht="18.75">
      <c r="A13" s="231" t="s">
        <v>19</v>
      </c>
      <c r="B13" s="217">
        <v>383</v>
      </c>
      <c r="C13" s="217">
        <v>435</v>
      </c>
      <c r="D13" s="217">
        <v>581</v>
      </c>
      <c r="E13" s="217">
        <v>547</v>
      </c>
      <c r="F13" s="217">
        <v>551</v>
      </c>
      <c r="G13" s="217">
        <v>610</v>
      </c>
      <c r="H13" s="217">
        <v>619</v>
      </c>
      <c r="I13" s="217">
        <v>647</v>
      </c>
      <c r="J13" s="240">
        <f t="shared" si="0"/>
        <v>4.523424878836833</v>
      </c>
      <c r="K13" s="217"/>
      <c r="L13" s="240">
        <f t="shared" si="1"/>
        <v>3.1887629374075903</v>
      </c>
      <c r="M13" s="98" t="s">
        <v>20</v>
      </c>
      <c r="AA13" s="137"/>
      <c r="AB13" s="225"/>
      <c r="AC13" s="3"/>
      <c r="AD13" s="3"/>
      <c r="AE13" s="3"/>
      <c r="AF13" s="3"/>
    </row>
    <row r="14" spans="1:32" ht="18.75">
      <c r="A14" s="231" t="s">
        <v>21</v>
      </c>
      <c r="B14" s="217">
        <v>326</v>
      </c>
      <c r="C14" s="217">
        <v>348</v>
      </c>
      <c r="D14" s="217">
        <v>402</v>
      </c>
      <c r="E14" s="217">
        <v>317</v>
      </c>
      <c r="F14" s="217">
        <v>311</v>
      </c>
      <c r="G14" s="217">
        <v>367</v>
      </c>
      <c r="H14" s="217">
        <v>489</v>
      </c>
      <c r="I14" s="217">
        <v>759</v>
      </c>
      <c r="J14" s="240">
        <f t="shared" si="0"/>
        <v>55.214723926380373</v>
      </c>
      <c r="K14" s="217"/>
      <c r="L14" s="240">
        <f t="shared" si="1"/>
        <v>3.7407589945786102</v>
      </c>
      <c r="M14" s="98" t="s">
        <v>22</v>
      </c>
      <c r="AA14" s="137"/>
      <c r="AB14" s="225"/>
      <c r="AC14" s="3"/>
      <c r="AD14" s="3"/>
      <c r="AE14" s="3"/>
      <c r="AF14" s="3"/>
    </row>
    <row r="15" spans="1:32" ht="18.75">
      <c r="A15" s="231" t="s">
        <v>23</v>
      </c>
      <c r="B15" s="217">
        <v>76</v>
      </c>
      <c r="C15" s="217">
        <v>86</v>
      </c>
      <c r="D15" s="217">
        <v>125</v>
      </c>
      <c r="E15" s="217">
        <v>116</v>
      </c>
      <c r="F15" s="217">
        <v>151</v>
      </c>
      <c r="G15" s="217">
        <v>171</v>
      </c>
      <c r="H15" s="217">
        <v>245</v>
      </c>
      <c r="I15" s="217">
        <v>335</v>
      </c>
      <c r="J15" s="240">
        <f t="shared" si="0"/>
        <v>36.734693877551024</v>
      </c>
      <c r="K15" s="217"/>
      <c r="L15" s="240">
        <f t="shared" si="1"/>
        <v>1.6510596352883193</v>
      </c>
      <c r="M15" s="98" t="s">
        <v>24</v>
      </c>
      <c r="AA15" s="137"/>
      <c r="AB15" s="225"/>
      <c r="AC15" s="3"/>
      <c r="AD15" s="3"/>
      <c r="AE15" s="3"/>
      <c r="AF15" s="3"/>
    </row>
    <row r="16" spans="1:32" ht="18.75">
      <c r="A16" s="231" t="s">
        <v>25</v>
      </c>
      <c r="B16" s="217">
        <v>88</v>
      </c>
      <c r="C16" s="217">
        <v>133</v>
      </c>
      <c r="D16" s="217">
        <v>153</v>
      </c>
      <c r="E16" s="217">
        <v>125</v>
      </c>
      <c r="F16" s="217">
        <v>135</v>
      </c>
      <c r="G16" s="217">
        <v>106</v>
      </c>
      <c r="H16" s="217">
        <v>106</v>
      </c>
      <c r="I16" s="217">
        <v>103</v>
      </c>
      <c r="J16" s="240">
        <f t="shared" si="0"/>
        <v>-2.8301886792452833</v>
      </c>
      <c r="K16" s="217"/>
      <c r="L16" s="240">
        <f t="shared" si="1"/>
        <v>0.50763923114834886</v>
      </c>
      <c r="M16" s="98" t="s">
        <v>26</v>
      </c>
      <c r="AA16" s="137"/>
      <c r="AB16" s="225"/>
      <c r="AC16" s="3"/>
      <c r="AD16" s="3"/>
      <c r="AE16" s="3"/>
      <c r="AF16" s="3"/>
    </row>
    <row r="17" spans="1:32" ht="18.75">
      <c r="A17" s="255" t="s">
        <v>27</v>
      </c>
      <c r="B17" s="220">
        <v>3034</v>
      </c>
      <c r="C17" s="220">
        <v>3497</v>
      </c>
      <c r="D17" s="220">
        <v>3052</v>
      </c>
      <c r="E17" s="220">
        <v>3053</v>
      </c>
      <c r="F17" s="220">
        <v>3749</v>
      </c>
      <c r="G17" s="220">
        <v>3055</v>
      </c>
      <c r="H17" s="220">
        <v>3298</v>
      </c>
      <c r="I17" s="220">
        <v>3130</v>
      </c>
      <c r="J17" s="242">
        <f t="shared" si="0"/>
        <v>-5.0939963614311701</v>
      </c>
      <c r="K17" s="220"/>
      <c r="L17" s="242">
        <f t="shared" si="1"/>
        <v>15.426318383440119</v>
      </c>
      <c r="M17" s="99" t="s">
        <v>28</v>
      </c>
      <c r="AA17" s="137"/>
      <c r="AB17" s="225"/>
      <c r="AC17" s="3"/>
      <c r="AD17" s="3"/>
      <c r="AE17" s="3"/>
      <c r="AF17" s="3"/>
    </row>
    <row r="18" spans="1:32">
      <c r="A18" s="1" t="s">
        <v>29</v>
      </c>
      <c r="B18" s="206"/>
      <c r="C18" s="206"/>
      <c r="D18" s="206"/>
      <c r="E18" s="206"/>
      <c r="F18" s="206"/>
      <c r="G18" s="206"/>
      <c r="H18" s="206"/>
      <c r="I18" s="206"/>
      <c r="J18" s="256"/>
      <c r="K18" s="206"/>
      <c r="L18" s="256"/>
      <c r="M18" s="408" t="s">
        <v>78</v>
      </c>
      <c r="AA18" s="70"/>
      <c r="AB18" s="3"/>
      <c r="AC18" s="3"/>
      <c r="AF18" s="3"/>
    </row>
    <row r="19" spans="1:32">
      <c r="AA19" s="70"/>
      <c r="AB19" s="3"/>
      <c r="AC19" s="136"/>
      <c r="AD19" s="331" t="s">
        <v>254</v>
      </c>
      <c r="AE19" s="135" t="s">
        <v>277</v>
      </c>
      <c r="AF19" s="3"/>
    </row>
    <row r="20" spans="1:32">
      <c r="A20" s="11"/>
      <c r="AA20" s="70"/>
      <c r="AB20" s="231"/>
      <c r="AC20" s="137" t="s">
        <v>5</v>
      </c>
      <c r="AD20" s="296">
        <f>'8.1'!H6</f>
        <v>3990</v>
      </c>
      <c r="AE20" s="217">
        <f>I6</f>
        <v>4618</v>
      </c>
    </row>
    <row r="21" spans="1:32">
      <c r="AA21" s="70"/>
      <c r="AB21" s="231"/>
      <c r="AC21" s="137" t="s">
        <v>127</v>
      </c>
      <c r="AD21" s="296">
        <f>'8.1'!H7</f>
        <v>2045</v>
      </c>
      <c r="AE21" s="217">
        <f t="shared" ref="AE21:AE31" si="2">I7</f>
        <v>1998</v>
      </c>
    </row>
    <row r="22" spans="1:32">
      <c r="AA22" s="70"/>
      <c r="AB22" s="231"/>
      <c r="AC22" s="137" t="s">
        <v>9</v>
      </c>
      <c r="AD22" s="296">
        <f>'8.1'!H8</f>
        <v>2078</v>
      </c>
      <c r="AE22" s="217">
        <f t="shared" si="2"/>
        <v>4528</v>
      </c>
    </row>
    <row r="23" spans="1:32">
      <c r="AB23" s="231"/>
      <c r="AC23" s="137" t="s">
        <v>139</v>
      </c>
      <c r="AD23" s="296">
        <f>'8.1'!H9</f>
        <v>1717</v>
      </c>
      <c r="AE23" s="217">
        <f t="shared" si="2"/>
        <v>1765</v>
      </c>
    </row>
    <row r="24" spans="1:32">
      <c r="AB24" s="231"/>
      <c r="AC24" s="137" t="s">
        <v>13</v>
      </c>
      <c r="AD24" s="296">
        <f>'8.1'!H10</f>
        <v>935</v>
      </c>
      <c r="AE24" s="217">
        <f t="shared" si="2"/>
        <v>1200</v>
      </c>
    </row>
    <row r="25" spans="1:32" ht="17.25">
      <c r="A25" s="6"/>
      <c r="B25" s="7"/>
      <c r="C25" s="7"/>
      <c r="D25" s="7"/>
      <c r="E25" s="7"/>
      <c r="F25" s="7"/>
      <c r="G25" s="7"/>
      <c r="H25" s="7"/>
      <c r="I25" s="7"/>
      <c r="J25" s="8"/>
      <c r="K25" s="7"/>
      <c r="L25" s="8"/>
      <c r="M25" s="9"/>
      <c r="AB25" s="231"/>
      <c r="AC25" s="137" t="s">
        <v>15</v>
      </c>
      <c r="AD25" s="296">
        <f>'8.1'!H11</f>
        <v>534</v>
      </c>
      <c r="AE25" s="217">
        <f t="shared" si="2"/>
        <v>617</v>
      </c>
    </row>
    <row r="26" spans="1:32">
      <c r="AB26" s="231"/>
      <c r="AC26" s="137" t="s">
        <v>17</v>
      </c>
      <c r="AD26" s="296">
        <f>'8.1'!H12</f>
        <v>544</v>
      </c>
      <c r="AE26" s="217">
        <f t="shared" si="2"/>
        <v>590</v>
      </c>
    </row>
    <row r="27" spans="1:32">
      <c r="AB27" s="231"/>
      <c r="AC27" s="137" t="s">
        <v>19</v>
      </c>
      <c r="AD27" s="296">
        <f>'8.1'!H13</f>
        <v>531</v>
      </c>
      <c r="AE27" s="217">
        <f t="shared" si="2"/>
        <v>647</v>
      </c>
    </row>
    <row r="28" spans="1:32">
      <c r="AB28" s="231"/>
      <c r="AC28" s="137" t="s">
        <v>21</v>
      </c>
      <c r="AD28" s="296">
        <f>'8.1'!H14</f>
        <v>741</v>
      </c>
      <c r="AE28" s="217">
        <f t="shared" si="2"/>
        <v>759</v>
      </c>
    </row>
    <row r="29" spans="1:32">
      <c r="AB29" s="231"/>
      <c r="AC29" s="137" t="s">
        <v>23</v>
      </c>
      <c r="AD29" s="296">
        <f>'8.1'!H15</f>
        <v>338</v>
      </c>
      <c r="AE29" s="217">
        <f t="shared" si="2"/>
        <v>335</v>
      </c>
    </row>
    <row r="30" spans="1:32">
      <c r="AB30" s="231"/>
      <c r="AC30" s="137" t="s">
        <v>281</v>
      </c>
      <c r="AD30" s="296">
        <f>'8.1'!H16</f>
        <v>91</v>
      </c>
      <c r="AE30" s="217">
        <f t="shared" si="2"/>
        <v>103</v>
      </c>
    </row>
    <row r="31" spans="1:32">
      <c r="AB31" s="231"/>
      <c r="AC31" s="137" t="s">
        <v>27</v>
      </c>
      <c r="AD31" s="296">
        <f>'8.1'!H17</f>
        <v>2819</v>
      </c>
      <c r="AE31" s="217">
        <f t="shared" si="2"/>
        <v>3130</v>
      </c>
    </row>
  </sheetData>
  <mergeCells count="12">
    <mergeCell ref="A1:M1"/>
    <mergeCell ref="A2:M2"/>
    <mergeCell ref="A3:A4"/>
    <mergeCell ref="B3:B4"/>
    <mergeCell ref="C3:C4"/>
    <mergeCell ref="D3:D4"/>
    <mergeCell ref="E3:E4"/>
    <mergeCell ref="F3:F4"/>
    <mergeCell ref="M3:M4"/>
    <mergeCell ref="G3:G4"/>
    <mergeCell ref="H3:H4"/>
    <mergeCell ref="I3:I4"/>
  </mergeCells>
  <pageMargins left="0.13" right="0.31" top="0.17" bottom="0.75" header="0.18" footer="0.3"/>
  <pageSetup paperSize="9" scale="86" orientation="landscape" r:id="rId1"/>
  <colBreaks count="1" manualBreakCount="1">
    <brk id="13" max="3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547"/>
  <sheetViews>
    <sheetView view="pageBreakPreview" zoomScaleNormal="100" zoomScaleSheetLayoutView="100" workbookViewId="0">
      <selection activeCell="A2" sqref="A2:L2"/>
    </sheetView>
  </sheetViews>
  <sheetFormatPr defaultColWidth="9.140625" defaultRowHeight="12.75"/>
  <cols>
    <col min="1" max="1" width="19.5703125" style="23" customWidth="1"/>
    <col min="2" max="2" width="15.85546875" style="23" customWidth="1"/>
    <col min="3" max="3" width="2" style="23" customWidth="1"/>
    <col min="4" max="6" width="12.28515625" style="23" customWidth="1"/>
    <col min="7" max="7" width="15.85546875" style="23" customWidth="1"/>
    <col min="8" max="8" width="2" style="23" customWidth="1"/>
    <col min="9" max="11" width="12.28515625" style="23" customWidth="1"/>
    <col min="12" max="12" width="21.7109375" style="33" customWidth="1"/>
    <col min="13" max="13" width="2" style="23" customWidth="1"/>
    <col min="14" max="16384" width="9.140625" style="23"/>
  </cols>
  <sheetData>
    <row r="1" spans="1:47" s="17" customFormat="1" ht="24.75" customHeight="1">
      <c r="A1" s="926" t="s">
        <v>327</v>
      </c>
      <c r="B1" s="926"/>
      <c r="C1" s="926"/>
      <c r="D1" s="926"/>
      <c r="E1" s="926"/>
      <c r="F1" s="926"/>
      <c r="G1" s="926"/>
      <c r="H1" s="926"/>
      <c r="I1" s="926"/>
      <c r="J1" s="926"/>
      <c r="K1" s="926"/>
      <c r="L1" s="927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6"/>
      <c r="AO1" s="16"/>
      <c r="AP1" s="16"/>
      <c r="AQ1" s="16"/>
      <c r="AR1" s="16"/>
      <c r="AS1" s="16"/>
      <c r="AT1" s="16"/>
      <c r="AU1" s="16"/>
    </row>
    <row r="2" spans="1:47" s="19" customFormat="1" ht="14.25" customHeight="1">
      <c r="A2" s="928" t="s">
        <v>328</v>
      </c>
      <c r="B2" s="929"/>
      <c r="C2" s="929"/>
      <c r="D2" s="929"/>
      <c r="E2" s="929"/>
      <c r="F2" s="929"/>
      <c r="G2" s="929"/>
      <c r="H2" s="929"/>
      <c r="I2" s="929"/>
      <c r="J2" s="929"/>
      <c r="K2" s="929"/>
      <c r="L2" s="929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</row>
    <row r="3" spans="1:47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1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</row>
    <row r="4" spans="1:47" s="25" customFormat="1" ht="19.5" customHeight="1">
      <c r="A4" s="930" t="s">
        <v>54</v>
      </c>
      <c r="B4" s="937">
        <v>2014</v>
      </c>
      <c r="C4" s="938"/>
      <c r="D4" s="938"/>
      <c r="E4" s="938"/>
      <c r="F4" s="938"/>
      <c r="G4" s="937">
        <v>2015</v>
      </c>
      <c r="H4" s="938"/>
      <c r="I4" s="938"/>
      <c r="J4" s="938"/>
      <c r="K4" s="942"/>
      <c r="L4" s="933" t="s">
        <v>55</v>
      </c>
      <c r="M4" s="923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</row>
    <row r="5" spans="1:47" s="25" customFormat="1" ht="19.5" customHeight="1">
      <c r="A5" s="931"/>
      <c r="B5" s="939" t="s">
        <v>270</v>
      </c>
      <c r="C5" s="369"/>
      <c r="D5" s="941" t="s">
        <v>278</v>
      </c>
      <c r="E5" s="941"/>
      <c r="F5" s="941"/>
      <c r="G5" s="939" t="s">
        <v>270</v>
      </c>
      <c r="H5" s="369"/>
      <c r="I5" s="941" t="s">
        <v>278</v>
      </c>
      <c r="J5" s="941"/>
      <c r="K5" s="943"/>
      <c r="L5" s="934"/>
      <c r="M5" s="9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</row>
    <row r="6" spans="1:47" s="27" customFormat="1" ht="13.5" customHeight="1">
      <c r="A6" s="931"/>
      <c r="B6" s="940"/>
      <c r="C6" s="370"/>
      <c r="D6" s="370" t="s">
        <v>57</v>
      </c>
      <c r="E6" s="370" t="s">
        <v>58</v>
      </c>
      <c r="F6" s="370" t="s">
        <v>59</v>
      </c>
      <c r="G6" s="940"/>
      <c r="H6" s="370"/>
      <c r="I6" s="370" t="s">
        <v>57</v>
      </c>
      <c r="J6" s="370" t="s">
        <v>58</v>
      </c>
      <c r="K6" s="370" t="s">
        <v>59</v>
      </c>
      <c r="L6" s="935"/>
      <c r="M6" s="924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</row>
    <row r="7" spans="1:47" s="27" customFormat="1" ht="31.5" customHeight="1">
      <c r="A7" s="932"/>
      <c r="B7" s="274" t="s">
        <v>56</v>
      </c>
      <c r="C7" s="268"/>
      <c r="D7" s="389" t="s">
        <v>60</v>
      </c>
      <c r="E7" s="389" t="s">
        <v>61</v>
      </c>
      <c r="F7" s="389" t="s">
        <v>62</v>
      </c>
      <c r="G7" s="274" t="s">
        <v>56</v>
      </c>
      <c r="H7" s="268"/>
      <c r="I7" s="389" t="s">
        <v>60</v>
      </c>
      <c r="J7" s="389" t="s">
        <v>61</v>
      </c>
      <c r="K7" s="389" t="s">
        <v>62</v>
      </c>
      <c r="L7" s="936"/>
      <c r="M7" s="925"/>
      <c r="N7" s="288"/>
      <c r="O7" s="288"/>
      <c r="P7" s="288"/>
      <c r="Q7" s="288"/>
      <c r="R7" s="288"/>
      <c r="S7" s="288"/>
      <c r="T7" s="288"/>
      <c r="U7" s="288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</row>
    <row r="8" spans="1:47" s="120" customFormat="1" ht="21.75" customHeight="1">
      <c r="A8" s="140" t="s">
        <v>0</v>
      </c>
      <c r="B8" s="400">
        <f>SUM(B9:B20)</f>
        <v>18193</v>
      </c>
      <c r="C8" s="401"/>
      <c r="D8" s="402">
        <f>E8+F8</f>
        <v>6983</v>
      </c>
      <c r="E8" s="402">
        <f>SUM(E9:E20)</f>
        <v>6709</v>
      </c>
      <c r="F8" s="402">
        <f>SUM(F9:F20)</f>
        <v>274</v>
      </c>
      <c r="G8" s="400">
        <f>SUM(G9:G20)</f>
        <v>16363</v>
      </c>
      <c r="H8" s="401"/>
      <c r="I8" s="402">
        <f>J8+K8</f>
        <v>5827</v>
      </c>
      <c r="J8" s="402">
        <f>SUM(J9:J20)</f>
        <v>5547</v>
      </c>
      <c r="K8" s="402">
        <f>SUM(K9:K20)</f>
        <v>280</v>
      </c>
      <c r="L8" s="359" t="s">
        <v>63</v>
      </c>
      <c r="M8" s="283"/>
      <c r="N8" s="457"/>
      <c r="O8" s="457"/>
      <c r="P8" s="457"/>
      <c r="Q8" s="44"/>
      <c r="R8" s="44"/>
      <c r="S8" s="44"/>
      <c r="T8" s="136"/>
      <c r="U8" s="72"/>
      <c r="V8" s="285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</row>
    <row r="9" spans="1:47" s="30" customFormat="1" ht="21.75" customHeight="1">
      <c r="A9" s="141" t="s">
        <v>13</v>
      </c>
      <c r="B9" s="390">
        <v>1062</v>
      </c>
      <c r="C9" s="391"/>
      <c r="D9" s="392">
        <f>SUM(E9:F9)</f>
        <v>556</v>
      </c>
      <c r="E9" s="393">
        <v>547</v>
      </c>
      <c r="F9" s="393">
        <v>9</v>
      </c>
      <c r="G9" s="390">
        <v>935</v>
      </c>
      <c r="H9" s="391"/>
      <c r="I9" s="392">
        <v>577</v>
      </c>
      <c r="J9" s="393">
        <v>564</v>
      </c>
      <c r="K9" s="393">
        <v>13</v>
      </c>
      <c r="L9" s="144" t="s">
        <v>14</v>
      </c>
      <c r="M9" s="284"/>
      <c r="N9" s="457"/>
      <c r="O9" s="457"/>
      <c r="P9" s="457"/>
      <c r="Q9" s="44"/>
      <c r="R9" s="44"/>
      <c r="S9" s="44"/>
      <c r="T9" s="137"/>
      <c r="U9" s="44"/>
      <c r="V9" s="286"/>
    </row>
    <row r="10" spans="1:47" s="30" customFormat="1" ht="21.75" customHeight="1">
      <c r="A10" s="141" t="s">
        <v>5</v>
      </c>
      <c r="B10" s="390">
        <v>5080</v>
      </c>
      <c r="C10" s="391"/>
      <c r="D10" s="392">
        <f t="shared" ref="D10:D20" si="0">SUM(E10:F10)</f>
        <v>1593</v>
      </c>
      <c r="E10" s="393">
        <v>1554</v>
      </c>
      <c r="F10" s="393">
        <v>39</v>
      </c>
      <c r="G10" s="390">
        <v>3990</v>
      </c>
      <c r="H10" s="391"/>
      <c r="I10" s="392">
        <v>1192</v>
      </c>
      <c r="J10" s="393">
        <v>1163</v>
      </c>
      <c r="K10" s="393">
        <v>29</v>
      </c>
      <c r="L10" s="144" t="s">
        <v>6</v>
      </c>
      <c r="M10" s="284"/>
      <c r="N10" s="457"/>
      <c r="O10" s="457"/>
      <c r="P10" s="457"/>
      <c r="Q10" s="44"/>
      <c r="R10" s="44"/>
      <c r="S10" s="44"/>
      <c r="T10" s="137"/>
      <c r="U10" s="44"/>
      <c r="V10" s="287"/>
    </row>
    <row r="11" spans="1:47" s="30" customFormat="1" ht="21.75" customHeight="1">
      <c r="A11" s="141" t="s">
        <v>17</v>
      </c>
      <c r="B11" s="390">
        <v>620</v>
      </c>
      <c r="C11" s="391"/>
      <c r="D11" s="392">
        <f t="shared" si="0"/>
        <v>243</v>
      </c>
      <c r="E11" s="393">
        <v>232</v>
      </c>
      <c r="F11" s="393">
        <v>11</v>
      </c>
      <c r="G11" s="390">
        <v>544</v>
      </c>
      <c r="H11" s="391"/>
      <c r="I11" s="392">
        <v>143</v>
      </c>
      <c r="J11" s="393">
        <v>132</v>
      </c>
      <c r="K11" s="393">
        <v>11</v>
      </c>
      <c r="L11" s="144" t="s">
        <v>18</v>
      </c>
      <c r="M11" s="284"/>
      <c r="N11" s="457"/>
      <c r="O11" s="457"/>
      <c r="P11" s="457"/>
      <c r="Q11" s="44"/>
      <c r="R11" s="44"/>
      <c r="S11" s="44"/>
      <c r="T11" s="137"/>
      <c r="U11" s="44"/>
      <c r="V11" s="287"/>
    </row>
    <row r="12" spans="1:47" s="30" customFormat="1" ht="21.75" customHeight="1">
      <c r="A12" s="141" t="s">
        <v>9</v>
      </c>
      <c r="B12" s="390">
        <v>3140</v>
      </c>
      <c r="C12" s="391"/>
      <c r="D12" s="392">
        <f t="shared" si="0"/>
        <v>3316</v>
      </c>
      <c r="E12" s="393">
        <v>3158</v>
      </c>
      <c r="F12" s="393">
        <v>158</v>
      </c>
      <c r="G12" s="390">
        <v>2078</v>
      </c>
      <c r="H12" s="391"/>
      <c r="I12" s="392">
        <v>2349</v>
      </c>
      <c r="J12" s="393">
        <v>2234</v>
      </c>
      <c r="K12" s="393">
        <v>115</v>
      </c>
      <c r="L12" s="144" t="s">
        <v>10</v>
      </c>
      <c r="M12" s="284"/>
      <c r="N12" s="457"/>
      <c r="O12" s="457"/>
      <c r="P12" s="457"/>
      <c r="Q12" s="44"/>
      <c r="R12" s="44"/>
      <c r="S12" s="44"/>
      <c r="T12" s="137"/>
      <c r="U12" s="44"/>
      <c r="V12" s="287"/>
    </row>
    <row r="13" spans="1:47" s="30" customFormat="1" ht="21.75" customHeight="1">
      <c r="A13" s="141" t="s">
        <v>64</v>
      </c>
      <c r="B13" s="390">
        <v>475</v>
      </c>
      <c r="C13" s="391"/>
      <c r="D13" s="392">
        <f t="shared" si="0"/>
        <v>310</v>
      </c>
      <c r="E13" s="393">
        <v>280</v>
      </c>
      <c r="F13" s="393">
        <v>30</v>
      </c>
      <c r="G13" s="390">
        <v>531</v>
      </c>
      <c r="H13" s="391"/>
      <c r="I13" s="392">
        <v>325</v>
      </c>
      <c r="J13" s="393">
        <v>290</v>
      </c>
      <c r="K13" s="393">
        <v>35</v>
      </c>
      <c r="L13" s="144" t="s">
        <v>65</v>
      </c>
      <c r="M13" s="284"/>
      <c r="N13" s="457"/>
      <c r="O13" s="457"/>
      <c r="P13" s="457"/>
      <c r="Q13" s="44"/>
      <c r="R13" s="44"/>
      <c r="S13" s="44"/>
      <c r="T13" s="137"/>
      <c r="U13" s="44"/>
      <c r="V13" s="287"/>
    </row>
    <row r="14" spans="1:47" s="30" customFormat="1" ht="21.75" customHeight="1">
      <c r="A14" s="141" t="s">
        <v>127</v>
      </c>
      <c r="B14" s="390">
        <v>2137</v>
      </c>
      <c r="C14" s="391"/>
      <c r="D14" s="392">
        <f t="shared" si="0"/>
        <v>11</v>
      </c>
      <c r="E14" s="393">
        <v>11</v>
      </c>
      <c r="F14" s="393">
        <v>0</v>
      </c>
      <c r="G14" s="390">
        <v>2045</v>
      </c>
      <c r="H14" s="391"/>
      <c r="I14" s="392">
        <v>9</v>
      </c>
      <c r="J14" s="393">
        <v>9</v>
      </c>
      <c r="K14" s="393">
        <v>0</v>
      </c>
      <c r="L14" s="144" t="s">
        <v>8</v>
      </c>
      <c r="M14" s="284"/>
      <c r="N14" s="457"/>
      <c r="O14" s="457"/>
      <c r="P14" s="457"/>
      <c r="Q14" s="44"/>
      <c r="R14" s="44"/>
      <c r="S14" s="44"/>
      <c r="T14" s="137"/>
      <c r="U14" s="44"/>
      <c r="V14" s="287"/>
    </row>
    <row r="15" spans="1:47" s="30" customFormat="1" ht="21.75" customHeight="1">
      <c r="A15" s="141" t="s">
        <v>23</v>
      </c>
      <c r="B15" s="390">
        <v>186</v>
      </c>
      <c r="C15" s="391"/>
      <c r="D15" s="392">
        <f t="shared" si="0"/>
        <v>38</v>
      </c>
      <c r="E15" s="393">
        <v>36</v>
      </c>
      <c r="F15" s="393">
        <v>2</v>
      </c>
      <c r="G15" s="390">
        <v>338</v>
      </c>
      <c r="H15" s="391"/>
      <c r="I15" s="392">
        <v>55</v>
      </c>
      <c r="J15" s="393">
        <v>43</v>
      </c>
      <c r="K15" s="393">
        <v>12</v>
      </c>
      <c r="L15" s="144" t="s">
        <v>24</v>
      </c>
      <c r="M15" s="284"/>
      <c r="N15" s="457"/>
      <c r="O15" s="457"/>
      <c r="P15" s="457"/>
      <c r="Q15" s="44"/>
      <c r="R15" s="44"/>
      <c r="S15" s="44"/>
      <c r="T15" s="137"/>
      <c r="U15" s="44"/>
      <c r="V15" s="287"/>
    </row>
    <row r="16" spans="1:47" s="30" customFormat="1" ht="24.75" customHeight="1">
      <c r="A16" s="142" t="s">
        <v>66</v>
      </c>
      <c r="B16" s="390">
        <v>77</v>
      </c>
      <c r="C16" s="391"/>
      <c r="D16" s="392">
        <f t="shared" si="0"/>
        <v>10</v>
      </c>
      <c r="E16" s="393">
        <v>9</v>
      </c>
      <c r="F16" s="393">
        <v>1</v>
      </c>
      <c r="G16" s="390">
        <v>91</v>
      </c>
      <c r="H16" s="391"/>
      <c r="I16" s="392">
        <v>12</v>
      </c>
      <c r="J16" s="393">
        <v>12</v>
      </c>
      <c r="K16" s="393">
        <v>0</v>
      </c>
      <c r="L16" s="144" t="s">
        <v>26</v>
      </c>
      <c r="M16" s="284"/>
      <c r="N16" s="457"/>
      <c r="O16" s="457"/>
      <c r="P16" s="457"/>
      <c r="Q16" s="44"/>
      <c r="R16" s="44"/>
      <c r="S16" s="44"/>
      <c r="T16" s="137"/>
      <c r="U16" s="44"/>
      <c r="V16" s="287"/>
    </row>
    <row r="17" spans="1:23" s="30" customFormat="1" ht="21.75" customHeight="1">
      <c r="A17" s="141" t="s">
        <v>15</v>
      </c>
      <c r="B17" s="390">
        <v>520</v>
      </c>
      <c r="C17" s="391"/>
      <c r="D17" s="392">
        <f t="shared" si="0"/>
        <v>147</v>
      </c>
      <c r="E17" s="393">
        <v>147</v>
      </c>
      <c r="F17" s="393">
        <v>0</v>
      </c>
      <c r="G17" s="390">
        <v>534</v>
      </c>
      <c r="H17" s="391"/>
      <c r="I17" s="392">
        <v>126</v>
      </c>
      <c r="J17" s="393">
        <v>121</v>
      </c>
      <c r="K17" s="393">
        <v>5</v>
      </c>
      <c r="L17" s="144" t="s">
        <v>16</v>
      </c>
      <c r="M17" s="284"/>
      <c r="N17" s="457"/>
      <c r="O17" s="457"/>
      <c r="P17" s="457"/>
      <c r="Q17" s="44"/>
      <c r="R17" s="44"/>
      <c r="S17" s="44"/>
      <c r="T17" s="137"/>
      <c r="U17" s="44"/>
      <c r="V17" s="287"/>
    </row>
    <row r="18" spans="1:23" s="30" customFormat="1" ht="21">
      <c r="A18" s="141" t="s">
        <v>67</v>
      </c>
      <c r="B18" s="390">
        <v>377</v>
      </c>
      <c r="C18" s="391"/>
      <c r="D18" s="392">
        <f t="shared" si="0"/>
        <v>80</v>
      </c>
      <c r="E18" s="393">
        <v>78</v>
      </c>
      <c r="F18" s="393">
        <v>2</v>
      </c>
      <c r="G18" s="390">
        <v>741</v>
      </c>
      <c r="H18" s="391"/>
      <c r="I18" s="392">
        <v>63</v>
      </c>
      <c r="J18" s="393">
        <v>60</v>
      </c>
      <c r="K18" s="393">
        <v>3</v>
      </c>
      <c r="L18" s="144" t="s">
        <v>22</v>
      </c>
      <c r="M18" s="284"/>
      <c r="N18" s="457"/>
      <c r="O18" s="457"/>
      <c r="P18" s="457"/>
      <c r="Q18" s="44"/>
      <c r="R18" s="44"/>
      <c r="S18" s="44"/>
      <c r="T18" s="137"/>
      <c r="U18" s="44"/>
      <c r="V18" s="287"/>
    </row>
    <row r="19" spans="1:23" s="30" customFormat="1" ht="21">
      <c r="A19" s="141" t="s">
        <v>11</v>
      </c>
      <c r="B19" s="394">
        <v>2014</v>
      </c>
      <c r="C19" s="395"/>
      <c r="D19" s="392">
        <f t="shared" si="0"/>
        <v>2</v>
      </c>
      <c r="E19" s="393">
        <v>2</v>
      </c>
      <c r="F19" s="393">
        <v>0</v>
      </c>
      <c r="G19" s="394">
        <v>1717</v>
      </c>
      <c r="H19" s="395"/>
      <c r="I19" s="392">
        <v>2</v>
      </c>
      <c r="J19" s="393">
        <v>1</v>
      </c>
      <c r="K19" s="393">
        <v>1</v>
      </c>
      <c r="L19" s="144" t="s">
        <v>12</v>
      </c>
      <c r="M19" s="284"/>
      <c r="N19" s="457"/>
      <c r="O19" s="457"/>
      <c r="P19" s="457"/>
      <c r="Q19" s="44"/>
      <c r="R19" s="44"/>
      <c r="S19" s="44"/>
      <c r="T19" s="137"/>
      <c r="U19" s="44"/>
      <c r="V19" s="287"/>
    </row>
    <row r="20" spans="1:23" s="30" customFormat="1" ht="21">
      <c r="A20" s="143" t="s">
        <v>27</v>
      </c>
      <c r="B20" s="396">
        <v>2505</v>
      </c>
      <c r="C20" s="397"/>
      <c r="D20" s="398">
        <f t="shared" si="0"/>
        <v>677</v>
      </c>
      <c r="E20" s="399">
        <v>655</v>
      </c>
      <c r="F20" s="399">
        <v>22</v>
      </c>
      <c r="G20" s="396">
        <v>2819</v>
      </c>
      <c r="H20" s="397"/>
      <c r="I20" s="398">
        <v>974</v>
      </c>
      <c r="J20" s="399">
        <v>918</v>
      </c>
      <c r="K20" s="399">
        <v>56</v>
      </c>
      <c r="L20" s="145" t="s">
        <v>28</v>
      </c>
      <c r="M20" s="284"/>
      <c r="N20" s="457"/>
      <c r="O20" s="457"/>
      <c r="P20" s="457"/>
      <c r="Q20" s="44"/>
      <c r="R20" s="44"/>
      <c r="S20" s="44"/>
      <c r="T20" s="44"/>
      <c r="U20" s="44"/>
      <c r="V20" s="287"/>
    </row>
    <row r="21" spans="1:23" s="122" customFormat="1" ht="17.25">
      <c r="A21" s="332" t="s">
        <v>29</v>
      </c>
      <c r="B21" s="323"/>
      <c r="C21" s="323"/>
      <c r="D21" s="323"/>
      <c r="E21" s="323"/>
      <c r="F21" s="323"/>
      <c r="G21" s="323"/>
      <c r="H21" s="458"/>
      <c r="I21" s="458"/>
      <c r="J21" s="458"/>
      <c r="K21" s="458"/>
      <c r="L21" s="164" t="s">
        <v>78</v>
      </c>
      <c r="M21" s="121"/>
      <c r="N21" s="282"/>
      <c r="O21" s="282"/>
      <c r="P21" s="282"/>
      <c r="Q21" s="282"/>
      <c r="R21" s="282"/>
      <c r="S21" s="282"/>
      <c r="T21" s="282"/>
      <c r="U21" s="282"/>
      <c r="V21" s="121"/>
    </row>
    <row r="22" spans="1:23">
      <c r="A22" s="3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3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3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3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3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3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3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3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3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3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3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3" ht="12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32"/>
      <c r="U32" s="291"/>
      <c r="V32" s="28" t="s">
        <v>58</v>
      </c>
      <c r="W32" s="28" t="s">
        <v>59</v>
      </c>
    </row>
    <row r="33" spans="1:23" ht="12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32"/>
      <c r="U33" s="141" t="s">
        <v>13</v>
      </c>
      <c r="V33" s="324">
        <f>J9/I9*100</f>
        <v>97.746967071057185</v>
      </c>
      <c r="W33" s="324">
        <f>K9/I9*100</f>
        <v>2.2530329289428077</v>
      </c>
    </row>
    <row r="34" spans="1:23" ht="12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32"/>
      <c r="U34" s="141" t="s">
        <v>5</v>
      </c>
      <c r="V34" s="324">
        <f t="shared" ref="V34:V44" si="1">J10/I10*100</f>
        <v>97.567114093959731</v>
      </c>
      <c r="W34" s="324">
        <f t="shared" ref="W34:W44" si="2">K10/I10*100</f>
        <v>2.4328859060402683</v>
      </c>
    </row>
    <row r="35" spans="1:23" ht="12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32"/>
      <c r="U35" s="141" t="s">
        <v>17</v>
      </c>
      <c r="V35" s="324">
        <f t="shared" si="1"/>
        <v>92.307692307692307</v>
      </c>
      <c r="W35" s="324">
        <f t="shared" si="2"/>
        <v>7.6923076923076925</v>
      </c>
    </row>
    <row r="36" spans="1:23" ht="12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32"/>
      <c r="U36" s="141" t="s">
        <v>9</v>
      </c>
      <c r="V36" s="324">
        <f t="shared" si="1"/>
        <v>95.104299702000844</v>
      </c>
      <c r="W36" s="324">
        <f t="shared" si="2"/>
        <v>4.8957002979991486</v>
      </c>
    </row>
    <row r="37" spans="1:23" ht="12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32"/>
      <c r="U37" s="141" t="s">
        <v>64</v>
      </c>
      <c r="V37" s="324">
        <f t="shared" si="1"/>
        <v>89.230769230769241</v>
      </c>
      <c r="W37" s="324">
        <f t="shared" si="2"/>
        <v>10.76923076923077</v>
      </c>
    </row>
    <row r="38" spans="1:23" ht="12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32"/>
      <c r="U38" s="141" t="s">
        <v>127</v>
      </c>
      <c r="V38" s="324">
        <f t="shared" si="1"/>
        <v>100</v>
      </c>
      <c r="W38" s="324">
        <f t="shared" si="2"/>
        <v>0</v>
      </c>
    </row>
    <row r="39" spans="1:23" ht="12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32"/>
      <c r="U39" s="141" t="s">
        <v>23</v>
      </c>
      <c r="V39" s="324">
        <f t="shared" si="1"/>
        <v>78.181818181818187</v>
      </c>
      <c r="W39" s="324">
        <f t="shared" si="2"/>
        <v>21.818181818181817</v>
      </c>
    </row>
    <row r="40" spans="1:23" ht="12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32"/>
      <c r="U40" s="142" t="s">
        <v>66</v>
      </c>
      <c r="V40" s="324">
        <f t="shared" si="1"/>
        <v>100</v>
      </c>
      <c r="W40" s="324">
        <f t="shared" si="2"/>
        <v>0</v>
      </c>
    </row>
    <row r="41" spans="1:23" ht="12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32"/>
      <c r="U41" s="141" t="s">
        <v>15</v>
      </c>
      <c r="V41" s="324">
        <f t="shared" si="1"/>
        <v>96.031746031746039</v>
      </c>
      <c r="W41" s="324">
        <f t="shared" si="2"/>
        <v>3.9682539682539679</v>
      </c>
    </row>
    <row r="42" spans="1:23" ht="12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32"/>
      <c r="U42" s="141" t="s">
        <v>67</v>
      </c>
      <c r="V42" s="324">
        <f t="shared" si="1"/>
        <v>95.238095238095227</v>
      </c>
      <c r="W42" s="324">
        <f t="shared" si="2"/>
        <v>4.7619047619047619</v>
      </c>
    </row>
    <row r="43" spans="1:23" ht="12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32"/>
      <c r="U43" s="141" t="s">
        <v>11</v>
      </c>
      <c r="V43" s="324">
        <f t="shared" si="1"/>
        <v>50</v>
      </c>
      <c r="W43" s="324">
        <f t="shared" si="2"/>
        <v>50</v>
      </c>
    </row>
    <row r="44" spans="1:23" ht="12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32"/>
      <c r="U44" s="143" t="s">
        <v>27</v>
      </c>
      <c r="V44" s="324">
        <f t="shared" si="1"/>
        <v>94.25051334702259</v>
      </c>
      <c r="W44" s="324">
        <f t="shared" si="2"/>
        <v>5.7494866529774127</v>
      </c>
    </row>
    <row r="45" spans="1:2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3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3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3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3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1:2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3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1:2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3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1:22" ht="18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3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spans="1:2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3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spans="1:22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3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spans="1:22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3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spans="1:22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3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spans="1:22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3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spans="1:22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3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spans="1:22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3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spans="1:22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3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spans="1:22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3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spans="1:22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3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spans="1:2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3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spans="1:22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3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spans="1:22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3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spans="1:22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3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spans="1:22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3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spans="1:22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3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spans="1:22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3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spans="1:22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3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spans="1:22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3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spans="1:22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spans="1:2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spans="1:22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3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spans="1:22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3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spans="1:22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3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spans="1:22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3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spans="1:22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3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spans="1:22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3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spans="1:22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3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spans="1:22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3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spans="1:22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3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spans="1:2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3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spans="1:22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3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spans="1:2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3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spans="1:22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3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spans="1:22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3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spans="1:22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3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spans="1:2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3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spans="1:22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3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spans="1:22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3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spans="1:2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3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spans="1:2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3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spans="1:2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3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spans="1:22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3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spans="1:22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3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spans="1:22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3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spans="1:22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3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spans="1:22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3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spans="1:22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3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spans="1:2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3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spans="1:2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3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spans="1:2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3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spans="1:2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3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spans="1:2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3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spans="1:2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3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spans="1:2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3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spans="1:2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3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spans="1:2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3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spans="1:22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3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spans="1:22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3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spans="1:22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3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spans="1:2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3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spans="1:22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3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spans="1:2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3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spans="1:2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3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spans="1:2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3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spans="1:2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3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spans="1:2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3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spans="1:2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3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spans="1:2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3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spans="1:2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3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spans="1: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3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spans="1:2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3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spans="1:2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3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spans="1:2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3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spans="1:2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3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spans="1:22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3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spans="1:22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3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spans="1:22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3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spans="1:2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3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spans="1:22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3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spans="1:2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3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spans="1:22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3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spans="1:2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3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spans="1:2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3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spans="1:22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3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spans="1:22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3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spans="1:22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3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spans="1:22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3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spans="1:22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3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spans="1:22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3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spans="1:2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3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spans="1:22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3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spans="1:22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3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spans="1:22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3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spans="1:2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3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spans="1:22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3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spans="1:22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3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spans="1:2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3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spans="1:22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3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spans="1:22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3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spans="1:2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3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spans="1:22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3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spans="1:22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3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spans="1:2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3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spans="1:2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3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spans="1:2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3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spans="1:2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3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spans="1:2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3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spans="1:2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3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spans="1:22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3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spans="1:2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3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spans="1:22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3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spans="1:22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3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spans="1:22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3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spans="1:2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3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spans="1:22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3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spans="1:22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3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spans="1:22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3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spans="1:22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3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spans="1:22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3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spans="1:2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3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spans="1:22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3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spans="1:22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3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spans="1:22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3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spans="1:2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3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spans="1:22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3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spans="1:22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3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spans="1:22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3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spans="1:22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3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spans="1:22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3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spans="1:2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3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spans="1:22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3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spans="1:22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3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spans="1:22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3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spans="1:22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3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spans="1:22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3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spans="1:22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3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spans="1:22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3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spans="1:22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3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spans="1:22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3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spans="1:2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3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spans="1:22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3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spans="1:22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3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spans="1:2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3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 spans="1:22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3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 spans="1:22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3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 spans="1:22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3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 spans="1:22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3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 spans="1:22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3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 spans="1:22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3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 spans="1:2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3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 spans="1:2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3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 spans="1:22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3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 spans="1:22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3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 spans="1:22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3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 spans="1:22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3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 spans="1:22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3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 spans="1:22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3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 spans="1:2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3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 spans="1:22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3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 spans="1:2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3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 spans="1:22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3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 spans="1:22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3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 spans="1:22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3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 spans="1:22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3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 spans="1:22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3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 spans="1:22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3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 spans="1:22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3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 spans="1:22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3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 spans="1:22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3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 spans="1: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3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 spans="1:22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3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 spans="1:22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3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 spans="1:22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3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 spans="1:22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3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 spans="1:22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3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 spans="1:22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3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 spans="1:22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3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 spans="1:2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3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 spans="1:22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3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 spans="1:2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3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 spans="1:22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3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 spans="1:22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3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 spans="1:22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3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 spans="1:22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3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 spans="1:22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3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 spans="1:22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3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 spans="1:22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3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 spans="1:22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3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 spans="1:22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3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 spans="1:2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3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 spans="1:22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3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 spans="1:22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3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 spans="1:22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3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 spans="1:22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3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 spans="1:22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3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 spans="1:22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3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 spans="1:22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3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 spans="1:22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3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 spans="1:22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3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 spans="1:2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3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 spans="1:22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3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 spans="1:22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3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 spans="1:22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3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 spans="1:22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3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 spans="1:22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3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 spans="1:22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3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 spans="1:22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3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 spans="1:22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3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 spans="1:22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3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 spans="1:2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3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 spans="1:22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3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 spans="1:22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3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 spans="1:22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3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 spans="1:22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3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 spans="1:22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3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 spans="1:22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3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 spans="1:22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3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 spans="1:22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3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 spans="1:22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3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 spans="1:2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3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 spans="1:22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3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 spans="1:22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3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 spans="1:22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3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 spans="1:22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3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 spans="1:22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3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 spans="1:22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3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 spans="1:22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3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 spans="1:22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3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 spans="1:22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3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 spans="1:2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3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 spans="1:22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3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 spans="1:22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3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 spans="1:22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3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 spans="1:22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3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 spans="1:22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3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 spans="1:22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3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 spans="1:22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3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 spans="1:22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3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 spans="1:22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3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 spans="1:2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3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 spans="1:22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3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 spans="1:22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3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 spans="1:22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3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 spans="1:22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3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 spans="1:22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3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 spans="1:22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3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 spans="1:22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3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 spans="1:22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3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 spans="1:22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3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 spans="1:2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3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 spans="1:22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3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 spans="1:22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3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 spans="1:22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3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 spans="1:22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3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 spans="1:22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3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 spans="1:22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3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 spans="1:22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3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 spans="1:22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3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spans="1:22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3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 spans="1:2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3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 spans="1:22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3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 spans="1:22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3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 spans="1:22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3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 spans="1:22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3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 spans="1:22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3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 spans="1:22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3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 spans="1:22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3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 spans="1:22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3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 spans="1:22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3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 spans="1: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3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 spans="1:22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3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 spans="1:22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3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 spans="1:22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3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 spans="1:22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3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 spans="1:22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3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 spans="1:22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3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 spans="1:22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3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 spans="1:22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3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 spans="1:22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3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 spans="1:2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3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 spans="1:22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3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 spans="1:22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3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 spans="1:22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3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 spans="1:22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3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 spans="1:22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3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 spans="1:22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3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 spans="1:22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3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 spans="1:22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3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 spans="1:22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3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 spans="1:2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3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 spans="1:22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3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 spans="1:22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3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 spans="1:22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3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 spans="1:22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3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 spans="1:22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3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 spans="1:22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3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 spans="1:22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3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 spans="1:22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3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 spans="1:22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3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 spans="1:2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3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 spans="1:22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3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 spans="1:22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3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 spans="1:22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3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 spans="1:22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3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 spans="1:22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3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 spans="1:22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3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 spans="1:22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3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 spans="1:22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3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 spans="1:22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3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 spans="1:2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3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 spans="1:22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3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 spans="1:22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3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 spans="1:22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3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 spans="1:22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3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 spans="1:22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3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 spans="1:22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3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 spans="1:22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3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 spans="1:22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3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 spans="1:22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3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 spans="1:2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3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 spans="1:22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3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 spans="1:22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3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 spans="1:22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3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 spans="1:22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3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 spans="1:22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3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 spans="1:22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3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spans="1:22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3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 spans="1:22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3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 spans="1:22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3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 spans="1:2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3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spans="1:22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3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 spans="1:22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3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 spans="1:22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3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 spans="1:22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3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 spans="1:22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3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 spans="1:22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3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 spans="1:22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3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 spans="1:22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3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 spans="1:22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3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 spans="1:2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3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 spans="1:22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3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 spans="1:22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3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 spans="1:22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3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 spans="1:22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3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 spans="1:22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3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 spans="1:22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3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 spans="1:22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3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 spans="1:22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3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 spans="1:22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3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 spans="1:2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3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 spans="1:22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3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 spans="1:22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3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 spans="1:22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3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 spans="1:22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3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 spans="1:22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3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 spans="1:22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3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 spans="1:22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3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 spans="1:22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3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 spans="1:22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3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 spans="1:2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3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 spans="1:22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3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 spans="1:22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3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 spans="1:22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3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 spans="1:22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3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 spans="1:22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3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 spans="1:22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3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 spans="1:22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3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 spans="1:22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3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 spans="1:22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3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 spans="1: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3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 spans="1:22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3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 spans="1:22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3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 spans="1:22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3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 spans="1:22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3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 spans="1:22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3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 spans="1:22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3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 spans="1:22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3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 spans="1:22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3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 spans="1:22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3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 spans="1:2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3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 spans="1:22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3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 spans="1:22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3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 spans="1:22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3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 spans="1:22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3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 spans="1:22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3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 spans="1:22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3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 spans="1:22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3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 spans="1:22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3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 spans="1:22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3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 spans="1:2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3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 spans="1:22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3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 spans="1:22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3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 spans="1:22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3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 spans="1:22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3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 spans="1:22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3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 spans="1:22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3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 spans="1:22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3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 spans="1:22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3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 spans="1:22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3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 spans="1:2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3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 spans="1:22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3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 spans="1:22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3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spans="1:22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3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 spans="1:22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3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 spans="1:22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3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 spans="1:22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3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 spans="1:22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3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 spans="1:22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3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 spans="1:22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3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 spans="1:2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3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 spans="1:22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3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 spans="1:22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3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 spans="1:22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3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 spans="1:22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3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 spans="1:22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3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 spans="1:22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3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 spans="1:22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3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 spans="1:22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3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 spans="1:22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3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 spans="1:2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3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 spans="1:22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3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 spans="1:22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3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 spans="1:22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3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 spans="1:22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3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 spans="1:22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3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 spans="1:22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3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 spans="1:22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3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 spans="1:22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3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 spans="1:22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3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 spans="1:2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3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 spans="1:22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3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 spans="1:22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3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 spans="1:22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3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 spans="1:22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3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 spans="1:22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3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 spans="1:22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3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 spans="1:22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3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 spans="1:22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3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 spans="1:22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3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 spans="1:2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3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 spans="1:22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3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 spans="1:22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3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 spans="1:22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3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 spans="1:22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3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 spans="1:22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3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 spans="1:22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3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 spans="1:22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3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 spans="1:22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3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 spans="1:22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3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 spans="1:2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3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 spans="1:22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3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 spans="1:22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3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 spans="1:22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3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 spans="1:22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3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 spans="1:22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3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 spans="1:22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3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 spans="1:22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3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 spans="1:22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3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 spans="1:22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3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 spans="1:2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3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 spans="1:22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3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 spans="1:22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3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 spans="1:22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3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 spans="1:22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3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 spans="1:22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3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 spans="1:22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3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 spans="1:22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3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 spans="1:22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3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 spans="1:22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3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 spans="1: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3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 spans="1:22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3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 spans="1:22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3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 spans="1:22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3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 spans="1:22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3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 spans="1:22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3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 spans="1:22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3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 spans="1:22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3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 spans="1:22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3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 spans="1:22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3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 spans="1:2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3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 spans="1:22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3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 spans="1:22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3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 spans="1:22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3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 spans="1:22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3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 spans="1:22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3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 spans="1:22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3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 spans="1:22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3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 spans="1:22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3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 spans="1:22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3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 spans="1:2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3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 spans="1:22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3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 spans="1:22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3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 spans="1:22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3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 spans="1:22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3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 spans="1:22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3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</sheetData>
  <mergeCells count="11">
    <mergeCell ref="M4:M7"/>
    <mergeCell ref="A1:L1"/>
    <mergeCell ref="A2:L2"/>
    <mergeCell ref="A4:A7"/>
    <mergeCell ref="L4:L7"/>
    <mergeCell ref="B4:F4"/>
    <mergeCell ref="B5:B6"/>
    <mergeCell ref="D5:F5"/>
    <mergeCell ref="G4:K4"/>
    <mergeCell ref="G5:G6"/>
    <mergeCell ref="I5:K5"/>
  </mergeCells>
  <pageMargins left="0.17" right="0.16" top="0.19" bottom="0.18" header="0.13" footer="0.14000000000000001"/>
  <pageSetup paperSize="9" scale="71" orientation="landscape" r:id="rId1"/>
  <rowBreaks count="2" manualBreakCount="2">
    <brk id="44" max="11" man="1"/>
    <brk id="87" max="16" man="1"/>
  </rowBreaks>
  <colBreaks count="1" manualBreakCount="1">
    <brk id="12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33"/>
  <sheetViews>
    <sheetView view="pageBreakPreview" zoomScaleNormal="100" zoomScaleSheetLayoutView="100" workbookViewId="0">
      <selection activeCell="A3" sqref="A3:I3"/>
    </sheetView>
  </sheetViews>
  <sheetFormatPr defaultColWidth="9.140625" defaultRowHeight="19.5" customHeight="1"/>
  <cols>
    <col min="1" max="1" width="15.28515625" style="34" customWidth="1"/>
    <col min="2" max="8" width="11.28515625" style="34" customWidth="1"/>
    <col min="9" max="9" width="20.140625" style="34" customWidth="1"/>
    <col min="10" max="16384" width="9.140625" style="34"/>
  </cols>
  <sheetData>
    <row r="1" spans="1:13" ht="7.5" customHeight="1">
      <c r="A1" s="944"/>
      <c r="B1" s="944"/>
      <c r="C1" s="944"/>
      <c r="D1" s="944"/>
      <c r="E1" s="944"/>
      <c r="F1" s="944"/>
      <c r="G1" s="944"/>
      <c r="H1" s="944"/>
      <c r="I1" s="944"/>
    </row>
    <row r="2" spans="1:13" ht="16.5" customHeight="1">
      <c r="A2" s="947" t="s">
        <v>313</v>
      </c>
      <c r="B2" s="948"/>
      <c r="C2" s="948"/>
      <c r="D2" s="948"/>
      <c r="E2" s="948"/>
      <c r="F2" s="948"/>
      <c r="G2" s="948"/>
      <c r="H2" s="948"/>
      <c r="I2" s="948"/>
      <c r="J2" s="483"/>
      <c r="K2" s="483"/>
      <c r="L2" s="43"/>
      <c r="M2" s="43"/>
    </row>
    <row r="3" spans="1:13" s="19" customFormat="1" ht="23.25" customHeight="1">
      <c r="A3" s="945" t="s">
        <v>314</v>
      </c>
      <c r="B3" s="946"/>
      <c r="C3" s="946"/>
      <c r="D3" s="946"/>
      <c r="E3" s="946"/>
      <c r="F3" s="946"/>
      <c r="G3" s="946"/>
      <c r="H3" s="946"/>
      <c r="I3" s="946"/>
      <c r="J3" s="60"/>
      <c r="K3" s="60"/>
      <c r="L3" s="484"/>
      <c r="M3" s="484"/>
    </row>
    <row r="4" spans="1:13" ht="26.25" customHeight="1">
      <c r="A4" s="35" t="s">
        <v>68</v>
      </c>
      <c r="B4" s="92">
        <v>2009</v>
      </c>
      <c r="C4" s="92">
        <v>2010</v>
      </c>
      <c r="D4" s="92">
        <v>2011</v>
      </c>
      <c r="E4" s="92">
        <v>2012</v>
      </c>
      <c r="F4" s="92">
        <v>2013</v>
      </c>
      <c r="G4" s="92">
        <v>2014</v>
      </c>
      <c r="H4" s="92">
        <v>2015</v>
      </c>
      <c r="I4" s="482" t="s">
        <v>69</v>
      </c>
      <c r="J4" s="36"/>
      <c r="K4" s="36"/>
      <c r="L4" s="43"/>
      <c r="M4" s="43"/>
    </row>
    <row r="5" spans="1:13" ht="19.5" customHeight="1">
      <c r="A5" s="190" t="s">
        <v>0</v>
      </c>
      <c r="B5" s="90">
        <f>SUM(B6:B15)</f>
        <v>5081</v>
      </c>
      <c r="C5" s="90">
        <f>SUM(C6:C15)</f>
        <v>4140</v>
      </c>
      <c r="D5" s="90">
        <f>SUM(D6:D15)</f>
        <v>5279</v>
      </c>
      <c r="E5" s="90">
        <f>SUM(E6:E15)</f>
        <v>6339</v>
      </c>
      <c r="F5" s="90">
        <f>SUM(F6:F18)</f>
        <v>6981</v>
      </c>
      <c r="G5" s="90">
        <f>SUM(G6:G18)</f>
        <v>6983</v>
      </c>
      <c r="H5" s="90">
        <f>SUM(H6:H18)</f>
        <v>5827</v>
      </c>
      <c r="I5" s="336" t="s">
        <v>63</v>
      </c>
      <c r="J5" s="37"/>
      <c r="K5" s="43"/>
      <c r="L5" s="43"/>
      <c r="M5" s="43"/>
    </row>
    <row r="6" spans="1:13" ht="19.5" customHeight="1">
      <c r="A6" s="38">
        <v>1</v>
      </c>
      <c r="B6" s="365">
        <v>3700</v>
      </c>
      <c r="C6" s="365">
        <v>3347</v>
      </c>
      <c r="D6" s="365">
        <v>4086</v>
      </c>
      <c r="E6" s="23">
        <v>4710</v>
      </c>
      <c r="F6" s="365">
        <v>4666</v>
      </c>
      <c r="G6" s="365">
        <v>4443</v>
      </c>
      <c r="H6" s="365">
        <v>4118</v>
      </c>
      <c r="I6" s="167">
        <v>1</v>
      </c>
      <c r="J6" s="37"/>
      <c r="K6" s="37"/>
    </row>
    <row r="7" spans="1:13" ht="19.5" customHeight="1">
      <c r="A7" s="38">
        <v>2</v>
      </c>
      <c r="B7" s="366">
        <v>840</v>
      </c>
      <c r="C7" s="366">
        <v>569</v>
      </c>
      <c r="D7" s="366">
        <v>810</v>
      </c>
      <c r="E7" s="23">
        <v>1031</v>
      </c>
      <c r="F7" s="366">
        <v>1255</v>
      </c>
      <c r="G7" s="366">
        <v>1274</v>
      </c>
      <c r="H7" s="366">
        <v>1002</v>
      </c>
      <c r="I7" s="167">
        <v>2</v>
      </c>
      <c r="J7" s="37"/>
      <c r="K7" s="39"/>
    </row>
    <row r="8" spans="1:13" ht="19.5" customHeight="1">
      <c r="A8" s="38">
        <v>3</v>
      </c>
      <c r="B8" s="366">
        <v>326</v>
      </c>
      <c r="C8" s="366">
        <v>158</v>
      </c>
      <c r="D8" s="366">
        <v>263</v>
      </c>
      <c r="E8" s="23">
        <v>367</v>
      </c>
      <c r="F8" s="366">
        <v>543</v>
      </c>
      <c r="G8" s="366">
        <v>594</v>
      </c>
      <c r="H8" s="366">
        <v>362</v>
      </c>
      <c r="I8" s="167">
        <v>3</v>
      </c>
      <c r="J8" s="37"/>
      <c r="K8" s="39"/>
    </row>
    <row r="9" spans="1:13" ht="19.5" customHeight="1">
      <c r="A9" s="38">
        <v>4</v>
      </c>
      <c r="B9" s="366">
        <v>141</v>
      </c>
      <c r="C9" s="366">
        <v>47</v>
      </c>
      <c r="D9" s="366">
        <v>84</v>
      </c>
      <c r="E9" s="23">
        <v>148</v>
      </c>
      <c r="F9" s="366">
        <v>258</v>
      </c>
      <c r="G9" s="366">
        <v>308</v>
      </c>
      <c r="H9" s="366">
        <v>157</v>
      </c>
      <c r="I9" s="167">
        <v>4</v>
      </c>
      <c r="J9" s="37"/>
      <c r="K9" s="39"/>
    </row>
    <row r="10" spans="1:13" ht="19.5" customHeight="1">
      <c r="A10" s="38">
        <v>5</v>
      </c>
      <c r="B10" s="366">
        <v>51</v>
      </c>
      <c r="C10" s="366">
        <v>13</v>
      </c>
      <c r="D10" s="366">
        <v>26</v>
      </c>
      <c r="E10" s="23">
        <v>59</v>
      </c>
      <c r="F10" s="366">
        <v>124</v>
      </c>
      <c r="G10" s="366">
        <v>168</v>
      </c>
      <c r="H10" s="366">
        <v>81</v>
      </c>
      <c r="I10" s="167">
        <v>5</v>
      </c>
      <c r="J10" s="37"/>
      <c r="K10" s="39"/>
    </row>
    <row r="11" spans="1:13" ht="19.5" customHeight="1">
      <c r="A11" s="38">
        <v>6</v>
      </c>
      <c r="B11" s="366">
        <v>14</v>
      </c>
      <c r="C11" s="366">
        <v>5</v>
      </c>
      <c r="D11" s="366">
        <v>7</v>
      </c>
      <c r="E11" s="23">
        <v>17</v>
      </c>
      <c r="F11" s="366">
        <v>68</v>
      </c>
      <c r="G11" s="366">
        <v>85</v>
      </c>
      <c r="H11" s="366">
        <v>47</v>
      </c>
      <c r="I11" s="167">
        <v>6</v>
      </c>
      <c r="J11" s="37"/>
      <c r="K11" s="39"/>
    </row>
    <row r="12" spans="1:13" ht="19.5" customHeight="1">
      <c r="A12" s="38">
        <v>7</v>
      </c>
      <c r="B12" s="366">
        <v>6</v>
      </c>
      <c r="C12" s="366">
        <v>1</v>
      </c>
      <c r="D12" s="366">
        <v>2</v>
      </c>
      <c r="E12" s="23">
        <v>4</v>
      </c>
      <c r="F12" s="366">
        <v>33</v>
      </c>
      <c r="G12" s="366">
        <v>52</v>
      </c>
      <c r="H12" s="366">
        <v>26</v>
      </c>
      <c r="I12" s="167">
        <v>7</v>
      </c>
      <c r="J12" s="37"/>
      <c r="K12" s="39"/>
    </row>
    <row r="13" spans="1:13" ht="19.5" customHeight="1">
      <c r="A13" s="38">
        <v>8</v>
      </c>
      <c r="B13" s="366">
        <v>2</v>
      </c>
      <c r="C13" s="366">
        <v>0</v>
      </c>
      <c r="D13" s="366">
        <v>1</v>
      </c>
      <c r="E13" s="23">
        <v>1</v>
      </c>
      <c r="F13" s="366">
        <v>15</v>
      </c>
      <c r="G13" s="366">
        <v>27</v>
      </c>
      <c r="H13" s="366">
        <v>13</v>
      </c>
      <c r="I13" s="167">
        <v>8</v>
      </c>
      <c r="J13" s="37"/>
      <c r="K13" s="39"/>
    </row>
    <row r="14" spans="1:13" ht="19.5" customHeight="1">
      <c r="A14" s="38">
        <v>9</v>
      </c>
      <c r="B14" s="366">
        <v>1</v>
      </c>
      <c r="C14" s="366">
        <v>0</v>
      </c>
      <c r="D14" s="366">
        <v>0</v>
      </c>
      <c r="E14" s="23">
        <v>1</v>
      </c>
      <c r="F14" s="366">
        <v>9</v>
      </c>
      <c r="G14" s="366">
        <v>18</v>
      </c>
      <c r="H14" s="366">
        <v>12</v>
      </c>
      <c r="I14" s="167">
        <v>9</v>
      </c>
      <c r="J14" s="37"/>
      <c r="K14" s="39"/>
    </row>
    <row r="15" spans="1:13" ht="19.5" customHeight="1">
      <c r="A15" s="38">
        <v>10</v>
      </c>
      <c r="B15" s="290">
        <v>0</v>
      </c>
      <c r="C15" s="290">
        <v>0</v>
      </c>
      <c r="D15" s="290">
        <v>0</v>
      </c>
      <c r="E15" s="23">
        <v>1</v>
      </c>
      <c r="F15" s="366">
        <v>6</v>
      </c>
      <c r="G15" s="366">
        <v>8</v>
      </c>
      <c r="H15" s="366">
        <v>5</v>
      </c>
      <c r="I15" s="167">
        <v>10</v>
      </c>
      <c r="J15" s="37"/>
      <c r="K15" s="39"/>
    </row>
    <row r="16" spans="1:13" ht="19.5" customHeight="1">
      <c r="A16" s="38">
        <v>11</v>
      </c>
      <c r="B16" s="290">
        <v>0</v>
      </c>
      <c r="C16" s="290">
        <v>0</v>
      </c>
      <c r="D16" s="290">
        <v>0</v>
      </c>
      <c r="E16" s="366">
        <v>0</v>
      </c>
      <c r="F16" s="366">
        <v>2</v>
      </c>
      <c r="G16" s="366">
        <v>4</v>
      </c>
      <c r="H16" s="366">
        <v>3</v>
      </c>
      <c r="I16" s="167">
        <v>11</v>
      </c>
      <c r="J16" s="37"/>
      <c r="K16" s="41"/>
    </row>
    <row r="17" spans="1:19" ht="19.5" customHeight="1">
      <c r="A17" s="38">
        <v>12</v>
      </c>
      <c r="B17" s="290">
        <v>0</v>
      </c>
      <c r="C17" s="290">
        <v>0</v>
      </c>
      <c r="D17" s="290">
        <v>0</v>
      </c>
      <c r="E17" s="366">
        <v>0</v>
      </c>
      <c r="F17" s="366">
        <v>1</v>
      </c>
      <c r="G17" s="366">
        <v>2</v>
      </c>
      <c r="H17" s="366">
        <v>1</v>
      </c>
      <c r="I17" s="167">
        <v>12</v>
      </c>
      <c r="J17" s="37"/>
      <c r="K17" s="41"/>
    </row>
    <row r="18" spans="1:19" ht="19.5" customHeight="1">
      <c r="A18" s="40">
        <v>13</v>
      </c>
      <c r="B18" s="91">
        <v>0</v>
      </c>
      <c r="C18" s="91">
        <v>0</v>
      </c>
      <c r="D18" s="91">
        <v>0</v>
      </c>
      <c r="E18" s="367">
        <v>0</v>
      </c>
      <c r="F18" s="367">
        <v>1</v>
      </c>
      <c r="G18" s="367">
        <v>0</v>
      </c>
      <c r="H18" s="367">
        <v>0</v>
      </c>
      <c r="I18" s="337">
        <v>13</v>
      </c>
      <c r="J18" s="37"/>
      <c r="K18" s="41"/>
    </row>
    <row r="19" spans="1:19" ht="19.5" customHeight="1">
      <c r="A19" s="42" t="s">
        <v>29</v>
      </c>
      <c r="B19" s="39"/>
      <c r="D19" s="275"/>
      <c r="E19" s="275"/>
      <c r="F19" s="275"/>
      <c r="G19" s="275"/>
      <c r="H19" s="275"/>
      <c r="I19" s="275" t="s">
        <v>137</v>
      </c>
      <c r="J19" s="37"/>
      <c r="K19" s="39"/>
    </row>
    <row r="20" spans="1:19" ht="19.5" customHeight="1">
      <c r="A20" s="43"/>
      <c r="B20" s="39"/>
      <c r="C20" s="39"/>
      <c r="D20" s="39"/>
      <c r="E20" s="39"/>
      <c r="F20" s="39"/>
      <c r="G20" s="39"/>
      <c r="H20" s="39"/>
      <c r="I20" s="39"/>
      <c r="J20" s="39"/>
      <c r="K20" s="39"/>
    </row>
    <row r="21" spans="1:19" ht="19.5" customHeight="1">
      <c r="A21" s="43"/>
      <c r="B21" s="39"/>
      <c r="C21" s="39"/>
      <c r="D21" s="39"/>
      <c r="E21" s="39"/>
      <c r="F21" s="39"/>
      <c r="G21" s="39"/>
      <c r="H21" s="39"/>
      <c r="I21" s="39"/>
      <c r="J21" s="39"/>
      <c r="K21" s="39"/>
    </row>
    <row r="22" spans="1:19" ht="19.5" customHeight="1">
      <c r="A22" s="44"/>
      <c r="B22" s="39"/>
      <c r="C22" s="39"/>
      <c r="D22" s="39"/>
      <c r="E22" s="39"/>
      <c r="F22" s="39"/>
      <c r="G22" s="39"/>
      <c r="H22" s="39"/>
      <c r="I22" s="39"/>
      <c r="J22" s="39"/>
      <c r="K22" s="43"/>
    </row>
    <row r="23" spans="1:19" ht="19.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</row>
    <row r="25" spans="1:19" ht="19.5" customHeight="1">
      <c r="C25" s="45"/>
      <c r="D25" s="45"/>
      <c r="E25" s="45"/>
      <c r="F25" s="45"/>
      <c r="G25" s="45"/>
      <c r="H25" s="45"/>
    </row>
    <row r="26" spans="1:19" ht="19.5" customHeight="1">
      <c r="B26" s="46"/>
      <c r="C26" s="46"/>
      <c r="D26" s="46"/>
      <c r="E26" s="46"/>
      <c r="F26" s="46"/>
      <c r="G26" s="46"/>
      <c r="H26" s="46"/>
      <c r="I26" s="45"/>
    </row>
    <row r="27" spans="1:19" ht="19.5" customHeight="1">
      <c r="B27" s="46"/>
      <c r="C27" s="46"/>
      <c r="D27" s="46"/>
      <c r="E27" s="46"/>
      <c r="F27" s="46"/>
      <c r="G27" s="46"/>
      <c r="H27" s="46"/>
      <c r="I27" s="45"/>
    </row>
    <row r="28" spans="1:19" ht="19.5" customHeight="1">
      <c r="B28" s="46"/>
      <c r="C28" s="46"/>
      <c r="D28" s="46"/>
      <c r="E28" s="46"/>
      <c r="F28" s="46"/>
      <c r="G28" s="46"/>
      <c r="H28" s="46"/>
      <c r="I28" s="45"/>
      <c r="R28" s="38">
        <v>1</v>
      </c>
      <c r="S28" s="365">
        <v>4118</v>
      </c>
    </row>
    <row r="29" spans="1:19" ht="19.5" customHeight="1">
      <c r="B29" s="46"/>
      <c r="C29" s="46"/>
      <c r="D29" s="46"/>
      <c r="E29" s="46"/>
      <c r="F29" s="46"/>
      <c r="G29" s="46"/>
      <c r="H29" s="46"/>
      <c r="I29" s="45"/>
      <c r="R29" s="38">
        <v>2</v>
      </c>
      <c r="S29" s="366">
        <v>1002</v>
      </c>
    </row>
    <row r="30" spans="1:19" ht="19.5" customHeight="1">
      <c r="B30" s="46"/>
      <c r="C30" s="46"/>
      <c r="D30" s="46"/>
      <c r="E30" s="46"/>
      <c r="F30" s="46"/>
      <c r="G30" s="46"/>
      <c r="H30" s="46"/>
      <c r="I30" s="45"/>
      <c r="R30" s="38">
        <v>3</v>
      </c>
      <c r="S30" s="366">
        <v>362</v>
      </c>
    </row>
    <row r="31" spans="1:19" ht="19.5" customHeight="1">
      <c r="B31" s="46"/>
      <c r="C31" s="46"/>
      <c r="D31" s="46"/>
      <c r="E31" s="46"/>
      <c r="F31" s="46"/>
      <c r="G31" s="46"/>
      <c r="H31" s="46"/>
      <c r="I31" s="45"/>
      <c r="R31" s="38">
        <v>4</v>
      </c>
      <c r="S31" s="366">
        <v>157</v>
      </c>
    </row>
    <row r="32" spans="1:19" ht="19.5" customHeight="1">
      <c r="R32" s="38">
        <v>5</v>
      </c>
      <c r="S32" s="366">
        <v>81</v>
      </c>
    </row>
    <row r="33" spans="18:19" ht="19.5" customHeight="1">
      <c r="R33" s="73" t="s">
        <v>285</v>
      </c>
      <c r="S33" s="34">
        <v>107</v>
      </c>
    </row>
  </sheetData>
  <mergeCells count="3">
    <mergeCell ref="A1:I1"/>
    <mergeCell ref="A3:I3"/>
    <mergeCell ref="A2:I2"/>
  </mergeCells>
  <pageMargins left="0.27" right="0.31" top="0.75" bottom="0.75" header="0.3" footer="0.3"/>
  <pageSetup paperSize="9" scale="85" orientation="portrait" r:id="rId1"/>
  <colBreaks count="1" manualBreakCount="1">
    <brk id="10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68"/>
  <sheetViews>
    <sheetView view="pageBreakPreview" zoomScaleNormal="70" zoomScaleSheetLayoutView="100" workbookViewId="0">
      <selection activeCell="A3" sqref="A3:P3"/>
    </sheetView>
  </sheetViews>
  <sheetFormatPr defaultColWidth="9.140625" defaultRowHeight="15"/>
  <cols>
    <col min="1" max="1" width="23.140625" style="34" customWidth="1"/>
    <col min="2" max="3" width="12.28515625" style="34" customWidth="1"/>
    <col min="4" max="5" width="13.85546875" style="34" customWidth="1"/>
    <col min="6" max="6" width="1.28515625" style="34" customWidth="1"/>
    <col min="7" max="10" width="13.7109375" style="34" customWidth="1"/>
    <col min="11" max="11" width="3.140625" style="34" customWidth="1"/>
    <col min="12" max="13" width="12.28515625" style="34" customWidth="1"/>
    <col min="14" max="15" width="14.28515625" style="34" customWidth="1"/>
    <col min="16" max="16" width="17.28515625" style="34" customWidth="1"/>
    <col min="17" max="17" width="3.28515625" style="34" customWidth="1"/>
    <col min="18" max="24" width="9.140625" style="34"/>
    <col min="25" max="25" width="33.85546875" style="34" customWidth="1"/>
    <col min="26" max="26" width="9.140625" style="34"/>
    <col min="27" max="27" width="11.28515625" style="34" customWidth="1"/>
    <col min="28" max="28" width="12.140625" style="34" customWidth="1"/>
    <col min="29" max="16384" width="9.140625" style="34"/>
  </cols>
  <sheetData>
    <row r="1" spans="1:29" ht="9" customHeight="1"/>
    <row r="2" spans="1:29" s="182" customFormat="1" ht="19.5" customHeight="1">
      <c r="A2" s="949" t="s">
        <v>315</v>
      </c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</row>
    <row r="3" spans="1:29">
      <c r="A3" s="951" t="s">
        <v>316</v>
      </c>
      <c r="B3" s="952"/>
      <c r="C3" s="952"/>
      <c r="D3" s="952"/>
      <c r="E3" s="952"/>
      <c r="F3" s="952"/>
      <c r="G3" s="952"/>
      <c r="H3" s="952"/>
      <c r="I3" s="952"/>
      <c r="J3" s="952"/>
      <c r="K3" s="952"/>
      <c r="L3" s="952"/>
      <c r="M3" s="952"/>
      <c r="N3" s="952"/>
      <c r="O3" s="952"/>
      <c r="P3" s="952"/>
    </row>
    <row r="4" spans="1:29" ht="9.7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47"/>
      <c r="L4" s="47"/>
      <c r="M4" s="19"/>
      <c r="N4" s="19"/>
      <c r="O4" s="19"/>
      <c r="P4" s="19"/>
    </row>
    <row r="5" spans="1:29" s="49" customFormat="1" ht="13.5" customHeight="1">
      <c r="A5" s="953" t="s">
        <v>54</v>
      </c>
      <c r="B5" s="956" t="s">
        <v>279</v>
      </c>
      <c r="C5" s="956"/>
      <c r="D5" s="956"/>
      <c r="E5" s="956"/>
      <c r="F5" s="470"/>
      <c r="G5" s="956" t="s">
        <v>58</v>
      </c>
      <c r="H5" s="956"/>
      <c r="I5" s="956"/>
      <c r="J5" s="956"/>
      <c r="K5" s="48"/>
      <c r="L5" s="956" t="s">
        <v>59</v>
      </c>
      <c r="M5" s="956"/>
      <c r="N5" s="956"/>
      <c r="O5" s="956"/>
      <c r="P5" s="957" t="s">
        <v>55</v>
      </c>
    </row>
    <row r="6" spans="1:29" s="49" customFormat="1" ht="18.75" customHeight="1">
      <c r="A6" s="954"/>
      <c r="B6" s="960" t="s">
        <v>60</v>
      </c>
      <c r="C6" s="960"/>
      <c r="D6" s="960"/>
      <c r="E6" s="960"/>
      <c r="F6" s="97"/>
      <c r="G6" s="960" t="s">
        <v>61</v>
      </c>
      <c r="H6" s="960"/>
      <c r="I6" s="960"/>
      <c r="J6" s="960"/>
      <c r="K6" s="97"/>
      <c r="L6" s="960" t="s">
        <v>62</v>
      </c>
      <c r="M6" s="960"/>
      <c r="N6" s="960"/>
      <c r="O6" s="960"/>
      <c r="P6" s="958"/>
      <c r="Z6" s="34"/>
      <c r="AA6" s="34"/>
      <c r="AB6" s="34"/>
    </row>
    <row r="7" spans="1:29" s="338" customFormat="1" ht="12.75" customHeight="1">
      <c r="A7" s="954"/>
      <c r="B7" s="469" t="s">
        <v>0</v>
      </c>
      <c r="C7" s="469" t="s">
        <v>70</v>
      </c>
      <c r="D7" s="469" t="s">
        <v>71</v>
      </c>
      <c r="E7" s="469" t="s">
        <v>72</v>
      </c>
      <c r="F7" s="469"/>
      <c r="G7" s="469" t="s">
        <v>0</v>
      </c>
      <c r="H7" s="469" t="s">
        <v>70</v>
      </c>
      <c r="I7" s="469" t="s">
        <v>71</v>
      </c>
      <c r="J7" s="469" t="s">
        <v>72</v>
      </c>
      <c r="K7" s="469"/>
      <c r="L7" s="469" t="s">
        <v>0</v>
      </c>
      <c r="M7" s="469" t="s">
        <v>70</v>
      </c>
      <c r="N7" s="469" t="s">
        <v>71</v>
      </c>
      <c r="O7" s="469" t="s">
        <v>72</v>
      </c>
      <c r="P7" s="958"/>
      <c r="Z7" s="34"/>
      <c r="AA7" s="34"/>
      <c r="AB7" s="34"/>
    </row>
    <row r="8" spans="1:29" ht="37.5">
      <c r="A8" s="955"/>
      <c r="B8" s="835" t="s">
        <v>63</v>
      </c>
      <c r="C8" s="835" t="s">
        <v>283</v>
      </c>
      <c r="D8" s="835" t="s">
        <v>788</v>
      </c>
      <c r="E8" s="835" t="s">
        <v>284</v>
      </c>
      <c r="F8" s="51"/>
      <c r="G8" s="835" t="s">
        <v>63</v>
      </c>
      <c r="H8" s="835" t="s">
        <v>283</v>
      </c>
      <c r="I8" s="835" t="s">
        <v>788</v>
      </c>
      <c r="J8" s="835" t="s">
        <v>284</v>
      </c>
      <c r="K8" s="51"/>
      <c r="L8" s="835" t="s">
        <v>63</v>
      </c>
      <c r="M8" s="835" t="s">
        <v>283</v>
      </c>
      <c r="N8" s="835" t="s">
        <v>788</v>
      </c>
      <c r="O8" s="835" t="s">
        <v>284</v>
      </c>
      <c r="P8" s="959"/>
    </row>
    <row r="9" spans="1:29" s="154" customFormat="1" ht="21.75" customHeight="1">
      <c r="A9" s="72" t="s">
        <v>0</v>
      </c>
      <c r="B9" s="339">
        <f>G9+L9</f>
        <v>5827</v>
      </c>
      <c r="C9" s="339">
        <f t="shared" ref="C9:C21" si="0">H9+M9</f>
        <v>278</v>
      </c>
      <c r="D9" s="339">
        <f t="shared" ref="D9:D21" si="1">I9+N9</f>
        <v>4365</v>
      </c>
      <c r="E9" s="339">
        <f t="shared" ref="E9:E21" si="2">J9+O9</f>
        <v>1184</v>
      </c>
      <c r="F9" s="340"/>
      <c r="G9" s="339">
        <f>SUM(H9:J9)</f>
        <v>5547</v>
      </c>
      <c r="H9" s="339">
        <f>SUM(H10:H21)</f>
        <v>255</v>
      </c>
      <c r="I9" s="339">
        <f>SUM(I10:I21)</f>
        <v>4159</v>
      </c>
      <c r="J9" s="339">
        <f>SUM(J10:J21)</f>
        <v>1133</v>
      </c>
      <c r="K9" s="340"/>
      <c r="L9" s="339">
        <f>SUM(M9:O9)</f>
        <v>280</v>
      </c>
      <c r="M9" s="339">
        <f>SUM(M10:M21)</f>
        <v>23</v>
      </c>
      <c r="N9" s="339">
        <f>SUM(N10:N21)</f>
        <v>206</v>
      </c>
      <c r="O9" s="339">
        <f>SUM(O10:O21)</f>
        <v>51</v>
      </c>
      <c r="P9" s="52" t="s">
        <v>63</v>
      </c>
      <c r="Z9" s="34"/>
    </row>
    <row r="10" spans="1:29" s="156" customFormat="1" ht="21.75" customHeight="1">
      <c r="A10" s="155" t="s">
        <v>13</v>
      </c>
      <c r="B10" s="341">
        <f>G10+L10</f>
        <v>577</v>
      </c>
      <c r="C10" s="341">
        <f>H10+M10</f>
        <v>41</v>
      </c>
      <c r="D10" s="341">
        <f>I10+N10</f>
        <v>464</v>
      </c>
      <c r="E10" s="341">
        <f t="shared" si="2"/>
        <v>72</v>
      </c>
      <c r="F10" s="341"/>
      <c r="G10" s="341">
        <f>SUM(H10:J10)</f>
        <v>564</v>
      </c>
      <c r="H10" s="341">
        <v>40</v>
      </c>
      <c r="I10" s="341">
        <v>453</v>
      </c>
      <c r="J10" s="341">
        <v>71</v>
      </c>
      <c r="K10" s="341"/>
      <c r="L10" s="341">
        <f>SUM(M10:O10)</f>
        <v>13</v>
      </c>
      <c r="M10" s="341">
        <v>1</v>
      </c>
      <c r="N10" s="341">
        <v>11</v>
      </c>
      <c r="O10" s="341">
        <v>1</v>
      </c>
      <c r="P10" s="144" t="s">
        <v>14</v>
      </c>
      <c r="Q10" s="29"/>
      <c r="R10" s="459"/>
      <c r="Z10" s="34"/>
      <c r="AA10" s="154"/>
      <c r="AB10" s="154"/>
    </row>
    <row r="11" spans="1:29" s="156" customFormat="1" ht="21.75" customHeight="1">
      <c r="A11" s="155" t="s">
        <v>5</v>
      </c>
      <c r="B11" s="341">
        <f t="shared" ref="B11:B21" si="3">G11+L11</f>
        <v>1192</v>
      </c>
      <c r="C11" s="341">
        <f t="shared" si="0"/>
        <v>44</v>
      </c>
      <c r="D11" s="341">
        <f t="shared" si="1"/>
        <v>935</v>
      </c>
      <c r="E11" s="341">
        <f t="shared" si="2"/>
        <v>213</v>
      </c>
      <c r="F11" s="341"/>
      <c r="G11" s="341">
        <f t="shared" ref="G11:G21" si="4">SUM(H11:J11)</f>
        <v>1163</v>
      </c>
      <c r="H11" s="341">
        <v>44</v>
      </c>
      <c r="I11" s="341">
        <v>913</v>
      </c>
      <c r="J11" s="341">
        <v>206</v>
      </c>
      <c r="K11" s="341"/>
      <c r="L11" s="341">
        <f t="shared" ref="L11:L21" si="5">SUM(M11:O11)</f>
        <v>29</v>
      </c>
      <c r="M11" s="341">
        <v>0</v>
      </c>
      <c r="N11" s="341">
        <v>22</v>
      </c>
      <c r="O11" s="341">
        <v>7</v>
      </c>
      <c r="P11" s="144" t="s">
        <v>6</v>
      </c>
      <c r="Q11" s="83"/>
      <c r="R11" s="459"/>
      <c r="Y11" s="34"/>
      <c r="Z11" s="34"/>
      <c r="AA11" s="34"/>
      <c r="AB11" s="34"/>
      <c r="AC11" s="34"/>
    </row>
    <row r="12" spans="1:29" s="156" customFormat="1" ht="21.75" customHeight="1">
      <c r="A12" s="155" t="s">
        <v>17</v>
      </c>
      <c r="B12" s="341">
        <f t="shared" si="3"/>
        <v>143</v>
      </c>
      <c r="C12" s="341">
        <f t="shared" si="0"/>
        <v>8</v>
      </c>
      <c r="D12" s="341">
        <f t="shared" si="1"/>
        <v>120</v>
      </c>
      <c r="E12" s="341">
        <f t="shared" si="2"/>
        <v>15</v>
      </c>
      <c r="F12" s="341"/>
      <c r="G12" s="341">
        <f t="shared" si="4"/>
        <v>132</v>
      </c>
      <c r="H12" s="341">
        <v>8</v>
      </c>
      <c r="I12" s="341">
        <v>110</v>
      </c>
      <c r="J12" s="341">
        <v>14</v>
      </c>
      <c r="K12" s="341"/>
      <c r="L12" s="341">
        <f t="shared" si="5"/>
        <v>11</v>
      </c>
      <c r="M12" s="341">
        <v>0</v>
      </c>
      <c r="N12" s="341">
        <v>10</v>
      </c>
      <c r="O12" s="341">
        <v>1</v>
      </c>
      <c r="P12" s="144" t="s">
        <v>18</v>
      </c>
      <c r="Q12" s="83"/>
      <c r="R12" s="459"/>
      <c r="Y12" s="49"/>
      <c r="Z12" s="50" t="s">
        <v>797</v>
      </c>
      <c r="AA12" s="50" t="s">
        <v>798</v>
      </c>
      <c r="AB12" s="34" t="s">
        <v>799</v>
      </c>
      <c r="AC12" s="49"/>
    </row>
    <row r="13" spans="1:29" s="156" customFormat="1" ht="21.75" customHeight="1">
      <c r="A13" s="155" t="s">
        <v>9</v>
      </c>
      <c r="B13" s="341">
        <f t="shared" si="3"/>
        <v>2349</v>
      </c>
      <c r="C13" s="341">
        <f t="shared" si="0"/>
        <v>118</v>
      </c>
      <c r="D13" s="341">
        <f t="shared" si="1"/>
        <v>1773</v>
      </c>
      <c r="E13" s="341">
        <f t="shared" si="2"/>
        <v>458</v>
      </c>
      <c r="F13" s="341"/>
      <c r="G13" s="341">
        <f t="shared" si="4"/>
        <v>2234</v>
      </c>
      <c r="H13" s="341">
        <v>107</v>
      </c>
      <c r="I13" s="341">
        <v>1686</v>
      </c>
      <c r="J13" s="341">
        <v>441</v>
      </c>
      <c r="K13" s="341"/>
      <c r="L13" s="341">
        <f t="shared" si="5"/>
        <v>115</v>
      </c>
      <c r="M13" s="341">
        <v>11</v>
      </c>
      <c r="N13" s="341">
        <v>87</v>
      </c>
      <c r="O13" s="341">
        <v>17</v>
      </c>
      <c r="P13" s="144" t="s">
        <v>10</v>
      </c>
      <c r="Q13" s="83"/>
      <c r="R13" s="459"/>
      <c r="Y13" s="49"/>
      <c r="Z13" s="339">
        <f>C9</f>
        <v>278</v>
      </c>
      <c r="AA13" s="339">
        <f>D9</f>
        <v>4365</v>
      </c>
      <c r="AB13" s="339">
        <f>E9</f>
        <v>1184</v>
      </c>
      <c r="AC13" s="49"/>
    </row>
    <row r="14" spans="1:29" s="156" customFormat="1" ht="21.75" customHeight="1">
      <c r="A14" s="155" t="s">
        <v>64</v>
      </c>
      <c r="B14" s="341">
        <f t="shared" si="3"/>
        <v>325</v>
      </c>
      <c r="C14" s="341">
        <f t="shared" si="0"/>
        <v>14</v>
      </c>
      <c r="D14" s="341">
        <f t="shared" si="1"/>
        <v>196</v>
      </c>
      <c r="E14" s="341">
        <f t="shared" si="2"/>
        <v>115</v>
      </c>
      <c r="F14" s="341"/>
      <c r="G14" s="341">
        <f t="shared" si="4"/>
        <v>290</v>
      </c>
      <c r="H14" s="341">
        <v>11</v>
      </c>
      <c r="I14" s="341">
        <v>170</v>
      </c>
      <c r="J14" s="341">
        <v>109</v>
      </c>
      <c r="K14" s="341"/>
      <c r="L14" s="341">
        <f t="shared" si="5"/>
        <v>35</v>
      </c>
      <c r="M14" s="341">
        <v>3</v>
      </c>
      <c r="N14" s="341">
        <v>26</v>
      </c>
      <c r="O14" s="341">
        <v>6</v>
      </c>
      <c r="P14" s="144" t="s">
        <v>65</v>
      </c>
      <c r="Q14" s="83"/>
      <c r="R14" s="459"/>
      <c r="Y14" s="19"/>
      <c r="Z14" s="34"/>
      <c r="AA14" s="34"/>
      <c r="AB14" s="34"/>
      <c r="AC14" s="19"/>
    </row>
    <row r="15" spans="1:29" s="156" customFormat="1" ht="21.75" customHeight="1">
      <c r="A15" s="155" t="s">
        <v>7</v>
      </c>
      <c r="B15" s="341">
        <f t="shared" si="3"/>
        <v>9</v>
      </c>
      <c r="C15" s="341">
        <f t="shared" si="0"/>
        <v>4</v>
      </c>
      <c r="D15" s="341">
        <f t="shared" si="1"/>
        <v>4</v>
      </c>
      <c r="E15" s="341">
        <f t="shared" si="2"/>
        <v>1</v>
      </c>
      <c r="F15" s="341"/>
      <c r="G15" s="341">
        <f t="shared" si="4"/>
        <v>9</v>
      </c>
      <c r="H15" s="341">
        <v>4</v>
      </c>
      <c r="I15" s="341">
        <v>4</v>
      </c>
      <c r="J15" s="341">
        <v>1</v>
      </c>
      <c r="K15" s="341"/>
      <c r="L15" s="341">
        <f t="shared" si="5"/>
        <v>0</v>
      </c>
      <c r="M15" s="341">
        <v>0</v>
      </c>
      <c r="N15" s="341">
        <v>0</v>
      </c>
      <c r="O15" s="341">
        <v>0</v>
      </c>
      <c r="P15" s="144" t="s">
        <v>8</v>
      </c>
      <c r="Q15" s="83"/>
      <c r="R15" s="459"/>
      <c r="AA15" s="159">
        <f>SUM(AA16:AA17)</f>
        <v>5827</v>
      </c>
    </row>
    <row r="16" spans="1:29" s="156" customFormat="1" ht="21.75" customHeight="1">
      <c r="A16" s="155" t="s">
        <v>23</v>
      </c>
      <c r="B16" s="341">
        <f t="shared" si="3"/>
        <v>55</v>
      </c>
      <c r="C16" s="341">
        <f t="shared" si="0"/>
        <v>5</v>
      </c>
      <c r="D16" s="341">
        <f t="shared" si="1"/>
        <v>34</v>
      </c>
      <c r="E16" s="341">
        <f t="shared" si="2"/>
        <v>16</v>
      </c>
      <c r="F16" s="341"/>
      <c r="G16" s="341">
        <f t="shared" si="4"/>
        <v>43</v>
      </c>
      <c r="H16" s="341">
        <v>5</v>
      </c>
      <c r="I16" s="341">
        <v>24</v>
      </c>
      <c r="J16" s="341">
        <v>14</v>
      </c>
      <c r="K16" s="341"/>
      <c r="L16" s="341">
        <f t="shared" si="5"/>
        <v>12</v>
      </c>
      <c r="M16" s="341">
        <v>0</v>
      </c>
      <c r="N16" s="341">
        <v>10</v>
      </c>
      <c r="O16" s="341">
        <v>2</v>
      </c>
      <c r="P16" s="144" t="s">
        <v>24</v>
      </c>
      <c r="Q16" s="83"/>
      <c r="R16" s="459"/>
      <c r="Z16" s="154" t="s">
        <v>58</v>
      </c>
      <c r="AA16" s="157">
        <f>G9</f>
        <v>5547</v>
      </c>
      <c r="AB16" s="357">
        <f>AA16/AA15*100</f>
        <v>95.194782907156338</v>
      </c>
    </row>
    <row r="17" spans="1:28" s="156" customFormat="1" ht="21.75" customHeight="1">
      <c r="A17" s="155" t="s">
        <v>66</v>
      </c>
      <c r="B17" s="341">
        <f t="shared" si="3"/>
        <v>12</v>
      </c>
      <c r="C17" s="341">
        <f t="shared" si="0"/>
        <v>0</v>
      </c>
      <c r="D17" s="341">
        <f t="shared" si="1"/>
        <v>9</v>
      </c>
      <c r="E17" s="341">
        <f t="shared" si="2"/>
        <v>3</v>
      </c>
      <c r="F17" s="341"/>
      <c r="G17" s="341">
        <f t="shared" si="4"/>
        <v>12</v>
      </c>
      <c r="H17" s="341">
        <v>0</v>
      </c>
      <c r="I17" s="341">
        <v>9</v>
      </c>
      <c r="J17" s="341">
        <v>3</v>
      </c>
      <c r="K17" s="341"/>
      <c r="L17" s="341">
        <f t="shared" si="5"/>
        <v>0</v>
      </c>
      <c r="M17" s="341">
        <v>0</v>
      </c>
      <c r="N17" s="341">
        <v>0</v>
      </c>
      <c r="O17" s="341">
        <v>0</v>
      </c>
      <c r="P17" s="144" t="s">
        <v>26</v>
      </c>
      <c r="Q17" s="83"/>
      <c r="R17" s="459"/>
      <c r="Z17" s="158" t="s">
        <v>59</v>
      </c>
      <c r="AA17" s="159">
        <f>L9</f>
        <v>280</v>
      </c>
      <c r="AB17" s="357">
        <f>AA17/AA16*100</f>
        <v>5.0477735712998015</v>
      </c>
    </row>
    <row r="18" spans="1:28" s="156" customFormat="1" ht="21.75" customHeight="1">
      <c r="A18" s="155" t="s">
        <v>15</v>
      </c>
      <c r="B18" s="341">
        <f t="shared" si="3"/>
        <v>126</v>
      </c>
      <c r="C18" s="341">
        <f t="shared" si="0"/>
        <v>18</v>
      </c>
      <c r="D18" s="341">
        <f t="shared" si="1"/>
        <v>92</v>
      </c>
      <c r="E18" s="341">
        <f t="shared" si="2"/>
        <v>16</v>
      </c>
      <c r="F18" s="341"/>
      <c r="G18" s="341">
        <f t="shared" si="4"/>
        <v>121</v>
      </c>
      <c r="H18" s="341">
        <v>14</v>
      </c>
      <c r="I18" s="341">
        <v>91</v>
      </c>
      <c r="J18" s="341">
        <v>16</v>
      </c>
      <c r="K18" s="341"/>
      <c r="L18" s="341">
        <f t="shared" si="5"/>
        <v>5</v>
      </c>
      <c r="M18" s="341">
        <v>4</v>
      </c>
      <c r="N18" s="341">
        <v>1</v>
      </c>
      <c r="O18" s="341">
        <v>0</v>
      </c>
      <c r="P18" s="144" t="s">
        <v>16</v>
      </c>
      <c r="Q18" s="83"/>
      <c r="R18" s="459"/>
    </row>
    <row r="19" spans="1:28" s="156" customFormat="1" ht="21.75" customHeight="1">
      <c r="A19" s="155" t="s">
        <v>67</v>
      </c>
      <c r="B19" s="341">
        <f t="shared" si="3"/>
        <v>63</v>
      </c>
      <c r="C19" s="341">
        <f t="shared" si="0"/>
        <v>0</v>
      </c>
      <c r="D19" s="341">
        <f t="shared" si="1"/>
        <v>42</v>
      </c>
      <c r="E19" s="341">
        <f t="shared" si="2"/>
        <v>21</v>
      </c>
      <c r="F19" s="341"/>
      <c r="G19" s="341">
        <f t="shared" si="4"/>
        <v>60</v>
      </c>
      <c r="H19" s="341">
        <v>0</v>
      </c>
      <c r="I19" s="341">
        <v>40</v>
      </c>
      <c r="J19" s="341">
        <v>20</v>
      </c>
      <c r="K19" s="341"/>
      <c r="L19" s="341">
        <f t="shared" si="5"/>
        <v>3</v>
      </c>
      <c r="M19" s="341">
        <v>0</v>
      </c>
      <c r="N19" s="341">
        <v>2</v>
      </c>
      <c r="O19" s="341">
        <v>1</v>
      </c>
      <c r="P19" s="144" t="s">
        <v>22</v>
      </c>
      <c r="Q19" s="83"/>
      <c r="R19" s="459"/>
      <c r="S19" s="155"/>
      <c r="Z19" s="133"/>
      <c r="AA19" s="133"/>
      <c r="AB19" s="133"/>
    </row>
    <row r="20" spans="1:28" s="156" customFormat="1" ht="21.75" customHeight="1">
      <c r="A20" s="155" t="s">
        <v>11</v>
      </c>
      <c r="B20" s="341">
        <f t="shared" si="3"/>
        <v>2</v>
      </c>
      <c r="C20" s="341">
        <f t="shared" si="0"/>
        <v>0</v>
      </c>
      <c r="D20" s="341">
        <f t="shared" si="1"/>
        <v>2</v>
      </c>
      <c r="E20" s="341">
        <f t="shared" si="2"/>
        <v>0</v>
      </c>
      <c r="F20" s="341"/>
      <c r="G20" s="341">
        <f t="shared" si="4"/>
        <v>1</v>
      </c>
      <c r="H20" s="341">
        <v>0</v>
      </c>
      <c r="I20" s="341">
        <v>1</v>
      </c>
      <c r="J20" s="341">
        <v>0</v>
      </c>
      <c r="K20" s="341"/>
      <c r="L20" s="341">
        <f t="shared" si="5"/>
        <v>1</v>
      </c>
      <c r="M20" s="341">
        <v>0</v>
      </c>
      <c r="N20" s="341">
        <v>1</v>
      </c>
      <c r="O20" s="341">
        <v>0</v>
      </c>
      <c r="P20" s="144" t="s">
        <v>12</v>
      </c>
      <c r="Q20" s="83"/>
      <c r="R20" s="459"/>
      <c r="S20" s="155"/>
    </row>
    <row r="21" spans="1:28" s="156" customFormat="1" ht="21.75" customHeight="1">
      <c r="A21" s="160" t="s">
        <v>27</v>
      </c>
      <c r="B21" s="342">
        <f t="shared" si="3"/>
        <v>974</v>
      </c>
      <c r="C21" s="342">
        <f t="shared" si="0"/>
        <v>26</v>
      </c>
      <c r="D21" s="342">
        <f t="shared" si="1"/>
        <v>694</v>
      </c>
      <c r="E21" s="342">
        <f t="shared" si="2"/>
        <v>254</v>
      </c>
      <c r="F21" s="342"/>
      <c r="G21" s="342">
        <f t="shared" si="4"/>
        <v>918</v>
      </c>
      <c r="H21" s="342">
        <v>22</v>
      </c>
      <c r="I21" s="342">
        <v>658</v>
      </c>
      <c r="J21" s="342">
        <v>238</v>
      </c>
      <c r="K21" s="342"/>
      <c r="L21" s="342">
        <f t="shared" si="5"/>
        <v>56</v>
      </c>
      <c r="M21" s="342">
        <v>4</v>
      </c>
      <c r="N21" s="342">
        <v>36</v>
      </c>
      <c r="O21" s="342">
        <v>16</v>
      </c>
      <c r="P21" s="151" t="s">
        <v>28</v>
      </c>
      <c r="Q21" s="83"/>
      <c r="R21" s="459"/>
      <c r="S21" s="155"/>
      <c r="Z21" s="43"/>
      <c r="AA21" s="77" t="s">
        <v>58</v>
      </c>
      <c r="AB21" s="77" t="s">
        <v>59</v>
      </c>
    </row>
    <row r="22" spans="1:28" ht="18.75" customHeight="1">
      <c r="A22" s="42" t="s">
        <v>29</v>
      </c>
      <c r="N22" s="275"/>
      <c r="O22" s="89"/>
      <c r="P22" s="89" t="s">
        <v>137</v>
      </c>
      <c r="Q22" s="83"/>
      <c r="R22" s="43"/>
      <c r="S22" s="43"/>
      <c r="Z22" s="50" t="s">
        <v>797</v>
      </c>
      <c r="AA22" s="90">
        <f>H9</f>
        <v>255</v>
      </c>
      <c r="AB22" s="90">
        <f>M9</f>
        <v>23</v>
      </c>
    </row>
    <row r="23" spans="1:28" ht="18.75">
      <c r="Q23" s="83"/>
      <c r="R23" s="43"/>
      <c r="S23" s="43"/>
      <c r="Z23" s="50" t="s">
        <v>798</v>
      </c>
      <c r="AA23" s="90">
        <f>I9</f>
        <v>4159</v>
      </c>
      <c r="AB23" s="90">
        <f>N9</f>
        <v>206</v>
      </c>
    </row>
    <row r="24" spans="1:28" ht="9" customHeight="1">
      <c r="Z24" s="34" t="s">
        <v>799</v>
      </c>
      <c r="AA24" s="90">
        <f>J9</f>
        <v>1133</v>
      </c>
      <c r="AB24" s="90">
        <f>O9</f>
        <v>51</v>
      </c>
    </row>
    <row r="25" spans="1:28" ht="18.75">
      <c r="Q25" s="83"/>
      <c r="Z25" s="50"/>
      <c r="AA25" s="90"/>
      <c r="AB25" s="90"/>
    </row>
    <row r="26" spans="1:28" ht="18.75">
      <c r="Q26" s="83"/>
      <c r="Z26" s="50"/>
      <c r="AA26" s="90"/>
      <c r="AB26" s="90"/>
    </row>
    <row r="27" spans="1:28" ht="9" customHeight="1"/>
    <row r="28" spans="1:28" ht="18.75">
      <c r="Q28" s="83"/>
      <c r="Z28" s="50"/>
      <c r="AA28" s="90"/>
      <c r="AB28" s="90"/>
    </row>
    <row r="29" spans="1:28" ht="18.75">
      <c r="Q29" s="83"/>
      <c r="Z29" s="50"/>
      <c r="AA29" s="90"/>
      <c r="AB29" s="90"/>
    </row>
    <row r="51" spans="3:10">
      <c r="D51" s="73"/>
      <c r="E51" s="73"/>
    </row>
    <row r="53" spans="3:10">
      <c r="C53" s="45"/>
      <c r="D53" s="45"/>
    </row>
    <row r="57" spans="3:10" s="43" customFormat="1">
      <c r="C57" s="50"/>
      <c r="D57" s="50"/>
      <c r="E57" s="50"/>
      <c r="H57" s="50"/>
      <c r="I57" s="50"/>
      <c r="J57" s="50"/>
    </row>
    <row r="58" spans="3:10" s="43" customFormat="1"/>
    <row r="59" spans="3:10" s="43" customFormat="1">
      <c r="C59" s="90"/>
      <c r="D59" s="90"/>
      <c r="E59" s="90"/>
      <c r="F59" s="90"/>
      <c r="H59" s="90"/>
      <c r="I59" s="90"/>
      <c r="J59" s="90"/>
    </row>
    <row r="60" spans="3:10" s="43" customFormat="1"/>
    <row r="61" spans="3:10" s="43" customFormat="1"/>
    <row r="62" spans="3:10" s="43" customFormat="1"/>
    <row r="63" spans="3:10" s="43" customFormat="1"/>
    <row r="64" spans="3:10" s="43" customFormat="1"/>
    <row r="65" s="43" customFormat="1"/>
    <row r="66" s="43" customFormat="1"/>
    <row r="67" s="43" customFormat="1"/>
    <row r="68" ht="9" customHeight="1"/>
  </sheetData>
  <mergeCells count="10">
    <mergeCell ref="A2:P2"/>
    <mergeCell ref="A3:P3"/>
    <mergeCell ref="A5:A8"/>
    <mergeCell ref="B5:E5"/>
    <mergeCell ref="G5:J5"/>
    <mergeCell ref="L5:O5"/>
    <mergeCell ref="P5:P8"/>
    <mergeCell ref="B6:E6"/>
    <mergeCell ref="G6:J6"/>
    <mergeCell ref="L6:O6"/>
  </mergeCells>
  <pageMargins left="0.23" right="0.17" top="0.09" bottom="7.0000000000000007E-2" header="0.3" footer="0.16"/>
  <pageSetup paperSize="9" scale="68" orientation="landscape" r:id="rId1"/>
  <rowBreaks count="1" manualBreakCount="1">
    <brk id="24" max="16383" man="1"/>
  </rowBreaks>
  <colBreaks count="1" manualBreakCount="1">
    <brk id="16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A382"/>
  <sheetViews>
    <sheetView view="pageBreakPreview" zoomScale="90" zoomScaleNormal="100" zoomScaleSheetLayoutView="90" workbookViewId="0">
      <selection activeCell="A2" sqref="A2:T2"/>
    </sheetView>
  </sheetViews>
  <sheetFormatPr defaultColWidth="21" defaultRowHeight="15"/>
  <cols>
    <col min="1" max="1" width="20.85546875" style="2" customWidth="1"/>
    <col min="2" max="2" width="11.5703125" style="59" hidden="1" customWidth="1"/>
    <col min="3" max="3" width="13.28515625" style="59" hidden="1" customWidth="1"/>
    <col min="4" max="4" width="14" style="59" hidden="1" customWidth="1"/>
    <col min="5" max="19" width="10" style="59" customWidth="1"/>
    <col min="20" max="20" width="21" style="2"/>
    <col min="21" max="21" width="2.42578125" style="70" customWidth="1"/>
    <col min="22" max="71" width="21" style="70"/>
    <col min="72" max="72" width="21" style="485"/>
    <col min="73" max="131" width="21" style="12"/>
    <col min="132" max="16384" width="21" style="2"/>
  </cols>
  <sheetData>
    <row r="1" spans="1:131" ht="21.75">
      <c r="A1" s="963" t="s">
        <v>317</v>
      </c>
      <c r="B1" s="964"/>
      <c r="C1" s="964"/>
      <c r="D1" s="964"/>
      <c r="E1" s="964"/>
      <c r="F1" s="964"/>
      <c r="G1" s="964"/>
      <c r="H1" s="964"/>
      <c r="I1" s="964"/>
      <c r="J1" s="964"/>
      <c r="K1" s="964"/>
      <c r="L1" s="964"/>
      <c r="M1" s="964"/>
      <c r="N1" s="964"/>
      <c r="O1" s="964"/>
      <c r="P1" s="964"/>
      <c r="Q1" s="964"/>
      <c r="R1" s="964"/>
      <c r="S1" s="964"/>
      <c r="T1" s="964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>
      <c r="A2" s="965" t="s">
        <v>318</v>
      </c>
      <c r="B2" s="966"/>
      <c r="C2" s="966"/>
      <c r="D2" s="967"/>
      <c r="E2" s="967"/>
      <c r="F2" s="967"/>
      <c r="G2" s="967"/>
      <c r="H2" s="967"/>
      <c r="I2" s="967"/>
      <c r="J2" s="967"/>
      <c r="K2" s="967"/>
      <c r="L2" s="967"/>
      <c r="M2" s="967"/>
      <c r="N2" s="967"/>
      <c r="O2" s="967"/>
      <c r="P2" s="967"/>
      <c r="Q2" s="967"/>
      <c r="R2" s="967"/>
      <c r="S2" s="967"/>
      <c r="T2" s="967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spans="1:131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53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</row>
    <row r="4" spans="1:131" ht="18.75">
      <c r="A4" s="968" t="s">
        <v>141</v>
      </c>
      <c r="B4" s="54" t="s">
        <v>63</v>
      </c>
      <c r="C4" s="54" t="s">
        <v>73</v>
      </c>
      <c r="D4" s="184" t="s">
        <v>74</v>
      </c>
      <c r="E4" s="54" t="s">
        <v>63</v>
      </c>
      <c r="F4" s="54" t="s">
        <v>73</v>
      </c>
      <c r="G4" s="184" t="s">
        <v>74</v>
      </c>
      <c r="H4" s="276" t="s">
        <v>63</v>
      </c>
      <c r="I4" s="54" t="s">
        <v>73</v>
      </c>
      <c r="J4" s="184" t="s">
        <v>74</v>
      </c>
      <c r="K4" s="54" t="s">
        <v>63</v>
      </c>
      <c r="L4" s="54" t="s">
        <v>73</v>
      </c>
      <c r="M4" s="54" t="s">
        <v>74</v>
      </c>
      <c r="N4" s="276" t="s">
        <v>63</v>
      </c>
      <c r="O4" s="54" t="s">
        <v>73</v>
      </c>
      <c r="P4" s="54" t="s">
        <v>74</v>
      </c>
      <c r="Q4" s="276" t="s">
        <v>63</v>
      </c>
      <c r="R4" s="54" t="s">
        <v>73</v>
      </c>
      <c r="S4" s="54" t="s">
        <v>74</v>
      </c>
      <c r="T4" s="971" t="s">
        <v>55</v>
      </c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</row>
    <row r="5" spans="1:131" ht="12" customHeight="1">
      <c r="A5" s="969"/>
      <c r="B5" s="183" t="s">
        <v>75</v>
      </c>
      <c r="C5" s="183" t="s">
        <v>76</v>
      </c>
      <c r="D5" s="185" t="s">
        <v>77</v>
      </c>
      <c r="E5" s="183" t="s">
        <v>75</v>
      </c>
      <c r="F5" s="183" t="s">
        <v>76</v>
      </c>
      <c r="G5" s="185" t="s">
        <v>77</v>
      </c>
      <c r="H5" s="277" t="s">
        <v>75</v>
      </c>
      <c r="I5" s="183" t="s">
        <v>76</v>
      </c>
      <c r="J5" s="185" t="s">
        <v>77</v>
      </c>
      <c r="K5" s="183" t="s">
        <v>75</v>
      </c>
      <c r="L5" s="183" t="s">
        <v>76</v>
      </c>
      <c r="M5" s="183" t="s">
        <v>77</v>
      </c>
      <c r="N5" s="277" t="s">
        <v>75</v>
      </c>
      <c r="O5" s="183" t="s">
        <v>76</v>
      </c>
      <c r="P5" s="183" t="s">
        <v>77</v>
      </c>
      <c r="Q5" s="277" t="s">
        <v>75</v>
      </c>
      <c r="R5" s="183" t="s">
        <v>76</v>
      </c>
      <c r="S5" s="183" t="s">
        <v>77</v>
      </c>
      <c r="T5" s="97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</row>
    <row r="6" spans="1:131" ht="17.25" customHeight="1">
      <c r="A6" s="970"/>
      <c r="B6" s="962">
        <v>2010</v>
      </c>
      <c r="C6" s="962"/>
      <c r="D6" s="974"/>
      <c r="E6" s="962">
        <v>2011</v>
      </c>
      <c r="F6" s="962"/>
      <c r="G6" s="974"/>
      <c r="H6" s="961">
        <v>2012</v>
      </c>
      <c r="I6" s="962"/>
      <c r="J6" s="974"/>
      <c r="K6" s="962">
        <v>2013</v>
      </c>
      <c r="L6" s="962"/>
      <c r="M6" s="962"/>
      <c r="N6" s="961">
        <v>2014</v>
      </c>
      <c r="O6" s="962"/>
      <c r="P6" s="962"/>
      <c r="Q6" s="961">
        <v>2015</v>
      </c>
      <c r="R6" s="962"/>
      <c r="S6" s="962"/>
      <c r="T6" s="973"/>
      <c r="W6" s="486" t="s">
        <v>76</v>
      </c>
      <c r="X6" s="486" t="s">
        <v>271</v>
      </c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</row>
    <row r="7" spans="1:131" ht="18.75">
      <c r="A7" s="134" t="s">
        <v>0</v>
      </c>
      <c r="B7" s="146">
        <v>4141</v>
      </c>
      <c r="C7" s="146">
        <v>3533</v>
      </c>
      <c r="D7" s="186">
        <f>SUM(D8:D19)</f>
        <v>608</v>
      </c>
      <c r="E7" s="343">
        <f>SUM(E8:E19)</f>
        <v>5279</v>
      </c>
      <c r="F7" s="343">
        <f>SUM(F8:F19)</f>
        <v>4554</v>
      </c>
      <c r="G7" s="344">
        <f>SUM(G8:G19)</f>
        <v>725</v>
      </c>
      <c r="H7" s="345">
        <f>I7+J7</f>
        <v>6339</v>
      </c>
      <c r="I7" s="343">
        <f>SUM(I8:I19)</f>
        <v>5734</v>
      </c>
      <c r="J7" s="344">
        <f>SUM(J8:J19)</f>
        <v>605</v>
      </c>
      <c r="K7" s="346">
        <f>L7+M7</f>
        <v>6981</v>
      </c>
      <c r="L7" s="346">
        <f>SUM(L8:L19)</f>
        <v>6422</v>
      </c>
      <c r="M7" s="356">
        <f>SUM(M8:M19)</f>
        <v>559</v>
      </c>
      <c r="N7" s="345">
        <f>O7+P7</f>
        <v>6983</v>
      </c>
      <c r="O7" s="343">
        <f>SUM(O8:O19)</f>
        <v>6555</v>
      </c>
      <c r="P7" s="356">
        <f>SUM(P8:P19)</f>
        <v>428</v>
      </c>
      <c r="Q7" s="345">
        <f>R7+S7</f>
        <v>5827</v>
      </c>
      <c r="R7" s="343">
        <f>SUM(R8:R19)</f>
        <v>5446</v>
      </c>
      <c r="S7" s="356">
        <f>SUM(S8:S19)</f>
        <v>381</v>
      </c>
      <c r="T7" s="55" t="s">
        <v>63</v>
      </c>
      <c r="W7" s="487">
        <f>R7/Q7*100</f>
        <v>93.461472455809172</v>
      </c>
      <c r="X7" s="487">
        <f>S7/Q7*100</f>
        <v>6.5385275441908366</v>
      </c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</row>
    <row r="8" spans="1:131" ht="18.75">
      <c r="A8" s="147" t="s">
        <v>13</v>
      </c>
      <c r="B8" s="148">
        <v>945</v>
      </c>
      <c r="C8" s="148">
        <v>857</v>
      </c>
      <c r="D8" s="187">
        <v>88</v>
      </c>
      <c r="E8" s="347">
        <v>967</v>
      </c>
      <c r="F8" s="347">
        <v>884</v>
      </c>
      <c r="G8" s="188">
        <v>83</v>
      </c>
      <c r="H8" s="348">
        <f>I8+J8</f>
        <v>677</v>
      </c>
      <c r="I8" s="347">
        <v>624</v>
      </c>
      <c r="J8" s="188">
        <v>53</v>
      </c>
      <c r="K8" s="349">
        <f>L8+M8</f>
        <v>668</v>
      </c>
      <c r="L8" s="347">
        <v>620</v>
      </c>
      <c r="M8" s="349">
        <v>48</v>
      </c>
      <c r="N8" s="348">
        <f>O8+P8</f>
        <v>556</v>
      </c>
      <c r="O8" s="347">
        <v>514</v>
      </c>
      <c r="P8" s="349">
        <v>42</v>
      </c>
      <c r="Q8" s="348">
        <f>R8+S8</f>
        <v>577</v>
      </c>
      <c r="R8" s="347">
        <v>538</v>
      </c>
      <c r="S8" s="349">
        <v>39</v>
      </c>
      <c r="T8" s="41" t="s">
        <v>14</v>
      </c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</row>
    <row r="9" spans="1:131" ht="18.75">
      <c r="A9" s="147" t="s">
        <v>5</v>
      </c>
      <c r="B9" s="148">
        <v>774</v>
      </c>
      <c r="C9" s="148">
        <v>663</v>
      </c>
      <c r="D9" s="187">
        <v>111</v>
      </c>
      <c r="E9" s="347">
        <v>1149</v>
      </c>
      <c r="F9" s="347">
        <v>1034</v>
      </c>
      <c r="G9" s="188">
        <v>115</v>
      </c>
      <c r="H9" s="348">
        <f t="shared" ref="H9:H19" si="0">I9+J9</f>
        <v>1474</v>
      </c>
      <c r="I9" s="347">
        <v>1379</v>
      </c>
      <c r="J9" s="188">
        <v>95</v>
      </c>
      <c r="K9" s="349">
        <f t="shared" ref="K9:K19" si="1">L9+M9</f>
        <v>1613</v>
      </c>
      <c r="L9" s="347">
        <v>1523</v>
      </c>
      <c r="M9" s="349">
        <v>90</v>
      </c>
      <c r="N9" s="348">
        <f t="shared" ref="N9:N19" si="2">O9+P9</f>
        <v>1593</v>
      </c>
      <c r="O9" s="347">
        <v>1501</v>
      </c>
      <c r="P9" s="349">
        <v>92</v>
      </c>
      <c r="Q9" s="348">
        <f t="shared" ref="Q9:Q19" si="3">R9+S9</f>
        <v>1192</v>
      </c>
      <c r="R9" s="347">
        <v>1126</v>
      </c>
      <c r="S9" s="349">
        <v>66</v>
      </c>
      <c r="T9" s="41" t="s">
        <v>6</v>
      </c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</row>
    <row r="10" spans="1:131" ht="18.75">
      <c r="A10" s="147" t="s">
        <v>17</v>
      </c>
      <c r="B10" s="148">
        <v>199</v>
      </c>
      <c r="C10" s="148">
        <v>186</v>
      </c>
      <c r="D10" s="187">
        <v>13</v>
      </c>
      <c r="E10" s="347">
        <v>292</v>
      </c>
      <c r="F10" s="347">
        <v>263</v>
      </c>
      <c r="G10" s="188">
        <v>29</v>
      </c>
      <c r="H10" s="348">
        <f t="shared" si="0"/>
        <v>277</v>
      </c>
      <c r="I10" s="347">
        <v>272</v>
      </c>
      <c r="J10" s="188">
        <v>5</v>
      </c>
      <c r="K10" s="349">
        <f t="shared" si="1"/>
        <v>268</v>
      </c>
      <c r="L10" s="347">
        <v>258</v>
      </c>
      <c r="M10" s="349">
        <v>10</v>
      </c>
      <c r="N10" s="348">
        <f t="shared" si="2"/>
        <v>243</v>
      </c>
      <c r="O10" s="347">
        <v>240</v>
      </c>
      <c r="P10" s="349">
        <v>3</v>
      </c>
      <c r="Q10" s="348">
        <f t="shared" si="3"/>
        <v>143</v>
      </c>
      <c r="R10" s="347">
        <v>141</v>
      </c>
      <c r="S10" s="349">
        <v>2</v>
      </c>
      <c r="T10" s="41" t="s">
        <v>18</v>
      </c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</row>
    <row r="11" spans="1:131" ht="18.75">
      <c r="A11" s="147" t="s">
        <v>9</v>
      </c>
      <c r="B11" s="148">
        <v>1160</v>
      </c>
      <c r="C11" s="148">
        <v>1104</v>
      </c>
      <c r="D11" s="187">
        <v>56</v>
      </c>
      <c r="E11" s="347">
        <v>1453</v>
      </c>
      <c r="F11" s="347">
        <v>1394</v>
      </c>
      <c r="G11" s="188">
        <v>59</v>
      </c>
      <c r="H11" s="348">
        <f t="shared" si="0"/>
        <v>2073</v>
      </c>
      <c r="I11" s="347">
        <v>1969</v>
      </c>
      <c r="J11" s="188">
        <v>104</v>
      </c>
      <c r="K11" s="349">
        <f t="shared" si="1"/>
        <v>2906</v>
      </c>
      <c r="L11" s="347">
        <v>2799</v>
      </c>
      <c r="M11" s="349">
        <v>107</v>
      </c>
      <c r="N11" s="348">
        <f t="shared" si="2"/>
        <v>3316</v>
      </c>
      <c r="O11" s="347">
        <v>3209</v>
      </c>
      <c r="P11" s="349">
        <v>107</v>
      </c>
      <c r="Q11" s="348">
        <f t="shared" si="3"/>
        <v>2349</v>
      </c>
      <c r="R11" s="347">
        <v>2262</v>
      </c>
      <c r="S11" s="349">
        <v>87</v>
      </c>
      <c r="T11" s="41" t="s">
        <v>10</v>
      </c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</row>
    <row r="12" spans="1:131" ht="18.75">
      <c r="A12" s="147" t="s">
        <v>64</v>
      </c>
      <c r="B12" s="148">
        <v>299</v>
      </c>
      <c r="C12" s="148">
        <v>221</v>
      </c>
      <c r="D12" s="187">
        <v>78</v>
      </c>
      <c r="E12" s="347">
        <v>447</v>
      </c>
      <c r="F12" s="347">
        <v>328</v>
      </c>
      <c r="G12" s="188">
        <v>119</v>
      </c>
      <c r="H12" s="348">
        <f t="shared" si="0"/>
        <v>423</v>
      </c>
      <c r="I12" s="347">
        <v>290</v>
      </c>
      <c r="J12" s="188">
        <v>133</v>
      </c>
      <c r="K12" s="349">
        <f t="shared" si="1"/>
        <v>404</v>
      </c>
      <c r="L12" s="347">
        <v>302</v>
      </c>
      <c r="M12" s="349">
        <v>102</v>
      </c>
      <c r="N12" s="348">
        <f t="shared" si="2"/>
        <v>310</v>
      </c>
      <c r="O12" s="347">
        <v>235</v>
      </c>
      <c r="P12" s="349">
        <v>75</v>
      </c>
      <c r="Q12" s="348">
        <f t="shared" si="3"/>
        <v>325</v>
      </c>
      <c r="R12" s="347">
        <v>258</v>
      </c>
      <c r="S12" s="349">
        <v>67</v>
      </c>
      <c r="T12" s="41" t="s">
        <v>65</v>
      </c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</row>
    <row r="13" spans="1:131" ht="18.75">
      <c r="A13" s="147" t="s">
        <v>7</v>
      </c>
      <c r="B13" s="148">
        <v>9</v>
      </c>
      <c r="C13" s="148">
        <v>9</v>
      </c>
      <c r="D13" s="188">
        <v>0</v>
      </c>
      <c r="E13" s="347">
        <v>9</v>
      </c>
      <c r="F13" s="347">
        <v>8</v>
      </c>
      <c r="G13" s="188">
        <v>1</v>
      </c>
      <c r="H13" s="348">
        <f t="shared" si="0"/>
        <v>12</v>
      </c>
      <c r="I13" s="347">
        <v>12</v>
      </c>
      <c r="J13" s="188">
        <v>0</v>
      </c>
      <c r="K13" s="349">
        <f t="shared" si="1"/>
        <v>6</v>
      </c>
      <c r="L13" s="347">
        <v>6</v>
      </c>
      <c r="M13" s="349">
        <v>0</v>
      </c>
      <c r="N13" s="348">
        <f t="shared" si="2"/>
        <v>11</v>
      </c>
      <c r="O13" s="347">
        <v>11</v>
      </c>
      <c r="P13" s="349">
        <v>0</v>
      </c>
      <c r="Q13" s="348">
        <f t="shared" si="3"/>
        <v>9</v>
      </c>
      <c r="R13" s="347">
        <v>9</v>
      </c>
      <c r="S13" s="349">
        <v>0</v>
      </c>
      <c r="T13" s="41" t="s">
        <v>8</v>
      </c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</row>
    <row r="14" spans="1:131" ht="18.75">
      <c r="A14" s="147" t="s">
        <v>23</v>
      </c>
      <c r="B14" s="148">
        <v>11</v>
      </c>
      <c r="C14" s="148">
        <v>11</v>
      </c>
      <c r="D14" s="188">
        <v>0</v>
      </c>
      <c r="E14" s="347">
        <v>34</v>
      </c>
      <c r="F14" s="347">
        <v>30</v>
      </c>
      <c r="G14" s="188">
        <v>4</v>
      </c>
      <c r="H14" s="348">
        <f t="shared" si="0"/>
        <v>36</v>
      </c>
      <c r="I14" s="347">
        <v>35</v>
      </c>
      <c r="J14" s="188">
        <v>1</v>
      </c>
      <c r="K14" s="349">
        <f t="shared" si="1"/>
        <v>33</v>
      </c>
      <c r="L14" s="347">
        <v>33</v>
      </c>
      <c r="M14" s="349">
        <v>0</v>
      </c>
      <c r="N14" s="348">
        <f t="shared" si="2"/>
        <v>38</v>
      </c>
      <c r="O14" s="347">
        <v>37</v>
      </c>
      <c r="P14" s="349">
        <v>1</v>
      </c>
      <c r="Q14" s="348">
        <f t="shared" si="3"/>
        <v>55</v>
      </c>
      <c r="R14" s="347">
        <v>52</v>
      </c>
      <c r="S14" s="349">
        <v>3</v>
      </c>
      <c r="T14" s="41" t="s">
        <v>24</v>
      </c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</row>
    <row r="15" spans="1:131" ht="18.75">
      <c r="A15" s="147" t="s">
        <v>66</v>
      </c>
      <c r="B15" s="148">
        <v>31</v>
      </c>
      <c r="C15" s="148">
        <v>19</v>
      </c>
      <c r="D15" s="187">
        <v>12</v>
      </c>
      <c r="E15" s="347">
        <v>52</v>
      </c>
      <c r="F15" s="347">
        <v>25</v>
      </c>
      <c r="G15" s="188">
        <v>27</v>
      </c>
      <c r="H15" s="348">
        <f t="shared" si="0"/>
        <v>24</v>
      </c>
      <c r="I15" s="347">
        <v>16</v>
      </c>
      <c r="J15" s="188">
        <v>8</v>
      </c>
      <c r="K15" s="349">
        <f t="shared" si="1"/>
        <v>30</v>
      </c>
      <c r="L15" s="347">
        <v>23</v>
      </c>
      <c r="M15" s="349">
        <v>7</v>
      </c>
      <c r="N15" s="348">
        <f t="shared" si="2"/>
        <v>10</v>
      </c>
      <c r="O15" s="347">
        <v>9</v>
      </c>
      <c r="P15" s="349">
        <v>1</v>
      </c>
      <c r="Q15" s="348">
        <f t="shared" si="3"/>
        <v>12</v>
      </c>
      <c r="R15" s="347">
        <v>8</v>
      </c>
      <c r="S15" s="349">
        <v>4</v>
      </c>
      <c r="T15" s="41" t="s">
        <v>26</v>
      </c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</row>
    <row r="16" spans="1:131" ht="18.75">
      <c r="A16" s="147" t="s">
        <v>15</v>
      </c>
      <c r="B16" s="148">
        <v>79</v>
      </c>
      <c r="C16" s="148">
        <v>78</v>
      </c>
      <c r="D16" s="187">
        <v>1</v>
      </c>
      <c r="E16" s="347">
        <v>106</v>
      </c>
      <c r="F16" s="347">
        <v>104</v>
      </c>
      <c r="G16" s="188">
        <v>2</v>
      </c>
      <c r="H16" s="348">
        <f t="shared" si="0"/>
        <v>149</v>
      </c>
      <c r="I16" s="347">
        <v>135</v>
      </c>
      <c r="J16" s="188">
        <v>14</v>
      </c>
      <c r="K16" s="349">
        <f t="shared" si="1"/>
        <v>122</v>
      </c>
      <c r="L16" s="347">
        <v>121</v>
      </c>
      <c r="M16" s="349">
        <v>1</v>
      </c>
      <c r="N16" s="348">
        <f t="shared" si="2"/>
        <v>147</v>
      </c>
      <c r="O16" s="347">
        <v>145</v>
      </c>
      <c r="P16" s="349">
        <v>2</v>
      </c>
      <c r="Q16" s="348">
        <f t="shared" si="3"/>
        <v>126</v>
      </c>
      <c r="R16" s="347">
        <v>123</v>
      </c>
      <c r="S16" s="349">
        <v>3</v>
      </c>
      <c r="T16" s="41" t="s">
        <v>16</v>
      </c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</row>
    <row r="17" spans="1:131" ht="18.75">
      <c r="A17" s="147" t="s">
        <v>67</v>
      </c>
      <c r="B17" s="148">
        <v>52</v>
      </c>
      <c r="C17" s="148">
        <v>29</v>
      </c>
      <c r="D17" s="187">
        <v>23</v>
      </c>
      <c r="E17" s="347">
        <v>60</v>
      </c>
      <c r="F17" s="347">
        <v>39</v>
      </c>
      <c r="G17" s="188">
        <v>21</v>
      </c>
      <c r="H17" s="348">
        <f t="shared" si="0"/>
        <v>40</v>
      </c>
      <c r="I17" s="347">
        <v>29</v>
      </c>
      <c r="J17" s="188">
        <v>11</v>
      </c>
      <c r="K17" s="349">
        <f t="shared" si="1"/>
        <v>59</v>
      </c>
      <c r="L17" s="347">
        <v>51</v>
      </c>
      <c r="M17" s="349">
        <v>8</v>
      </c>
      <c r="N17" s="348">
        <f t="shared" si="2"/>
        <v>80</v>
      </c>
      <c r="O17" s="347">
        <v>60</v>
      </c>
      <c r="P17" s="349">
        <v>20</v>
      </c>
      <c r="Q17" s="348">
        <f t="shared" si="3"/>
        <v>63</v>
      </c>
      <c r="R17" s="347">
        <v>44</v>
      </c>
      <c r="S17" s="349">
        <v>19</v>
      </c>
      <c r="T17" s="41" t="s">
        <v>22</v>
      </c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</row>
    <row r="18" spans="1:131" ht="18.75">
      <c r="A18" s="147" t="s">
        <v>11</v>
      </c>
      <c r="B18" s="148">
        <v>12</v>
      </c>
      <c r="C18" s="148">
        <v>10</v>
      </c>
      <c r="D18" s="187">
        <v>2</v>
      </c>
      <c r="E18" s="347">
        <v>7</v>
      </c>
      <c r="F18" s="347">
        <v>5</v>
      </c>
      <c r="G18" s="188">
        <v>2</v>
      </c>
      <c r="H18" s="348">
        <f t="shared" si="0"/>
        <v>7</v>
      </c>
      <c r="I18" s="347">
        <v>4</v>
      </c>
      <c r="J18" s="188">
        <v>3</v>
      </c>
      <c r="K18" s="349">
        <f t="shared" si="1"/>
        <v>3</v>
      </c>
      <c r="L18" s="347">
        <v>3</v>
      </c>
      <c r="M18" s="349">
        <v>0</v>
      </c>
      <c r="N18" s="348">
        <f t="shared" si="2"/>
        <v>2</v>
      </c>
      <c r="O18" s="347">
        <v>2</v>
      </c>
      <c r="P18" s="349">
        <v>0</v>
      </c>
      <c r="Q18" s="348">
        <f t="shared" si="3"/>
        <v>2</v>
      </c>
      <c r="R18" s="347">
        <v>2</v>
      </c>
      <c r="S18" s="349">
        <v>0</v>
      </c>
      <c r="T18" s="41" t="s">
        <v>12</v>
      </c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</row>
    <row r="19" spans="1:131" ht="18.75">
      <c r="A19" s="149" t="s">
        <v>27</v>
      </c>
      <c r="B19" s="150">
        <v>570</v>
      </c>
      <c r="C19" s="150">
        <v>346</v>
      </c>
      <c r="D19" s="189">
        <v>224</v>
      </c>
      <c r="E19" s="350">
        <v>703</v>
      </c>
      <c r="F19" s="350">
        <v>440</v>
      </c>
      <c r="G19" s="351">
        <v>263</v>
      </c>
      <c r="H19" s="352">
        <f t="shared" si="0"/>
        <v>1147</v>
      </c>
      <c r="I19" s="350">
        <v>969</v>
      </c>
      <c r="J19" s="351">
        <v>178</v>
      </c>
      <c r="K19" s="353">
        <f t="shared" si="1"/>
        <v>869</v>
      </c>
      <c r="L19" s="350">
        <v>683</v>
      </c>
      <c r="M19" s="353">
        <v>186</v>
      </c>
      <c r="N19" s="352">
        <f t="shared" si="2"/>
        <v>677</v>
      </c>
      <c r="O19" s="350">
        <v>592</v>
      </c>
      <c r="P19" s="353">
        <v>85</v>
      </c>
      <c r="Q19" s="352">
        <f t="shared" si="3"/>
        <v>974</v>
      </c>
      <c r="R19" s="350">
        <v>883</v>
      </c>
      <c r="S19" s="353">
        <v>91</v>
      </c>
      <c r="T19" s="56" t="s">
        <v>28</v>
      </c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</row>
    <row r="20" spans="1:131" ht="18.75">
      <c r="A20" s="403" t="s">
        <v>29</v>
      </c>
      <c r="B20" s="57"/>
      <c r="C20" s="57"/>
      <c r="D20" s="58"/>
      <c r="E20" s="57"/>
      <c r="F20" s="57"/>
      <c r="G20" s="58"/>
      <c r="H20" s="57"/>
      <c r="I20" s="57"/>
      <c r="J20" s="58"/>
      <c r="K20" s="57"/>
      <c r="L20" s="57"/>
      <c r="M20" s="354"/>
      <c r="N20" s="57"/>
      <c r="O20" s="57"/>
      <c r="P20" s="354"/>
      <c r="Q20" s="57"/>
      <c r="R20" s="57"/>
      <c r="S20" s="354"/>
      <c r="T20" s="355" t="s">
        <v>137</v>
      </c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</row>
    <row r="21" spans="1:131">
      <c r="BT21" s="488"/>
      <c r="BU21" s="489"/>
      <c r="BV21" s="489"/>
      <c r="BW21" s="489"/>
      <c r="BX21" s="489"/>
      <c r="BY21" s="489"/>
      <c r="BZ21" s="489"/>
      <c r="CA21" s="489"/>
      <c r="CB21" s="489"/>
      <c r="CC21" s="489"/>
      <c r="CD21" s="489"/>
      <c r="CE21" s="489"/>
      <c r="CF21" s="489"/>
      <c r="CG21" s="489"/>
      <c r="CH21" s="489"/>
      <c r="CI21" s="489"/>
      <c r="CJ21" s="489"/>
      <c r="CK21" s="489"/>
      <c r="CL21" s="489"/>
      <c r="CM21" s="489"/>
      <c r="CN21" s="489"/>
      <c r="CO21" s="489"/>
      <c r="CP21" s="489"/>
      <c r="CQ21" s="489"/>
      <c r="CR21" s="489"/>
      <c r="CS21" s="489"/>
      <c r="CT21" s="489"/>
      <c r="CU21" s="489"/>
      <c r="CV21" s="489"/>
      <c r="CW21" s="489"/>
      <c r="CX21" s="489"/>
      <c r="CY21" s="489"/>
      <c r="CZ21" s="489"/>
      <c r="DA21" s="489"/>
      <c r="DB21" s="489"/>
      <c r="DC21" s="489"/>
      <c r="DD21" s="489"/>
      <c r="DE21" s="489"/>
      <c r="DF21" s="489"/>
      <c r="DG21" s="489"/>
      <c r="DH21" s="489"/>
      <c r="DI21" s="489"/>
      <c r="DJ21" s="489"/>
      <c r="DK21" s="489"/>
      <c r="DL21" s="489"/>
      <c r="DM21" s="489"/>
      <c r="DN21" s="489"/>
      <c r="DO21" s="489"/>
      <c r="DP21" s="489"/>
      <c r="DQ21" s="489"/>
      <c r="DR21" s="489"/>
      <c r="DS21" s="489"/>
      <c r="DT21" s="489"/>
      <c r="DU21" s="489"/>
      <c r="DV21" s="489"/>
      <c r="DW21" s="489"/>
      <c r="DX21" s="489"/>
      <c r="DY21" s="489"/>
      <c r="DZ21" s="489"/>
      <c r="EA21" s="489"/>
    </row>
    <row r="22" spans="1:131" s="333" customFormat="1" ht="19.5" customHeight="1">
      <c r="H22" s="334"/>
      <c r="I22" s="335"/>
    </row>
    <row r="23" spans="1:131" s="70" customFormat="1">
      <c r="B23" s="490"/>
      <c r="C23" s="490"/>
      <c r="D23" s="490"/>
      <c r="E23" s="490"/>
      <c r="F23" s="490"/>
      <c r="G23" s="490"/>
      <c r="H23" s="490"/>
      <c r="I23" s="490"/>
      <c r="J23" s="490"/>
      <c r="K23" s="490"/>
      <c r="L23" s="490"/>
      <c r="M23" s="490"/>
      <c r="N23" s="490"/>
      <c r="O23" s="490"/>
      <c r="P23" s="490"/>
      <c r="Q23" s="490"/>
      <c r="R23" s="490"/>
      <c r="S23" s="490"/>
    </row>
    <row r="24" spans="1:131" s="70" customFormat="1">
      <c r="B24" s="490"/>
      <c r="C24" s="490"/>
      <c r="D24" s="490"/>
      <c r="E24" s="490"/>
      <c r="F24" s="490"/>
      <c r="G24" s="490"/>
      <c r="H24" s="490"/>
      <c r="I24" s="490"/>
      <c r="J24" s="490"/>
      <c r="K24" s="490"/>
      <c r="L24" s="490"/>
      <c r="M24" s="490"/>
      <c r="N24" s="490"/>
      <c r="O24" s="490"/>
      <c r="P24" s="490"/>
      <c r="Q24" s="490"/>
      <c r="R24" s="490"/>
      <c r="S24" s="490"/>
    </row>
    <row r="25" spans="1:131" s="70" customFormat="1">
      <c r="B25" s="490"/>
      <c r="C25" s="490"/>
      <c r="D25" s="490"/>
      <c r="E25" s="490"/>
      <c r="F25" s="490"/>
      <c r="G25" s="490"/>
      <c r="H25" s="490"/>
      <c r="I25" s="490"/>
      <c r="J25" s="490"/>
      <c r="K25" s="490"/>
      <c r="L25" s="490"/>
      <c r="M25" s="490"/>
      <c r="N25" s="490"/>
      <c r="O25" s="490"/>
      <c r="P25" s="490"/>
      <c r="Q25" s="490"/>
      <c r="R25" s="490"/>
      <c r="S25" s="490"/>
    </row>
    <row r="26" spans="1:131" s="70" customFormat="1">
      <c r="B26" s="490"/>
      <c r="C26" s="490"/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0"/>
      <c r="P26" s="490"/>
      <c r="Q26" s="490"/>
      <c r="R26" s="490"/>
      <c r="S26" s="490"/>
    </row>
    <row r="27" spans="1:131" s="70" customFormat="1">
      <c r="B27" s="490"/>
      <c r="C27" s="490"/>
      <c r="D27" s="490"/>
      <c r="E27" s="490"/>
      <c r="F27" s="490"/>
      <c r="G27" s="490"/>
      <c r="H27" s="490"/>
      <c r="I27" s="490"/>
      <c r="J27" s="490"/>
      <c r="K27" s="490"/>
      <c r="L27" s="490"/>
      <c r="M27" s="490"/>
      <c r="N27" s="490"/>
      <c r="O27" s="490"/>
      <c r="P27" s="490"/>
      <c r="Q27" s="490"/>
      <c r="R27" s="490"/>
      <c r="S27" s="490"/>
    </row>
    <row r="28" spans="1:131" s="70" customFormat="1">
      <c r="B28" s="490"/>
      <c r="C28" s="490"/>
      <c r="D28" s="490"/>
      <c r="E28" s="490"/>
      <c r="F28" s="490"/>
      <c r="G28" s="490"/>
      <c r="H28" s="490"/>
      <c r="I28" s="490"/>
      <c r="J28" s="490"/>
      <c r="K28" s="490"/>
      <c r="L28" s="490"/>
      <c r="M28" s="490"/>
      <c r="N28" s="490"/>
      <c r="O28" s="490"/>
      <c r="P28" s="490"/>
      <c r="Q28" s="490"/>
      <c r="R28" s="490"/>
      <c r="S28" s="490"/>
    </row>
    <row r="29" spans="1:131" s="70" customFormat="1">
      <c r="B29" s="490"/>
      <c r="C29" s="490"/>
      <c r="D29" s="490"/>
      <c r="E29" s="490"/>
      <c r="F29" s="490"/>
      <c r="G29" s="490"/>
      <c r="H29" s="490"/>
      <c r="I29" s="490"/>
      <c r="J29" s="490"/>
      <c r="K29" s="490"/>
      <c r="L29" s="490"/>
      <c r="M29" s="490"/>
      <c r="N29" s="490"/>
      <c r="O29" s="490"/>
      <c r="P29" s="490"/>
      <c r="Q29" s="490"/>
      <c r="R29" s="490"/>
      <c r="S29" s="490"/>
    </row>
    <row r="30" spans="1:131" s="70" customFormat="1">
      <c r="B30" s="490"/>
      <c r="C30" s="490"/>
      <c r="D30" s="490"/>
      <c r="E30" s="490"/>
      <c r="F30" s="490"/>
      <c r="G30" s="490"/>
      <c r="H30" s="490"/>
      <c r="I30" s="490"/>
      <c r="J30" s="490"/>
      <c r="K30" s="490"/>
      <c r="L30" s="490"/>
      <c r="M30" s="490"/>
      <c r="N30" s="490"/>
      <c r="O30" s="490"/>
      <c r="P30" s="490"/>
      <c r="Q30" s="490"/>
      <c r="R30" s="490"/>
      <c r="S30" s="490"/>
    </row>
    <row r="31" spans="1:131" s="70" customFormat="1">
      <c r="B31" s="490"/>
      <c r="C31" s="490"/>
      <c r="D31" s="490"/>
      <c r="E31" s="490"/>
      <c r="F31" s="490"/>
      <c r="G31" s="490"/>
      <c r="H31" s="490"/>
      <c r="I31" s="490"/>
      <c r="J31" s="490"/>
      <c r="K31" s="490"/>
      <c r="L31" s="490"/>
      <c r="M31" s="490"/>
      <c r="N31" s="490"/>
      <c r="O31" s="490"/>
      <c r="P31" s="490"/>
      <c r="Q31" s="490"/>
      <c r="R31" s="490"/>
      <c r="S31" s="490"/>
    </row>
    <row r="32" spans="1:131" s="70" customFormat="1">
      <c r="B32" s="490"/>
      <c r="C32" s="490"/>
      <c r="D32" s="490"/>
      <c r="E32" s="490"/>
      <c r="F32" s="490"/>
      <c r="G32" s="490"/>
      <c r="H32" s="490"/>
      <c r="I32" s="490"/>
      <c r="J32" s="490"/>
      <c r="K32" s="490"/>
      <c r="L32" s="490"/>
      <c r="M32" s="490"/>
      <c r="N32" s="490"/>
      <c r="O32" s="490"/>
      <c r="P32" s="490"/>
      <c r="Q32" s="490"/>
      <c r="R32" s="490"/>
      <c r="S32" s="490"/>
    </row>
    <row r="33" spans="2:19" s="70" customFormat="1">
      <c r="B33" s="490"/>
      <c r="C33" s="490"/>
      <c r="D33" s="490"/>
      <c r="E33" s="490"/>
      <c r="F33" s="490"/>
      <c r="G33" s="490"/>
      <c r="H33" s="490"/>
      <c r="I33" s="490"/>
      <c r="J33" s="490"/>
      <c r="K33" s="490"/>
      <c r="L33" s="490"/>
      <c r="M33" s="490"/>
      <c r="N33" s="490"/>
      <c r="O33" s="490"/>
      <c r="P33" s="490"/>
      <c r="Q33" s="490"/>
      <c r="R33" s="490"/>
      <c r="S33" s="490"/>
    </row>
    <row r="34" spans="2:19" s="70" customFormat="1">
      <c r="B34" s="490"/>
      <c r="C34" s="490"/>
      <c r="D34" s="490"/>
      <c r="E34" s="490"/>
      <c r="F34" s="490"/>
      <c r="G34" s="490"/>
      <c r="H34" s="490"/>
      <c r="I34" s="490"/>
      <c r="J34" s="490"/>
      <c r="K34" s="490"/>
      <c r="L34" s="490"/>
      <c r="M34" s="490"/>
      <c r="N34" s="490"/>
      <c r="O34" s="490"/>
      <c r="P34" s="490"/>
      <c r="Q34" s="490"/>
      <c r="R34" s="490"/>
      <c r="S34" s="490"/>
    </row>
    <row r="35" spans="2:19" s="70" customFormat="1">
      <c r="B35" s="490"/>
      <c r="C35" s="490"/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490"/>
      <c r="O35" s="490"/>
      <c r="P35" s="490"/>
      <c r="Q35" s="490"/>
      <c r="R35" s="490"/>
      <c r="S35" s="490"/>
    </row>
    <row r="36" spans="2:19" s="70" customFormat="1">
      <c r="B36" s="490"/>
      <c r="C36" s="490"/>
      <c r="D36" s="490"/>
      <c r="E36" s="490"/>
      <c r="F36" s="490"/>
      <c r="G36" s="490"/>
      <c r="H36" s="490"/>
      <c r="I36" s="490"/>
      <c r="J36" s="490"/>
      <c r="K36" s="490"/>
      <c r="L36" s="490"/>
      <c r="M36" s="490"/>
      <c r="N36" s="490"/>
      <c r="O36" s="490"/>
      <c r="P36" s="490"/>
      <c r="Q36" s="490"/>
      <c r="R36" s="490"/>
      <c r="S36" s="490"/>
    </row>
    <row r="37" spans="2:19" s="70" customFormat="1">
      <c r="B37" s="490"/>
      <c r="C37" s="490"/>
      <c r="D37" s="490"/>
      <c r="E37" s="490"/>
      <c r="F37" s="490"/>
      <c r="G37" s="490"/>
      <c r="H37" s="490"/>
      <c r="I37" s="490"/>
      <c r="J37" s="490"/>
      <c r="K37" s="490"/>
      <c r="L37" s="490"/>
      <c r="M37" s="490"/>
      <c r="N37" s="490"/>
      <c r="O37" s="490"/>
      <c r="P37" s="490"/>
      <c r="Q37" s="490"/>
      <c r="R37" s="490"/>
      <c r="S37" s="490"/>
    </row>
    <row r="38" spans="2:19" s="70" customFormat="1">
      <c r="B38" s="490"/>
      <c r="C38" s="490"/>
      <c r="D38" s="490"/>
      <c r="E38" s="490"/>
      <c r="F38" s="490"/>
      <c r="G38" s="490"/>
      <c r="H38" s="490"/>
      <c r="I38" s="490"/>
      <c r="J38" s="490"/>
      <c r="K38" s="490"/>
      <c r="L38" s="490"/>
      <c r="M38" s="490"/>
      <c r="N38" s="490"/>
      <c r="O38" s="490"/>
      <c r="P38" s="490"/>
      <c r="Q38" s="490"/>
      <c r="R38" s="490"/>
      <c r="S38" s="490"/>
    </row>
    <row r="39" spans="2:19" s="70" customFormat="1">
      <c r="B39" s="490"/>
      <c r="C39" s="490"/>
      <c r="D39" s="490"/>
      <c r="E39" s="490"/>
      <c r="F39" s="490"/>
      <c r="G39" s="490"/>
      <c r="H39" s="490"/>
      <c r="I39" s="490"/>
      <c r="J39" s="490"/>
      <c r="K39" s="490"/>
      <c r="L39" s="490"/>
      <c r="M39" s="490"/>
      <c r="N39" s="490"/>
      <c r="O39" s="490"/>
      <c r="P39" s="490"/>
      <c r="Q39" s="490"/>
      <c r="R39" s="490"/>
      <c r="S39" s="490"/>
    </row>
    <row r="40" spans="2:19" s="70" customFormat="1">
      <c r="B40" s="490"/>
      <c r="C40" s="490"/>
      <c r="D40" s="490"/>
      <c r="E40" s="490"/>
      <c r="F40" s="490"/>
      <c r="G40" s="490"/>
      <c r="H40" s="490"/>
      <c r="I40" s="490"/>
      <c r="J40" s="490"/>
      <c r="K40" s="490"/>
      <c r="L40" s="490"/>
      <c r="M40" s="490"/>
      <c r="N40" s="490"/>
      <c r="O40" s="490"/>
      <c r="P40" s="490"/>
      <c r="Q40" s="490"/>
      <c r="R40" s="490"/>
      <c r="S40" s="490"/>
    </row>
    <row r="41" spans="2:19" s="70" customFormat="1">
      <c r="B41" s="490"/>
      <c r="C41" s="490"/>
      <c r="D41" s="490"/>
      <c r="E41" s="490"/>
      <c r="F41" s="490"/>
      <c r="G41" s="490"/>
      <c r="H41" s="490"/>
      <c r="I41" s="490"/>
      <c r="J41" s="490"/>
      <c r="K41" s="490"/>
      <c r="L41" s="490"/>
      <c r="M41" s="490"/>
      <c r="N41" s="490"/>
      <c r="O41" s="490"/>
      <c r="P41" s="490"/>
      <c r="Q41" s="490"/>
      <c r="R41" s="490"/>
      <c r="S41" s="490"/>
    </row>
    <row r="42" spans="2:19" s="70" customFormat="1">
      <c r="B42" s="490"/>
      <c r="C42" s="490"/>
      <c r="D42" s="490"/>
      <c r="E42" s="490"/>
      <c r="F42" s="490"/>
      <c r="G42" s="490"/>
      <c r="H42" s="490"/>
      <c r="I42" s="490"/>
      <c r="J42" s="490"/>
      <c r="K42" s="490"/>
      <c r="L42" s="490"/>
      <c r="M42" s="490"/>
      <c r="N42" s="490"/>
      <c r="O42" s="490"/>
      <c r="P42" s="490"/>
      <c r="Q42" s="490"/>
      <c r="R42" s="490"/>
      <c r="S42" s="490"/>
    </row>
    <row r="43" spans="2:19" s="70" customFormat="1">
      <c r="B43" s="490"/>
      <c r="C43" s="490"/>
      <c r="D43" s="490"/>
      <c r="E43" s="490"/>
      <c r="F43" s="490"/>
      <c r="G43" s="490"/>
      <c r="H43" s="490"/>
      <c r="I43" s="490"/>
      <c r="J43" s="490"/>
      <c r="K43" s="490"/>
      <c r="L43" s="490"/>
      <c r="M43" s="490"/>
      <c r="N43" s="490"/>
      <c r="O43" s="490"/>
      <c r="P43" s="490"/>
      <c r="Q43" s="490"/>
      <c r="R43" s="490"/>
      <c r="S43" s="490"/>
    </row>
    <row r="44" spans="2:19" s="70" customFormat="1">
      <c r="B44" s="490"/>
      <c r="C44" s="490"/>
      <c r="D44" s="490"/>
      <c r="E44" s="490"/>
      <c r="F44" s="490"/>
      <c r="G44" s="490"/>
      <c r="H44" s="490"/>
      <c r="I44" s="490"/>
      <c r="J44" s="490"/>
      <c r="K44" s="490"/>
      <c r="L44" s="490"/>
      <c r="M44" s="490"/>
      <c r="N44" s="490"/>
      <c r="O44" s="490"/>
      <c r="P44" s="490"/>
      <c r="Q44" s="490"/>
      <c r="R44" s="490"/>
      <c r="S44" s="490"/>
    </row>
    <row r="45" spans="2:19" s="70" customFormat="1">
      <c r="B45" s="490"/>
      <c r="C45" s="490"/>
      <c r="D45" s="490"/>
      <c r="E45" s="490"/>
      <c r="F45" s="490"/>
      <c r="G45" s="490"/>
      <c r="H45" s="490"/>
      <c r="I45" s="490"/>
      <c r="J45" s="490"/>
      <c r="K45" s="490"/>
      <c r="L45" s="490"/>
      <c r="M45" s="490"/>
      <c r="N45" s="490"/>
      <c r="O45" s="490"/>
      <c r="P45" s="490"/>
      <c r="Q45" s="490"/>
      <c r="R45" s="490"/>
      <c r="S45" s="490"/>
    </row>
    <row r="46" spans="2:19" s="70" customFormat="1">
      <c r="B46" s="490"/>
      <c r="C46" s="490"/>
      <c r="D46" s="490"/>
      <c r="E46" s="490"/>
      <c r="F46" s="490"/>
      <c r="G46" s="490"/>
      <c r="H46" s="490"/>
      <c r="I46" s="490"/>
      <c r="J46" s="490"/>
      <c r="K46" s="490"/>
      <c r="L46" s="490"/>
      <c r="M46" s="490"/>
      <c r="N46" s="490"/>
      <c r="O46" s="490"/>
      <c r="P46" s="490"/>
      <c r="Q46" s="490"/>
      <c r="R46" s="490"/>
      <c r="S46" s="490"/>
    </row>
    <row r="47" spans="2:19" s="70" customFormat="1">
      <c r="B47" s="490"/>
      <c r="C47" s="490"/>
      <c r="D47" s="490"/>
      <c r="E47" s="490"/>
      <c r="F47" s="490"/>
      <c r="G47" s="490"/>
      <c r="H47" s="490"/>
      <c r="I47" s="490"/>
      <c r="J47" s="490"/>
      <c r="K47" s="490"/>
      <c r="L47" s="490"/>
      <c r="M47" s="490"/>
      <c r="N47" s="490"/>
      <c r="O47" s="490"/>
      <c r="P47" s="490"/>
      <c r="Q47" s="490"/>
      <c r="R47" s="490"/>
      <c r="S47" s="490"/>
    </row>
    <row r="48" spans="2:19" s="70" customFormat="1">
      <c r="B48" s="490"/>
      <c r="C48" s="490"/>
      <c r="D48" s="490"/>
      <c r="E48" s="490"/>
      <c r="F48" s="490"/>
      <c r="G48" s="490"/>
      <c r="H48" s="490"/>
      <c r="I48" s="490"/>
      <c r="J48" s="490"/>
      <c r="K48" s="490"/>
      <c r="L48" s="490"/>
      <c r="M48" s="490"/>
      <c r="N48" s="490"/>
      <c r="O48" s="490"/>
      <c r="P48" s="490"/>
      <c r="Q48" s="490"/>
      <c r="R48" s="490"/>
      <c r="S48" s="490"/>
    </row>
    <row r="49" spans="2:19" s="70" customFormat="1">
      <c r="B49" s="490"/>
      <c r="C49" s="490"/>
      <c r="D49" s="490"/>
      <c r="E49" s="490"/>
      <c r="F49" s="490"/>
      <c r="G49" s="490"/>
      <c r="H49" s="490"/>
      <c r="I49" s="490"/>
      <c r="J49" s="490"/>
      <c r="K49" s="490"/>
      <c r="L49" s="490"/>
      <c r="M49" s="490"/>
      <c r="N49" s="490"/>
      <c r="O49" s="490"/>
      <c r="P49" s="490"/>
      <c r="Q49" s="490"/>
      <c r="R49" s="490"/>
      <c r="S49" s="490"/>
    </row>
    <row r="50" spans="2:19" s="70" customFormat="1">
      <c r="B50" s="490"/>
      <c r="C50" s="490"/>
      <c r="D50" s="490"/>
      <c r="E50" s="490"/>
      <c r="F50" s="490"/>
      <c r="G50" s="490"/>
      <c r="H50" s="490"/>
      <c r="I50" s="490"/>
      <c r="J50" s="490"/>
      <c r="K50" s="490"/>
      <c r="L50" s="490"/>
      <c r="M50" s="490"/>
      <c r="N50" s="490"/>
      <c r="O50" s="490"/>
      <c r="P50" s="490"/>
      <c r="Q50" s="490"/>
      <c r="R50" s="490"/>
      <c r="S50" s="490"/>
    </row>
    <row r="51" spans="2:19" s="70" customFormat="1">
      <c r="B51" s="490"/>
      <c r="C51" s="490"/>
      <c r="D51" s="490"/>
      <c r="E51" s="490"/>
      <c r="F51" s="490"/>
      <c r="G51" s="490"/>
      <c r="H51" s="490"/>
      <c r="I51" s="490"/>
      <c r="J51" s="490"/>
      <c r="K51" s="490"/>
      <c r="L51" s="490"/>
      <c r="M51" s="490"/>
      <c r="N51" s="490"/>
      <c r="O51" s="490"/>
      <c r="P51" s="490"/>
      <c r="Q51" s="490"/>
      <c r="R51" s="490"/>
      <c r="S51" s="490"/>
    </row>
    <row r="52" spans="2:19" s="70" customFormat="1">
      <c r="B52" s="490"/>
      <c r="C52" s="490"/>
      <c r="D52" s="490"/>
      <c r="E52" s="490"/>
      <c r="F52" s="490"/>
      <c r="G52" s="490"/>
      <c r="H52" s="490"/>
      <c r="I52" s="490"/>
      <c r="J52" s="490"/>
      <c r="K52" s="490"/>
      <c r="L52" s="490"/>
      <c r="M52" s="490"/>
      <c r="N52" s="490"/>
      <c r="O52" s="490"/>
      <c r="P52" s="490"/>
      <c r="Q52" s="490"/>
      <c r="R52" s="490"/>
      <c r="S52" s="490"/>
    </row>
    <row r="53" spans="2:19" s="70" customFormat="1">
      <c r="B53" s="490"/>
      <c r="C53" s="490"/>
      <c r="D53" s="490"/>
      <c r="E53" s="490"/>
      <c r="F53" s="490"/>
      <c r="G53" s="490"/>
      <c r="H53" s="490"/>
      <c r="I53" s="490"/>
      <c r="J53" s="490"/>
      <c r="K53" s="490"/>
      <c r="L53" s="490"/>
      <c r="M53" s="490"/>
      <c r="N53" s="490"/>
      <c r="O53" s="490"/>
      <c r="P53" s="490"/>
      <c r="Q53" s="490"/>
      <c r="R53" s="490"/>
      <c r="S53" s="490"/>
    </row>
    <row r="54" spans="2:19" s="70" customFormat="1">
      <c r="B54" s="490"/>
      <c r="C54" s="490"/>
      <c r="D54" s="490"/>
      <c r="E54" s="490"/>
      <c r="F54" s="490"/>
      <c r="G54" s="490"/>
      <c r="H54" s="490"/>
      <c r="I54" s="490"/>
      <c r="J54" s="490"/>
      <c r="K54" s="490"/>
      <c r="L54" s="490"/>
      <c r="M54" s="490"/>
      <c r="N54" s="490"/>
      <c r="O54" s="490"/>
      <c r="P54" s="490"/>
      <c r="Q54" s="490"/>
      <c r="R54" s="490"/>
      <c r="S54" s="490"/>
    </row>
    <row r="55" spans="2:19" s="70" customFormat="1">
      <c r="B55" s="490"/>
      <c r="C55" s="490"/>
      <c r="D55" s="490"/>
      <c r="E55" s="490"/>
      <c r="F55" s="490"/>
      <c r="G55" s="490"/>
      <c r="H55" s="490"/>
      <c r="I55" s="490"/>
      <c r="J55" s="490"/>
      <c r="K55" s="490"/>
      <c r="L55" s="490"/>
      <c r="M55" s="490"/>
      <c r="N55" s="490"/>
      <c r="O55" s="490"/>
      <c r="P55" s="490"/>
      <c r="Q55" s="490"/>
      <c r="R55" s="490"/>
      <c r="S55" s="490"/>
    </row>
    <row r="56" spans="2:19" s="70" customFormat="1">
      <c r="B56" s="490"/>
      <c r="C56" s="490"/>
      <c r="D56" s="490"/>
      <c r="E56" s="490"/>
      <c r="F56" s="490"/>
      <c r="G56" s="490"/>
      <c r="H56" s="490"/>
      <c r="I56" s="490"/>
      <c r="J56" s="490"/>
      <c r="K56" s="490"/>
      <c r="L56" s="490"/>
      <c r="M56" s="490"/>
      <c r="N56" s="490"/>
      <c r="O56" s="490"/>
      <c r="P56" s="490"/>
      <c r="Q56" s="490"/>
      <c r="R56" s="490"/>
      <c r="S56" s="490"/>
    </row>
    <row r="57" spans="2:19" s="70" customFormat="1">
      <c r="B57" s="490"/>
      <c r="C57" s="490"/>
      <c r="D57" s="490"/>
      <c r="E57" s="490"/>
      <c r="F57" s="490"/>
      <c r="G57" s="490"/>
      <c r="H57" s="490"/>
      <c r="I57" s="490"/>
      <c r="J57" s="490"/>
      <c r="K57" s="490"/>
      <c r="L57" s="490"/>
      <c r="M57" s="490"/>
      <c r="N57" s="490"/>
      <c r="O57" s="490"/>
      <c r="P57" s="490"/>
      <c r="Q57" s="490"/>
      <c r="R57" s="490"/>
      <c r="S57" s="490"/>
    </row>
    <row r="58" spans="2:19" s="70" customFormat="1">
      <c r="B58" s="490"/>
      <c r="C58" s="490"/>
      <c r="D58" s="490"/>
      <c r="E58" s="490"/>
      <c r="F58" s="490"/>
      <c r="G58" s="490"/>
      <c r="H58" s="490"/>
      <c r="I58" s="490"/>
      <c r="J58" s="490"/>
      <c r="K58" s="490"/>
      <c r="L58" s="490"/>
      <c r="M58" s="490"/>
      <c r="N58" s="490"/>
      <c r="O58" s="490"/>
      <c r="P58" s="490"/>
      <c r="Q58" s="490"/>
      <c r="R58" s="490"/>
      <c r="S58" s="490"/>
    </row>
    <row r="59" spans="2:19" s="70" customFormat="1">
      <c r="B59" s="490"/>
      <c r="C59" s="490"/>
      <c r="D59" s="490"/>
      <c r="E59" s="490"/>
      <c r="F59" s="490"/>
      <c r="G59" s="490"/>
      <c r="H59" s="490"/>
      <c r="I59" s="490"/>
      <c r="J59" s="490"/>
      <c r="K59" s="490"/>
      <c r="L59" s="490"/>
      <c r="M59" s="490"/>
      <c r="N59" s="490"/>
      <c r="O59" s="490"/>
      <c r="P59" s="490"/>
      <c r="Q59" s="490"/>
      <c r="R59" s="490"/>
      <c r="S59" s="490"/>
    </row>
    <row r="60" spans="2:19" s="70" customFormat="1">
      <c r="B60" s="490"/>
      <c r="C60" s="490"/>
      <c r="D60" s="490"/>
      <c r="E60" s="490"/>
      <c r="F60" s="490"/>
      <c r="G60" s="490"/>
      <c r="H60" s="490"/>
      <c r="I60" s="490"/>
      <c r="J60" s="490"/>
      <c r="K60" s="490"/>
      <c r="L60" s="490"/>
      <c r="M60" s="490"/>
      <c r="N60" s="490"/>
      <c r="O60" s="490"/>
      <c r="P60" s="490"/>
      <c r="Q60" s="490"/>
      <c r="R60" s="490"/>
      <c r="S60" s="490"/>
    </row>
    <row r="61" spans="2:19" s="70" customFormat="1">
      <c r="B61" s="490"/>
      <c r="C61" s="490"/>
      <c r="D61" s="490"/>
      <c r="E61" s="490"/>
      <c r="F61" s="490"/>
      <c r="G61" s="490"/>
      <c r="H61" s="490"/>
      <c r="I61" s="490"/>
      <c r="J61" s="490"/>
      <c r="K61" s="490"/>
      <c r="L61" s="490"/>
      <c r="M61" s="490"/>
      <c r="N61" s="490"/>
      <c r="O61" s="490"/>
      <c r="P61" s="490"/>
      <c r="Q61" s="490"/>
      <c r="R61" s="490"/>
      <c r="S61" s="490"/>
    </row>
    <row r="62" spans="2:19" s="70" customFormat="1">
      <c r="B62" s="490"/>
      <c r="C62" s="490"/>
      <c r="D62" s="490"/>
      <c r="E62" s="490"/>
      <c r="F62" s="490"/>
      <c r="G62" s="490"/>
      <c r="H62" s="490"/>
      <c r="I62" s="490"/>
      <c r="J62" s="490"/>
      <c r="K62" s="490"/>
      <c r="L62" s="490"/>
      <c r="M62" s="490"/>
      <c r="N62" s="490"/>
      <c r="O62" s="490"/>
      <c r="P62" s="490"/>
      <c r="Q62" s="490"/>
      <c r="R62" s="490"/>
      <c r="S62" s="490"/>
    </row>
    <row r="63" spans="2:19" s="70" customFormat="1">
      <c r="B63" s="490"/>
      <c r="C63" s="490"/>
      <c r="D63" s="490"/>
      <c r="E63" s="490"/>
      <c r="F63" s="490"/>
      <c r="G63" s="490"/>
      <c r="H63" s="490"/>
      <c r="I63" s="490"/>
      <c r="J63" s="490"/>
      <c r="K63" s="490"/>
      <c r="L63" s="490"/>
      <c r="M63" s="490"/>
      <c r="N63" s="490"/>
      <c r="O63" s="490"/>
      <c r="P63" s="490"/>
      <c r="Q63" s="490"/>
      <c r="R63" s="490"/>
      <c r="S63" s="490"/>
    </row>
    <row r="64" spans="2:19" s="70" customFormat="1">
      <c r="B64" s="490"/>
      <c r="C64" s="490"/>
      <c r="D64" s="490"/>
      <c r="E64" s="490"/>
      <c r="F64" s="490"/>
      <c r="G64" s="490"/>
      <c r="H64" s="490"/>
      <c r="I64" s="490"/>
      <c r="J64" s="490"/>
      <c r="K64" s="490"/>
      <c r="L64" s="490"/>
      <c r="M64" s="490"/>
      <c r="N64" s="490"/>
      <c r="O64" s="490"/>
      <c r="P64" s="490"/>
      <c r="Q64" s="490"/>
      <c r="R64" s="490"/>
      <c r="S64" s="490"/>
    </row>
    <row r="65" spans="2:19" s="70" customFormat="1">
      <c r="B65" s="490"/>
      <c r="C65" s="490"/>
      <c r="D65" s="490"/>
      <c r="E65" s="490"/>
      <c r="F65" s="490"/>
      <c r="G65" s="490"/>
      <c r="H65" s="490"/>
      <c r="I65" s="490"/>
      <c r="J65" s="490"/>
      <c r="K65" s="490"/>
      <c r="L65" s="490"/>
      <c r="M65" s="490"/>
      <c r="N65" s="490"/>
      <c r="O65" s="490"/>
      <c r="P65" s="490"/>
      <c r="Q65" s="490"/>
      <c r="R65" s="490"/>
      <c r="S65" s="490"/>
    </row>
    <row r="66" spans="2:19" s="70" customFormat="1">
      <c r="B66" s="490"/>
      <c r="C66" s="490"/>
      <c r="D66" s="490"/>
      <c r="E66" s="490"/>
      <c r="F66" s="490"/>
      <c r="G66" s="490"/>
      <c r="H66" s="490"/>
      <c r="I66" s="490"/>
      <c r="J66" s="490"/>
      <c r="K66" s="490"/>
      <c r="L66" s="490"/>
      <c r="M66" s="490"/>
      <c r="N66" s="490"/>
      <c r="O66" s="490"/>
      <c r="P66" s="490"/>
      <c r="Q66" s="490"/>
      <c r="R66" s="490"/>
      <c r="S66" s="490"/>
    </row>
    <row r="67" spans="2:19" s="70" customFormat="1">
      <c r="B67" s="490"/>
      <c r="C67" s="490"/>
      <c r="D67" s="490"/>
      <c r="E67" s="490"/>
      <c r="F67" s="490"/>
      <c r="G67" s="490"/>
      <c r="H67" s="490"/>
      <c r="I67" s="490"/>
      <c r="J67" s="490"/>
      <c r="K67" s="490"/>
      <c r="L67" s="490"/>
      <c r="M67" s="490"/>
      <c r="N67" s="490"/>
      <c r="O67" s="490"/>
      <c r="P67" s="490"/>
      <c r="Q67" s="490"/>
      <c r="R67" s="490"/>
      <c r="S67" s="490"/>
    </row>
    <row r="68" spans="2:19" s="70" customFormat="1">
      <c r="B68" s="490"/>
      <c r="C68" s="490"/>
      <c r="D68" s="490"/>
      <c r="E68" s="490"/>
      <c r="F68" s="490"/>
      <c r="G68" s="490"/>
      <c r="H68" s="490"/>
      <c r="I68" s="490"/>
      <c r="J68" s="490"/>
      <c r="K68" s="490"/>
      <c r="L68" s="490"/>
      <c r="M68" s="490"/>
      <c r="N68" s="490"/>
      <c r="O68" s="490"/>
      <c r="P68" s="490"/>
      <c r="Q68" s="490"/>
      <c r="R68" s="490"/>
      <c r="S68" s="490"/>
    </row>
    <row r="69" spans="2:19" s="70" customFormat="1">
      <c r="B69" s="490"/>
      <c r="C69" s="490"/>
      <c r="D69" s="490"/>
      <c r="E69" s="490"/>
      <c r="F69" s="490"/>
      <c r="G69" s="490"/>
      <c r="H69" s="490"/>
      <c r="I69" s="490"/>
      <c r="J69" s="490"/>
      <c r="K69" s="490"/>
      <c r="L69" s="490"/>
      <c r="M69" s="490"/>
      <c r="N69" s="490"/>
      <c r="O69" s="490"/>
      <c r="P69" s="490"/>
      <c r="Q69" s="490"/>
      <c r="R69" s="490"/>
      <c r="S69" s="490"/>
    </row>
    <row r="70" spans="2:19" s="70" customFormat="1">
      <c r="B70" s="490"/>
      <c r="C70" s="490"/>
      <c r="D70" s="490"/>
      <c r="E70" s="490"/>
      <c r="F70" s="490"/>
      <c r="G70" s="490"/>
      <c r="H70" s="490"/>
      <c r="I70" s="490"/>
      <c r="J70" s="490"/>
      <c r="K70" s="490"/>
      <c r="L70" s="490"/>
      <c r="M70" s="490"/>
      <c r="N70" s="490"/>
      <c r="O70" s="490"/>
      <c r="P70" s="490"/>
      <c r="Q70" s="490"/>
      <c r="R70" s="490"/>
      <c r="S70" s="490"/>
    </row>
    <row r="71" spans="2:19" s="70" customFormat="1">
      <c r="B71" s="490"/>
      <c r="C71" s="490"/>
      <c r="D71" s="490"/>
      <c r="E71" s="490"/>
      <c r="F71" s="490"/>
      <c r="G71" s="490"/>
      <c r="H71" s="490"/>
      <c r="I71" s="490"/>
      <c r="J71" s="490"/>
      <c r="K71" s="490"/>
      <c r="L71" s="490"/>
      <c r="M71" s="490"/>
      <c r="N71" s="490"/>
      <c r="O71" s="490"/>
      <c r="P71" s="490"/>
      <c r="Q71" s="490"/>
      <c r="R71" s="490"/>
      <c r="S71" s="490"/>
    </row>
    <row r="72" spans="2:19" s="70" customFormat="1">
      <c r="B72" s="490"/>
      <c r="C72" s="490"/>
      <c r="D72" s="490"/>
      <c r="E72" s="490"/>
      <c r="F72" s="490"/>
      <c r="G72" s="490"/>
      <c r="H72" s="490"/>
      <c r="I72" s="490"/>
      <c r="J72" s="490"/>
      <c r="K72" s="490"/>
      <c r="L72" s="490"/>
      <c r="M72" s="490"/>
      <c r="N72" s="490"/>
      <c r="O72" s="490"/>
      <c r="P72" s="490"/>
      <c r="Q72" s="490"/>
      <c r="R72" s="490"/>
      <c r="S72" s="490"/>
    </row>
    <row r="73" spans="2:19" s="70" customFormat="1">
      <c r="B73" s="490"/>
      <c r="C73" s="490"/>
      <c r="D73" s="490"/>
      <c r="E73" s="490"/>
      <c r="F73" s="490"/>
      <c r="G73" s="490"/>
      <c r="H73" s="490"/>
      <c r="I73" s="490"/>
      <c r="J73" s="490"/>
      <c r="K73" s="490"/>
      <c r="L73" s="490"/>
      <c r="M73" s="490"/>
      <c r="N73" s="490"/>
      <c r="O73" s="490"/>
      <c r="P73" s="490"/>
      <c r="Q73" s="490"/>
      <c r="R73" s="490"/>
      <c r="S73" s="490"/>
    </row>
    <row r="74" spans="2:19" s="70" customFormat="1">
      <c r="B74" s="490"/>
      <c r="C74" s="490"/>
      <c r="D74" s="490"/>
      <c r="E74" s="490"/>
      <c r="F74" s="490"/>
      <c r="G74" s="490"/>
      <c r="H74" s="490"/>
      <c r="I74" s="490"/>
      <c r="J74" s="490"/>
      <c r="K74" s="490"/>
      <c r="L74" s="490"/>
      <c r="M74" s="490"/>
      <c r="N74" s="490"/>
      <c r="O74" s="490"/>
      <c r="P74" s="490"/>
      <c r="Q74" s="490"/>
      <c r="R74" s="490"/>
      <c r="S74" s="490"/>
    </row>
    <row r="75" spans="2:19" s="70" customFormat="1">
      <c r="B75" s="490"/>
      <c r="C75" s="490"/>
      <c r="D75" s="490"/>
      <c r="E75" s="490"/>
      <c r="F75" s="490"/>
      <c r="G75" s="490"/>
      <c r="H75" s="490"/>
      <c r="I75" s="490"/>
      <c r="J75" s="490"/>
      <c r="K75" s="490"/>
      <c r="L75" s="490"/>
      <c r="M75" s="490"/>
      <c r="N75" s="490"/>
      <c r="O75" s="490"/>
      <c r="P75" s="490"/>
      <c r="Q75" s="490"/>
      <c r="R75" s="490"/>
      <c r="S75" s="490"/>
    </row>
    <row r="76" spans="2:19" s="70" customFormat="1">
      <c r="B76" s="490"/>
      <c r="C76" s="490"/>
      <c r="D76" s="490"/>
      <c r="E76" s="490"/>
      <c r="F76" s="490"/>
      <c r="G76" s="490"/>
      <c r="H76" s="490"/>
      <c r="I76" s="490"/>
      <c r="J76" s="490"/>
      <c r="K76" s="490"/>
      <c r="L76" s="490"/>
      <c r="M76" s="490"/>
      <c r="N76" s="490"/>
      <c r="O76" s="490"/>
      <c r="P76" s="490"/>
      <c r="Q76" s="490"/>
      <c r="R76" s="490"/>
      <c r="S76" s="490"/>
    </row>
    <row r="77" spans="2:19" s="70" customFormat="1">
      <c r="B77" s="490"/>
      <c r="C77" s="490"/>
      <c r="D77" s="490"/>
      <c r="E77" s="490"/>
      <c r="F77" s="490"/>
      <c r="G77" s="490"/>
      <c r="H77" s="490"/>
      <c r="I77" s="490"/>
      <c r="J77" s="490"/>
      <c r="K77" s="490"/>
      <c r="L77" s="490"/>
      <c r="M77" s="490"/>
      <c r="N77" s="490"/>
      <c r="O77" s="490"/>
      <c r="P77" s="490"/>
      <c r="Q77" s="490"/>
      <c r="R77" s="490"/>
      <c r="S77" s="490"/>
    </row>
    <row r="78" spans="2:19" s="70" customFormat="1">
      <c r="B78" s="490"/>
      <c r="C78" s="490"/>
      <c r="D78" s="490"/>
      <c r="E78" s="490"/>
      <c r="F78" s="490"/>
      <c r="G78" s="490"/>
      <c r="H78" s="490"/>
      <c r="I78" s="490"/>
      <c r="J78" s="490"/>
      <c r="K78" s="490"/>
      <c r="L78" s="490"/>
      <c r="M78" s="490"/>
      <c r="N78" s="490"/>
      <c r="O78" s="490"/>
      <c r="P78" s="490"/>
      <c r="Q78" s="490"/>
      <c r="R78" s="490"/>
      <c r="S78" s="490"/>
    </row>
    <row r="79" spans="2:19" s="70" customFormat="1">
      <c r="B79" s="490"/>
      <c r="C79" s="490"/>
      <c r="D79" s="490"/>
      <c r="E79" s="490"/>
      <c r="F79" s="490"/>
      <c r="G79" s="490"/>
      <c r="H79" s="490"/>
      <c r="I79" s="490"/>
      <c r="J79" s="490"/>
      <c r="K79" s="490"/>
      <c r="L79" s="490"/>
      <c r="M79" s="490"/>
      <c r="N79" s="490"/>
      <c r="O79" s="490"/>
      <c r="P79" s="490"/>
      <c r="Q79" s="490"/>
      <c r="R79" s="490"/>
      <c r="S79" s="490"/>
    </row>
    <row r="80" spans="2:19" s="70" customFormat="1">
      <c r="B80" s="490"/>
      <c r="C80" s="490"/>
      <c r="D80" s="490"/>
      <c r="E80" s="490"/>
      <c r="F80" s="490"/>
      <c r="G80" s="490"/>
      <c r="H80" s="490"/>
      <c r="I80" s="490"/>
      <c r="J80" s="490"/>
      <c r="K80" s="490"/>
      <c r="L80" s="490"/>
      <c r="M80" s="490"/>
      <c r="N80" s="490"/>
      <c r="O80" s="490"/>
      <c r="P80" s="490"/>
      <c r="Q80" s="490"/>
      <c r="R80" s="490"/>
      <c r="S80" s="490"/>
    </row>
    <row r="81" spans="2:19" s="70" customFormat="1">
      <c r="B81" s="490"/>
      <c r="C81" s="490"/>
      <c r="D81" s="490"/>
      <c r="E81" s="490"/>
      <c r="F81" s="490"/>
      <c r="G81" s="490"/>
      <c r="H81" s="490"/>
      <c r="I81" s="490"/>
      <c r="J81" s="490"/>
      <c r="K81" s="490"/>
      <c r="L81" s="490"/>
      <c r="M81" s="490"/>
      <c r="N81" s="490"/>
      <c r="O81" s="490"/>
      <c r="P81" s="490"/>
      <c r="Q81" s="490"/>
      <c r="R81" s="490"/>
      <c r="S81" s="490"/>
    </row>
    <row r="82" spans="2:19" s="70" customFormat="1">
      <c r="B82" s="490"/>
      <c r="C82" s="490"/>
      <c r="D82" s="490"/>
      <c r="E82" s="490"/>
      <c r="F82" s="490"/>
      <c r="G82" s="490"/>
      <c r="H82" s="490"/>
      <c r="I82" s="490"/>
      <c r="J82" s="490"/>
      <c r="K82" s="490"/>
      <c r="L82" s="490"/>
      <c r="M82" s="490"/>
      <c r="N82" s="490"/>
      <c r="O82" s="490"/>
      <c r="P82" s="490"/>
      <c r="Q82" s="490"/>
      <c r="R82" s="490"/>
      <c r="S82" s="490"/>
    </row>
    <row r="83" spans="2:19" s="70" customFormat="1">
      <c r="B83" s="490"/>
      <c r="C83" s="490"/>
      <c r="D83" s="490"/>
      <c r="E83" s="490"/>
      <c r="F83" s="490"/>
      <c r="G83" s="490"/>
      <c r="H83" s="490"/>
      <c r="I83" s="490"/>
      <c r="J83" s="490"/>
      <c r="K83" s="490"/>
      <c r="L83" s="490"/>
      <c r="M83" s="490"/>
      <c r="N83" s="490"/>
      <c r="O83" s="490"/>
      <c r="P83" s="490"/>
      <c r="Q83" s="490"/>
      <c r="R83" s="490"/>
      <c r="S83" s="490"/>
    </row>
    <row r="84" spans="2:19" s="70" customFormat="1">
      <c r="B84" s="490"/>
      <c r="C84" s="490"/>
      <c r="D84" s="490"/>
      <c r="E84" s="490"/>
      <c r="F84" s="490"/>
      <c r="G84" s="490"/>
      <c r="H84" s="490"/>
      <c r="I84" s="490"/>
      <c r="J84" s="490"/>
      <c r="K84" s="490"/>
      <c r="L84" s="490"/>
      <c r="M84" s="490"/>
      <c r="N84" s="490"/>
      <c r="O84" s="490"/>
      <c r="P84" s="490"/>
      <c r="Q84" s="490"/>
      <c r="R84" s="490"/>
      <c r="S84" s="490"/>
    </row>
    <row r="85" spans="2:19" s="70" customFormat="1">
      <c r="B85" s="490"/>
      <c r="C85" s="490"/>
      <c r="D85" s="490"/>
      <c r="E85" s="490"/>
      <c r="F85" s="490"/>
      <c r="G85" s="490"/>
      <c r="H85" s="490"/>
      <c r="I85" s="490"/>
      <c r="J85" s="490"/>
      <c r="K85" s="490"/>
      <c r="L85" s="490"/>
      <c r="M85" s="490"/>
      <c r="N85" s="490"/>
      <c r="O85" s="490"/>
      <c r="P85" s="490"/>
      <c r="Q85" s="490"/>
      <c r="R85" s="490"/>
      <c r="S85" s="490"/>
    </row>
    <row r="86" spans="2:19" s="70" customFormat="1">
      <c r="B86" s="490"/>
      <c r="C86" s="490"/>
      <c r="D86" s="490"/>
      <c r="E86" s="490"/>
      <c r="F86" s="490"/>
      <c r="G86" s="490"/>
      <c r="H86" s="490"/>
      <c r="I86" s="490"/>
      <c r="J86" s="490"/>
      <c r="K86" s="490"/>
      <c r="L86" s="490"/>
      <c r="M86" s="490"/>
      <c r="N86" s="490"/>
      <c r="O86" s="490"/>
      <c r="P86" s="490"/>
      <c r="Q86" s="490"/>
      <c r="R86" s="490"/>
      <c r="S86" s="490"/>
    </row>
    <row r="87" spans="2:19" s="70" customFormat="1">
      <c r="B87" s="490"/>
      <c r="C87" s="490"/>
      <c r="D87" s="490"/>
      <c r="E87" s="490"/>
      <c r="F87" s="490"/>
      <c r="G87" s="490"/>
      <c r="H87" s="490"/>
      <c r="I87" s="490"/>
      <c r="J87" s="490"/>
      <c r="K87" s="490"/>
      <c r="L87" s="490"/>
      <c r="M87" s="490"/>
      <c r="N87" s="490"/>
      <c r="O87" s="490"/>
      <c r="P87" s="490"/>
      <c r="Q87" s="490"/>
      <c r="R87" s="490"/>
      <c r="S87" s="490"/>
    </row>
    <row r="88" spans="2:19" s="70" customFormat="1">
      <c r="B88" s="490"/>
      <c r="C88" s="490"/>
      <c r="D88" s="490"/>
      <c r="E88" s="490"/>
      <c r="F88" s="490"/>
      <c r="G88" s="490"/>
      <c r="H88" s="490"/>
      <c r="I88" s="490"/>
      <c r="J88" s="490"/>
      <c r="K88" s="490"/>
      <c r="L88" s="490"/>
      <c r="M88" s="490"/>
      <c r="N88" s="490"/>
      <c r="O88" s="490"/>
      <c r="P88" s="490"/>
      <c r="Q88" s="490"/>
      <c r="R88" s="490"/>
      <c r="S88" s="490"/>
    </row>
    <row r="89" spans="2:19" s="70" customFormat="1">
      <c r="B89" s="490"/>
      <c r="C89" s="490"/>
      <c r="D89" s="490"/>
      <c r="E89" s="490"/>
      <c r="F89" s="490"/>
      <c r="G89" s="490"/>
      <c r="H89" s="490"/>
      <c r="I89" s="490"/>
      <c r="J89" s="490"/>
      <c r="K89" s="490"/>
      <c r="L89" s="490"/>
      <c r="M89" s="490"/>
      <c r="N89" s="490"/>
      <c r="O89" s="490"/>
      <c r="P89" s="490"/>
      <c r="Q89" s="490"/>
      <c r="R89" s="490"/>
      <c r="S89" s="490"/>
    </row>
    <row r="90" spans="2:19" s="70" customFormat="1">
      <c r="B90" s="490"/>
      <c r="C90" s="490"/>
      <c r="D90" s="490"/>
      <c r="E90" s="490"/>
      <c r="F90" s="490"/>
      <c r="G90" s="490"/>
      <c r="H90" s="490"/>
      <c r="I90" s="490"/>
      <c r="J90" s="490"/>
      <c r="K90" s="490"/>
      <c r="L90" s="490"/>
      <c r="M90" s="490"/>
      <c r="N90" s="490"/>
      <c r="O90" s="490"/>
      <c r="P90" s="490"/>
      <c r="Q90" s="490"/>
      <c r="R90" s="490"/>
      <c r="S90" s="490"/>
    </row>
    <row r="91" spans="2:19" s="70" customFormat="1">
      <c r="B91" s="490"/>
      <c r="C91" s="490"/>
      <c r="D91" s="490"/>
      <c r="E91" s="490"/>
      <c r="F91" s="490"/>
      <c r="G91" s="490"/>
      <c r="H91" s="490"/>
      <c r="I91" s="490"/>
      <c r="J91" s="490"/>
      <c r="K91" s="490"/>
      <c r="L91" s="490"/>
      <c r="M91" s="490"/>
      <c r="N91" s="490"/>
      <c r="O91" s="490"/>
      <c r="P91" s="490"/>
      <c r="Q91" s="490"/>
      <c r="R91" s="490"/>
      <c r="S91" s="490"/>
    </row>
    <row r="92" spans="2:19" s="70" customFormat="1">
      <c r="B92" s="490"/>
      <c r="C92" s="490"/>
      <c r="D92" s="490"/>
      <c r="E92" s="490"/>
      <c r="F92" s="490"/>
      <c r="G92" s="490"/>
      <c r="H92" s="490"/>
      <c r="I92" s="490"/>
      <c r="J92" s="490"/>
      <c r="K92" s="490"/>
      <c r="L92" s="490"/>
      <c r="M92" s="490"/>
      <c r="N92" s="490"/>
      <c r="O92" s="490"/>
      <c r="P92" s="490"/>
      <c r="Q92" s="490"/>
      <c r="R92" s="490"/>
      <c r="S92" s="490"/>
    </row>
    <row r="93" spans="2:19" s="70" customFormat="1">
      <c r="B93" s="490"/>
      <c r="C93" s="490"/>
      <c r="D93" s="490"/>
      <c r="E93" s="490"/>
      <c r="F93" s="490"/>
      <c r="G93" s="490"/>
      <c r="H93" s="490"/>
      <c r="I93" s="490"/>
      <c r="J93" s="490"/>
      <c r="K93" s="490"/>
      <c r="L93" s="490"/>
      <c r="M93" s="490"/>
      <c r="N93" s="490"/>
      <c r="O93" s="490"/>
      <c r="P93" s="490"/>
      <c r="Q93" s="490"/>
      <c r="R93" s="490"/>
      <c r="S93" s="490"/>
    </row>
    <row r="94" spans="2:19" s="70" customFormat="1">
      <c r="B94" s="490"/>
      <c r="C94" s="490"/>
      <c r="D94" s="490"/>
      <c r="E94" s="490"/>
      <c r="F94" s="490"/>
      <c r="G94" s="490"/>
      <c r="H94" s="490"/>
      <c r="I94" s="490"/>
      <c r="J94" s="490"/>
      <c r="K94" s="490"/>
      <c r="L94" s="490"/>
      <c r="M94" s="490"/>
      <c r="N94" s="490"/>
      <c r="O94" s="490"/>
      <c r="P94" s="490"/>
      <c r="Q94" s="490"/>
      <c r="R94" s="490"/>
      <c r="S94" s="490"/>
    </row>
    <row r="95" spans="2:19" s="70" customFormat="1">
      <c r="B95" s="490"/>
      <c r="C95" s="490"/>
      <c r="D95" s="490"/>
      <c r="E95" s="490"/>
      <c r="F95" s="490"/>
      <c r="G95" s="490"/>
      <c r="H95" s="490"/>
      <c r="I95" s="490"/>
      <c r="J95" s="490"/>
      <c r="K95" s="490"/>
      <c r="L95" s="490"/>
      <c r="M95" s="490"/>
      <c r="N95" s="490"/>
      <c r="O95" s="490"/>
      <c r="P95" s="490"/>
      <c r="Q95" s="490"/>
      <c r="R95" s="490"/>
      <c r="S95" s="490"/>
    </row>
    <row r="96" spans="2:19" s="70" customFormat="1">
      <c r="B96" s="490"/>
      <c r="C96" s="490"/>
      <c r="D96" s="490"/>
      <c r="E96" s="490"/>
      <c r="F96" s="490"/>
      <c r="G96" s="490"/>
      <c r="H96" s="490"/>
      <c r="I96" s="490"/>
      <c r="J96" s="490"/>
      <c r="K96" s="490"/>
      <c r="L96" s="490"/>
      <c r="M96" s="490"/>
      <c r="N96" s="490"/>
      <c r="O96" s="490"/>
      <c r="P96" s="490"/>
      <c r="Q96" s="490"/>
      <c r="R96" s="490"/>
      <c r="S96" s="490"/>
    </row>
    <row r="97" spans="2:19" s="70" customFormat="1">
      <c r="B97" s="490"/>
      <c r="C97" s="490"/>
      <c r="D97" s="490"/>
      <c r="E97" s="490"/>
      <c r="F97" s="490"/>
      <c r="G97" s="490"/>
      <c r="H97" s="490"/>
      <c r="I97" s="490"/>
      <c r="J97" s="490"/>
      <c r="K97" s="490"/>
      <c r="L97" s="490"/>
      <c r="M97" s="490"/>
      <c r="N97" s="490"/>
      <c r="O97" s="490"/>
      <c r="P97" s="490"/>
      <c r="Q97" s="490"/>
      <c r="R97" s="490"/>
      <c r="S97" s="490"/>
    </row>
    <row r="98" spans="2:19" s="70" customFormat="1">
      <c r="B98" s="490"/>
      <c r="C98" s="490"/>
      <c r="D98" s="490"/>
      <c r="E98" s="490"/>
      <c r="F98" s="490"/>
      <c r="G98" s="490"/>
      <c r="H98" s="490"/>
      <c r="I98" s="490"/>
      <c r="J98" s="490"/>
      <c r="K98" s="490"/>
      <c r="L98" s="490"/>
      <c r="M98" s="490"/>
      <c r="N98" s="490"/>
      <c r="O98" s="490"/>
      <c r="P98" s="490"/>
      <c r="Q98" s="490"/>
      <c r="R98" s="490"/>
      <c r="S98" s="490"/>
    </row>
    <row r="99" spans="2:19" s="70" customFormat="1">
      <c r="B99" s="490"/>
      <c r="C99" s="490"/>
      <c r="D99" s="490"/>
      <c r="E99" s="490"/>
      <c r="F99" s="490"/>
      <c r="G99" s="490"/>
      <c r="H99" s="490"/>
      <c r="I99" s="490"/>
      <c r="J99" s="490"/>
      <c r="K99" s="490"/>
      <c r="L99" s="490"/>
      <c r="M99" s="490"/>
      <c r="N99" s="490"/>
      <c r="O99" s="490"/>
      <c r="P99" s="490"/>
      <c r="Q99" s="490"/>
      <c r="R99" s="490"/>
      <c r="S99" s="490"/>
    </row>
    <row r="100" spans="2:19" s="70" customFormat="1">
      <c r="B100" s="490"/>
      <c r="C100" s="490"/>
      <c r="D100" s="490"/>
      <c r="E100" s="490"/>
      <c r="F100" s="490"/>
      <c r="G100" s="490"/>
      <c r="H100" s="490"/>
      <c r="I100" s="490"/>
      <c r="J100" s="490"/>
      <c r="K100" s="490"/>
      <c r="L100" s="490"/>
      <c r="M100" s="490"/>
      <c r="N100" s="490"/>
      <c r="O100" s="490"/>
      <c r="P100" s="490"/>
      <c r="Q100" s="490"/>
      <c r="R100" s="490"/>
      <c r="S100" s="490"/>
    </row>
    <row r="101" spans="2:19" s="70" customFormat="1">
      <c r="B101" s="490"/>
      <c r="C101" s="490"/>
      <c r="D101" s="490"/>
      <c r="E101" s="490"/>
      <c r="F101" s="490"/>
      <c r="G101" s="490"/>
      <c r="H101" s="490"/>
      <c r="I101" s="490"/>
      <c r="J101" s="490"/>
      <c r="K101" s="490"/>
      <c r="L101" s="490"/>
      <c r="M101" s="490"/>
      <c r="N101" s="490"/>
      <c r="O101" s="490"/>
      <c r="P101" s="490"/>
      <c r="Q101" s="490"/>
      <c r="R101" s="490"/>
      <c r="S101" s="490"/>
    </row>
    <row r="102" spans="2:19" s="70" customFormat="1">
      <c r="B102" s="490"/>
      <c r="C102" s="490"/>
      <c r="D102" s="490"/>
      <c r="E102" s="490"/>
      <c r="F102" s="490"/>
      <c r="G102" s="490"/>
      <c r="H102" s="490"/>
      <c r="I102" s="490"/>
      <c r="J102" s="490"/>
      <c r="K102" s="490"/>
      <c r="L102" s="490"/>
      <c r="M102" s="490"/>
      <c r="N102" s="490"/>
      <c r="O102" s="490"/>
      <c r="P102" s="490"/>
      <c r="Q102" s="490"/>
      <c r="R102" s="490"/>
      <c r="S102" s="490"/>
    </row>
    <row r="103" spans="2:19" s="70" customFormat="1">
      <c r="B103" s="490"/>
      <c r="C103" s="490"/>
      <c r="D103" s="490"/>
      <c r="E103" s="490"/>
      <c r="F103" s="490"/>
      <c r="G103" s="490"/>
      <c r="H103" s="490"/>
      <c r="I103" s="490"/>
      <c r="J103" s="490"/>
      <c r="K103" s="490"/>
      <c r="L103" s="490"/>
      <c r="M103" s="490"/>
      <c r="N103" s="490"/>
      <c r="O103" s="490"/>
      <c r="P103" s="490"/>
      <c r="Q103" s="490"/>
      <c r="R103" s="490"/>
      <c r="S103" s="490"/>
    </row>
    <row r="104" spans="2:19" s="70" customFormat="1">
      <c r="B104" s="490"/>
      <c r="C104" s="490"/>
      <c r="D104" s="490"/>
      <c r="E104" s="490"/>
      <c r="F104" s="490"/>
      <c r="G104" s="490"/>
      <c r="H104" s="490"/>
      <c r="I104" s="490"/>
      <c r="J104" s="490"/>
      <c r="K104" s="490"/>
      <c r="L104" s="490"/>
      <c r="M104" s="490"/>
      <c r="N104" s="490"/>
      <c r="O104" s="490"/>
      <c r="P104" s="490"/>
      <c r="Q104" s="490"/>
      <c r="R104" s="490"/>
      <c r="S104" s="490"/>
    </row>
    <row r="105" spans="2:19" s="70" customFormat="1">
      <c r="B105" s="490"/>
      <c r="C105" s="490"/>
      <c r="D105" s="490"/>
      <c r="E105" s="490"/>
      <c r="F105" s="490"/>
      <c r="G105" s="490"/>
      <c r="H105" s="490"/>
      <c r="I105" s="490"/>
      <c r="J105" s="490"/>
      <c r="K105" s="490"/>
      <c r="L105" s="490"/>
      <c r="M105" s="490"/>
      <c r="N105" s="490"/>
      <c r="O105" s="490"/>
      <c r="P105" s="490"/>
      <c r="Q105" s="490"/>
      <c r="R105" s="490"/>
      <c r="S105" s="490"/>
    </row>
    <row r="106" spans="2:19" s="70" customFormat="1">
      <c r="B106" s="490"/>
      <c r="C106" s="490"/>
      <c r="D106" s="490"/>
      <c r="E106" s="490"/>
      <c r="F106" s="490"/>
      <c r="G106" s="490"/>
      <c r="H106" s="490"/>
      <c r="I106" s="490"/>
      <c r="J106" s="490"/>
      <c r="K106" s="490"/>
      <c r="L106" s="490"/>
      <c r="M106" s="490"/>
      <c r="N106" s="490"/>
      <c r="O106" s="490"/>
      <c r="P106" s="490"/>
      <c r="Q106" s="490"/>
      <c r="R106" s="490"/>
      <c r="S106" s="490"/>
    </row>
    <row r="107" spans="2:19" s="70" customFormat="1">
      <c r="B107" s="490"/>
      <c r="C107" s="490"/>
      <c r="D107" s="490"/>
      <c r="E107" s="490"/>
      <c r="F107" s="490"/>
      <c r="G107" s="490"/>
      <c r="H107" s="490"/>
      <c r="I107" s="490"/>
      <c r="J107" s="490"/>
      <c r="K107" s="490"/>
      <c r="L107" s="490"/>
      <c r="M107" s="490"/>
      <c r="N107" s="490"/>
      <c r="O107" s="490"/>
      <c r="P107" s="490"/>
      <c r="Q107" s="490"/>
      <c r="R107" s="490"/>
      <c r="S107" s="490"/>
    </row>
    <row r="108" spans="2:19" s="70" customFormat="1">
      <c r="B108" s="490"/>
      <c r="C108" s="490"/>
      <c r="D108" s="490"/>
      <c r="E108" s="490"/>
      <c r="F108" s="490"/>
      <c r="G108" s="490"/>
      <c r="H108" s="490"/>
      <c r="I108" s="490"/>
      <c r="J108" s="490"/>
      <c r="K108" s="490"/>
      <c r="L108" s="490"/>
      <c r="M108" s="490"/>
      <c r="N108" s="490"/>
      <c r="O108" s="490"/>
      <c r="P108" s="490"/>
      <c r="Q108" s="490"/>
      <c r="R108" s="490"/>
      <c r="S108" s="490"/>
    </row>
    <row r="109" spans="2:19" s="70" customFormat="1">
      <c r="B109" s="490"/>
      <c r="C109" s="490"/>
      <c r="D109" s="490"/>
      <c r="E109" s="490"/>
      <c r="F109" s="490"/>
      <c r="G109" s="490"/>
      <c r="H109" s="490"/>
      <c r="I109" s="490"/>
      <c r="J109" s="490"/>
      <c r="K109" s="490"/>
      <c r="L109" s="490"/>
      <c r="M109" s="490"/>
      <c r="N109" s="490"/>
      <c r="O109" s="490"/>
      <c r="P109" s="490"/>
      <c r="Q109" s="490"/>
      <c r="R109" s="490"/>
      <c r="S109" s="490"/>
    </row>
    <row r="110" spans="2:19" s="70" customFormat="1">
      <c r="B110" s="490"/>
      <c r="C110" s="490"/>
      <c r="D110" s="490"/>
      <c r="E110" s="490"/>
      <c r="F110" s="490"/>
      <c r="G110" s="490"/>
      <c r="H110" s="490"/>
      <c r="I110" s="490"/>
      <c r="J110" s="490"/>
      <c r="K110" s="490"/>
      <c r="L110" s="490"/>
      <c r="M110" s="490"/>
      <c r="N110" s="490"/>
      <c r="O110" s="490"/>
      <c r="P110" s="490"/>
      <c r="Q110" s="490"/>
      <c r="R110" s="490"/>
      <c r="S110" s="490"/>
    </row>
    <row r="111" spans="2:19" s="70" customFormat="1">
      <c r="B111" s="490"/>
      <c r="C111" s="490"/>
      <c r="D111" s="490"/>
      <c r="E111" s="490"/>
      <c r="F111" s="490"/>
      <c r="G111" s="490"/>
      <c r="H111" s="490"/>
      <c r="I111" s="490"/>
      <c r="J111" s="490"/>
      <c r="K111" s="490"/>
      <c r="L111" s="490"/>
      <c r="M111" s="490"/>
      <c r="N111" s="490"/>
      <c r="O111" s="490"/>
      <c r="P111" s="490"/>
      <c r="Q111" s="490"/>
      <c r="R111" s="490"/>
      <c r="S111" s="490"/>
    </row>
    <row r="112" spans="2:19" s="70" customFormat="1">
      <c r="B112" s="490"/>
      <c r="C112" s="490"/>
      <c r="D112" s="490"/>
      <c r="E112" s="490"/>
      <c r="F112" s="490"/>
      <c r="G112" s="490"/>
      <c r="H112" s="490"/>
      <c r="I112" s="490"/>
      <c r="J112" s="490"/>
      <c r="K112" s="490"/>
      <c r="L112" s="490"/>
      <c r="M112" s="490"/>
      <c r="N112" s="490"/>
      <c r="O112" s="490"/>
      <c r="P112" s="490"/>
      <c r="Q112" s="490"/>
      <c r="R112" s="490"/>
      <c r="S112" s="490"/>
    </row>
    <row r="113" spans="2:19" s="70" customFormat="1">
      <c r="B113" s="490"/>
      <c r="C113" s="490"/>
      <c r="D113" s="490"/>
      <c r="E113" s="490"/>
      <c r="F113" s="490"/>
      <c r="G113" s="490"/>
      <c r="H113" s="490"/>
      <c r="I113" s="490"/>
      <c r="J113" s="490"/>
      <c r="K113" s="490"/>
      <c r="L113" s="490"/>
      <c r="M113" s="490"/>
      <c r="N113" s="490"/>
      <c r="O113" s="490"/>
      <c r="P113" s="490"/>
      <c r="Q113" s="490"/>
      <c r="R113" s="490"/>
      <c r="S113" s="490"/>
    </row>
    <row r="114" spans="2:19" s="70" customFormat="1">
      <c r="B114" s="490"/>
      <c r="C114" s="490"/>
      <c r="D114" s="490"/>
      <c r="E114" s="490"/>
      <c r="F114" s="490"/>
      <c r="G114" s="490"/>
      <c r="H114" s="490"/>
      <c r="I114" s="490"/>
      <c r="J114" s="490"/>
      <c r="K114" s="490"/>
      <c r="L114" s="490"/>
      <c r="M114" s="490"/>
      <c r="N114" s="490"/>
      <c r="O114" s="490"/>
      <c r="P114" s="490"/>
      <c r="Q114" s="490"/>
      <c r="R114" s="490"/>
      <c r="S114" s="490"/>
    </row>
    <row r="115" spans="2:19" s="70" customFormat="1">
      <c r="B115" s="490"/>
      <c r="C115" s="490"/>
      <c r="D115" s="490"/>
      <c r="E115" s="490"/>
      <c r="F115" s="490"/>
      <c r="G115" s="490"/>
      <c r="H115" s="490"/>
      <c r="I115" s="490"/>
      <c r="J115" s="490"/>
      <c r="K115" s="490"/>
      <c r="L115" s="490"/>
      <c r="M115" s="490"/>
      <c r="N115" s="490"/>
      <c r="O115" s="490"/>
      <c r="P115" s="490"/>
      <c r="Q115" s="490"/>
      <c r="R115" s="490"/>
      <c r="S115" s="490"/>
    </row>
    <row r="116" spans="2:19" s="70" customFormat="1">
      <c r="B116" s="490"/>
      <c r="C116" s="490"/>
      <c r="D116" s="490"/>
      <c r="E116" s="490"/>
      <c r="F116" s="490"/>
      <c r="G116" s="490"/>
      <c r="H116" s="490"/>
      <c r="I116" s="490"/>
      <c r="J116" s="490"/>
      <c r="K116" s="490"/>
      <c r="L116" s="490"/>
      <c r="M116" s="490"/>
      <c r="N116" s="490"/>
      <c r="O116" s="490"/>
      <c r="P116" s="490"/>
      <c r="Q116" s="490"/>
      <c r="R116" s="490"/>
      <c r="S116" s="490"/>
    </row>
    <row r="117" spans="2:19" s="70" customFormat="1">
      <c r="B117" s="490"/>
      <c r="C117" s="490"/>
      <c r="D117" s="490"/>
      <c r="E117" s="490"/>
      <c r="F117" s="490"/>
      <c r="G117" s="490"/>
      <c r="H117" s="490"/>
      <c r="I117" s="490"/>
      <c r="J117" s="490"/>
      <c r="K117" s="490"/>
      <c r="L117" s="490"/>
      <c r="M117" s="490"/>
      <c r="N117" s="490"/>
      <c r="O117" s="490"/>
      <c r="P117" s="490"/>
      <c r="Q117" s="490"/>
      <c r="R117" s="490"/>
      <c r="S117" s="490"/>
    </row>
    <row r="118" spans="2:19" s="70" customFormat="1">
      <c r="B118" s="490"/>
      <c r="C118" s="490"/>
      <c r="D118" s="490"/>
      <c r="E118" s="490"/>
      <c r="F118" s="490"/>
      <c r="G118" s="490"/>
      <c r="H118" s="490"/>
      <c r="I118" s="490"/>
      <c r="J118" s="490"/>
      <c r="K118" s="490"/>
      <c r="L118" s="490"/>
      <c r="M118" s="490"/>
      <c r="N118" s="490"/>
      <c r="O118" s="490"/>
      <c r="P118" s="490"/>
      <c r="Q118" s="490"/>
      <c r="R118" s="490"/>
      <c r="S118" s="490"/>
    </row>
    <row r="119" spans="2:19" s="70" customFormat="1">
      <c r="B119" s="490"/>
      <c r="C119" s="490"/>
      <c r="D119" s="490"/>
      <c r="E119" s="490"/>
      <c r="F119" s="490"/>
      <c r="G119" s="490"/>
      <c r="H119" s="490"/>
      <c r="I119" s="490"/>
      <c r="J119" s="490"/>
      <c r="K119" s="490"/>
      <c r="L119" s="490"/>
      <c r="M119" s="490"/>
      <c r="N119" s="490"/>
      <c r="O119" s="490"/>
      <c r="P119" s="490"/>
      <c r="Q119" s="490"/>
      <c r="R119" s="490"/>
      <c r="S119" s="490"/>
    </row>
    <row r="120" spans="2:19" s="70" customFormat="1">
      <c r="B120" s="490"/>
      <c r="C120" s="490"/>
      <c r="D120" s="490"/>
      <c r="E120" s="490"/>
      <c r="F120" s="490"/>
      <c r="G120" s="490"/>
      <c r="H120" s="490"/>
      <c r="I120" s="490"/>
      <c r="J120" s="490"/>
      <c r="K120" s="490"/>
      <c r="L120" s="490"/>
      <c r="M120" s="490"/>
      <c r="N120" s="490"/>
      <c r="O120" s="490"/>
      <c r="P120" s="490"/>
      <c r="Q120" s="490"/>
      <c r="R120" s="490"/>
      <c r="S120" s="490"/>
    </row>
    <row r="121" spans="2:19" s="70" customFormat="1">
      <c r="B121" s="490"/>
      <c r="C121" s="490"/>
      <c r="D121" s="490"/>
      <c r="E121" s="490"/>
      <c r="F121" s="490"/>
      <c r="G121" s="490"/>
      <c r="H121" s="490"/>
      <c r="I121" s="490"/>
      <c r="J121" s="490"/>
      <c r="K121" s="490"/>
      <c r="L121" s="490"/>
      <c r="M121" s="490"/>
      <c r="N121" s="490"/>
      <c r="O121" s="490"/>
      <c r="P121" s="490"/>
      <c r="Q121" s="490"/>
      <c r="R121" s="490"/>
      <c r="S121" s="490"/>
    </row>
    <row r="122" spans="2:19" s="70" customFormat="1">
      <c r="B122" s="490"/>
      <c r="C122" s="490"/>
      <c r="D122" s="490"/>
      <c r="E122" s="490"/>
      <c r="F122" s="490"/>
      <c r="G122" s="490"/>
      <c r="H122" s="490"/>
      <c r="I122" s="490"/>
      <c r="J122" s="490"/>
      <c r="K122" s="490"/>
      <c r="L122" s="490"/>
      <c r="M122" s="490"/>
      <c r="N122" s="490"/>
      <c r="O122" s="490"/>
      <c r="P122" s="490"/>
      <c r="Q122" s="490"/>
      <c r="R122" s="490"/>
      <c r="S122" s="490"/>
    </row>
    <row r="123" spans="2:19" s="70" customFormat="1">
      <c r="B123" s="490"/>
      <c r="C123" s="490"/>
      <c r="D123" s="490"/>
      <c r="E123" s="490"/>
      <c r="F123" s="490"/>
      <c r="G123" s="490"/>
      <c r="H123" s="490"/>
      <c r="I123" s="490"/>
      <c r="J123" s="490"/>
      <c r="K123" s="490"/>
      <c r="L123" s="490"/>
      <c r="M123" s="490"/>
      <c r="N123" s="490"/>
      <c r="O123" s="490"/>
      <c r="P123" s="490"/>
      <c r="Q123" s="490"/>
      <c r="R123" s="490"/>
      <c r="S123" s="490"/>
    </row>
    <row r="124" spans="2:19" s="70" customFormat="1">
      <c r="B124" s="490"/>
      <c r="C124" s="490"/>
      <c r="D124" s="490"/>
      <c r="E124" s="490"/>
      <c r="F124" s="490"/>
      <c r="G124" s="490"/>
      <c r="H124" s="490"/>
      <c r="I124" s="490"/>
      <c r="J124" s="490"/>
      <c r="K124" s="490"/>
      <c r="L124" s="490"/>
      <c r="M124" s="490"/>
      <c r="N124" s="490"/>
      <c r="O124" s="490"/>
      <c r="P124" s="490"/>
      <c r="Q124" s="490"/>
      <c r="R124" s="490"/>
      <c r="S124" s="490"/>
    </row>
    <row r="125" spans="2:19" s="70" customFormat="1">
      <c r="B125" s="490"/>
      <c r="C125" s="490"/>
      <c r="D125" s="490"/>
      <c r="E125" s="490"/>
      <c r="F125" s="490"/>
      <c r="G125" s="490"/>
      <c r="H125" s="490"/>
      <c r="I125" s="490"/>
      <c r="J125" s="490"/>
      <c r="K125" s="490"/>
      <c r="L125" s="490"/>
      <c r="M125" s="490"/>
      <c r="N125" s="490"/>
      <c r="O125" s="490"/>
      <c r="P125" s="490"/>
      <c r="Q125" s="490"/>
      <c r="R125" s="490"/>
      <c r="S125" s="490"/>
    </row>
    <row r="126" spans="2:19" s="70" customFormat="1">
      <c r="B126" s="490"/>
      <c r="C126" s="490"/>
      <c r="D126" s="490"/>
      <c r="E126" s="490"/>
      <c r="F126" s="490"/>
      <c r="G126" s="490"/>
      <c r="H126" s="490"/>
      <c r="I126" s="490"/>
      <c r="J126" s="490"/>
      <c r="K126" s="490"/>
      <c r="L126" s="490"/>
      <c r="M126" s="490"/>
      <c r="N126" s="490"/>
      <c r="O126" s="490"/>
      <c r="P126" s="490"/>
      <c r="Q126" s="490"/>
      <c r="R126" s="490"/>
      <c r="S126" s="490"/>
    </row>
    <row r="127" spans="2:19" s="70" customFormat="1">
      <c r="B127" s="490"/>
      <c r="C127" s="490"/>
      <c r="D127" s="490"/>
      <c r="E127" s="490"/>
      <c r="F127" s="490"/>
      <c r="G127" s="490"/>
      <c r="H127" s="490"/>
      <c r="I127" s="490"/>
      <c r="J127" s="490"/>
      <c r="K127" s="490"/>
      <c r="L127" s="490"/>
      <c r="M127" s="490"/>
      <c r="N127" s="490"/>
      <c r="O127" s="490"/>
      <c r="P127" s="490"/>
      <c r="Q127" s="490"/>
      <c r="R127" s="490"/>
      <c r="S127" s="490"/>
    </row>
    <row r="128" spans="2:19" s="70" customFormat="1">
      <c r="B128" s="490"/>
      <c r="C128" s="490"/>
      <c r="D128" s="490"/>
      <c r="E128" s="490"/>
      <c r="F128" s="490"/>
      <c r="G128" s="490"/>
      <c r="H128" s="490"/>
      <c r="I128" s="490"/>
      <c r="J128" s="490"/>
      <c r="K128" s="490"/>
      <c r="L128" s="490"/>
      <c r="M128" s="490"/>
      <c r="N128" s="490"/>
      <c r="O128" s="490"/>
      <c r="P128" s="490"/>
      <c r="Q128" s="490"/>
      <c r="R128" s="490"/>
      <c r="S128" s="490"/>
    </row>
    <row r="129" spans="2:19" s="70" customFormat="1">
      <c r="B129" s="490"/>
      <c r="C129" s="490"/>
      <c r="D129" s="490"/>
      <c r="E129" s="490"/>
      <c r="F129" s="490"/>
      <c r="G129" s="490"/>
      <c r="H129" s="490"/>
      <c r="I129" s="490"/>
      <c r="J129" s="490"/>
      <c r="K129" s="490"/>
      <c r="L129" s="490"/>
      <c r="M129" s="490"/>
      <c r="N129" s="490"/>
      <c r="O129" s="490"/>
      <c r="P129" s="490"/>
      <c r="Q129" s="490"/>
      <c r="R129" s="490"/>
      <c r="S129" s="490"/>
    </row>
    <row r="130" spans="2:19" s="70" customFormat="1">
      <c r="B130" s="490"/>
      <c r="C130" s="490"/>
      <c r="D130" s="490"/>
      <c r="E130" s="490"/>
      <c r="F130" s="490"/>
      <c r="G130" s="490"/>
      <c r="H130" s="490"/>
      <c r="I130" s="490"/>
      <c r="J130" s="490"/>
      <c r="K130" s="490"/>
      <c r="L130" s="490"/>
      <c r="M130" s="490"/>
      <c r="N130" s="490"/>
      <c r="O130" s="490"/>
      <c r="P130" s="490"/>
      <c r="Q130" s="490"/>
      <c r="R130" s="490"/>
      <c r="S130" s="490"/>
    </row>
    <row r="131" spans="2:19" s="70" customFormat="1">
      <c r="B131" s="490"/>
      <c r="C131" s="490"/>
      <c r="D131" s="490"/>
      <c r="E131" s="490"/>
      <c r="F131" s="490"/>
      <c r="G131" s="490"/>
      <c r="H131" s="490"/>
      <c r="I131" s="490"/>
      <c r="J131" s="490"/>
      <c r="K131" s="490"/>
      <c r="L131" s="490"/>
      <c r="M131" s="490"/>
      <c r="N131" s="490"/>
      <c r="O131" s="490"/>
      <c r="P131" s="490"/>
      <c r="Q131" s="490"/>
      <c r="R131" s="490"/>
      <c r="S131" s="490"/>
    </row>
    <row r="132" spans="2:19" s="70" customFormat="1">
      <c r="B132" s="490"/>
      <c r="C132" s="490"/>
      <c r="D132" s="490"/>
      <c r="E132" s="490"/>
      <c r="F132" s="490"/>
      <c r="G132" s="490"/>
      <c r="H132" s="490"/>
      <c r="I132" s="490"/>
      <c r="J132" s="490"/>
      <c r="K132" s="490"/>
      <c r="L132" s="490"/>
      <c r="M132" s="490"/>
      <c r="N132" s="490"/>
      <c r="O132" s="490"/>
      <c r="P132" s="490"/>
      <c r="Q132" s="490"/>
      <c r="R132" s="490"/>
      <c r="S132" s="490"/>
    </row>
    <row r="133" spans="2:19" s="70" customFormat="1">
      <c r="B133" s="490"/>
      <c r="C133" s="490"/>
      <c r="D133" s="490"/>
      <c r="E133" s="490"/>
      <c r="F133" s="490"/>
      <c r="G133" s="490"/>
      <c r="H133" s="490"/>
      <c r="I133" s="490"/>
      <c r="J133" s="490"/>
      <c r="K133" s="490"/>
      <c r="L133" s="490"/>
      <c r="M133" s="490"/>
      <c r="N133" s="490"/>
      <c r="O133" s="490"/>
      <c r="P133" s="490"/>
      <c r="Q133" s="490"/>
      <c r="R133" s="490"/>
      <c r="S133" s="490"/>
    </row>
    <row r="134" spans="2:19" s="70" customFormat="1">
      <c r="B134" s="490"/>
      <c r="C134" s="490"/>
      <c r="D134" s="490"/>
      <c r="E134" s="490"/>
      <c r="F134" s="490"/>
      <c r="G134" s="490"/>
      <c r="H134" s="490"/>
      <c r="I134" s="490"/>
      <c r="J134" s="490"/>
      <c r="K134" s="490"/>
      <c r="L134" s="490"/>
      <c r="M134" s="490"/>
      <c r="N134" s="490"/>
      <c r="O134" s="490"/>
      <c r="P134" s="490"/>
      <c r="Q134" s="490"/>
      <c r="R134" s="490"/>
      <c r="S134" s="490"/>
    </row>
    <row r="135" spans="2:19" s="70" customFormat="1">
      <c r="B135" s="490"/>
      <c r="C135" s="490"/>
      <c r="D135" s="490"/>
      <c r="E135" s="490"/>
      <c r="F135" s="490"/>
      <c r="G135" s="490"/>
      <c r="H135" s="490"/>
      <c r="I135" s="490"/>
      <c r="J135" s="490"/>
      <c r="K135" s="490"/>
      <c r="L135" s="490"/>
      <c r="M135" s="490"/>
      <c r="N135" s="490"/>
      <c r="O135" s="490"/>
      <c r="P135" s="490"/>
      <c r="Q135" s="490"/>
      <c r="R135" s="490"/>
      <c r="S135" s="490"/>
    </row>
    <row r="136" spans="2:19" s="70" customFormat="1">
      <c r="B136" s="490"/>
      <c r="C136" s="490"/>
      <c r="D136" s="490"/>
      <c r="E136" s="490"/>
      <c r="F136" s="490"/>
      <c r="G136" s="490"/>
      <c r="H136" s="490"/>
      <c r="I136" s="490"/>
      <c r="J136" s="490"/>
      <c r="K136" s="490"/>
      <c r="L136" s="490"/>
      <c r="M136" s="490"/>
      <c r="N136" s="490"/>
      <c r="O136" s="490"/>
      <c r="P136" s="490"/>
      <c r="Q136" s="490"/>
      <c r="R136" s="490"/>
      <c r="S136" s="490"/>
    </row>
    <row r="137" spans="2:19" s="70" customFormat="1">
      <c r="B137" s="490"/>
      <c r="C137" s="490"/>
      <c r="D137" s="490"/>
      <c r="E137" s="490"/>
      <c r="F137" s="490"/>
      <c r="G137" s="490"/>
      <c r="H137" s="490"/>
      <c r="I137" s="490"/>
      <c r="J137" s="490"/>
      <c r="K137" s="490"/>
      <c r="L137" s="490"/>
      <c r="M137" s="490"/>
      <c r="N137" s="490"/>
      <c r="O137" s="490"/>
      <c r="P137" s="490"/>
      <c r="Q137" s="490"/>
      <c r="R137" s="490"/>
      <c r="S137" s="490"/>
    </row>
    <row r="138" spans="2:19" s="70" customFormat="1">
      <c r="B138" s="490"/>
      <c r="C138" s="490"/>
      <c r="D138" s="490"/>
      <c r="E138" s="490"/>
      <c r="F138" s="490"/>
      <c r="G138" s="490"/>
      <c r="H138" s="490"/>
      <c r="I138" s="490"/>
      <c r="J138" s="490"/>
      <c r="K138" s="490"/>
      <c r="L138" s="490"/>
      <c r="M138" s="490"/>
      <c r="N138" s="490"/>
      <c r="O138" s="490"/>
      <c r="P138" s="490"/>
      <c r="Q138" s="490"/>
      <c r="R138" s="490"/>
      <c r="S138" s="490"/>
    </row>
    <row r="139" spans="2:19" s="70" customFormat="1">
      <c r="B139" s="490"/>
      <c r="C139" s="490"/>
      <c r="D139" s="490"/>
      <c r="E139" s="490"/>
      <c r="F139" s="490"/>
      <c r="G139" s="490"/>
      <c r="H139" s="490"/>
      <c r="I139" s="490"/>
      <c r="J139" s="490"/>
      <c r="K139" s="490"/>
      <c r="L139" s="490"/>
      <c r="M139" s="490"/>
      <c r="N139" s="490"/>
      <c r="O139" s="490"/>
      <c r="P139" s="490"/>
      <c r="Q139" s="490"/>
      <c r="R139" s="490"/>
      <c r="S139" s="490"/>
    </row>
    <row r="140" spans="2:19" s="70" customFormat="1">
      <c r="B140" s="490"/>
      <c r="C140" s="490"/>
      <c r="D140" s="490"/>
      <c r="E140" s="490"/>
      <c r="F140" s="490"/>
      <c r="G140" s="490"/>
      <c r="H140" s="490"/>
      <c r="I140" s="490"/>
      <c r="J140" s="490"/>
      <c r="K140" s="490"/>
      <c r="L140" s="490"/>
      <c r="M140" s="490"/>
      <c r="N140" s="490"/>
      <c r="O140" s="490"/>
      <c r="P140" s="490"/>
      <c r="Q140" s="490"/>
      <c r="R140" s="490"/>
      <c r="S140" s="490"/>
    </row>
    <row r="141" spans="2:19" s="70" customFormat="1">
      <c r="B141" s="490"/>
      <c r="C141" s="490"/>
      <c r="D141" s="490"/>
      <c r="E141" s="490"/>
      <c r="F141" s="490"/>
      <c r="G141" s="490"/>
      <c r="H141" s="490"/>
      <c r="I141" s="490"/>
      <c r="J141" s="490"/>
      <c r="K141" s="490"/>
      <c r="L141" s="490"/>
      <c r="M141" s="490"/>
      <c r="N141" s="490"/>
      <c r="O141" s="490"/>
      <c r="P141" s="490"/>
      <c r="Q141" s="490"/>
      <c r="R141" s="490"/>
      <c r="S141" s="490"/>
    </row>
    <row r="142" spans="2:19" s="70" customFormat="1">
      <c r="B142" s="490"/>
      <c r="C142" s="490"/>
      <c r="D142" s="490"/>
      <c r="E142" s="490"/>
      <c r="F142" s="490"/>
      <c r="G142" s="490"/>
      <c r="H142" s="490"/>
      <c r="I142" s="490"/>
      <c r="J142" s="490"/>
      <c r="K142" s="490"/>
      <c r="L142" s="490"/>
      <c r="M142" s="490"/>
      <c r="N142" s="490"/>
      <c r="O142" s="490"/>
      <c r="P142" s="490"/>
      <c r="Q142" s="490"/>
      <c r="R142" s="490"/>
      <c r="S142" s="490"/>
    </row>
    <row r="143" spans="2:19" s="70" customFormat="1">
      <c r="B143" s="490"/>
      <c r="C143" s="490"/>
      <c r="D143" s="490"/>
      <c r="E143" s="490"/>
      <c r="F143" s="490"/>
      <c r="G143" s="490"/>
      <c r="H143" s="490"/>
      <c r="I143" s="490"/>
      <c r="J143" s="490"/>
      <c r="K143" s="490"/>
      <c r="L143" s="490"/>
      <c r="M143" s="490"/>
      <c r="N143" s="490"/>
      <c r="O143" s="490"/>
      <c r="P143" s="490"/>
      <c r="Q143" s="490"/>
      <c r="R143" s="490"/>
      <c r="S143" s="490"/>
    </row>
    <row r="144" spans="2:19" s="70" customFormat="1">
      <c r="B144" s="490"/>
      <c r="C144" s="490"/>
      <c r="D144" s="490"/>
      <c r="E144" s="490"/>
      <c r="F144" s="490"/>
      <c r="G144" s="490"/>
      <c r="H144" s="490"/>
      <c r="I144" s="490"/>
      <c r="J144" s="490"/>
      <c r="K144" s="490"/>
      <c r="L144" s="490"/>
      <c r="M144" s="490"/>
      <c r="N144" s="490"/>
      <c r="O144" s="490"/>
      <c r="P144" s="490"/>
      <c r="Q144" s="490"/>
      <c r="R144" s="490"/>
      <c r="S144" s="490"/>
    </row>
    <row r="145" spans="2:19" s="70" customFormat="1">
      <c r="B145" s="490"/>
      <c r="C145" s="490"/>
      <c r="D145" s="490"/>
      <c r="E145" s="490"/>
      <c r="F145" s="490"/>
      <c r="G145" s="490"/>
      <c r="H145" s="490"/>
      <c r="I145" s="490"/>
      <c r="J145" s="490"/>
      <c r="K145" s="490"/>
      <c r="L145" s="490"/>
      <c r="M145" s="490"/>
      <c r="N145" s="490"/>
      <c r="O145" s="490"/>
      <c r="P145" s="490"/>
      <c r="Q145" s="490"/>
      <c r="R145" s="490"/>
      <c r="S145" s="490"/>
    </row>
    <row r="146" spans="2:19" s="70" customFormat="1">
      <c r="B146" s="490"/>
      <c r="C146" s="490"/>
      <c r="D146" s="490"/>
      <c r="E146" s="490"/>
      <c r="F146" s="490"/>
      <c r="G146" s="490"/>
      <c r="H146" s="490"/>
      <c r="I146" s="490"/>
      <c r="J146" s="490"/>
      <c r="K146" s="490"/>
      <c r="L146" s="490"/>
      <c r="M146" s="490"/>
      <c r="N146" s="490"/>
      <c r="O146" s="490"/>
      <c r="P146" s="490"/>
      <c r="Q146" s="490"/>
      <c r="R146" s="490"/>
      <c r="S146" s="490"/>
    </row>
    <row r="147" spans="2:19" s="70" customFormat="1">
      <c r="B147" s="490"/>
      <c r="C147" s="490"/>
      <c r="D147" s="490"/>
      <c r="E147" s="490"/>
      <c r="F147" s="490"/>
      <c r="G147" s="490"/>
      <c r="H147" s="490"/>
      <c r="I147" s="490"/>
      <c r="J147" s="490"/>
      <c r="K147" s="490"/>
      <c r="L147" s="490"/>
      <c r="M147" s="490"/>
      <c r="N147" s="490"/>
      <c r="O147" s="490"/>
      <c r="P147" s="490"/>
      <c r="Q147" s="490"/>
      <c r="R147" s="490"/>
      <c r="S147" s="490"/>
    </row>
    <row r="148" spans="2:19" s="70" customFormat="1">
      <c r="B148" s="490"/>
      <c r="C148" s="490"/>
      <c r="D148" s="490"/>
      <c r="E148" s="490"/>
      <c r="F148" s="490"/>
      <c r="G148" s="490"/>
      <c r="H148" s="490"/>
      <c r="I148" s="490"/>
      <c r="J148" s="490"/>
      <c r="K148" s="490"/>
      <c r="L148" s="490"/>
      <c r="M148" s="490"/>
      <c r="N148" s="490"/>
      <c r="O148" s="490"/>
      <c r="P148" s="490"/>
      <c r="Q148" s="490"/>
      <c r="R148" s="490"/>
      <c r="S148" s="490"/>
    </row>
    <row r="149" spans="2:19" s="70" customFormat="1">
      <c r="B149" s="490"/>
      <c r="C149" s="490"/>
      <c r="D149" s="490"/>
      <c r="E149" s="490"/>
      <c r="F149" s="490"/>
      <c r="G149" s="490"/>
      <c r="H149" s="490"/>
      <c r="I149" s="490"/>
      <c r="J149" s="490"/>
      <c r="K149" s="490"/>
      <c r="L149" s="490"/>
      <c r="M149" s="490"/>
      <c r="N149" s="490"/>
      <c r="O149" s="490"/>
      <c r="P149" s="490"/>
      <c r="Q149" s="490"/>
      <c r="R149" s="490"/>
      <c r="S149" s="490"/>
    </row>
    <row r="150" spans="2:19" s="70" customFormat="1">
      <c r="B150" s="490"/>
      <c r="C150" s="490"/>
      <c r="D150" s="490"/>
      <c r="E150" s="490"/>
      <c r="F150" s="490"/>
      <c r="G150" s="490"/>
      <c r="H150" s="490"/>
      <c r="I150" s="490"/>
      <c r="J150" s="490"/>
      <c r="K150" s="490"/>
      <c r="L150" s="490"/>
      <c r="M150" s="490"/>
      <c r="N150" s="490"/>
      <c r="O150" s="490"/>
      <c r="P150" s="490"/>
      <c r="Q150" s="490"/>
      <c r="R150" s="490"/>
      <c r="S150" s="490"/>
    </row>
    <row r="151" spans="2:19" s="70" customFormat="1">
      <c r="B151" s="490"/>
      <c r="C151" s="490"/>
      <c r="D151" s="490"/>
      <c r="E151" s="490"/>
      <c r="F151" s="490"/>
      <c r="G151" s="490"/>
      <c r="H151" s="490"/>
      <c r="I151" s="490"/>
      <c r="J151" s="490"/>
      <c r="K151" s="490"/>
      <c r="L151" s="490"/>
      <c r="M151" s="490"/>
      <c r="N151" s="490"/>
      <c r="O151" s="490"/>
      <c r="P151" s="490"/>
      <c r="Q151" s="490"/>
      <c r="R151" s="490"/>
      <c r="S151" s="490"/>
    </row>
    <row r="152" spans="2:19" s="70" customFormat="1">
      <c r="B152" s="490"/>
      <c r="C152" s="490"/>
      <c r="D152" s="490"/>
      <c r="E152" s="490"/>
      <c r="F152" s="490"/>
      <c r="G152" s="490"/>
      <c r="H152" s="490"/>
      <c r="I152" s="490"/>
      <c r="J152" s="490"/>
      <c r="K152" s="490"/>
      <c r="L152" s="490"/>
      <c r="M152" s="490"/>
      <c r="N152" s="490"/>
      <c r="O152" s="490"/>
      <c r="P152" s="490"/>
      <c r="Q152" s="490"/>
      <c r="R152" s="490"/>
      <c r="S152" s="490"/>
    </row>
    <row r="153" spans="2:19" s="70" customFormat="1">
      <c r="B153" s="490"/>
      <c r="C153" s="490"/>
      <c r="D153" s="490"/>
      <c r="E153" s="490"/>
      <c r="F153" s="490"/>
      <c r="G153" s="490"/>
      <c r="H153" s="490"/>
      <c r="I153" s="490"/>
      <c r="J153" s="490"/>
      <c r="K153" s="490"/>
      <c r="L153" s="490"/>
      <c r="M153" s="490"/>
      <c r="N153" s="490"/>
      <c r="O153" s="490"/>
      <c r="P153" s="490"/>
      <c r="Q153" s="490"/>
      <c r="R153" s="490"/>
      <c r="S153" s="490"/>
    </row>
    <row r="154" spans="2:19" s="70" customFormat="1">
      <c r="B154" s="490"/>
      <c r="C154" s="490"/>
      <c r="D154" s="490"/>
      <c r="E154" s="490"/>
      <c r="F154" s="490"/>
      <c r="G154" s="490"/>
      <c r="H154" s="490"/>
      <c r="I154" s="490"/>
      <c r="J154" s="490"/>
      <c r="K154" s="490"/>
      <c r="L154" s="490"/>
      <c r="M154" s="490"/>
      <c r="N154" s="490"/>
      <c r="O154" s="490"/>
      <c r="P154" s="490"/>
      <c r="Q154" s="490"/>
      <c r="R154" s="490"/>
      <c r="S154" s="490"/>
    </row>
    <row r="155" spans="2:19" s="70" customFormat="1">
      <c r="B155" s="490"/>
      <c r="C155" s="490"/>
      <c r="D155" s="490"/>
      <c r="E155" s="490"/>
      <c r="F155" s="490"/>
      <c r="G155" s="490"/>
      <c r="H155" s="490"/>
      <c r="I155" s="490"/>
      <c r="J155" s="490"/>
      <c r="K155" s="490"/>
      <c r="L155" s="490"/>
      <c r="M155" s="490"/>
      <c r="N155" s="490"/>
      <c r="O155" s="490"/>
      <c r="P155" s="490"/>
      <c r="Q155" s="490"/>
      <c r="R155" s="490"/>
      <c r="S155" s="490"/>
    </row>
    <row r="156" spans="2:19" s="70" customFormat="1">
      <c r="B156" s="490"/>
      <c r="C156" s="490"/>
      <c r="D156" s="490"/>
      <c r="E156" s="490"/>
      <c r="F156" s="490"/>
      <c r="G156" s="490"/>
      <c r="H156" s="490"/>
      <c r="I156" s="490"/>
      <c r="J156" s="490"/>
      <c r="K156" s="490"/>
      <c r="L156" s="490"/>
      <c r="M156" s="490"/>
      <c r="N156" s="490"/>
      <c r="O156" s="490"/>
      <c r="P156" s="490"/>
      <c r="Q156" s="490"/>
      <c r="R156" s="490"/>
      <c r="S156" s="490"/>
    </row>
    <row r="157" spans="2:19" s="70" customFormat="1">
      <c r="B157" s="490"/>
      <c r="C157" s="490"/>
      <c r="D157" s="490"/>
      <c r="E157" s="490"/>
      <c r="F157" s="490"/>
      <c r="G157" s="490"/>
      <c r="H157" s="490"/>
      <c r="I157" s="490"/>
      <c r="J157" s="490"/>
      <c r="K157" s="490"/>
      <c r="L157" s="490"/>
      <c r="M157" s="490"/>
      <c r="N157" s="490"/>
      <c r="O157" s="490"/>
      <c r="P157" s="490"/>
      <c r="Q157" s="490"/>
      <c r="R157" s="490"/>
      <c r="S157" s="490"/>
    </row>
    <row r="158" spans="2:19" s="70" customFormat="1">
      <c r="B158" s="490"/>
      <c r="C158" s="490"/>
      <c r="D158" s="490"/>
      <c r="E158" s="490"/>
      <c r="F158" s="490"/>
      <c r="G158" s="490"/>
      <c r="H158" s="490"/>
      <c r="I158" s="490"/>
      <c r="J158" s="490"/>
      <c r="K158" s="490"/>
      <c r="L158" s="490"/>
      <c r="M158" s="490"/>
      <c r="N158" s="490"/>
      <c r="O158" s="490"/>
      <c r="P158" s="490"/>
      <c r="Q158" s="490"/>
      <c r="R158" s="490"/>
      <c r="S158" s="490"/>
    </row>
    <row r="159" spans="2:19" s="70" customFormat="1">
      <c r="B159" s="490"/>
      <c r="C159" s="490"/>
      <c r="D159" s="490"/>
      <c r="E159" s="490"/>
      <c r="F159" s="490"/>
      <c r="G159" s="490"/>
      <c r="H159" s="490"/>
      <c r="I159" s="490"/>
      <c r="J159" s="490"/>
      <c r="K159" s="490"/>
      <c r="L159" s="490"/>
      <c r="M159" s="490"/>
      <c r="N159" s="490"/>
      <c r="O159" s="490"/>
      <c r="P159" s="490"/>
      <c r="Q159" s="490"/>
      <c r="R159" s="490"/>
      <c r="S159" s="490"/>
    </row>
    <row r="160" spans="2:19" s="70" customFormat="1">
      <c r="B160" s="490"/>
      <c r="C160" s="490"/>
      <c r="D160" s="490"/>
      <c r="E160" s="490"/>
      <c r="F160" s="490"/>
      <c r="G160" s="490"/>
      <c r="H160" s="490"/>
      <c r="I160" s="490"/>
      <c r="J160" s="490"/>
      <c r="K160" s="490"/>
      <c r="L160" s="490"/>
      <c r="M160" s="490"/>
      <c r="N160" s="490"/>
      <c r="O160" s="490"/>
      <c r="P160" s="490"/>
      <c r="Q160" s="490"/>
      <c r="R160" s="490"/>
      <c r="S160" s="490"/>
    </row>
    <row r="161" spans="2:19" s="70" customFormat="1">
      <c r="B161" s="490"/>
      <c r="C161" s="490"/>
      <c r="D161" s="490"/>
      <c r="E161" s="490"/>
      <c r="F161" s="490"/>
      <c r="G161" s="490"/>
      <c r="H161" s="490"/>
      <c r="I161" s="490"/>
      <c r="J161" s="490"/>
      <c r="K161" s="490"/>
      <c r="L161" s="490"/>
      <c r="M161" s="490"/>
      <c r="N161" s="490"/>
      <c r="O161" s="490"/>
      <c r="P161" s="490"/>
      <c r="Q161" s="490"/>
      <c r="R161" s="490"/>
      <c r="S161" s="490"/>
    </row>
    <row r="162" spans="2:19" s="70" customFormat="1">
      <c r="B162" s="490"/>
      <c r="C162" s="490"/>
      <c r="D162" s="490"/>
      <c r="E162" s="490"/>
      <c r="F162" s="490"/>
      <c r="G162" s="490"/>
      <c r="H162" s="490"/>
      <c r="I162" s="490"/>
      <c r="J162" s="490"/>
      <c r="K162" s="490"/>
      <c r="L162" s="490"/>
      <c r="M162" s="490"/>
      <c r="N162" s="490"/>
      <c r="O162" s="490"/>
      <c r="P162" s="490"/>
      <c r="Q162" s="490"/>
      <c r="R162" s="490"/>
      <c r="S162" s="490"/>
    </row>
    <row r="163" spans="2:19" s="70" customFormat="1">
      <c r="B163" s="490"/>
      <c r="C163" s="490"/>
      <c r="D163" s="490"/>
      <c r="E163" s="490"/>
      <c r="F163" s="490"/>
      <c r="G163" s="490"/>
      <c r="H163" s="490"/>
      <c r="I163" s="490"/>
      <c r="J163" s="490"/>
      <c r="K163" s="490"/>
      <c r="L163" s="490"/>
      <c r="M163" s="490"/>
      <c r="N163" s="490"/>
      <c r="O163" s="490"/>
      <c r="P163" s="490"/>
      <c r="Q163" s="490"/>
      <c r="R163" s="490"/>
      <c r="S163" s="490"/>
    </row>
    <row r="164" spans="2:19" s="70" customFormat="1">
      <c r="B164" s="490"/>
      <c r="C164" s="490"/>
      <c r="D164" s="490"/>
      <c r="E164" s="490"/>
      <c r="F164" s="490"/>
      <c r="G164" s="490"/>
      <c r="H164" s="490"/>
      <c r="I164" s="490"/>
      <c r="J164" s="490"/>
      <c r="K164" s="490"/>
      <c r="L164" s="490"/>
      <c r="M164" s="490"/>
      <c r="N164" s="490"/>
      <c r="O164" s="490"/>
      <c r="P164" s="490"/>
      <c r="Q164" s="490"/>
      <c r="R164" s="490"/>
      <c r="S164" s="490"/>
    </row>
    <row r="165" spans="2:19" s="70" customFormat="1">
      <c r="B165" s="490"/>
      <c r="C165" s="490"/>
      <c r="D165" s="490"/>
      <c r="E165" s="490"/>
      <c r="F165" s="490"/>
      <c r="G165" s="490"/>
      <c r="H165" s="490"/>
      <c r="I165" s="490"/>
      <c r="J165" s="490"/>
      <c r="K165" s="490"/>
      <c r="L165" s="490"/>
      <c r="M165" s="490"/>
      <c r="N165" s="490"/>
      <c r="O165" s="490"/>
      <c r="P165" s="490"/>
      <c r="Q165" s="490"/>
      <c r="R165" s="490"/>
      <c r="S165" s="490"/>
    </row>
    <row r="166" spans="2:19" s="70" customFormat="1">
      <c r="B166" s="490"/>
      <c r="C166" s="490"/>
      <c r="D166" s="490"/>
      <c r="E166" s="490"/>
      <c r="F166" s="490"/>
      <c r="G166" s="490"/>
      <c r="H166" s="490"/>
      <c r="I166" s="490"/>
      <c r="J166" s="490"/>
      <c r="K166" s="490"/>
      <c r="L166" s="490"/>
      <c r="M166" s="490"/>
      <c r="N166" s="490"/>
      <c r="O166" s="490"/>
      <c r="P166" s="490"/>
      <c r="Q166" s="490"/>
      <c r="R166" s="490"/>
      <c r="S166" s="490"/>
    </row>
    <row r="167" spans="2:19" s="70" customFormat="1">
      <c r="B167" s="490"/>
      <c r="C167" s="490"/>
      <c r="D167" s="490"/>
      <c r="E167" s="490"/>
      <c r="F167" s="490"/>
      <c r="G167" s="490"/>
      <c r="H167" s="490"/>
      <c r="I167" s="490"/>
      <c r="J167" s="490"/>
      <c r="K167" s="490"/>
      <c r="L167" s="490"/>
      <c r="M167" s="490"/>
      <c r="N167" s="490"/>
      <c r="O167" s="490"/>
      <c r="P167" s="490"/>
      <c r="Q167" s="490"/>
      <c r="R167" s="490"/>
      <c r="S167" s="490"/>
    </row>
    <row r="168" spans="2:19" s="70" customFormat="1">
      <c r="B168" s="490"/>
      <c r="C168" s="490"/>
      <c r="D168" s="490"/>
      <c r="E168" s="490"/>
      <c r="F168" s="490"/>
      <c r="G168" s="490"/>
      <c r="H168" s="490"/>
      <c r="I168" s="490"/>
      <c r="J168" s="490"/>
      <c r="K168" s="490"/>
      <c r="L168" s="490"/>
      <c r="M168" s="490"/>
      <c r="N168" s="490"/>
      <c r="O168" s="490"/>
      <c r="P168" s="490"/>
      <c r="Q168" s="490"/>
      <c r="R168" s="490"/>
      <c r="S168" s="490"/>
    </row>
    <row r="169" spans="2:19" s="70" customFormat="1">
      <c r="B169" s="490"/>
      <c r="C169" s="490"/>
      <c r="D169" s="490"/>
      <c r="E169" s="490"/>
      <c r="F169" s="490"/>
      <c r="G169" s="490"/>
      <c r="H169" s="490"/>
      <c r="I169" s="490"/>
      <c r="J169" s="490"/>
      <c r="K169" s="490"/>
      <c r="L169" s="490"/>
      <c r="M169" s="490"/>
      <c r="N169" s="490"/>
      <c r="O169" s="490"/>
      <c r="P169" s="490"/>
      <c r="Q169" s="490"/>
      <c r="R169" s="490"/>
      <c r="S169" s="490"/>
    </row>
    <row r="170" spans="2:19" s="70" customFormat="1">
      <c r="B170" s="490"/>
      <c r="C170" s="490"/>
      <c r="D170" s="490"/>
      <c r="E170" s="490"/>
      <c r="F170" s="490"/>
      <c r="G170" s="490"/>
      <c r="H170" s="490"/>
      <c r="I170" s="490"/>
      <c r="J170" s="490"/>
      <c r="K170" s="490"/>
      <c r="L170" s="490"/>
      <c r="M170" s="490"/>
      <c r="N170" s="490"/>
      <c r="O170" s="490"/>
      <c r="P170" s="490"/>
      <c r="Q170" s="490"/>
      <c r="R170" s="490"/>
      <c r="S170" s="490"/>
    </row>
    <row r="171" spans="2:19" s="70" customFormat="1">
      <c r="B171" s="490"/>
      <c r="C171" s="490"/>
      <c r="D171" s="490"/>
      <c r="E171" s="490"/>
      <c r="F171" s="490"/>
      <c r="G171" s="490"/>
      <c r="H171" s="490"/>
      <c r="I171" s="490"/>
      <c r="J171" s="490"/>
      <c r="K171" s="490"/>
      <c r="L171" s="490"/>
      <c r="M171" s="490"/>
      <c r="N171" s="490"/>
      <c r="O171" s="490"/>
      <c r="P171" s="490"/>
      <c r="Q171" s="490"/>
      <c r="R171" s="490"/>
      <c r="S171" s="490"/>
    </row>
    <row r="172" spans="2:19" s="70" customFormat="1">
      <c r="B172" s="490"/>
      <c r="C172" s="490"/>
      <c r="D172" s="490"/>
      <c r="E172" s="490"/>
      <c r="F172" s="490"/>
      <c r="G172" s="490"/>
      <c r="H172" s="490"/>
      <c r="I172" s="490"/>
      <c r="J172" s="490"/>
      <c r="K172" s="490"/>
      <c r="L172" s="490"/>
      <c r="M172" s="490"/>
      <c r="N172" s="490"/>
      <c r="O172" s="490"/>
      <c r="P172" s="490"/>
      <c r="Q172" s="490"/>
      <c r="R172" s="490"/>
      <c r="S172" s="490"/>
    </row>
    <row r="173" spans="2:19" s="70" customFormat="1">
      <c r="B173" s="490"/>
      <c r="C173" s="490"/>
      <c r="D173" s="490"/>
      <c r="E173" s="490"/>
      <c r="F173" s="490"/>
      <c r="G173" s="490"/>
      <c r="H173" s="490"/>
      <c r="I173" s="490"/>
      <c r="J173" s="490"/>
      <c r="K173" s="490"/>
      <c r="L173" s="490"/>
      <c r="M173" s="490"/>
      <c r="N173" s="490"/>
      <c r="O173" s="490"/>
      <c r="P173" s="490"/>
      <c r="Q173" s="490"/>
      <c r="R173" s="490"/>
      <c r="S173" s="490"/>
    </row>
    <row r="174" spans="2:19" s="70" customFormat="1">
      <c r="B174" s="490"/>
      <c r="C174" s="490"/>
      <c r="D174" s="490"/>
      <c r="E174" s="490"/>
      <c r="F174" s="490"/>
      <c r="G174" s="490"/>
      <c r="H174" s="490"/>
      <c r="I174" s="490"/>
      <c r="J174" s="490"/>
      <c r="K174" s="490"/>
      <c r="L174" s="490"/>
      <c r="M174" s="490"/>
      <c r="N174" s="490"/>
      <c r="O174" s="490"/>
      <c r="P174" s="490"/>
      <c r="Q174" s="490"/>
      <c r="R174" s="490"/>
      <c r="S174" s="490"/>
    </row>
    <row r="175" spans="2:19" s="70" customFormat="1">
      <c r="B175" s="490"/>
      <c r="C175" s="490"/>
      <c r="D175" s="490"/>
      <c r="E175" s="490"/>
      <c r="F175" s="490"/>
      <c r="G175" s="490"/>
      <c r="H175" s="490"/>
      <c r="I175" s="490"/>
      <c r="J175" s="490"/>
      <c r="K175" s="490"/>
      <c r="L175" s="490"/>
      <c r="M175" s="490"/>
      <c r="N175" s="490"/>
      <c r="O175" s="490"/>
      <c r="P175" s="490"/>
      <c r="Q175" s="490"/>
      <c r="R175" s="490"/>
      <c r="S175" s="490"/>
    </row>
    <row r="176" spans="2:19" s="70" customFormat="1">
      <c r="B176" s="490"/>
      <c r="C176" s="490"/>
      <c r="D176" s="490"/>
      <c r="E176" s="490"/>
      <c r="F176" s="490"/>
      <c r="G176" s="490"/>
      <c r="H176" s="490"/>
      <c r="I176" s="490"/>
      <c r="J176" s="490"/>
      <c r="K176" s="490"/>
      <c r="L176" s="490"/>
      <c r="M176" s="490"/>
      <c r="N176" s="490"/>
      <c r="O176" s="490"/>
      <c r="P176" s="490"/>
      <c r="Q176" s="490"/>
      <c r="R176" s="490"/>
      <c r="S176" s="490"/>
    </row>
    <row r="177" spans="2:19" s="70" customFormat="1">
      <c r="B177" s="490"/>
      <c r="C177" s="490"/>
      <c r="D177" s="490"/>
      <c r="E177" s="490"/>
      <c r="F177" s="490"/>
      <c r="G177" s="490"/>
      <c r="H177" s="490"/>
      <c r="I177" s="490"/>
      <c r="J177" s="490"/>
      <c r="K177" s="490"/>
      <c r="L177" s="490"/>
      <c r="M177" s="490"/>
      <c r="N177" s="490"/>
      <c r="O177" s="490"/>
      <c r="P177" s="490"/>
      <c r="Q177" s="490"/>
      <c r="R177" s="490"/>
      <c r="S177" s="490"/>
    </row>
    <row r="178" spans="2:19" s="70" customFormat="1">
      <c r="B178" s="490"/>
      <c r="C178" s="490"/>
      <c r="D178" s="490"/>
      <c r="E178" s="490"/>
      <c r="F178" s="490"/>
      <c r="G178" s="490"/>
      <c r="H178" s="490"/>
      <c r="I178" s="490"/>
      <c r="J178" s="490"/>
      <c r="K178" s="490"/>
      <c r="L178" s="490"/>
      <c r="M178" s="490"/>
      <c r="N178" s="490"/>
      <c r="O178" s="490"/>
      <c r="P178" s="490"/>
      <c r="Q178" s="490"/>
      <c r="R178" s="490"/>
      <c r="S178" s="490"/>
    </row>
    <row r="179" spans="2:19" s="70" customFormat="1">
      <c r="B179" s="490"/>
      <c r="C179" s="490"/>
      <c r="D179" s="490"/>
      <c r="E179" s="490"/>
      <c r="F179" s="490"/>
      <c r="G179" s="490"/>
      <c r="H179" s="490"/>
      <c r="I179" s="490"/>
      <c r="J179" s="490"/>
      <c r="K179" s="490"/>
      <c r="L179" s="490"/>
      <c r="M179" s="490"/>
      <c r="N179" s="490"/>
      <c r="O179" s="490"/>
      <c r="P179" s="490"/>
      <c r="Q179" s="490"/>
      <c r="R179" s="490"/>
      <c r="S179" s="490"/>
    </row>
    <row r="180" spans="2:19" s="70" customFormat="1">
      <c r="B180" s="490"/>
      <c r="C180" s="490"/>
      <c r="D180" s="490"/>
      <c r="E180" s="490"/>
      <c r="F180" s="490"/>
      <c r="G180" s="490"/>
      <c r="H180" s="490"/>
      <c r="I180" s="490"/>
      <c r="J180" s="490"/>
      <c r="K180" s="490"/>
      <c r="L180" s="490"/>
      <c r="M180" s="490"/>
      <c r="N180" s="490"/>
      <c r="O180" s="490"/>
      <c r="P180" s="490"/>
      <c r="Q180" s="490"/>
      <c r="R180" s="490"/>
      <c r="S180" s="490"/>
    </row>
    <row r="181" spans="2:19" s="70" customFormat="1">
      <c r="B181" s="490"/>
      <c r="C181" s="490"/>
      <c r="D181" s="490"/>
      <c r="E181" s="490"/>
      <c r="F181" s="490"/>
      <c r="G181" s="490"/>
      <c r="H181" s="490"/>
      <c r="I181" s="490"/>
      <c r="J181" s="490"/>
      <c r="K181" s="490"/>
      <c r="L181" s="490"/>
      <c r="M181" s="490"/>
      <c r="N181" s="490"/>
      <c r="O181" s="490"/>
      <c r="P181" s="490"/>
      <c r="Q181" s="490"/>
      <c r="R181" s="490"/>
      <c r="S181" s="490"/>
    </row>
    <row r="182" spans="2:19" s="70" customFormat="1">
      <c r="B182" s="490"/>
      <c r="C182" s="490"/>
      <c r="D182" s="490"/>
      <c r="E182" s="490"/>
      <c r="F182" s="490"/>
      <c r="G182" s="490"/>
      <c r="H182" s="490"/>
      <c r="I182" s="490"/>
      <c r="J182" s="490"/>
      <c r="K182" s="490"/>
      <c r="L182" s="490"/>
      <c r="M182" s="490"/>
      <c r="N182" s="490"/>
      <c r="O182" s="490"/>
      <c r="P182" s="490"/>
      <c r="Q182" s="490"/>
      <c r="R182" s="490"/>
      <c r="S182" s="490"/>
    </row>
    <row r="183" spans="2:19" s="70" customFormat="1">
      <c r="B183" s="490"/>
      <c r="C183" s="490"/>
      <c r="D183" s="490"/>
      <c r="E183" s="490"/>
      <c r="F183" s="490"/>
      <c r="G183" s="490"/>
      <c r="H183" s="490"/>
      <c r="I183" s="490"/>
      <c r="J183" s="490"/>
      <c r="K183" s="490"/>
      <c r="L183" s="490"/>
      <c r="M183" s="490"/>
      <c r="N183" s="490"/>
      <c r="O183" s="490"/>
      <c r="P183" s="490"/>
      <c r="Q183" s="490"/>
      <c r="R183" s="490"/>
      <c r="S183" s="490"/>
    </row>
    <row r="184" spans="2:19" s="70" customFormat="1">
      <c r="B184" s="490"/>
      <c r="C184" s="490"/>
      <c r="D184" s="490"/>
      <c r="E184" s="490"/>
      <c r="F184" s="490"/>
      <c r="G184" s="490"/>
      <c r="H184" s="490"/>
      <c r="I184" s="490"/>
      <c r="J184" s="490"/>
      <c r="K184" s="490"/>
      <c r="L184" s="490"/>
      <c r="M184" s="490"/>
      <c r="N184" s="490"/>
      <c r="O184" s="490"/>
      <c r="P184" s="490"/>
      <c r="Q184" s="490"/>
      <c r="R184" s="490"/>
      <c r="S184" s="490"/>
    </row>
    <row r="185" spans="2:19" s="70" customFormat="1">
      <c r="B185" s="490"/>
      <c r="C185" s="490"/>
      <c r="D185" s="490"/>
      <c r="E185" s="490"/>
      <c r="F185" s="490"/>
      <c r="G185" s="490"/>
      <c r="H185" s="490"/>
      <c r="I185" s="490"/>
      <c r="J185" s="490"/>
      <c r="K185" s="490"/>
      <c r="L185" s="490"/>
      <c r="M185" s="490"/>
      <c r="N185" s="490"/>
      <c r="O185" s="490"/>
      <c r="P185" s="490"/>
      <c r="Q185" s="490"/>
      <c r="R185" s="490"/>
      <c r="S185" s="490"/>
    </row>
    <row r="186" spans="2:19" s="70" customFormat="1">
      <c r="B186" s="490"/>
      <c r="C186" s="490"/>
      <c r="D186" s="490"/>
      <c r="E186" s="490"/>
      <c r="F186" s="490"/>
      <c r="G186" s="490"/>
      <c r="H186" s="490"/>
      <c r="I186" s="490"/>
      <c r="J186" s="490"/>
      <c r="K186" s="490"/>
      <c r="L186" s="490"/>
      <c r="M186" s="490"/>
      <c r="N186" s="490"/>
      <c r="O186" s="490"/>
      <c r="P186" s="490"/>
      <c r="Q186" s="490"/>
      <c r="R186" s="490"/>
      <c r="S186" s="490"/>
    </row>
    <row r="187" spans="2:19" s="70" customFormat="1">
      <c r="B187" s="490"/>
      <c r="C187" s="490"/>
      <c r="D187" s="490"/>
      <c r="E187" s="490"/>
      <c r="F187" s="490"/>
      <c r="G187" s="490"/>
      <c r="H187" s="490"/>
      <c r="I187" s="490"/>
      <c r="J187" s="490"/>
      <c r="K187" s="490"/>
      <c r="L187" s="490"/>
      <c r="M187" s="490"/>
      <c r="N187" s="490"/>
      <c r="O187" s="490"/>
      <c r="P187" s="490"/>
      <c r="Q187" s="490"/>
      <c r="R187" s="490"/>
      <c r="S187" s="490"/>
    </row>
    <row r="188" spans="2:19" s="70" customFormat="1">
      <c r="B188" s="490"/>
      <c r="C188" s="490"/>
      <c r="D188" s="490"/>
      <c r="E188" s="490"/>
      <c r="F188" s="490"/>
      <c r="G188" s="490"/>
      <c r="H188" s="490"/>
      <c r="I188" s="490"/>
      <c r="J188" s="490"/>
      <c r="K188" s="490"/>
      <c r="L188" s="490"/>
      <c r="M188" s="490"/>
      <c r="N188" s="490"/>
      <c r="O188" s="490"/>
      <c r="P188" s="490"/>
      <c r="Q188" s="490"/>
      <c r="R188" s="490"/>
      <c r="S188" s="490"/>
    </row>
    <row r="189" spans="2:19" s="70" customFormat="1">
      <c r="B189" s="490"/>
      <c r="C189" s="490"/>
      <c r="D189" s="490"/>
      <c r="E189" s="490"/>
      <c r="F189" s="490"/>
      <c r="G189" s="490"/>
      <c r="H189" s="490"/>
      <c r="I189" s="490"/>
      <c r="J189" s="490"/>
      <c r="K189" s="490"/>
      <c r="L189" s="490"/>
      <c r="M189" s="490"/>
      <c r="N189" s="490"/>
      <c r="O189" s="490"/>
      <c r="P189" s="490"/>
      <c r="Q189" s="490"/>
      <c r="R189" s="490"/>
      <c r="S189" s="490"/>
    </row>
    <row r="190" spans="2:19" s="70" customFormat="1">
      <c r="B190" s="490"/>
      <c r="C190" s="490"/>
      <c r="D190" s="490"/>
      <c r="E190" s="490"/>
      <c r="F190" s="490"/>
      <c r="G190" s="490"/>
      <c r="H190" s="490"/>
      <c r="I190" s="490"/>
      <c r="J190" s="490"/>
      <c r="K190" s="490"/>
      <c r="L190" s="490"/>
      <c r="M190" s="490"/>
      <c r="N190" s="490"/>
      <c r="O190" s="490"/>
      <c r="P190" s="490"/>
      <c r="Q190" s="490"/>
      <c r="R190" s="490"/>
      <c r="S190" s="490"/>
    </row>
    <row r="191" spans="2:19" s="70" customFormat="1">
      <c r="B191" s="490"/>
      <c r="C191" s="490"/>
      <c r="D191" s="490"/>
      <c r="E191" s="490"/>
      <c r="F191" s="490"/>
      <c r="G191" s="490"/>
      <c r="H191" s="490"/>
      <c r="I191" s="490"/>
      <c r="J191" s="490"/>
      <c r="K191" s="490"/>
      <c r="L191" s="490"/>
      <c r="M191" s="490"/>
      <c r="N191" s="490"/>
      <c r="O191" s="490"/>
      <c r="P191" s="490"/>
      <c r="Q191" s="490"/>
      <c r="R191" s="490"/>
      <c r="S191" s="490"/>
    </row>
    <row r="192" spans="2:19" s="70" customFormat="1">
      <c r="B192" s="490"/>
      <c r="C192" s="490"/>
      <c r="D192" s="490"/>
      <c r="E192" s="490"/>
      <c r="F192" s="490"/>
      <c r="G192" s="490"/>
      <c r="H192" s="490"/>
      <c r="I192" s="490"/>
      <c r="J192" s="490"/>
      <c r="K192" s="490"/>
      <c r="L192" s="490"/>
      <c r="M192" s="490"/>
      <c r="N192" s="490"/>
      <c r="O192" s="490"/>
      <c r="P192" s="490"/>
      <c r="Q192" s="490"/>
      <c r="R192" s="490"/>
      <c r="S192" s="490"/>
    </row>
    <row r="193" spans="2:19" s="70" customFormat="1">
      <c r="B193" s="490"/>
      <c r="C193" s="490"/>
      <c r="D193" s="490"/>
      <c r="E193" s="490"/>
      <c r="F193" s="490"/>
      <c r="G193" s="490"/>
      <c r="H193" s="490"/>
      <c r="I193" s="490"/>
      <c r="J193" s="490"/>
      <c r="K193" s="490"/>
      <c r="L193" s="490"/>
      <c r="M193" s="490"/>
      <c r="N193" s="490"/>
      <c r="O193" s="490"/>
      <c r="P193" s="490"/>
      <c r="Q193" s="490"/>
      <c r="R193" s="490"/>
      <c r="S193" s="490"/>
    </row>
    <row r="194" spans="2:19" s="70" customFormat="1">
      <c r="B194" s="490"/>
      <c r="C194" s="490"/>
      <c r="D194" s="490"/>
      <c r="E194" s="490"/>
      <c r="F194" s="490"/>
      <c r="G194" s="490"/>
      <c r="H194" s="490"/>
      <c r="I194" s="490"/>
      <c r="J194" s="490"/>
      <c r="K194" s="490"/>
      <c r="L194" s="490"/>
      <c r="M194" s="490"/>
      <c r="N194" s="490"/>
      <c r="O194" s="490"/>
      <c r="P194" s="490"/>
      <c r="Q194" s="490"/>
      <c r="R194" s="490"/>
      <c r="S194" s="490"/>
    </row>
    <row r="195" spans="2:19" s="70" customFormat="1">
      <c r="B195" s="490"/>
      <c r="C195" s="490"/>
      <c r="D195" s="490"/>
      <c r="E195" s="490"/>
      <c r="F195" s="490"/>
      <c r="G195" s="490"/>
      <c r="H195" s="490"/>
      <c r="I195" s="490"/>
      <c r="J195" s="490"/>
      <c r="K195" s="490"/>
      <c r="L195" s="490"/>
      <c r="M195" s="490"/>
      <c r="N195" s="490"/>
      <c r="O195" s="490"/>
      <c r="P195" s="490"/>
      <c r="Q195" s="490"/>
      <c r="R195" s="490"/>
      <c r="S195" s="490"/>
    </row>
    <row r="196" spans="2:19" s="70" customFormat="1">
      <c r="B196" s="490"/>
      <c r="C196" s="490"/>
      <c r="D196" s="490"/>
      <c r="E196" s="490"/>
      <c r="F196" s="490"/>
      <c r="G196" s="490"/>
      <c r="H196" s="490"/>
      <c r="I196" s="490"/>
      <c r="J196" s="490"/>
      <c r="K196" s="490"/>
      <c r="L196" s="490"/>
      <c r="M196" s="490"/>
      <c r="N196" s="490"/>
      <c r="O196" s="490"/>
      <c r="P196" s="490"/>
      <c r="Q196" s="490"/>
      <c r="R196" s="490"/>
      <c r="S196" s="490"/>
    </row>
    <row r="197" spans="2:19" s="70" customFormat="1">
      <c r="B197" s="490"/>
      <c r="C197" s="490"/>
      <c r="D197" s="490"/>
      <c r="E197" s="490"/>
      <c r="F197" s="490"/>
      <c r="G197" s="490"/>
      <c r="H197" s="490"/>
      <c r="I197" s="490"/>
      <c r="J197" s="490"/>
      <c r="K197" s="490"/>
      <c r="L197" s="490"/>
      <c r="M197" s="490"/>
      <c r="N197" s="490"/>
      <c r="O197" s="490"/>
      <c r="P197" s="490"/>
      <c r="Q197" s="490"/>
      <c r="R197" s="490"/>
      <c r="S197" s="490"/>
    </row>
    <row r="198" spans="2:19" s="70" customFormat="1">
      <c r="B198" s="490"/>
      <c r="C198" s="490"/>
      <c r="D198" s="490"/>
      <c r="E198" s="490"/>
      <c r="F198" s="490"/>
      <c r="G198" s="490"/>
      <c r="H198" s="490"/>
      <c r="I198" s="490"/>
      <c r="J198" s="490"/>
      <c r="K198" s="490"/>
      <c r="L198" s="490"/>
      <c r="M198" s="490"/>
      <c r="N198" s="490"/>
      <c r="O198" s="490"/>
      <c r="P198" s="490"/>
      <c r="Q198" s="490"/>
      <c r="R198" s="490"/>
      <c r="S198" s="490"/>
    </row>
    <row r="199" spans="2:19" s="70" customFormat="1">
      <c r="B199" s="490"/>
      <c r="C199" s="490"/>
      <c r="D199" s="490"/>
      <c r="E199" s="490"/>
      <c r="F199" s="490"/>
      <c r="G199" s="490"/>
      <c r="H199" s="490"/>
      <c r="I199" s="490"/>
      <c r="J199" s="490"/>
      <c r="K199" s="490"/>
      <c r="L199" s="490"/>
      <c r="M199" s="490"/>
      <c r="N199" s="490"/>
      <c r="O199" s="490"/>
      <c r="P199" s="490"/>
      <c r="Q199" s="490"/>
      <c r="R199" s="490"/>
      <c r="S199" s="490"/>
    </row>
    <row r="200" spans="2:19" s="70" customFormat="1">
      <c r="B200" s="490"/>
      <c r="C200" s="490"/>
      <c r="D200" s="490"/>
      <c r="E200" s="490"/>
      <c r="F200" s="490"/>
      <c r="G200" s="490"/>
      <c r="H200" s="490"/>
      <c r="I200" s="490"/>
      <c r="J200" s="490"/>
      <c r="K200" s="490"/>
      <c r="L200" s="490"/>
      <c r="M200" s="490"/>
      <c r="N200" s="490"/>
      <c r="O200" s="490"/>
      <c r="P200" s="490"/>
      <c r="Q200" s="490"/>
      <c r="R200" s="490"/>
      <c r="S200" s="490"/>
    </row>
    <row r="201" spans="2:19" s="70" customFormat="1">
      <c r="B201" s="490"/>
      <c r="C201" s="490"/>
      <c r="D201" s="490"/>
      <c r="E201" s="490"/>
      <c r="F201" s="490"/>
      <c r="G201" s="490"/>
      <c r="H201" s="490"/>
      <c r="I201" s="490"/>
      <c r="J201" s="490"/>
      <c r="K201" s="490"/>
      <c r="L201" s="490"/>
      <c r="M201" s="490"/>
      <c r="N201" s="490"/>
      <c r="O201" s="490"/>
      <c r="P201" s="490"/>
      <c r="Q201" s="490"/>
      <c r="R201" s="490"/>
      <c r="S201" s="490"/>
    </row>
    <row r="202" spans="2:19" s="70" customFormat="1">
      <c r="B202" s="490"/>
      <c r="C202" s="490"/>
      <c r="D202" s="490"/>
      <c r="E202" s="490"/>
      <c r="F202" s="490"/>
      <c r="G202" s="490"/>
      <c r="H202" s="490"/>
      <c r="I202" s="490"/>
      <c r="J202" s="490"/>
      <c r="K202" s="490"/>
      <c r="L202" s="490"/>
      <c r="M202" s="490"/>
      <c r="N202" s="490"/>
      <c r="O202" s="490"/>
      <c r="P202" s="490"/>
      <c r="Q202" s="490"/>
      <c r="R202" s="490"/>
      <c r="S202" s="490"/>
    </row>
    <row r="203" spans="2:19" s="70" customFormat="1">
      <c r="B203" s="490"/>
      <c r="C203" s="490"/>
      <c r="D203" s="490"/>
      <c r="E203" s="490"/>
      <c r="F203" s="490"/>
      <c r="G203" s="490"/>
      <c r="H203" s="490"/>
      <c r="I203" s="490"/>
      <c r="J203" s="490"/>
      <c r="K203" s="490"/>
      <c r="L203" s="490"/>
      <c r="M203" s="490"/>
      <c r="N203" s="490"/>
      <c r="O203" s="490"/>
      <c r="P203" s="490"/>
      <c r="Q203" s="490"/>
      <c r="R203" s="490"/>
      <c r="S203" s="490"/>
    </row>
    <row r="204" spans="2:19" s="70" customFormat="1">
      <c r="B204" s="490"/>
      <c r="C204" s="490"/>
      <c r="D204" s="490"/>
      <c r="E204" s="490"/>
      <c r="F204" s="490"/>
      <c r="G204" s="490"/>
      <c r="H204" s="490"/>
      <c r="I204" s="490"/>
      <c r="J204" s="490"/>
      <c r="K204" s="490"/>
      <c r="L204" s="490"/>
      <c r="M204" s="490"/>
      <c r="N204" s="490"/>
      <c r="O204" s="490"/>
      <c r="P204" s="490"/>
      <c r="Q204" s="490"/>
      <c r="R204" s="490"/>
      <c r="S204" s="490"/>
    </row>
    <row r="205" spans="2:19" s="70" customFormat="1">
      <c r="B205" s="490"/>
      <c r="C205" s="490"/>
      <c r="D205" s="490"/>
      <c r="E205" s="490"/>
      <c r="F205" s="490"/>
      <c r="G205" s="490"/>
      <c r="H205" s="490"/>
      <c r="I205" s="490"/>
      <c r="J205" s="490"/>
      <c r="K205" s="490"/>
      <c r="L205" s="490"/>
      <c r="M205" s="490"/>
      <c r="N205" s="490"/>
      <c r="O205" s="490"/>
      <c r="P205" s="490"/>
      <c r="Q205" s="490"/>
      <c r="R205" s="490"/>
      <c r="S205" s="490"/>
    </row>
    <row r="206" spans="2:19" s="70" customFormat="1">
      <c r="B206" s="490"/>
      <c r="C206" s="490"/>
      <c r="D206" s="490"/>
      <c r="E206" s="490"/>
      <c r="F206" s="490"/>
      <c r="G206" s="490"/>
      <c r="H206" s="490"/>
      <c r="I206" s="490"/>
      <c r="J206" s="490"/>
      <c r="K206" s="490"/>
      <c r="L206" s="490"/>
      <c r="M206" s="490"/>
      <c r="N206" s="490"/>
      <c r="O206" s="490"/>
      <c r="P206" s="490"/>
      <c r="Q206" s="490"/>
      <c r="R206" s="490"/>
      <c r="S206" s="490"/>
    </row>
    <row r="207" spans="2:19" s="70" customFormat="1">
      <c r="B207" s="490"/>
      <c r="C207" s="490"/>
      <c r="D207" s="490"/>
      <c r="E207" s="490"/>
      <c r="F207" s="490"/>
      <c r="G207" s="490"/>
      <c r="H207" s="490"/>
      <c r="I207" s="490"/>
      <c r="J207" s="490"/>
      <c r="K207" s="490"/>
      <c r="L207" s="490"/>
      <c r="M207" s="490"/>
      <c r="N207" s="490"/>
      <c r="O207" s="490"/>
      <c r="P207" s="490"/>
      <c r="Q207" s="490"/>
      <c r="R207" s="490"/>
      <c r="S207" s="490"/>
    </row>
    <row r="208" spans="2:19" s="70" customFormat="1">
      <c r="B208" s="490"/>
      <c r="C208" s="490"/>
      <c r="D208" s="490"/>
      <c r="E208" s="490"/>
      <c r="F208" s="490"/>
      <c r="G208" s="490"/>
      <c r="H208" s="490"/>
      <c r="I208" s="490"/>
      <c r="J208" s="490"/>
      <c r="K208" s="490"/>
      <c r="L208" s="490"/>
      <c r="M208" s="490"/>
      <c r="N208" s="490"/>
      <c r="O208" s="490"/>
      <c r="P208" s="490"/>
      <c r="Q208" s="490"/>
      <c r="R208" s="490"/>
      <c r="S208" s="490"/>
    </row>
    <row r="209" spans="2:19" s="70" customFormat="1">
      <c r="B209" s="490"/>
      <c r="C209" s="490"/>
      <c r="D209" s="490"/>
      <c r="E209" s="490"/>
      <c r="F209" s="490"/>
      <c r="G209" s="490"/>
      <c r="H209" s="490"/>
      <c r="I209" s="490"/>
      <c r="J209" s="490"/>
      <c r="K209" s="490"/>
      <c r="L209" s="490"/>
      <c r="M209" s="490"/>
      <c r="N209" s="490"/>
      <c r="O209" s="490"/>
      <c r="P209" s="490"/>
      <c r="Q209" s="490"/>
      <c r="R209" s="490"/>
      <c r="S209" s="490"/>
    </row>
    <row r="210" spans="2:19" s="70" customFormat="1">
      <c r="B210" s="490"/>
      <c r="C210" s="490"/>
      <c r="D210" s="490"/>
      <c r="E210" s="490"/>
      <c r="F210" s="490"/>
      <c r="G210" s="490"/>
      <c r="H210" s="490"/>
      <c r="I210" s="490"/>
      <c r="J210" s="490"/>
      <c r="K210" s="490"/>
      <c r="L210" s="490"/>
      <c r="M210" s="490"/>
      <c r="N210" s="490"/>
      <c r="O210" s="490"/>
      <c r="P210" s="490"/>
      <c r="Q210" s="490"/>
      <c r="R210" s="490"/>
      <c r="S210" s="490"/>
    </row>
    <row r="211" spans="2:19" s="70" customFormat="1">
      <c r="B211" s="490"/>
      <c r="C211" s="490"/>
      <c r="D211" s="490"/>
      <c r="E211" s="490"/>
      <c r="F211" s="490"/>
      <c r="G211" s="490"/>
      <c r="H211" s="490"/>
      <c r="I211" s="490"/>
      <c r="J211" s="490"/>
      <c r="K211" s="490"/>
      <c r="L211" s="490"/>
      <c r="M211" s="490"/>
      <c r="N211" s="490"/>
      <c r="O211" s="490"/>
      <c r="P211" s="490"/>
      <c r="Q211" s="490"/>
      <c r="R211" s="490"/>
      <c r="S211" s="490"/>
    </row>
    <row r="212" spans="2:19" s="70" customFormat="1">
      <c r="B212" s="490"/>
      <c r="C212" s="490"/>
      <c r="D212" s="490"/>
      <c r="E212" s="490"/>
      <c r="F212" s="490"/>
      <c r="G212" s="490"/>
      <c r="H212" s="490"/>
      <c r="I212" s="490"/>
      <c r="J212" s="490"/>
      <c r="K212" s="490"/>
      <c r="L212" s="490"/>
      <c r="M212" s="490"/>
      <c r="N212" s="490"/>
      <c r="O212" s="490"/>
      <c r="P212" s="490"/>
      <c r="Q212" s="490"/>
      <c r="R212" s="490"/>
      <c r="S212" s="490"/>
    </row>
    <row r="213" spans="2:19" s="70" customFormat="1">
      <c r="B213" s="490"/>
      <c r="C213" s="490"/>
      <c r="D213" s="490"/>
      <c r="E213" s="490"/>
      <c r="F213" s="490"/>
      <c r="G213" s="490"/>
      <c r="H213" s="490"/>
      <c r="I213" s="490"/>
      <c r="J213" s="490"/>
      <c r="K213" s="490"/>
      <c r="L213" s="490"/>
      <c r="M213" s="490"/>
      <c r="N213" s="490"/>
      <c r="O213" s="490"/>
      <c r="P213" s="490"/>
      <c r="Q213" s="490"/>
      <c r="R213" s="490"/>
      <c r="S213" s="490"/>
    </row>
    <row r="214" spans="2:19" s="70" customFormat="1">
      <c r="B214" s="490"/>
      <c r="C214" s="490"/>
      <c r="D214" s="490"/>
      <c r="E214" s="490"/>
      <c r="F214" s="490"/>
      <c r="G214" s="490"/>
      <c r="H214" s="490"/>
      <c r="I214" s="490"/>
      <c r="J214" s="490"/>
      <c r="K214" s="490"/>
      <c r="L214" s="490"/>
      <c r="M214" s="490"/>
      <c r="N214" s="490"/>
      <c r="O214" s="490"/>
      <c r="P214" s="490"/>
      <c r="Q214" s="490"/>
      <c r="R214" s="490"/>
      <c r="S214" s="490"/>
    </row>
    <row r="215" spans="2:19" s="70" customFormat="1">
      <c r="B215" s="490"/>
      <c r="C215" s="490"/>
      <c r="D215" s="490"/>
      <c r="E215" s="490"/>
      <c r="F215" s="490"/>
      <c r="G215" s="490"/>
      <c r="H215" s="490"/>
      <c r="I215" s="490"/>
      <c r="J215" s="490"/>
      <c r="K215" s="490"/>
      <c r="L215" s="490"/>
      <c r="M215" s="490"/>
      <c r="N215" s="490"/>
      <c r="O215" s="490"/>
      <c r="P215" s="490"/>
      <c r="Q215" s="490"/>
      <c r="R215" s="490"/>
      <c r="S215" s="490"/>
    </row>
    <row r="216" spans="2:19" s="70" customFormat="1">
      <c r="B216" s="490"/>
      <c r="C216" s="490"/>
      <c r="D216" s="490"/>
      <c r="E216" s="490"/>
      <c r="F216" s="490"/>
      <c r="G216" s="490"/>
      <c r="H216" s="490"/>
      <c r="I216" s="490"/>
      <c r="J216" s="490"/>
      <c r="K216" s="490"/>
      <c r="L216" s="490"/>
      <c r="M216" s="490"/>
      <c r="N216" s="490"/>
      <c r="O216" s="490"/>
      <c r="P216" s="490"/>
      <c r="Q216" s="490"/>
      <c r="R216" s="490"/>
      <c r="S216" s="490"/>
    </row>
    <row r="217" spans="2:19" s="70" customFormat="1">
      <c r="B217" s="490"/>
      <c r="C217" s="490"/>
      <c r="D217" s="490"/>
      <c r="E217" s="490"/>
      <c r="F217" s="490"/>
      <c r="G217" s="490"/>
      <c r="H217" s="490"/>
      <c r="I217" s="490"/>
      <c r="J217" s="490"/>
      <c r="K217" s="490"/>
      <c r="L217" s="490"/>
      <c r="M217" s="490"/>
      <c r="N217" s="490"/>
      <c r="O217" s="490"/>
      <c r="P217" s="490"/>
      <c r="Q217" s="490"/>
      <c r="R217" s="490"/>
      <c r="S217" s="490"/>
    </row>
    <row r="218" spans="2:19" s="70" customFormat="1">
      <c r="B218" s="490"/>
      <c r="C218" s="490"/>
      <c r="D218" s="490"/>
      <c r="E218" s="490"/>
      <c r="F218" s="490"/>
      <c r="G218" s="490"/>
      <c r="H218" s="490"/>
      <c r="I218" s="490"/>
      <c r="J218" s="490"/>
      <c r="K218" s="490"/>
      <c r="L218" s="490"/>
      <c r="M218" s="490"/>
      <c r="N218" s="490"/>
      <c r="O218" s="490"/>
      <c r="P218" s="490"/>
      <c r="Q218" s="490"/>
      <c r="R218" s="490"/>
      <c r="S218" s="490"/>
    </row>
    <row r="219" spans="2:19" s="70" customFormat="1">
      <c r="B219" s="490"/>
      <c r="C219" s="490"/>
      <c r="D219" s="490"/>
      <c r="E219" s="490"/>
      <c r="F219" s="490"/>
      <c r="G219" s="490"/>
      <c r="H219" s="490"/>
      <c r="I219" s="490"/>
      <c r="J219" s="490"/>
      <c r="K219" s="490"/>
      <c r="L219" s="490"/>
      <c r="M219" s="490"/>
      <c r="N219" s="490"/>
      <c r="O219" s="490"/>
      <c r="P219" s="490"/>
      <c r="Q219" s="490"/>
      <c r="R219" s="490"/>
      <c r="S219" s="490"/>
    </row>
    <row r="220" spans="2:19" s="70" customFormat="1">
      <c r="B220" s="490"/>
      <c r="C220" s="490"/>
      <c r="D220" s="490"/>
      <c r="E220" s="490"/>
      <c r="F220" s="490"/>
      <c r="G220" s="490"/>
      <c r="H220" s="490"/>
      <c r="I220" s="490"/>
      <c r="J220" s="490"/>
      <c r="K220" s="490"/>
      <c r="L220" s="490"/>
      <c r="M220" s="490"/>
      <c r="N220" s="490"/>
      <c r="O220" s="490"/>
      <c r="P220" s="490"/>
      <c r="Q220" s="490"/>
      <c r="R220" s="490"/>
      <c r="S220" s="490"/>
    </row>
    <row r="221" spans="2:19" s="70" customFormat="1">
      <c r="B221" s="490"/>
      <c r="C221" s="490"/>
      <c r="D221" s="490"/>
      <c r="E221" s="490"/>
      <c r="F221" s="490"/>
      <c r="G221" s="490"/>
      <c r="H221" s="490"/>
      <c r="I221" s="490"/>
      <c r="J221" s="490"/>
      <c r="K221" s="490"/>
      <c r="L221" s="490"/>
      <c r="M221" s="490"/>
      <c r="N221" s="490"/>
      <c r="O221" s="490"/>
      <c r="P221" s="490"/>
      <c r="Q221" s="490"/>
      <c r="R221" s="490"/>
      <c r="S221" s="490"/>
    </row>
    <row r="222" spans="2:19" s="70" customFormat="1">
      <c r="B222" s="490"/>
      <c r="C222" s="490"/>
      <c r="D222" s="490"/>
      <c r="E222" s="490"/>
      <c r="F222" s="490"/>
      <c r="G222" s="490"/>
      <c r="H222" s="490"/>
      <c r="I222" s="490"/>
      <c r="J222" s="490"/>
      <c r="K222" s="490"/>
      <c r="L222" s="490"/>
      <c r="M222" s="490"/>
      <c r="N222" s="490"/>
      <c r="O222" s="490"/>
      <c r="P222" s="490"/>
      <c r="Q222" s="490"/>
      <c r="R222" s="490"/>
      <c r="S222" s="490"/>
    </row>
    <row r="223" spans="2:19" s="70" customFormat="1">
      <c r="B223" s="490"/>
      <c r="C223" s="490"/>
      <c r="D223" s="490"/>
      <c r="E223" s="490"/>
      <c r="F223" s="490"/>
      <c r="G223" s="490"/>
      <c r="H223" s="490"/>
      <c r="I223" s="490"/>
      <c r="J223" s="490"/>
      <c r="K223" s="490"/>
      <c r="L223" s="490"/>
      <c r="M223" s="490"/>
      <c r="N223" s="490"/>
      <c r="O223" s="490"/>
      <c r="P223" s="490"/>
      <c r="Q223" s="490"/>
      <c r="R223" s="490"/>
      <c r="S223" s="490"/>
    </row>
    <row r="224" spans="2:19" s="70" customFormat="1">
      <c r="B224" s="490"/>
      <c r="C224" s="490"/>
      <c r="D224" s="490"/>
      <c r="E224" s="490"/>
      <c r="F224" s="490"/>
      <c r="G224" s="490"/>
      <c r="H224" s="490"/>
      <c r="I224" s="490"/>
      <c r="J224" s="490"/>
      <c r="K224" s="490"/>
      <c r="L224" s="490"/>
      <c r="M224" s="490"/>
      <c r="N224" s="490"/>
      <c r="O224" s="490"/>
      <c r="P224" s="490"/>
      <c r="Q224" s="490"/>
      <c r="R224" s="490"/>
      <c r="S224" s="490"/>
    </row>
    <row r="225" spans="2:19" s="70" customFormat="1">
      <c r="B225" s="490"/>
      <c r="C225" s="490"/>
      <c r="D225" s="490"/>
      <c r="E225" s="490"/>
      <c r="F225" s="490"/>
      <c r="G225" s="490"/>
      <c r="H225" s="490"/>
      <c r="I225" s="490"/>
      <c r="J225" s="490"/>
      <c r="K225" s="490"/>
      <c r="L225" s="490"/>
      <c r="M225" s="490"/>
      <c r="N225" s="490"/>
      <c r="O225" s="490"/>
      <c r="P225" s="490"/>
      <c r="Q225" s="490"/>
      <c r="R225" s="490"/>
      <c r="S225" s="490"/>
    </row>
    <row r="226" spans="2:19" s="70" customFormat="1">
      <c r="B226" s="490"/>
      <c r="C226" s="490"/>
      <c r="D226" s="490"/>
      <c r="E226" s="490"/>
      <c r="F226" s="490"/>
      <c r="G226" s="490"/>
      <c r="H226" s="490"/>
      <c r="I226" s="490"/>
      <c r="J226" s="490"/>
      <c r="K226" s="490"/>
      <c r="L226" s="490"/>
      <c r="M226" s="490"/>
      <c r="N226" s="490"/>
      <c r="O226" s="490"/>
      <c r="P226" s="490"/>
      <c r="Q226" s="490"/>
      <c r="R226" s="490"/>
      <c r="S226" s="490"/>
    </row>
    <row r="227" spans="2:19" s="70" customFormat="1">
      <c r="B227" s="490"/>
      <c r="C227" s="490"/>
      <c r="D227" s="490"/>
      <c r="E227" s="490"/>
      <c r="F227" s="490"/>
      <c r="G227" s="490"/>
      <c r="H227" s="490"/>
      <c r="I227" s="490"/>
      <c r="J227" s="490"/>
      <c r="K227" s="490"/>
      <c r="L227" s="490"/>
      <c r="M227" s="490"/>
      <c r="N227" s="490"/>
      <c r="O227" s="490"/>
      <c r="P227" s="490"/>
      <c r="Q227" s="490"/>
      <c r="R227" s="490"/>
      <c r="S227" s="490"/>
    </row>
    <row r="228" spans="2:19" s="70" customFormat="1">
      <c r="B228" s="490"/>
      <c r="C228" s="490"/>
      <c r="D228" s="490"/>
      <c r="E228" s="490"/>
      <c r="F228" s="490"/>
      <c r="G228" s="490"/>
      <c r="H228" s="490"/>
      <c r="I228" s="490"/>
      <c r="J228" s="490"/>
      <c r="K228" s="490"/>
      <c r="L228" s="490"/>
      <c r="M228" s="490"/>
      <c r="N228" s="490"/>
      <c r="O228" s="490"/>
      <c r="P228" s="490"/>
      <c r="Q228" s="490"/>
      <c r="R228" s="490"/>
      <c r="S228" s="490"/>
    </row>
    <row r="229" spans="2:19" s="70" customFormat="1">
      <c r="B229" s="490"/>
      <c r="C229" s="490"/>
      <c r="D229" s="490"/>
      <c r="E229" s="490"/>
      <c r="F229" s="490"/>
      <c r="G229" s="490"/>
      <c r="H229" s="490"/>
      <c r="I229" s="490"/>
      <c r="J229" s="490"/>
      <c r="K229" s="490"/>
      <c r="L229" s="490"/>
      <c r="M229" s="490"/>
      <c r="N229" s="490"/>
      <c r="O229" s="490"/>
      <c r="P229" s="490"/>
      <c r="Q229" s="490"/>
      <c r="R229" s="490"/>
      <c r="S229" s="490"/>
    </row>
    <row r="230" spans="2:19" s="70" customFormat="1">
      <c r="B230" s="490"/>
      <c r="C230" s="490"/>
      <c r="D230" s="490"/>
      <c r="E230" s="490"/>
      <c r="F230" s="490"/>
      <c r="G230" s="490"/>
      <c r="H230" s="490"/>
      <c r="I230" s="490"/>
      <c r="J230" s="490"/>
      <c r="K230" s="490"/>
      <c r="L230" s="490"/>
      <c r="M230" s="490"/>
      <c r="N230" s="490"/>
      <c r="O230" s="490"/>
      <c r="P230" s="490"/>
      <c r="Q230" s="490"/>
      <c r="R230" s="490"/>
      <c r="S230" s="490"/>
    </row>
    <row r="231" spans="2:19" s="70" customFormat="1">
      <c r="B231" s="490"/>
      <c r="C231" s="490"/>
      <c r="D231" s="490"/>
      <c r="E231" s="490"/>
      <c r="F231" s="490"/>
      <c r="G231" s="490"/>
      <c r="H231" s="490"/>
      <c r="I231" s="490"/>
      <c r="J231" s="490"/>
      <c r="K231" s="490"/>
      <c r="L231" s="490"/>
      <c r="M231" s="490"/>
      <c r="N231" s="490"/>
      <c r="O231" s="490"/>
      <c r="P231" s="490"/>
      <c r="Q231" s="490"/>
      <c r="R231" s="490"/>
      <c r="S231" s="490"/>
    </row>
    <row r="232" spans="2:19" s="70" customFormat="1">
      <c r="B232" s="490"/>
      <c r="C232" s="490"/>
      <c r="D232" s="490"/>
      <c r="E232" s="490"/>
      <c r="F232" s="490"/>
      <c r="G232" s="490"/>
      <c r="H232" s="490"/>
      <c r="I232" s="490"/>
      <c r="J232" s="490"/>
      <c r="K232" s="490"/>
      <c r="L232" s="490"/>
      <c r="M232" s="490"/>
      <c r="N232" s="490"/>
      <c r="O232" s="490"/>
      <c r="P232" s="490"/>
      <c r="Q232" s="490"/>
      <c r="R232" s="490"/>
      <c r="S232" s="490"/>
    </row>
    <row r="233" spans="2:19" s="70" customFormat="1">
      <c r="B233" s="490"/>
      <c r="C233" s="490"/>
      <c r="D233" s="490"/>
      <c r="E233" s="490"/>
      <c r="F233" s="490"/>
      <c r="G233" s="490"/>
      <c r="H233" s="490"/>
      <c r="I233" s="490"/>
      <c r="J233" s="490"/>
      <c r="K233" s="490"/>
      <c r="L233" s="490"/>
      <c r="M233" s="490"/>
      <c r="N233" s="490"/>
      <c r="O233" s="490"/>
      <c r="P233" s="490"/>
      <c r="Q233" s="490"/>
      <c r="R233" s="490"/>
      <c r="S233" s="490"/>
    </row>
    <row r="234" spans="2:19" s="70" customFormat="1">
      <c r="B234" s="490"/>
      <c r="C234" s="490"/>
      <c r="D234" s="490"/>
      <c r="E234" s="490"/>
      <c r="F234" s="490"/>
      <c r="G234" s="490"/>
      <c r="H234" s="490"/>
      <c r="I234" s="490"/>
      <c r="J234" s="490"/>
      <c r="K234" s="490"/>
      <c r="L234" s="490"/>
      <c r="M234" s="490"/>
      <c r="N234" s="490"/>
      <c r="O234" s="490"/>
      <c r="P234" s="490"/>
      <c r="Q234" s="490"/>
      <c r="R234" s="490"/>
      <c r="S234" s="490"/>
    </row>
    <row r="235" spans="2:19" s="70" customFormat="1">
      <c r="B235" s="490"/>
      <c r="C235" s="490"/>
      <c r="D235" s="490"/>
      <c r="E235" s="490"/>
      <c r="F235" s="490"/>
      <c r="G235" s="490"/>
      <c r="H235" s="490"/>
      <c r="I235" s="490"/>
      <c r="J235" s="490"/>
      <c r="K235" s="490"/>
      <c r="L235" s="490"/>
      <c r="M235" s="490"/>
      <c r="N235" s="490"/>
      <c r="O235" s="490"/>
      <c r="P235" s="490"/>
      <c r="Q235" s="490"/>
      <c r="R235" s="490"/>
      <c r="S235" s="490"/>
    </row>
    <row r="236" spans="2:19" s="70" customFormat="1">
      <c r="B236" s="490"/>
      <c r="C236" s="490"/>
      <c r="D236" s="490"/>
      <c r="E236" s="490"/>
      <c r="F236" s="490"/>
      <c r="G236" s="490"/>
      <c r="H236" s="490"/>
      <c r="I236" s="490"/>
      <c r="J236" s="490"/>
      <c r="K236" s="490"/>
      <c r="L236" s="490"/>
      <c r="M236" s="490"/>
      <c r="N236" s="490"/>
      <c r="O236" s="490"/>
      <c r="P236" s="490"/>
      <c r="Q236" s="490"/>
      <c r="R236" s="490"/>
      <c r="S236" s="490"/>
    </row>
    <row r="237" spans="2:19" s="70" customFormat="1">
      <c r="B237" s="490"/>
      <c r="C237" s="490"/>
      <c r="D237" s="490"/>
      <c r="E237" s="490"/>
      <c r="F237" s="490"/>
      <c r="G237" s="490"/>
      <c r="H237" s="490"/>
      <c r="I237" s="490"/>
      <c r="J237" s="490"/>
      <c r="K237" s="490"/>
      <c r="L237" s="490"/>
      <c r="M237" s="490"/>
      <c r="N237" s="490"/>
      <c r="O237" s="490"/>
      <c r="P237" s="490"/>
      <c r="Q237" s="490"/>
      <c r="R237" s="490"/>
      <c r="S237" s="490"/>
    </row>
    <row r="238" spans="2:19" s="70" customFormat="1">
      <c r="B238" s="490"/>
      <c r="C238" s="490"/>
      <c r="D238" s="490"/>
      <c r="E238" s="490"/>
      <c r="F238" s="490"/>
      <c r="G238" s="490"/>
      <c r="H238" s="490"/>
      <c r="I238" s="490"/>
      <c r="J238" s="490"/>
      <c r="K238" s="490"/>
      <c r="L238" s="490"/>
      <c r="M238" s="490"/>
      <c r="N238" s="490"/>
      <c r="O238" s="490"/>
      <c r="P238" s="490"/>
      <c r="Q238" s="490"/>
      <c r="R238" s="490"/>
      <c r="S238" s="490"/>
    </row>
    <row r="239" spans="2:19" s="70" customFormat="1">
      <c r="B239" s="490"/>
      <c r="C239" s="490"/>
      <c r="D239" s="490"/>
      <c r="E239" s="490"/>
      <c r="F239" s="490"/>
      <c r="G239" s="490"/>
      <c r="H239" s="490"/>
      <c r="I239" s="490"/>
      <c r="J239" s="490"/>
      <c r="K239" s="490"/>
      <c r="L239" s="490"/>
      <c r="M239" s="490"/>
      <c r="N239" s="490"/>
      <c r="O239" s="490"/>
      <c r="P239" s="490"/>
      <c r="Q239" s="490"/>
      <c r="R239" s="490"/>
      <c r="S239" s="490"/>
    </row>
    <row r="240" spans="2:19" s="70" customFormat="1">
      <c r="B240" s="490"/>
      <c r="C240" s="490"/>
      <c r="D240" s="490"/>
      <c r="E240" s="490"/>
      <c r="F240" s="490"/>
      <c r="G240" s="490"/>
      <c r="H240" s="490"/>
      <c r="I240" s="490"/>
      <c r="J240" s="490"/>
      <c r="K240" s="490"/>
      <c r="L240" s="490"/>
      <c r="M240" s="490"/>
      <c r="N240" s="490"/>
      <c r="O240" s="490"/>
      <c r="P240" s="490"/>
      <c r="Q240" s="490"/>
      <c r="R240" s="490"/>
      <c r="S240" s="490"/>
    </row>
    <row r="241" spans="2:19" s="70" customFormat="1">
      <c r="B241" s="490"/>
      <c r="C241" s="490"/>
      <c r="D241" s="490"/>
      <c r="E241" s="490"/>
      <c r="F241" s="490"/>
      <c r="G241" s="490"/>
      <c r="H241" s="490"/>
      <c r="I241" s="490"/>
      <c r="J241" s="490"/>
      <c r="K241" s="490"/>
      <c r="L241" s="490"/>
      <c r="M241" s="490"/>
      <c r="N241" s="490"/>
      <c r="O241" s="490"/>
      <c r="P241" s="490"/>
      <c r="Q241" s="490"/>
      <c r="R241" s="490"/>
      <c r="S241" s="490"/>
    </row>
    <row r="242" spans="2:19" s="70" customFormat="1">
      <c r="B242" s="490"/>
      <c r="C242" s="490"/>
      <c r="D242" s="490"/>
      <c r="E242" s="490"/>
      <c r="F242" s="490"/>
      <c r="G242" s="490"/>
      <c r="H242" s="490"/>
      <c r="I242" s="490"/>
      <c r="J242" s="490"/>
      <c r="K242" s="490"/>
      <c r="L242" s="490"/>
      <c r="M242" s="490"/>
      <c r="N242" s="490"/>
      <c r="O242" s="490"/>
      <c r="P242" s="490"/>
      <c r="Q242" s="490"/>
      <c r="R242" s="490"/>
      <c r="S242" s="490"/>
    </row>
    <row r="243" spans="2:19" s="70" customFormat="1">
      <c r="B243" s="490"/>
      <c r="C243" s="490"/>
      <c r="D243" s="490"/>
      <c r="E243" s="490"/>
      <c r="F243" s="490"/>
      <c r="G243" s="490"/>
      <c r="H243" s="490"/>
      <c r="I243" s="490"/>
      <c r="J243" s="490"/>
      <c r="K243" s="490"/>
      <c r="L243" s="490"/>
      <c r="M243" s="490"/>
      <c r="N243" s="490"/>
      <c r="O243" s="490"/>
      <c r="P243" s="490"/>
      <c r="Q243" s="490"/>
      <c r="R243" s="490"/>
      <c r="S243" s="490"/>
    </row>
    <row r="244" spans="2:19" s="70" customFormat="1">
      <c r="B244" s="490"/>
      <c r="C244" s="490"/>
      <c r="D244" s="490"/>
      <c r="E244" s="490"/>
      <c r="F244" s="490"/>
      <c r="G244" s="490"/>
      <c r="H244" s="490"/>
      <c r="I244" s="490"/>
      <c r="J244" s="490"/>
      <c r="K244" s="490"/>
      <c r="L244" s="490"/>
      <c r="M244" s="490"/>
      <c r="N244" s="490"/>
      <c r="O244" s="490"/>
      <c r="P244" s="490"/>
      <c r="Q244" s="490"/>
      <c r="R244" s="490"/>
      <c r="S244" s="490"/>
    </row>
    <row r="245" spans="2:19" s="70" customFormat="1">
      <c r="B245" s="490"/>
      <c r="C245" s="490"/>
      <c r="D245" s="490"/>
      <c r="E245" s="490"/>
      <c r="F245" s="490"/>
      <c r="G245" s="490"/>
      <c r="H245" s="490"/>
      <c r="I245" s="490"/>
      <c r="J245" s="490"/>
      <c r="K245" s="490"/>
      <c r="L245" s="490"/>
      <c r="M245" s="490"/>
      <c r="N245" s="490"/>
      <c r="O245" s="490"/>
      <c r="P245" s="490"/>
      <c r="Q245" s="490"/>
      <c r="R245" s="490"/>
      <c r="S245" s="490"/>
    </row>
    <row r="246" spans="2:19" s="70" customFormat="1">
      <c r="B246" s="490"/>
      <c r="C246" s="490"/>
      <c r="D246" s="490"/>
      <c r="E246" s="490"/>
      <c r="F246" s="490"/>
      <c r="G246" s="490"/>
      <c r="H246" s="490"/>
      <c r="I246" s="490"/>
      <c r="J246" s="490"/>
      <c r="K246" s="490"/>
      <c r="L246" s="490"/>
      <c r="M246" s="490"/>
      <c r="N246" s="490"/>
      <c r="O246" s="490"/>
      <c r="P246" s="490"/>
      <c r="Q246" s="490"/>
      <c r="R246" s="490"/>
      <c r="S246" s="490"/>
    </row>
    <row r="247" spans="2:19" s="70" customFormat="1">
      <c r="B247" s="490"/>
      <c r="C247" s="490"/>
      <c r="D247" s="490"/>
      <c r="E247" s="490"/>
      <c r="F247" s="490"/>
      <c r="G247" s="490"/>
      <c r="H247" s="490"/>
      <c r="I247" s="490"/>
      <c r="J247" s="490"/>
      <c r="K247" s="490"/>
      <c r="L247" s="490"/>
      <c r="M247" s="490"/>
      <c r="N247" s="490"/>
      <c r="O247" s="490"/>
      <c r="P247" s="490"/>
      <c r="Q247" s="490"/>
      <c r="R247" s="490"/>
      <c r="S247" s="490"/>
    </row>
    <row r="248" spans="2:19" s="70" customFormat="1">
      <c r="B248" s="490"/>
      <c r="C248" s="490"/>
      <c r="D248" s="490"/>
      <c r="E248" s="490"/>
      <c r="F248" s="490"/>
      <c r="G248" s="490"/>
      <c r="H248" s="490"/>
      <c r="I248" s="490"/>
      <c r="J248" s="490"/>
      <c r="K248" s="490"/>
      <c r="L248" s="490"/>
      <c r="M248" s="490"/>
      <c r="N248" s="490"/>
      <c r="O248" s="490"/>
      <c r="P248" s="490"/>
      <c r="Q248" s="490"/>
      <c r="R248" s="490"/>
      <c r="S248" s="490"/>
    </row>
    <row r="249" spans="2:19" s="70" customFormat="1">
      <c r="B249" s="490"/>
      <c r="C249" s="490"/>
      <c r="D249" s="490"/>
      <c r="E249" s="490"/>
      <c r="F249" s="490"/>
      <c r="G249" s="490"/>
      <c r="H249" s="490"/>
      <c r="I249" s="490"/>
      <c r="J249" s="490"/>
      <c r="K249" s="490"/>
      <c r="L249" s="490"/>
      <c r="M249" s="490"/>
      <c r="N249" s="490"/>
      <c r="O249" s="490"/>
      <c r="P249" s="490"/>
      <c r="Q249" s="490"/>
      <c r="R249" s="490"/>
      <c r="S249" s="490"/>
    </row>
    <row r="250" spans="2:19" s="70" customFormat="1">
      <c r="B250" s="490"/>
      <c r="C250" s="490"/>
      <c r="D250" s="490"/>
      <c r="E250" s="490"/>
      <c r="F250" s="490"/>
      <c r="G250" s="490"/>
      <c r="H250" s="490"/>
      <c r="I250" s="490"/>
      <c r="J250" s="490"/>
      <c r="K250" s="490"/>
      <c r="L250" s="490"/>
      <c r="M250" s="490"/>
      <c r="N250" s="490"/>
      <c r="O250" s="490"/>
      <c r="P250" s="490"/>
      <c r="Q250" s="490"/>
      <c r="R250" s="490"/>
      <c r="S250" s="490"/>
    </row>
    <row r="251" spans="2:19" s="70" customFormat="1">
      <c r="B251" s="490"/>
      <c r="C251" s="490"/>
      <c r="D251" s="490"/>
      <c r="E251" s="490"/>
      <c r="F251" s="490"/>
      <c r="G251" s="490"/>
      <c r="H251" s="490"/>
      <c r="I251" s="490"/>
      <c r="J251" s="490"/>
      <c r="K251" s="490"/>
      <c r="L251" s="490"/>
      <c r="M251" s="490"/>
      <c r="N251" s="490"/>
      <c r="O251" s="490"/>
      <c r="P251" s="490"/>
      <c r="Q251" s="490"/>
      <c r="R251" s="490"/>
      <c r="S251" s="490"/>
    </row>
    <row r="252" spans="2:19" s="70" customFormat="1">
      <c r="B252" s="490"/>
      <c r="C252" s="490"/>
      <c r="D252" s="490"/>
      <c r="E252" s="490"/>
      <c r="F252" s="490"/>
      <c r="G252" s="490"/>
      <c r="H252" s="490"/>
      <c r="I252" s="490"/>
      <c r="J252" s="490"/>
      <c r="K252" s="490"/>
      <c r="L252" s="490"/>
      <c r="M252" s="490"/>
      <c r="N252" s="490"/>
      <c r="O252" s="490"/>
      <c r="P252" s="490"/>
      <c r="Q252" s="490"/>
      <c r="R252" s="490"/>
      <c r="S252" s="490"/>
    </row>
    <row r="253" spans="2:19" s="70" customFormat="1">
      <c r="B253" s="490"/>
      <c r="C253" s="490"/>
      <c r="D253" s="490"/>
      <c r="E253" s="490"/>
      <c r="F253" s="490"/>
      <c r="G253" s="490"/>
      <c r="H253" s="490"/>
      <c r="I253" s="490"/>
      <c r="J253" s="490"/>
      <c r="K253" s="490"/>
      <c r="L253" s="490"/>
      <c r="M253" s="490"/>
      <c r="N253" s="490"/>
      <c r="O253" s="490"/>
      <c r="P253" s="490"/>
      <c r="Q253" s="490"/>
      <c r="R253" s="490"/>
      <c r="S253" s="490"/>
    </row>
    <row r="254" spans="2:19" s="70" customFormat="1">
      <c r="B254" s="490"/>
      <c r="C254" s="490"/>
      <c r="D254" s="490"/>
      <c r="E254" s="490"/>
      <c r="F254" s="490"/>
      <c r="G254" s="490"/>
      <c r="H254" s="490"/>
      <c r="I254" s="490"/>
      <c r="J254" s="490"/>
      <c r="K254" s="490"/>
      <c r="L254" s="490"/>
      <c r="M254" s="490"/>
      <c r="N254" s="490"/>
      <c r="O254" s="490"/>
      <c r="P254" s="490"/>
      <c r="Q254" s="490"/>
      <c r="R254" s="490"/>
      <c r="S254" s="490"/>
    </row>
    <row r="255" spans="2:19" s="70" customFormat="1">
      <c r="B255" s="490"/>
      <c r="C255" s="490"/>
      <c r="D255" s="490"/>
      <c r="E255" s="490"/>
      <c r="F255" s="490"/>
      <c r="G255" s="490"/>
      <c r="H255" s="490"/>
      <c r="I255" s="490"/>
      <c r="J255" s="490"/>
      <c r="K255" s="490"/>
      <c r="L255" s="490"/>
      <c r="M255" s="490"/>
      <c r="N255" s="490"/>
      <c r="O255" s="490"/>
      <c r="P255" s="490"/>
      <c r="Q255" s="490"/>
      <c r="R255" s="490"/>
      <c r="S255" s="490"/>
    </row>
    <row r="256" spans="2:19" s="70" customFormat="1">
      <c r="B256" s="490"/>
      <c r="C256" s="490"/>
      <c r="D256" s="490"/>
      <c r="E256" s="490"/>
      <c r="F256" s="490"/>
      <c r="G256" s="490"/>
      <c r="H256" s="490"/>
      <c r="I256" s="490"/>
      <c r="J256" s="490"/>
      <c r="K256" s="490"/>
      <c r="L256" s="490"/>
      <c r="M256" s="490"/>
      <c r="N256" s="490"/>
      <c r="O256" s="490"/>
      <c r="P256" s="490"/>
      <c r="Q256" s="490"/>
      <c r="R256" s="490"/>
      <c r="S256" s="490"/>
    </row>
    <row r="257" spans="2:19" s="70" customFormat="1">
      <c r="B257" s="490"/>
      <c r="C257" s="490"/>
      <c r="D257" s="490"/>
      <c r="E257" s="490"/>
      <c r="F257" s="490"/>
      <c r="G257" s="490"/>
      <c r="H257" s="490"/>
      <c r="I257" s="490"/>
      <c r="J257" s="490"/>
      <c r="K257" s="490"/>
      <c r="L257" s="490"/>
      <c r="M257" s="490"/>
      <c r="N257" s="490"/>
      <c r="O257" s="490"/>
      <c r="P257" s="490"/>
      <c r="Q257" s="490"/>
      <c r="R257" s="490"/>
      <c r="S257" s="490"/>
    </row>
    <row r="258" spans="2:19" s="70" customFormat="1">
      <c r="B258" s="490"/>
      <c r="C258" s="490"/>
      <c r="D258" s="490"/>
      <c r="E258" s="490"/>
      <c r="F258" s="490"/>
      <c r="G258" s="490"/>
      <c r="H258" s="490"/>
      <c r="I258" s="490"/>
      <c r="J258" s="490"/>
      <c r="K258" s="490"/>
      <c r="L258" s="490"/>
      <c r="M258" s="490"/>
      <c r="N258" s="490"/>
      <c r="O258" s="490"/>
      <c r="P258" s="490"/>
      <c r="Q258" s="490"/>
      <c r="R258" s="490"/>
      <c r="S258" s="490"/>
    </row>
    <row r="259" spans="2:19" s="70" customFormat="1">
      <c r="B259" s="490"/>
      <c r="C259" s="490"/>
      <c r="D259" s="490"/>
      <c r="E259" s="490"/>
      <c r="F259" s="490"/>
      <c r="G259" s="490"/>
      <c r="H259" s="490"/>
      <c r="I259" s="490"/>
      <c r="J259" s="490"/>
      <c r="K259" s="490"/>
      <c r="L259" s="490"/>
      <c r="M259" s="490"/>
      <c r="N259" s="490"/>
      <c r="O259" s="490"/>
      <c r="P259" s="490"/>
      <c r="Q259" s="490"/>
      <c r="R259" s="490"/>
      <c r="S259" s="490"/>
    </row>
    <row r="260" spans="2:19" s="70" customFormat="1">
      <c r="B260" s="490"/>
      <c r="C260" s="490"/>
      <c r="D260" s="490"/>
      <c r="E260" s="490"/>
      <c r="F260" s="490"/>
      <c r="G260" s="490"/>
      <c r="H260" s="490"/>
      <c r="I260" s="490"/>
      <c r="J260" s="490"/>
      <c r="K260" s="490"/>
      <c r="L260" s="490"/>
      <c r="M260" s="490"/>
      <c r="N260" s="490"/>
      <c r="O260" s="490"/>
      <c r="P260" s="490"/>
      <c r="Q260" s="490"/>
      <c r="R260" s="490"/>
      <c r="S260" s="490"/>
    </row>
    <row r="261" spans="2:19" s="70" customFormat="1">
      <c r="B261" s="490"/>
      <c r="C261" s="490"/>
      <c r="D261" s="490"/>
      <c r="E261" s="490"/>
      <c r="F261" s="490"/>
      <c r="G261" s="490"/>
      <c r="H261" s="490"/>
      <c r="I261" s="490"/>
      <c r="J261" s="490"/>
      <c r="K261" s="490"/>
      <c r="L261" s="490"/>
      <c r="M261" s="490"/>
      <c r="N261" s="490"/>
      <c r="O261" s="490"/>
      <c r="P261" s="490"/>
      <c r="Q261" s="490"/>
      <c r="R261" s="490"/>
      <c r="S261" s="490"/>
    </row>
    <row r="262" spans="2:19" s="70" customFormat="1">
      <c r="B262" s="490"/>
      <c r="C262" s="490"/>
      <c r="D262" s="490"/>
      <c r="E262" s="490"/>
      <c r="F262" s="490"/>
      <c r="G262" s="490"/>
      <c r="H262" s="490"/>
      <c r="I262" s="490"/>
      <c r="J262" s="490"/>
      <c r="K262" s="490"/>
      <c r="L262" s="490"/>
      <c r="M262" s="490"/>
      <c r="N262" s="490"/>
      <c r="O262" s="490"/>
      <c r="P262" s="490"/>
      <c r="Q262" s="490"/>
      <c r="R262" s="490"/>
      <c r="S262" s="490"/>
    </row>
    <row r="263" spans="2:19" s="70" customFormat="1">
      <c r="B263" s="490"/>
      <c r="C263" s="490"/>
      <c r="D263" s="490"/>
      <c r="E263" s="490"/>
      <c r="F263" s="490"/>
      <c r="G263" s="490"/>
      <c r="H263" s="490"/>
      <c r="I263" s="490"/>
      <c r="J263" s="490"/>
      <c r="K263" s="490"/>
      <c r="L263" s="490"/>
      <c r="M263" s="490"/>
      <c r="N263" s="490"/>
      <c r="O263" s="490"/>
      <c r="P263" s="490"/>
      <c r="Q263" s="490"/>
      <c r="R263" s="490"/>
      <c r="S263" s="490"/>
    </row>
    <row r="264" spans="2:19" s="70" customFormat="1">
      <c r="B264" s="490"/>
      <c r="C264" s="490"/>
      <c r="D264" s="490"/>
      <c r="E264" s="490"/>
      <c r="F264" s="490"/>
      <c r="G264" s="490"/>
      <c r="H264" s="490"/>
      <c r="I264" s="490"/>
      <c r="J264" s="490"/>
      <c r="K264" s="490"/>
      <c r="L264" s="490"/>
      <c r="M264" s="490"/>
      <c r="N264" s="490"/>
      <c r="O264" s="490"/>
      <c r="P264" s="490"/>
      <c r="Q264" s="490"/>
      <c r="R264" s="490"/>
      <c r="S264" s="490"/>
    </row>
    <row r="265" spans="2:19" s="70" customFormat="1">
      <c r="B265" s="490"/>
      <c r="C265" s="490"/>
      <c r="D265" s="490"/>
      <c r="E265" s="490"/>
      <c r="F265" s="490"/>
      <c r="G265" s="490"/>
      <c r="H265" s="490"/>
      <c r="I265" s="490"/>
      <c r="J265" s="490"/>
      <c r="K265" s="490"/>
      <c r="L265" s="490"/>
      <c r="M265" s="490"/>
      <c r="N265" s="490"/>
      <c r="O265" s="490"/>
      <c r="P265" s="490"/>
      <c r="Q265" s="490"/>
      <c r="R265" s="490"/>
      <c r="S265" s="490"/>
    </row>
    <row r="266" spans="2:19" s="70" customFormat="1">
      <c r="B266" s="490"/>
      <c r="C266" s="490"/>
      <c r="D266" s="490"/>
      <c r="E266" s="490"/>
      <c r="F266" s="490"/>
      <c r="G266" s="490"/>
      <c r="H266" s="490"/>
      <c r="I266" s="490"/>
      <c r="J266" s="490"/>
      <c r="K266" s="490"/>
      <c r="L266" s="490"/>
      <c r="M266" s="490"/>
      <c r="N266" s="490"/>
      <c r="O266" s="490"/>
      <c r="P266" s="490"/>
      <c r="Q266" s="490"/>
      <c r="R266" s="490"/>
      <c r="S266" s="490"/>
    </row>
    <row r="267" spans="2:19" s="70" customFormat="1">
      <c r="B267" s="490"/>
      <c r="C267" s="490"/>
      <c r="D267" s="490"/>
      <c r="E267" s="490"/>
      <c r="F267" s="490"/>
      <c r="G267" s="490"/>
      <c r="H267" s="490"/>
      <c r="I267" s="490"/>
      <c r="J267" s="490"/>
      <c r="K267" s="490"/>
      <c r="L267" s="490"/>
      <c r="M267" s="490"/>
      <c r="N267" s="490"/>
      <c r="O267" s="490"/>
      <c r="P267" s="490"/>
      <c r="Q267" s="490"/>
      <c r="R267" s="490"/>
      <c r="S267" s="490"/>
    </row>
    <row r="268" spans="2:19" s="70" customFormat="1">
      <c r="B268" s="490"/>
      <c r="C268" s="490"/>
      <c r="D268" s="490"/>
      <c r="E268" s="490"/>
      <c r="F268" s="490"/>
      <c r="G268" s="490"/>
      <c r="H268" s="490"/>
      <c r="I268" s="490"/>
      <c r="J268" s="490"/>
      <c r="K268" s="490"/>
      <c r="L268" s="490"/>
      <c r="M268" s="490"/>
      <c r="N268" s="490"/>
      <c r="O268" s="490"/>
      <c r="P268" s="490"/>
      <c r="Q268" s="490"/>
      <c r="R268" s="490"/>
      <c r="S268" s="490"/>
    </row>
    <row r="269" spans="2:19" s="70" customFormat="1">
      <c r="B269" s="490"/>
      <c r="C269" s="490"/>
      <c r="D269" s="490"/>
      <c r="E269" s="490"/>
      <c r="F269" s="490"/>
      <c r="G269" s="490"/>
      <c r="H269" s="490"/>
      <c r="I269" s="490"/>
      <c r="J269" s="490"/>
      <c r="K269" s="490"/>
      <c r="L269" s="490"/>
      <c r="M269" s="490"/>
      <c r="N269" s="490"/>
      <c r="O269" s="490"/>
      <c r="P269" s="490"/>
      <c r="Q269" s="490"/>
      <c r="R269" s="490"/>
      <c r="S269" s="490"/>
    </row>
    <row r="270" spans="2:19" s="70" customFormat="1">
      <c r="B270" s="490"/>
      <c r="C270" s="490"/>
      <c r="D270" s="490"/>
      <c r="E270" s="490"/>
      <c r="F270" s="490"/>
      <c r="G270" s="490"/>
      <c r="H270" s="490"/>
      <c r="I270" s="490"/>
      <c r="J270" s="490"/>
      <c r="K270" s="490"/>
      <c r="L270" s="490"/>
      <c r="M270" s="490"/>
      <c r="N270" s="490"/>
      <c r="O270" s="490"/>
      <c r="P270" s="490"/>
      <c r="Q270" s="490"/>
      <c r="R270" s="490"/>
      <c r="S270" s="490"/>
    </row>
    <row r="271" spans="2:19" s="70" customFormat="1">
      <c r="B271" s="490"/>
      <c r="C271" s="490"/>
      <c r="D271" s="490"/>
      <c r="E271" s="490"/>
      <c r="F271" s="490"/>
      <c r="G271" s="490"/>
      <c r="H271" s="490"/>
      <c r="I271" s="490"/>
      <c r="J271" s="490"/>
      <c r="K271" s="490"/>
      <c r="L271" s="490"/>
      <c r="M271" s="490"/>
      <c r="N271" s="490"/>
      <c r="O271" s="490"/>
      <c r="P271" s="490"/>
      <c r="Q271" s="490"/>
      <c r="R271" s="490"/>
      <c r="S271" s="490"/>
    </row>
    <row r="272" spans="2:19" s="70" customFormat="1">
      <c r="B272" s="490"/>
      <c r="C272" s="490"/>
      <c r="D272" s="490"/>
      <c r="E272" s="490"/>
      <c r="F272" s="490"/>
      <c r="G272" s="490"/>
      <c r="H272" s="490"/>
      <c r="I272" s="490"/>
      <c r="J272" s="490"/>
      <c r="K272" s="490"/>
      <c r="L272" s="490"/>
      <c r="M272" s="490"/>
      <c r="N272" s="490"/>
      <c r="O272" s="490"/>
      <c r="P272" s="490"/>
      <c r="Q272" s="490"/>
      <c r="R272" s="490"/>
      <c r="S272" s="490"/>
    </row>
    <row r="273" spans="2:19" s="70" customFormat="1">
      <c r="B273" s="490"/>
      <c r="C273" s="490"/>
      <c r="D273" s="490"/>
      <c r="E273" s="490"/>
      <c r="F273" s="490"/>
      <c r="G273" s="490"/>
      <c r="H273" s="490"/>
      <c r="I273" s="490"/>
      <c r="J273" s="490"/>
      <c r="K273" s="490"/>
      <c r="L273" s="490"/>
      <c r="M273" s="490"/>
      <c r="N273" s="490"/>
      <c r="O273" s="490"/>
      <c r="P273" s="490"/>
      <c r="Q273" s="490"/>
      <c r="R273" s="490"/>
      <c r="S273" s="490"/>
    </row>
    <row r="274" spans="2:19" s="70" customFormat="1">
      <c r="B274" s="490"/>
      <c r="C274" s="490"/>
      <c r="D274" s="490"/>
      <c r="E274" s="490"/>
      <c r="F274" s="490"/>
      <c r="G274" s="490"/>
      <c r="H274" s="490"/>
      <c r="I274" s="490"/>
      <c r="J274" s="490"/>
      <c r="K274" s="490"/>
      <c r="L274" s="490"/>
      <c r="M274" s="490"/>
      <c r="N274" s="490"/>
      <c r="O274" s="490"/>
      <c r="P274" s="490"/>
      <c r="Q274" s="490"/>
      <c r="R274" s="490"/>
      <c r="S274" s="490"/>
    </row>
    <row r="275" spans="2:19" s="70" customFormat="1">
      <c r="B275" s="490"/>
      <c r="C275" s="490"/>
      <c r="D275" s="490"/>
      <c r="E275" s="490"/>
      <c r="F275" s="490"/>
      <c r="G275" s="490"/>
      <c r="H275" s="490"/>
      <c r="I275" s="490"/>
      <c r="J275" s="490"/>
      <c r="K275" s="490"/>
      <c r="L275" s="490"/>
      <c r="M275" s="490"/>
      <c r="N275" s="490"/>
      <c r="O275" s="490"/>
      <c r="P275" s="490"/>
      <c r="Q275" s="490"/>
      <c r="R275" s="490"/>
      <c r="S275" s="490"/>
    </row>
    <row r="276" spans="2:19" s="70" customFormat="1">
      <c r="B276" s="490"/>
      <c r="C276" s="490"/>
      <c r="D276" s="490"/>
      <c r="E276" s="490"/>
      <c r="F276" s="490"/>
      <c r="G276" s="490"/>
      <c r="H276" s="490"/>
      <c r="I276" s="490"/>
      <c r="J276" s="490"/>
      <c r="K276" s="490"/>
      <c r="L276" s="490"/>
      <c r="M276" s="490"/>
      <c r="N276" s="490"/>
      <c r="O276" s="490"/>
      <c r="P276" s="490"/>
      <c r="Q276" s="490"/>
      <c r="R276" s="490"/>
      <c r="S276" s="490"/>
    </row>
    <row r="277" spans="2:19" s="70" customFormat="1">
      <c r="B277" s="490"/>
      <c r="C277" s="490"/>
      <c r="D277" s="490"/>
      <c r="E277" s="490"/>
      <c r="F277" s="490"/>
      <c r="G277" s="490"/>
      <c r="H277" s="490"/>
      <c r="I277" s="490"/>
      <c r="J277" s="490"/>
      <c r="K277" s="490"/>
      <c r="L277" s="490"/>
      <c r="M277" s="490"/>
      <c r="N277" s="490"/>
      <c r="O277" s="490"/>
      <c r="P277" s="490"/>
      <c r="Q277" s="490"/>
      <c r="R277" s="490"/>
      <c r="S277" s="490"/>
    </row>
    <row r="278" spans="2:19" s="70" customFormat="1">
      <c r="B278" s="490"/>
      <c r="C278" s="490"/>
      <c r="D278" s="490"/>
      <c r="E278" s="490"/>
      <c r="F278" s="490"/>
      <c r="G278" s="490"/>
      <c r="H278" s="490"/>
      <c r="I278" s="490"/>
      <c r="J278" s="490"/>
      <c r="K278" s="490"/>
      <c r="L278" s="490"/>
      <c r="M278" s="490"/>
      <c r="N278" s="490"/>
      <c r="O278" s="490"/>
      <c r="P278" s="490"/>
      <c r="Q278" s="490"/>
      <c r="R278" s="490"/>
      <c r="S278" s="490"/>
    </row>
    <row r="279" spans="2:19" s="70" customFormat="1">
      <c r="B279" s="490"/>
      <c r="C279" s="490"/>
      <c r="D279" s="490"/>
      <c r="E279" s="490"/>
      <c r="F279" s="490"/>
      <c r="G279" s="490"/>
      <c r="H279" s="490"/>
      <c r="I279" s="490"/>
      <c r="J279" s="490"/>
      <c r="K279" s="490"/>
      <c r="L279" s="490"/>
      <c r="M279" s="490"/>
      <c r="N279" s="490"/>
      <c r="O279" s="490"/>
      <c r="P279" s="490"/>
      <c r="Q279" s="490"/>
      <c r="R279" s="490"/>
      <c r="S279" s="490"/>
    </row>
    <row r="280" spans="2:19" s="70" customFormat="1">
      <c r="B280" s="490"/>
      <c r="C280" s="490"/>
      <c r="D280" s="490"/>
      <c r="E280" s="490"/>
      <c r="F280" s="490"/>
      <c r="G280" s="490"/>
      <c r="H280" s="490"/>
      <c r="I280" s="490"/>
      <c r="J280" s="490"/>
      <c r="K280" s="490"/>
      <c r="L280" s="490"/>
      <c r="M280" s="490"/>
      <c r="N280" s="490"/>
      <c r="O280" s="490"/>
      <c r="P280" s="490"/>
      <c r="Q280" s="490"/>
      <c r="R280" s="490"/>
      <c r="S280" s="490"/>
    </row>
    <row r="281" spans="2:19" s="70" customFormat="1">
      <c r="B281" s="490"/>
      <c r="C281" s="490"/>
      <c r="D281" s="490"/>
      <c r="E281" s="490"/>
      <c r="F281" s="490"/>
      <c r="G281" s="490"/>
      <c r="H281" s="490"/>
      <c r="I281" s="490"/>
      <c r="J281" s="490"/>
      <c r="K281" s="490"/>
      <c r="L281" s="490"/>
      <c r="M281" s="490"/>
      <c r="N281" s="490"/>
      <c r="O281" s="490"/>
      <c r="P281" s="490"/>
      <c r="Q281" s="490"/>
      <c r="R281" s="490"/>
      <c r="S281" s="490"/>
    </row>
    <row r="282" spans="2:19" s="70" customFormat="1">
      <c r="B282" s="490"/>
      <c r="C282" s="490"/>
      <c r="D282" s="490"/>
      <c r="E282" s="490"/>
      <c r="F282" s="490"/>
      <c r="G282" s="490"/>
      <c r="H282" s="490"/>
      <c r="I282" s="490"/>
      <c r="J282" s="490"/>
      <c r="K282" s="490"/>
      <c r="L282" s="490"/>
      <c r="M282" s="490"/>
      <c r="N282" s="490"/>
      <c r="O282" s="490"/>
      <c r="P282" s="490"/>
      <c r="Q282" s="490"/>
      <c r="R282" s="490"/>
      <c r="S282" s="490"/>
    </row>
    <row r="283" spans="2:19" s="70" customFormat="1">
      <c r="B283" s="490"/>
      <c r="C283" s="490"/>
      <c r="D283" s="490"/>
      <c r="E283" s="490"/>
      <c r="F283" s="490"/>
      <c r="G283" s="490"/>
      <c r="H283" s="490"/>
      <c r="I283" s="490"/>
      <c r="J283" s="490"/>
      <c r="K283" s="490"/>
      <c r="L283" s="490"/>
      <c r="M283" s="490"/>
      <c r="N283" s="490"/>
      <c r="O283" s="490"/>
      <c r="P283" s="490"/>
      <c r="Q283" s="490"/>
      <c r="R283" s="490"/>
      <c r="S283" s="490"/>
    </row>
    <row r="284" spans="2:19" s="70" customFormat="1">
      <c r="B284" s="490"/>
      <c r="C284" s="490"/>
      <c r="D284" s="490"/>
      <c r="E284" s="490"/>
      <c r="F284" s="490"/>
      <c r="G284" s="490"/>
      <c r="H284" s="490"/>
      <c r="I284" s="490"/>
      <c r="J284" s="490"/>
      <c r="K284" s="490"/>
      <c r="L284" s="490"/>
      <c r="M284" s="490"/>
      <c r="N284" s="490"/>
      <c r="O284" s="490"/>
      <c r="P284" s="490"/>
      <c r="Q284" s="490"/>
      <c r="R284" s="490"/>
      <c r="S284" s="490"/>
    </row>
    <row r="285" spans="2:19" s="70" customFormat="1">
      <c r="B285" s="490"/>
      <c r="C285" s="490"/>
      <c r="D285" s="490"/>
      <c r="E285" s="490"/>
      <c r="F285" s="490"/>
      <c r="G285" s="490"/>
      <c r="H285" s="490"/>
      <c r="I285" s="490"/>
      <c r="J285" s="490"/>
      <c r="K285" s="490"/>
      <c r="L285" s="490"/>
      <c r="M285" s="490"/>
      <c r="N285" s="490"/>
      <c r="O285" s="490"/>
      <c r="P285" s="490"/>
      <c r="Q285" s="490"/>
      <c r="R285" s="490"/>
      <c r="S285" s="490"/>
    </row>
    <row r="286" spans="2:19" s="70" customFormat="1">
      <c r="B286" s="490"/>
      <c r="C286" s="490"/>
      <c r="D286" s="490"/>
      <c r="E286" s="490"/>
      <c r="F286" s="490"/>
      <c r="G286" s="490"/>
      <c r="H286" s="490"/>
      <c r="I286" s="490"/>
      <c r="J286" s="490"/>
      <c r="K286" s="490"/>
      <c r="L286" s="490"/>
      <c r="M286" s="490"/>
      <c r="N286" s="490"/>
      <c r="O286" s="490"/>
      <c r="P286" s="490"/>
      <c r="Q286" s="490"/>
      <c r="R286" s="490"/>
      <c r="S286" s="490"/>
    </row>
    <row r="287" spans="2:19" s="70" customFormat="1">
      <c r="B287" s="490"/>
      <c r="C287" s="490"/>
      <c r="D287" s="490"/>
      <c r="E287" s="490"/>
      <c r="F287" s="490"/>
      <c r="G287" s="490"/>
      <c r="H287" s="490"/>
      <c r="I287" s="490"/>
      <c r="J287" s="490"/>
      <c r="K287" s="490"/>
      <c r="L287" s="490"/>
      <c r="M287" s="490"/>
      <c r="N287" s="490"/>
      <c r="O287" s="490"/>
      <c r="P287" s="490"/>
      <c r="Q287" s="490"/>
      <c r="R287" s="490"/>
      <c r="S287" s="490"/>
    </row>
    <row r="288" spans="2:19" s="70" customFormat="1">
      <c r="B288" s="490"/>
      <c r="C288" s="490"/>
      <c r="D288" s="490"/>
      <c r="E288" s="490"/>
      <c r="F288" s="490"/>
      <c r="G288" s="490"/>
      <c r="H288" s="490"/>
      <c r="I288" s="490"/>
      <c r="J288" s="490"/>
      <c r="K288" s="490"/>
      <c r="L288" s="490"/>
      <c r="M288" s="490"/>
      <c r="N288" s="490"/>
      <c r="O288" s="490"/>
      <c r="P288" s="490"/>
      <c r="Q288" s="490"/>
      <c r="R288" s="490"/>
      <c r="S288" s="490"/>
    </row>
    <row r="289" spans="2:19" s="70" customFormat="1">
      <c r="B289" s="490"/>
      <c r="C289" s="490"/>
      <c r="D289" s="490"/>
      <c r="E289" s="490"/>
      <c r="F289" s="490"/>
      <c r="G289" s="490"/>
      <c r="H289" s="490"/>
      <c r="I289" s="490"/>
      <c r="J289" s="490"/>
      <c r="K289" s="490"/>
      <c r="L289" s="490"/>
      <c r="M289" s="490"/>
      <c r="N289" s="490"/>
      <c r="O289" s="490"/>
      <c r="P289" s="490"/>
      <c r="Q289" s="490"/>
      <c r="R289" s="490"/>
      <c r="S289" s="490"/>
    </row>
    <row r="290" spans="2:19" s="70" customFormat="1">
      <c r="B290" s="490"/>
      <c r="C290" s="490"/>
      <c r="D290" s="490"/>
      <c r="E290" s="490"/>
      <c r="F290" s="490"/>
      <c r="G290" s="490"/>
      <c r="H290" s="490"/>
      <c r="I290" s="490"/>
      <c r="J290" s="490"/>
      <c r="K290" s="490"/>
      <c r="L290" s="490"/>
      <c r="M290" s="490"/>
      <c r="N290" s="490"/>
      <c r="O290" s="490"/>
      <c r="P290" s="490"/>
      <c r="Q290" s="490"/>
      <c r="R290" s="490"/>
      <c r="S290" s="490"/>
    </row>
    <row r="291" spans="2:19" s="70" customFormat="1">
      <c r="B291" s="490"/>
      <c r="C291" s="490"/>
      <c r="D291" s="490"/>
      <c r="E291" s="490"/>
      <c r="F291" s="490"/>
      <c r="G291" s="490"/>
      <c r="H291" s="490"/>
      <c r="I291" s="490"/>
      <c r="J291" s="490"/>
      <c r="K291" s="490"/>
      <c r="L291" s="490"/>
      <c r="M291" s="490"/>
      <c r="N291" s="490"/>
      <c r="O291" s="490"/>
      <c r="P291" s="490"/>
      <c r="Q291" s="490"/>
      <c r="R291" s="490"/>
      <c r="S291" s="490"/>
    </row>
    <row r="292" spans="2:19" s="70" customFormat="1">
      <c r="B292" s="490"/>
      <c r="C292" s="490"/>
      <c r="D292" s="490"/>
      <c r="E292" s="490"/>
      <c r="F292" s="490"/>
      <c r="G292" s="490"/>
      <c r="H292" s="490"/>
      <c r="I292" s="490"/>
      <c r="J292" s="490"/>
      <c r="K292" s="490"/>
      <c r="L292" s="490"/>
      <c r="M292" s="490"/>
      <c r="N292" s="490"/>
      <c r="O292" s="490"/>
      <c r="P292" s="490"/>
      <c r="Q292" s="490"/>
      <c r="R292" s="490"/>
      <c r="S292" s="490"/>
    </row>
    <row r="293" spans="2:19" s="70" customFormat="1">
      <c r="B293" s="490"/>
      <c r="C293" s="490"/>
      <c r="D293" s="490"/>
      <c r="E293" s="490"/>
      <c r="F293" s="490"/>
      <c r="G293" s="490"/>
      <c r="H293" s="490"/>
      <c r="I293" s="490"/>
      <c r="J293" s="490"/>
      <c r="K293" s="490"/>
      <c r="L293" s="490"/>
      <c r="M293" s="490"/>
      <c r="N293" s="490"/>
      <c r="O293" s="490"/>
      <c r="P293" s="490"/>
      <c r="Q293" s="490"/>
      <c r="R293" s="490"/>
      <c r="S293" s="490"/>
    </row>
    <row r="294" spans="2:19" s="70" customFormat="1">
      <c r="B294" s="490"/>
      <c r="C294" s="490"/>
      <c r="D294" s="490"/>
      <c r="E294" s="490"/>
      <c r="F294" s="490"/>
      <c r="G294" s="490"/>
      <c r="H294" s="490"/>
      <c r="I294" s="490"/>
      <c r="J294" s="490"/>
      <c r="K294" s="490"/>
      <c r="L294" s="490"/>
      <c r="M294" s="490"/>
      <c r="N294" s="490"/>
      <c r="O294" s="490"/>
      <c r="P294" s="490"/>
      <c r="Q294" s="490"/>
      <c r="R294" s="490"/>
      <c r="S294" s="490"/>
    </row>
    <row r="295" spans="2:19" s="70" customFormat="1">
      <c r="B295" s="490"/>
      <c r="C295" s="490"/>
      <c r="D295" s="490"/>
      <c r="E295" s="490"/>
      <c r="F295" s="490"/>
      <c r="G295" s="490"/>
      <c r="H295" s="490"/>
      <c r="I295" s="490"/>
      <c r="J295" s="490"/>
      <c r="K295" s="490"/>
      <c r="L295" s="490"/>
      <c r="M295" s="490"/>
      <c r="N295" s="490"/>
      <c r="O295" s="490"/>
      <c r="P295" s="490"/>
      <c r="Q295" s="490"/>
      <c r="R295" s="490"/>
      <c r="S295" s="490"/>
    </row>
    <row r="296" spans="2:19" s="70" customFormat="1">
      <c r="B296" s="490"/>
      <c r="C296" s="490"/>
      <c r="D296" s="490"/>
      <c r="E296" s="490"/>
      <c r="F296" s="490"/>
      <c r="G296" s="490"/>
      <c r="H296" s="490"/>
      <c r="I296" s="490"/>
      <c r="J296" s="490"/>
      <c r="K296" s="490"/>
      <c r="L296" s="490"/>
      <c r="M296" s="490"/>
      <c r="N296" s="490"/>
      <c r="O296" s="490"/>
      <c r="P296" s="490"/>
      <c r="Q296" s="490"/>
      <c r="R296" s="490"/>
      <c r="S296" s="490"/>
    </row>
    <row r="297" spans="2:19" s="70" customFormat="1">
      <c r="B297" s="490"/>
      <c r="C297" s="490"/>
      <c r="D297" s="490"/>
      <c r="E297" s="490"/>
      <c r="F297" s="490"/>
      <c r="G297" s="490"/>
      <c r="H297" s="490"/>
      <c r="I297" s="490"/>
      <c r="J297" s="490"/>
      <c r="K297" s="490"/>
      <c r="L297" s="490"/>
      <c r="M297" s="490"/>
      <c r="N297" s="490"/>
      <c r="O297" s="490"/>
      <c r="P297" s="490"/>
      <c r="Q297" s="490"/>
      <c r="R297" s="490"/>
      <c r="S297" s="490"/>
    </row>
    <row r="298" spans="2:19" s="70" customFormat="1">
      <c r="B298" s="490"/>
      <c r="C298" s="490"/>
      <c r="D298" s="490"/>
      <c r="E298" s="490"/>
      <c r="F298" s="490"/>
      <c r="G298" s="490"/>
      <c r="H298" s="490"/>
      <c r="I298" s="490"/>
      <c r="J298" s="490"/>
      <c r="K298" s="490"/>
      <c r="L298" s="490"/>
      <c r="M298" s="490"/>
      <c r="N298" s="490"/>
      <c r="O298" s="490"/>
      <c r="P298" s="490"/>
      <c r="Q298" s="490"/>
      <c r="R298" s="490"/>
      <c r="S298" s="490"/>
    </row>
    <row r="299" spans="2:19" s="70" customFormat="1">
      <c r="B299" s="490"/>
      <c r="C299" s="490"/>
      <c r="D299" s="490"/>
      <c r="E299" s="490"/>
      <c r="F299" s="490"/>
      <c r="G299" s="490"/>
      <c r="H299" s="490"/>
      <c r="I299" s="490"/>
      <c r="J299" s="490"/>
      <c r="K299" s="490"/>
      <c r="L299" s="490"/>
      <c r="M299" s="490"/>
      <c r="N299" s="490"/>
      <c r="O299" s="490"/>
      <c r="P299" s="490"/>
      <c r="Q299" s="490"/>
      <c r="R299" s="490"/>
      <c r="S299" s="490"/>
    </row>
    <row r="300" spans="2:19" s="70" customFormat="1">
      <c r="B300" s="490"/>
      <c r="C300" s="490"/>
      <c r="D300" s="490"/>
      <c r="E300" s="490"/>
      <c r="F300" s="490"/>
      <c r="G300" s="490"/>
      <c r="H300" s="490"/>
      <c r="I300" s="490"/>
      <c r="J300" s="490"/>
      <c r="K300" s="490"/>
      <c r="L300" s="490"/>
      <c r="M300" s="490"/>
      <c r="N300" s="490"/>
      <c r="O300" s="490"/>
      <c r="P300" s="490"/>
      <c r="Q300" s="490"/>
      <c r="R300" s="490"/>
      <c r="S300" s="490"/>
    </row>
    <row r="301" spans="2:19" s="70" customFormat="1">
      <c r="B301" s="490"/>
      <c r="C301" s="490"/>
      <c r="D301" s="490"/>
      <c r="E301" s="490"/>
      <c r="F301" s="490"/>
      <c r="G301" s="490"/>
      <c r="H301" s="490"/>
      <c r="I301" s="490"/>
      <c r="J301" s="490"/>
      <c r="K301" s="490"/>
      <c r="L301" s="490"/>
      <c r="M301" s="490"/>
      <c r="N301" s="490"/>
      <c r="O301" s="490"/>
      <c r="P301" s="490"/>
      <c r="Q301" s="490"/>
      <c r="R301" s="490"/>
      <c r="S301" s="490"/>
    </row>
    <row r="302" spans="2:19" s="70" customFormat="1">
      <c r="B302" s="490"/>
      <c r="C302" s="490"/>
      <c r="D302" s="490"/>
      <c r="E302" s="490"/>
      <c r="F302" s="490"/>
      <c r="G302" s="490"/>
      <c r="H302" s="490"/>
      <c r="I302" s="490"/>
      <c r="J302" s="490"/>
      <c r="K302" s="490"/>
      <c r="L302" s="490"/>
      <c r="M302" s="490"/>
      <c r="N302" s="490"/>
      <c r="O302" s="490"/>
      <c r="P302" s="490"/>
      <c r="Q302" s="490"/>
      <c r="R302" s="490"/>
      <c r="S302" s="490"/>
    </row>
    <row r="303" spans="2:19" s="70" customFormat="1">
      <c r="B303" s="490"/>
      <c r="C303" s="490"/>
      <c r="D303" s="490"/>
      <c r="E303" s="490"/>
      <c r="F303" s="490"/>
      <c r="G303" s="490"/>
      <c r="H303" s="490"/>
      <c r="I303" s="490"/>
      <c r="J303" s="490"/>
      <c r="K303" s="490"/>
      <c r="L303" s="490"/>
      <c r="M303" s="490"/>
      <c r="N303" s="490"/>
      <c r="O303" s="490"/>
      <c r="P303" s="490"/>
      <c r="Q303" s="490"/>
      <c r="R303" s="490"/>
      <c r="S303" s="490"/>
    </row>
    <row r="304" spans="2:19" s="70" customFormat="1">
      <c r="B304" s="490"/>
      <c r="C304" s="490"/>
      <c r="D304" s="490"/>
      <c r="E304" s="490"/>
      <c r="F304" s="490"/>
      <c r="G304" s="490"/>
      <c r="H304" s="490"/>
      <c r="I304" s="490"/>
      <c r="J304" s="490"/>
      <c r="K304" s="490"/>
      <c r="L304" s="490"/>
      <c r="M304" s="490"/>
      <c r="N304" s="490"/>
      <c r="O304" s="490"/>
      <c r="P304" s="490"/>
      <c r="Q304" s="490"/>
      <c r="R304" s="490"/>
      <c r="S304" s="490"/>
    </row>
    <row r="305" spans="2:19" s="70" customFormat="1">
      <c r="B305" s="490"/>
      <c r="C305" s="490"/>
      <c r="D305" s="490"/>
      <c r="E305" s="490"/>
      <c r="F305" s="490"/>
      <c r="G305" s="490"/>
      <c r="H305" s="490"/>
      <c r="I305" s="490"/>
      <c r="J305" s="490"/>
      <c r="K305" s="490"/>
      <c r="L305" s="490"/>
      <c r="M305" s="490"/>
      <c r="N305" s="490"/>
      <c r="O305" s="490"/>
      <c r="P305" s="490"/>
      <c r="Q305" s="490"/>
      <c r="R305" s="490"/>
      <c r="S305" s="490"/>
    </row>
    <row r="306" spans="2:19" s="70" customFormat="1">
      <c r="B306" s="490"/>
      <c r="C306" s="490"/>
      <c r="D306" s="490"/>
      <c r="E306" s="490"/>
      <c r="F306" s="490"/>
      <c r="G306" s="490"/>
      <c r="H306" s="490"/>
      <c r="I306" s="490"/>
      <c r="J306" s="490"/>
      <c r="K306" s="490"/>
      <c r="L306" s="490"/>
      <c r="M306" s="490"/>
      <c r="N306" s="490"/>
      <c r="O306" s="490"/>
      <c r="P306" s="490"/>
      <c r="Q306" s="490"/>
      <c r="R306" s="490"/>
      <c r="S306" s="490"/>
    </row>
    <row r="307" spans="2:19" s="70" customFormat="1">
      <c r="B307" s="490"/>
      <c r="C307" s="490"/>
      <c r="D307" s="490"/>
      <c r="E307" s="490"/>
      <c r="F307" s="490"/>
      <c r="G307" s="490"/>
      <c r="H307" s="490"/>
      <c r="I307" s="490"/>
      <c r="J307" s="490"/>
      <c r="K307" s="490"/>
      <c r="L307" s="490"/>
      <c r="M307" s="490"/>
      <c r="N307" s="490"/>
      <c r="O307" s="490"/>
      <c r="P307" s="490"/>
      <c r="Q307" s="490"/>
      <c r="R307" s="490"/>
      <c r="S307" s="490"/>
    </row>
    <row r="308" spans="2:19" s="70" customFormat="1">
      <c r="B308" s="490"/>
      <c r="C308" s="490"/>
      <c r="D308" s="490"/>
      <c r="E308" s="490"/>
      <c r="F308" s="490"/>
      <c r="G308" s="490"/>
      <c r="H308" s="490"/>
      <c r="I308" s="490"/>
      <c r="J308" s="490"/>
      <c r="K308" s="490"/>
      <c r="L308" s="490"/>
      <c r="M308" s="490"/>
      <c r="N308" s="490"/>
      <c r="O308" s="490"/>
      <c r="P308" s="490"/>
      <c r="Q308" s="490"/>
      <c r="R308" s="490"/>
      <c r="S308" s="490"/>
    </row>
    <row r="309" spans="2:19" s="70" customFormat="1">
      <c r="B309" s="490"/>
      <c r="C309" s="490"/>
      <c r="D309" s="490"/>
      <c r="E309" s="490"/>
      <c r="F309" s="490"/>
      <c r="G309" s="490"/>
      <c r="H309" s="490"/>
      <c r="I309" s="490"/>
      <c r="J309" s="490"/>
      <c r="K309" s="490"/>
      <c r="L309" s="490"/>
      <c r="M309" s="490"/>
      <c r="N309" s="490"/>
      <c r="O309" s="490"/>
      <c r="P309" s="490"/>
      <c r="Q309" s="490"/>
      <c r="R309" s="490"/>
      <c r="S309" s="490"/>
    </row>
    <row r="310" spans="2:19" s="70" customFormat="1">
      <c r="B310" s="490"/>
      <c r="C310" s="490"/>
      <c r="D310" s="490"/>
      <c r="E310" s="490"/>
      <c r="F310" s="490"/>
      <c r="G310" s="490"/>
      <c r="H310" s="490"/>
      <c r="I310" s="490"/>
      <c r="J310" s="490"/>
      <c r="K310" s="490"/>
      <c r="L310" s="490"/>
      <c r="M310" s="490"/>
      <c r="N310" s="490"/>
      <c r="O310" s="490"/>
      <c r="P310" s="490"/>
      <c r="Q310" s="490"/>
      <c r="R310" s="490"/>
      <c r="S310" s="490"/>
    </row>
    <row r="311" spans="2:19" s="70" customFormat="1">
      <c r="B311" s="490"/>
      <c r="C311" s="490"/>
      <c r="D311" s="490"/>
      <c r="E311" s="490"/>
      <c r="F311" s="490"/>
      <c r="G311" s="490"/>
      <c r="H311" s="490"/>
      <c r="I311" s="490"/>
      <c r="J311" s="490"/>
      <c r="K311" s="490"/>
      <c r="L311" s="490"/>
      <c r="M311" s="490"/>
      <c r="N311" s="490"/>
      <c r="O311" s="490"/>
      <c r="P311" s="490"/>
      <c r="Q311" s="490"/>
      <c r="R311" s="490"/>
      <c r="S311" s="490"/>
    </row>
    <row r="312" spans="2:19" s="70" customFormat="1">
      <c r="B312" s="490"/>
      <c r="C312" s="490"/>
      <c r="D312" s="490"/>
      <c r="E312" s="490"/>
      <c r="F312" s="490"/>
      <c r="G312" s="490"/>
      <c r="H312" s="490"/>
      <c r="I312" s="490"/>
      <c r="J312" s="490"/>
      <c r="K312" s="490"/>
      <c r="L312" s="490"/>
      <c r="M312" s="490"/>
      <c r="N312" s="490"/>
      <c r="O312" s="490"/>
      <c r="P312" s="490"/>
      <c r="Q312" s="490"/>
      <c r="R312" s="490"/>
      <c r="S312" s="490"/>
    </row>
    <row r="313" spans="2:19" s="70" customFormat="1">
      <c r="B313" s="490"/>
      <c r="C313" s="490"/>
      <c r="D313" s="490"/>
      <c r="E313" s="490"/>
      <c r="F313" s="490"/>
      <c r="G313" s="490"/>
      <c r="H313" s="490"/>
      <c r="I313" s="490"/>
      <c r="J313" s="490"/>
      <c r="K313" s="490"/>
      <c r="L313" s="490"/>
      <c r="M313" s="490"/>
      <c r="N313" s="490"/>
      <c r="O313" s="490"/>
      <c r="P313" s="490"/>
      <c r="Q313" s="490"/>
      <c r="R313" s="490"/>
      <c r="S313" s="490"/>
    </row>
    <row r="314" spans="2:19" s="70" customFormat="1">
      <c r="B314" s="490"/>
      <c r="C314" s="490"/>
      <c r="D314" s="490"/>
      <c r="E314" s="490"/>
      <c r="F314" s="490"/>
      <c r="G314" s="490"/>
      <c r="H314" s="490"/>
      <c r="I314" s="490"/>
      <c r="J314" s="490"/>
      <c r="K314" s="490"/>
      <c r="L314" s="490"/>
      <c r="M314" s="490"/>
      <c r="N314" s="490"/>
      <c r="O314" s="490"/>
      <c r="P314" s="490"/>
      <c r="Q314" s="490"/>
      <c r="R314" s="490"/>
      <c r="S314" s="490"/>
    </row>
    <row r="315" spans="2:19" s="70" customFormat="1">
      <c r="B315" s="490"/>
      <c r="C315" s="490"/>
      <c r="D315" s="490"/>
      <c r="E315" s="490"/>
      <c r="F315" s="490"/>
      <c r="G315" s="490"/>
      <c r="H315" s="490"/>
      <c r="I315" s="490"/>
      <c r="J315" s="490"/>
      <c r="K315" s="490"/>
      <c r="L315" s="490"/>
      <c r="M315" s="490"/>
      <c r="N315" s="490"/>
      <c r="O315" s="490"/>
      <c r="P315" s="490"/>
      <c r="Q315" s="490"/>
      <c r="R315" s="490"/>
      <c r="S315" s="490"/>
    </row>
    <row r="316" spans="2:19" s="70" customFormat="1">
      <c r="B316" s="490"/>
      <c r="C316" s="490"/>
      <c r="D316" s="490"/>
      <c r="E316" s="490"/>
      <c r="F316" s="490"/>
      <c r="G316" s="490"/>
      <c r="H316" s="490"/>
      <c r="I316" s="490"/>
      <c r="J316" s="490"/>
      <c r="K316" s="490"/>
      <c r="L316" s="490"/>
      <c r="M316" s="490"/>
      <c r="N316" s="490"/>
      <c r="O316" s="490"/>
      <c r="P316" s="490"/>
      <c r="Q316" s="490"/>
      <c r="R316" s="490"/>
      <c r="S316" s="490"/>
    </row>
    <row r="317" spans="2:19" s="70" customFormat="1">
      <c r="B317" s="490"/>
      <c r="C317" s="490"/>
      <c r="D317" s="490"/>
      <c r="E317" s="490"/>
      <c r="F317" s="490"/>
      <c r="G317" s="490"/>
      <c r="H317" s="490"/>
      <c r="I317" s="490"/>
      <c r="J317" s="490"/>
      <c r="K317" s="490"/>
      <c r="L317" s="490"/>
      <c r="M317" s="490"/>
      <c r="N317" s="490"/>
      <c r="O317" s="490"/>
      <c r="P317" s="490"/>
      <c r="Q317" s="490"/>
      <c r="R317" s="490"/>
      <c r="S317" s="490"/>
    </row>
    <row r="318" spans="2:19" s="70" customFormat="1">
      <c r="B318" s="490"/>
      <c r="C318" s="490"/>
      <c r="D318" s="490"/>
      <c r="E318" s="490"/>
      <c r="F318" s="490"/>
      <c r="G318" s="490"/>
      <c r="H318" s="490"/>
      <c r="I318" s="490"/>
      <c r="J318" s="490"/>
      <c r="K318" s="490"/>
      <c r="L318" s="490"/>
      <c r="M318" s="490"/>
      <c r="N318" s="490"/>
      <c r="O318" s="490"/>
      <c r="P318" s="490"/>
      <c r="Q318" s="490"/>
      <c r="R318" s="490"/>
      <c r="S318" s="490"/>
    </row>
    <row r="319" spans="2:19" s="70" customFormat="1">
      <c r="B319" s="490"/>
      <c r="C319" s="490"/>
      <c r="D319" s="490"/>
      <c r="E319" s="490"/>
      <c r="F319" s="490"/>
      <c r="G319" s="490"/>
      <c r="H319" s="490"/>
      <c r="I319" s="490"/>
      <c r="J319" s="490"/>
      <c r="K319" s="490"/>
      <c r="L319" s="490"/>
      <c r="M319" s="490"/>
      <c r="N319" s="490"/>
      <c r="O319" s="490"/>
      <c r="P319" s="490"/>
      <c r="Q319" s="490"/>
      <c r="R319" s="490"/>
      <c r="S319" s="490"/>
    </row>
    <row r="320" spans="2:19" s="70" customFormat="1">
      <c r="B320" s="490"/>
      <c r="C320" s="490"/>
      <c r="D320" s="490"/>
      <c r="E320" s="490"/>
      <c r="F320" s="490"/>
      <c r="G320" s="490"/>
      <c r="H320" s="490"/>
      <c r="I320" s="490"/>
      <c r="J320" s="490"/>
      <c r="K320" s="490"/>
      <c r="L320" s="490"/>
      <c r="M320" s="490"/>
      <c r="N320" s="490"/>
      <c r="O320" s="490"/>
      <c r="P320" s="490"/>
      <c r="Q320" s="490"/>
      <c r="R320" s="490"/>
      <c r="S320" s="490"/>
    </row>
    <row r="321" spans="2:19" s="70" customFormat="1">
      <c r="B321" s="490"/>
      <c r="C321" s="490"/>
      <c r="D321" s="490"/>
      <c r="E321" s="490"/>
      <c r="F321" s="490"/>
      <c r="G321" s="490"/>
      <c r="H321" s="490"/>
      <c r="I321" s="490"/>
      <c r="J321" s="490"/>
      <c r="K321" s="490"/>
      <c r="L321" s="490"/>
      <c r="M321" s="490"/>
      <c r="N321" s="490"/>
      <c r="O321" s="490"/>
      <c r="P321" s="490"/>
      <c r="Q321" s="490"/>
      <c r="R321" s="490"/>
      <c r="S321" s="490"/>
    </row>
    <row r="322" spans="2:19" s="70" customFormat="1">
      <c r="B322" s="490"/>
      <c r="C322" s="490"/>
      <c r="D322" s="490"/>
      <c r="E322" s="490"/>
      <c r="F322" s="490"/>
      <c r="G322" s="490"/>
      <c r="H322" s="490"/>
      <c r="I322" s="490"/>
      <c r="J322" s="490"/>
      <c r="K322" s="490"/>
      <c r="L322" s="490"/>
      <c r="M322" s="490"/>
      <c r="N322" s="490"/>
      <c r="O322" s="490"/>
      <c r="P322" s="490"/>
      <c r="Q322" s="490"/>
      <c r="R322" s="490"/>
      <c r="S322" s="490"/>
    </row>
    <row r="323" spans="2:19" s="70" customFormat="1">
      <c r="B323" s="490"/>
      <c r="C323" s="490"/>
      <c r="D323" s="490"/>
      <c r="E323" s="490"/>
      <c r="F323" s="490"/>
      <c r="G323" s="490"/>
      <c r="H323" s="490"/>
      <c r="I323" s="490"/>
      <c r="J323" s="490"/>
      <c r="K323" s="490"/>
      <c r="L323" s="490"/>
      <c r="M323" s="490"/>
      <c r="N323" s="490"/>
      <c r="O323" s="490"/>
      <c r="P323" s="490"/>
      <c r="Q323" s="490"/>
      <c r="R323" s="490"/>
      <c r="S323" s="490"/>
    </row>
    <row r="324" spans="2:19" s="70" customFormat="1">
      <c r="B324" s="490"/>
      <c r="C324" s="490"/>
      <c r="D324" s="490"/>
      <c r="E324" s="490"/>
      <c r="F324" s="490"/>
      <c r="G324" s="490"/>
      <c r="H324" s="490"/>
      <c r="I324" s="490"/>
      <c r="J324" s="490"/>
      <c r="K324" s="490"/>
      <c r="L324" s="490"/>
      <c r="M324" s="490"/>
      <c r="N324" s="490"/>
      <c r="O324" s="490"/>
      <c r="P324" s="490"/>
      <c r="Q324" s="490"/>
      <c r="R324" s="490"/>
      <c r="S324" s="490"/>
    </row>
    <row r="325" spans="2:19" s="70" customFormat="1">
      <c r="B325" s="490"/>
      <c r="C325" s="490"/>
      <c r="D325" s="490"/>
      <c r="E325" s="490"/>
      <c r="F325" s="490"/>
      <c r="G325" s="490"/>
      <c r="H325" s="490"/>
      <c r="I325" s="490"/>
      <c r="J325" s="490"/>
      <c r="K325" s="490"/>
      <c r="L325" s="490"/>
      <c r="M325" s="490"/>
      <c r="N325" s="490"/>
      <c r="O325" s="490"/>
      <c r="P325" s="490"/>
      <c r="Q325" s="490"/>
      <c r="R325" s="490"/>
      <c r="S325" s="490"/>
    </row>
    <row r="326" spans="2:19" s="70" customFormat="1">
      <c r="B326" s="490"/>
      <c r="C326" s="490"/>
      <c r="D326" s="490"/>
      <c r="E326" s="490"/>
      <c r="F326" s="490"/>
      <c r="G326" s="490"/>
      <c r="H326" s="490"/>
      <c r="I326" s="490"/>
      <c r="J326" s="490"/>
      <c r="K326" s="490"/>
      <c r="L326" s="490"/>
      <c r="M326" s="490"/>
      <c r="N326" s="490"/>
      <c r="O326" s="490"/>
      <c r="P326" s="490"/>
      <c r="Q326" s="490"/>
      <c r="R326" s="490"/>
      <c r="S326" s="490"/>
    </row>
    <row r="327" spans="2:19" s="70" customFormat="1">
      <c r="B327" s="490"/>
      <c r="C327" s="490"/>
      <c r="D327" s="490"/>
      <c r="E327" s="490"/>
      <c r="F327" s="490"/>
      <c r="G327" s="490"/>
      <c r="H327" s="490"/>
      <c r="I327" s="490"/>
      <c r="J327" s="490"/>
      <c r="K327" s="490"/>
      <c r="L327" s="490"/>
      <c r="M327" s="490"/>
      <c r="N327" s="490"/>
      <c r="O327" s="490"/>
      <c r="P327" s="490"/>
      <c r="Q327" s="490"/>
      <c r="R327" s="490"/>
      <c r="S327" s="490"/>
    </row>
    <row r="328" spans="2:19" s="70" customFormat="1">
      <c r="B328" s="490"/>
      <c r="C328" s="490"/>
      <c r="D328" s="490"/>
      <c r="E328" s="490"/>
      <c r="F328" s="490"/>
      <c r="G328" s="490"/>
      <c r="H328" s="490"/>
      <c r="I328" s="490"/>
      <c r="J328" s="490"/>
      <c r="K328" s="490"/>
      <c r="L328" s="490"/>
      <c r="M328" s="490"/>
      <c r="N328" s="490"/>
      <c r="O328" s="490"/>
      <c r="P328" s="490"/>
      <c r="Q328" s="490"/>
      <c r="R328" s="490"/>
      <c r="S328" s="490"/>
    </row>
    <row r="329" spans="2:19" s="70" customFormat="1">
      <c r="B329" s="490"/>
      <c r="C329" s="490"/>
      <c r="D329" s="490"/>
      <c r="E329" s="490"/>
      <c r="F329" s="490"/>
      <c r="G329" s="490"/>
      <c r="H329" s="490"/>
      <c r="I329" s="490"/>
      <c r="J329" s="490"/>
      <c r="K329" s="490"/>
      <c r="L329" s="490"/>
      <c r="M329" s="490"/>
      <c r="N329" s="490"/>
      <c r="O329" s="490"/>
      <c r="P329" s="490"/>
      <c r="Q329" s="490"/>
      <c r="R329" s="490"/>
      <c r="S329" s="490"/>
    </row>
    <row r="330" spans="2:19" s="70" customFormat="1">
      <c r="B330" s="490"/>
      <c r="C330" s="490"/>
      <c r="D330" s="490"/>
      <c r="E330" s="490"/>
      <c r="F330" s="490"/>
      <c r="G330" s="490"/>
      <c r="H330" s="490"/>
      <c r="I330" s="490"/>
      <c r="J330" s="490"/>
      <c r="K330" s="490"/>
      <c r="L330" s="490"/>
      <c r="M330" s="490"/>
      <c r="N330" s="490"/>
      <c r="O330" s="490"/>
      <c r="P330" s="490"/>
      <c r="Q330" s="490"/>
      <c r="R330" s="490"/>
      <c r="S330" s="490"/>
    </row>
    <row r="331" spans="2:19" s="70" customFormat="1">
      <c r="B331" s="490"/>
      <c r="C331" s="490"/>
      <c r="D331" s="490"/>
      <c r="E331" s="490"/>
      <c r="F331" s="490"/>
      <c r="G331" s="490"/>
      <c r="H331" s="490"/>
      <c r="I331" s="490"/>
      <c r="J331" s="490"/>
      <c r="K331" s="490"/>
      <c r="L331" s="490"/>
      <c r="M331" s="490"/>
      <c r="N331" s="490"/>
      <c r="O331" s="490"/>
      <c r="P331" s="490"/>
      <c r="Q331" s="490"/>
      <c r="R331" s="490"/>
      <c r="S331" s="490"/>
    </row>
    <row r="332" spans="2:19" s="70" customFormat="1">
      <c r="B332" s="490"/>
      <c r="C332" s="490"/>
      <c r="D332" s="490"/>
      <c r="E332" s="490"/>
      <c r="F332" s="490"/>
      <c r="G332" s="490"/>
      <c r="H332" s="490"/>
      <c r="I332" s="490"/>
      <c r="J332" s="490"/>
      <c r="K332" s="490"/>
      <c r="L332" s="490"/>
      <c r="M332" s="490"/>
      <c r="N332" s="490"/>
      <c r="O332" s="490"/>
      <c r="P332" s="490"/>
      <c r="Q332" s="490"/>
      <c r="R332" s="490"/>
      <c r="S332" s="490"/>
    </row>
    <row r="333" spans="2:19" s="70" customFormat="1">
      <c r="B333" s="490"/>
      <c r="C333" s="490"/>
      <c r="D333" s="490"/>
      <c r="E333" s="490"/>
      <c r="F333" s="490"/>
      <c r="G333" s="490"/>
      <c r="H333" s="490"/>
      <c r="I333" s="490"/>
      <c r="J333" s="490"/>
      <c r="K333" s="490"/>
      <c r="L333" s="490"/>
      <c r="M333" s="490"/>
      <c r="N333" s="490"/>
      <c r="O333" s="490"/>
      <c r="P333" s="490"/>
      <c r="Q333" s="490"/>
      <c r="R333" s="490"/>
      <c r="S333" s="490"/>
    </row>
    <row r="334" spans="2:19" s="70" customFormat="1">
      <c r="B334" s="490"/>
      <c r="C334" s="490"/>
      <c r="D334" s="490"/>
      <c r="E334" s="490"/>
      <c r="F334" s="490"/>
      <c r="G334" s="490"/>
      <c r="H334" s="490"/>
      <c r="I334" s="490"/>
      <c r="J334" s="490"/>
      <c r="K334" s="490"/>
      <c r="L334" s="490"/>
      <c r="M334" s="490"/>
      <c r="N334" s="490"/>
      <c r="O334" s="490"/>
      <c r="P334" s="490"/>
      <c r="Q334" s="490"/>
      <c r="R334" s="490"/>
      <c r="S334" s="490"/>
    </row>
    <row r="335" spans="2:19" s="70" customFormat="1">
      <c r="B335" s="490"/>
      <c r="C335" s="490"/>
      <c r="D335" s="490"/>
      <c r="E335" s="490"/>
      <c r="F335" s="490"/>
      <c r="G335" s="490"/>
      <c r="H335" s="490"/>
      <c r="I335" s="490"/>
      <c r="J335" s="490"/>
      <c r="K335" s="490"/>
      <c r="L335" s="490"/>
      <c r="M335" s="490"/>
      <c r="N335" s="490"/>
      <c r="O335" s="490"/>
      <c r="P335" s="490"/>
      <c r="Q335" s="490"/>
      <c r="R335" s="490"/>
      <c r="S335" s="490"/>
    </row>
    <row r="336" spans="2:19" s="70" customFormat="1">
      <c r="B336" s="490"/>
      <c r="C336" s="490"/>
      <c r="D336" s="490"/>
      <c r="E336" s="490"/>
      <c r="F336" s="490"/>
      <c r="G336" s="490"/>
      <c r="H336" s="490"/>
      <c r="I336" s="490"/>
      <c r="J336" s="490"/>
      <c r="K336" s="490"/>
      <c r="L336" s="490"/>
      <c r="M336" s="490"/>
      <c r="N336" s="490"/>
      <c r="O336" s="490"/>
      <c r="P336" s="490"/>
      <c r="Q336" s="490"/>
      <c r="R336" s="490"/>
      <c r="S336" s="490"/>
    </row>
    <row r="337" spans="2:19" s="70" customFormat="1">
      <c r="B337" s="490"/>
      <c r="C337" s="490"/>
      <c r="D337" s="490"/>
      <c r="E337" s="490"/>
      <c r="F337" s="490"/>
      <c r="G337" s="490"/>
      <c r="H337" s="490"/>
      <c r="I337" s="490"/>
      <c r="J337" s="490"/>
      <c r="K337" s="490"/>
      <c r="L337" s="490"/>
      <c r="M337" s="490"/>
      <c r="N337" s="490"/>
      <c r="O337" s="490"/>
      <c r="P337" s="490"/>
      <c r="Q337" s="490"/>
      <c r="R337" s="490"/>
      <c r="S337" s="490"/>
    </row>
    <row r="338" spans="2:19" s="70" customFormat="1">
      <c r="B338" s="490"/>
      <c r="C338" s="490"/>
      <c r="D338" s="490"/>
      <c r="E338" s="490"/>
      <c r="F338" s="490"/>
      <c r="G338" s="490"/>
      <c r="H338" s="490"/>
      <c r="I338" s="490"/>
      <c r="J338" s="490"/>
      <c r="K338" s="490"/>
      <c r="L338" s="490"/>
      <c r="M338" s="490"/>
      <c r="N338" s="490"/>
      <c r="O338" s="490"/>
      <c r="P338" s="490"/>
      <c r="Q338" s="490"/>
      <c r="R338" s="490"/>
      <c r="S338" s="490"/>
    </row>
    <row r="339" spans="2:19" s="70" customFormat="1">
      <c r="B339" s="490"/>
      <c r="C339" s="490"/>
      <c r="D339" s="490"/>
      <c r="E339" s="490"/>
      <c r="F339" s="490"/>
      <c r="G339" s="490"/>
      <c r="H339" s="490"/>
      <c r="I339" s="490"/>
      <c r="J339" s="490"/>
      <c r="K339" s="490"/>
      <c r="L339" s="490"/>
      <c r="M339" s="490"/>
      <c r="N339" s="490"/>
      <c r="O339" s="490"/>
      <c r="P339" s="490"/>
      <c r="Q339" s="490"/>
      <c r="R339" s="490"/>
      <c r="S339" s="490"/>
    </row>
    <row r="340" spans="2:19" s="70" customFormat="1">
      <c r="B340" s="490"/>
      <c r="C340" s="490"/>
      <c r="D340" s="490"/>
      <c r="E340" s="490"/>
      <c r="F340" s="490"/>
      <c r="G340" s="490"/>
      <c r="H340" s="490"/>
      <c r="I340" s="490"/>
      <c r="J340" s="490"/>
      <c r="K340" s="490"/>
      <c r="L340" s="490"/>
      <c r="M340" s="490"/>
      <c r="N340" s="490"/>
      <c r="O340" s="490"/>
      <c r="P340" s="490"/>
      <c r="Q340" s="490"/>
      <c r="R340" s="490"/>
      <c r="S340" s="490"/>
    </row>
    <row r="341" spans="2:19" s="70" customFormat="1">
      <c r="B341" s="490"/>
      <c r="C341" s="490"/>
      <c r="D341" s="490"/>
      <c r="E341" s="490"/>
      <c r="F341" s="490"/>
      <c r="G341" s="490"/>
      <c r="H341" s="490"/>
      <c r="I341" s="490"/>
      <c r="J341" s="490"/>
      <c r="K341" s="490"/>
      <c r="L341" s="490"/>
      <c r="M341" s="490"/>
      <c r="N341" s="490"/>
      <c r="O341" s="490"/>
      <c r="P341" s="490"/>
      <c r="Q341" s="490"/>
      <c r="R341" s="490"/>
      <c r="S341" s="490"/>
    </row>
    <row r="342" spans="2:19" s="70" customFormat="1">
      <c r="B342" s="490"/>
      <c r="C342" s="490"/>
      <c r="D342" s="490"/>
      <c r="E342" s="490"/>
      <c r="F342" s="490"/>
      <c r="G342" s="490"/>
      <c r="H342" s="490"/>
      <c r="I342" s="490"/>
      <c r="J342" s="490"/>
      <c r="K342" s="490"/>
      <c r="L342" s="490"/>
      <c r="M342" s="490"/>
      <c r="N342" s="490"/>
      <c r="O342" s="490"/>
      <c r="P342" s="490"/>
      <c r="Q342" s="490"/>
      <c r="R342" s="490"/>
      <c r="S342" s="490"/>
    </row>
    <row r="343" spans="2:19" s="70" customFormat="1">
      <c r="B343" s="490"/>
      <c r="C343" s="490"/>
      <c r="D343" s="490"/>
      <c r="E343" s="490"/>
      <c r="F343" s="490"/>
      <c r="G343" s="490"/>
      <c r="H343" s="490"/>
      <c r="I343" s="490"/>
      <c r="J343" s="490"/>
      <c r="K343" s="490"/>
      <c r="L343" s="490"/>
      <c r="M343" s="490"/>
      <c r="N343" s="490"/>
      <c r="O343" s="490"/>
      <c r="P343" s="490"/>
      <c r="Q343" s="490"/>
      <c r="R343" s="490"/>
      <c r="S343" s="490"/>
    </row>
    <row r="344" spans="2:19" s="70" customFormat="1">
      <c r="B344" s="490"/>
      <c r="C344" s="490"/>
      <c r="D344" s="490"/>
      <c r="E344" s="490"/>
      <c r="F344" s="490"/>
      <c r="G344" s="490"/>
      <c r="H344" s="490"/>
      <c r="I344" s="490"/>
      <c r="J344" s="490"/>
      <c r="K344" s="490"/>
      <c r="L344" s="490"/>
      <c r="M344" s="490"/>
      <c r="N344" s="490"/>
      <c r="O344" s="490"/>
      <c r="P344" s="490"/>
      <c r="Q344" s="490"/>
      <c r="R344" s="490"/>
      <c r="S344" s="490"/>
    </row>
    <row r="345" spans="2:19" s="70" customFormat="1">
      <c r="B345" s="490"/>
      <c r="C345" s="490"/>
      <c r="D345" s="490"/>
      <c r="E345" s="490"/>
      <c r="F345" s="490"/>
      <c r="G345" s="490"/>
      <c r="H345" s="490"/>
      <c r="I345" s="490"/>
      <c r="J345" s="490"/>
      <c r="K345" s="490"/>
      <c r="L345" s="490"/>
      <c r="M345" s="490"/>
      <c r="N345" s="490"/>
      <c r="O345" s="490"/>
      <c r="P345" s="490"/>
      <c r="Q345" s="490"/>
      <c r="R345" s="490"/>
      <c r="S345" s="490"/>
    </row>
    <row r="346" spans="2:19" s="70" customFormat="1">
      <c r="B346" s="490"/>
      <c r="C346" s="490"/>
      <c r="D346" s="490"/>
      <c r="E346" s="490"/>
      <c r="F346" s="490"/>
      <c r="G346" s="490"/>
      <c r="H346" s="490"/>
      <c r="I346" s="490"/>
      <c r="J346" s="490"/>
      <c r="K346" s="490"/>
      <c r="L346" s="490"/>
      <c r="M346" s="490"/>
      <c r="N346" s="490"/>
      <c r="O346" s="490"/>
      <c r="P346" s="490"/>
      <c r="Q346" s="490"/>
      <c r="R346" s="490"/>
      <c r="S346" s="490"/>
    </row>
    <row r="347" spans="2:19" s="70" customFormat="1">
      <c r="B347" s="490"/>
      <c r="C347" s="490"/>
      <c r="D347" s="490"/>
      <c r="E347" s="490"/>
      <c r="F347" s="490"/>
      <c r="G347" s="490"/>
      <c r="H347" s="490"/>
      <c r="I347" s="490"/>
      <c r="J347" s="490"/>
      <c r="K347" s="490"/>
      <c r="L347" s="490"/>
      <c r="M347" s="490"/>
      <c r="N347" s="490"/>
      <c r="O347" s="490"/>
      <c r="P347" s="490"/>
      <c r="Q347" s="490"/>
      <c r="R347" s="490"/>
      <c r="S347" s="490"/>
    </row>
    <row r="348" spans="2:19" s="70" customFormat="1">
      <c r="B348" s="490"/>
      <c r="C348" s="490"/>
      <c r="D348" s="490"/>
      <c r="E348" s="490"/>
      <c r="F348" s="490"/>
      <c r="G348" s="490"/>
      <c r="H348" s="490"/>
      <c r="I348" s="490"/>
      <c r="J348" s="490"/>
      <c r="K348" s="490"/>
      <c r="L348" s="490"/>
      <c r="M348" s="490"/>
      <c r="N348" s="490"/>
      <c r="O348" s="490"/>
      <c r="P348" s="490"/>
      <c r="Q348" s="490"/>
      <c r="R348" s="490"/>
      <c r="S348" s="490"/>
    </row>
    <row r="349" spans="2:19" s="70" customFormat="1">
      <c r="B349" s="490"/>
      <c r="C349" s="490"/>
      <c r="D349" s="490"/>
      <c r="E349" s="490"/>
      <c r="F349" s="490"/>
      <c r="G349" s="490"/>
      <c r="H349" s="490"/>
      <c r="I349" s="490"/>
      <c r="J349" s="490"/>
      <c r="K349" s="490"/>
      <c r="L349" s="490"/>
      <c r="M349" s="490"/>
      <c r="N349" s="490"/>
      <c r="O349" s="490"/>
      <c r="P349" s="490"/>
      <c r="Q349" s="490"/>
      <c r="R349" s="490"/>
      <c r="S349" s="490"/>
    </row>
    <row r="350" spans="2:19" s="70" customFormat="1">
      <c r="B350" s="490"/>
      <c r="C350" s="490"/>
      <c r="D350" s="490"/>
      <c r="E350" s="490"/>
      <c r="F350" s="490"/>
      <c r="G350" s="490"/>
      <c r="H350" s="490"/>
      <c r="I350" s="490"/>
      <c r="J350" s="490"/>
      <c r="K350" s="490"/>
      <c r="L350" s="490"/>
      <c r="M350" s="490"/>
      <c r="N350" s="490"/>
      <c r="O350" s="490"/>
      <c r="P350" s="490"/>
      <c r="Q350" s="490"/>
      <c r="R350" s="490"/>
      <c r="S350" s="490"/>
    </row>
    <row r="351" spans="2:19" s="70" customFormat="1">
      <c r="B351" s="490"/>
      <c r="C351" s="490"/>
      <c r="D351" s="490"/>
      <c r="E351" s="490"/>
      <c r="F351" s="490"/>
      <c r="G351" s="490"/>
      <c r="H351" s="490"/>
      <c r="I351" s="490"/>
      <c r="J351" s="490"/>
      <c r="K351" s="490"/>
      <c r="L351" s="490"/>
      <c r="M351" s="490"/>
      <c r="N351" s="490"/>
      <c r="O351" s="490"/>
      <c r="P351" s="490"/>
      <c r="Q351" s="490"/>
      <c r="R351" s="490"/>
      <c r="S351" s="490"/>
    </row>
    <row r="352" spans="2:19" s="70" customFormat="1">
      <c r="B352" s="490"/>
      <c r="C352" s="490"/>
      <c r="D352" s="490"/>
      <c r="E352" s="490"/>
      <c r="F352" s="490"/>
      <c r="G352" s="490"/>
      <c r="H352" s="490"/>
      <c r="I352" s="490"/>
      <c r="J352" s="490"/>
      <c r="K352" s="490"/>
      <c r="L352" s="490"/>
      <c r="M352" s="490"/>
      <c r="N352" s="490"/>
      <c r="O352" s="490"/>
      <c r="P352" s="490"/>
      <c r="Q352" s="490"/>
      <c r="R352" s="490"/>
      <c r="S352" s="490"/>
    </row>
    <row r="353" spans="2:19" s="70" customFormat="1">
      <c r="B353" s="490"/>
      <c r="C353" s="490"/>
      <c r="D353" s="490"/>
      <c r="E353" s="490"/>
      <c r="F353" s="490"/>
      <c r="G353" s="490"/>
      <c r="H353" s="490"/>
      <c r="I353" s="490"/>
      <c r="J353" s="490"/>
      <c r="K353" s="490"/>
      <c r="L353" s="490"/>
      <c r="M353" s="490"/>
      <c r="N353" s="490"/>
      <c r="O353" s="490"/>
      <c r="P353" s="490"/>
      <c r="Q353" s="490"/>
      <c r="R353" s="490"/>
      <c r="S353" s="490"/>
    </row>
    <row r="354" spans="2:19" s="70" customFormat="1">
      <c r="B354" s="490"/>
      <c r="C354" s="490"/>
      <c r="D354" s="490"/>
      <c r="E354" s="490"/>
      <c r="F354" s="490"/>
      <c r="G354" s="490"/>
      <c r="H354" s="490"/>
      <c r="I354" s="490"/>
      <c r="J354" s="490"/>
      <c r="K354" s="490"/>
      <c r="L354" s="490"/>
      <c r="M354" s="490"/>
      <c r="N354" s="490"/>
      <c r="O354" s="490"/>
      <c r="P354" s="490"/>
      <c r="Q354" s="490"/>
      <c r="R354" s="490"/>
      <c r="S354" s="490"/>
    </row>
    <row r="355" spans="2:19" s="70" customFormat="1">
      <c r="B355" s="490"/>
      <c r="C355" s="490"/>
      <c r="D355" s="490"/>
      <c r="E355" s="490"/>
      <c r="F355" s="490"/>
      <c r="G355" s="490"/>
      <c r="H355" s="490"/>
      <c r="I355" s="490"/>
      <c r="J355" s="490"/>
      <c r="K355" s="490"/>
      <c r="L355" s="490"/>
      <c r="M355" s="490"/>
      <c r="N355" s="490"/>
      <c r="O355" s="490"/>
      <c r="P355" s="490"/>
      <c r="Q355" s="490"/>
      <c r="R355" s="490"/>
      <c r="S355" s="490"/>
    </row>
    <row r="356" spans="2:19" s="70" customFormat="1">
      <c r="B356" s="490"/>
      <c r="C356" s="490"/>
      <c r="D356" s="490"/>
      <c r="E356" s="490"/>
      <c r="F356" s="490"/>
      <c r="G356" s="490"/>
      <c r="H356" s="490"/>
      <c r="I356" s="490"/>
      <c r="J356" s="490"/>
      <c r="K356" s="490"/>
      <c r="L356" s="490"/>
      <c r="M356" s="490"/>
      <c r="N356" s="490"/>
      <c r="O356" s="490"/>
      <c r="P356" s="490"/>
      <c r="Q356" s="490"/>
      <c r="R356" s="490"/>
      <c r="S356" s="490"/>
    </row>
    <row r="357" spans="2:19" s="70" customFormat="1">
      <c r="B357" s="490"/>
      <c r="C357" s="490"/>
      <c r="D357" s="490"/>
      <c r="E357" s="490"/>
      <c r="F357" s="490"/>
      <c r="G357" s="490"/>
      <c r="H357" s="490"/>
      <c r="I357" s="490"/>
      <c r="J357" s="490"/>
      <c r="K357" s="490"/>
      <c r="L357" s="490"/>
      <c r="M357" s="490"/>
      <c r="N357" s="490"/>
      <c r="O357" s="490"/>
      <c r="P357" s="490"/>
      <c r="Q357" s="490"/>
      <c r="R357" s="490"/>
      <c r="S357" s="490"/>
    </row>
    <row r="358" spans="2:19" s="70" customFormat="1">
      <c r="B358" s="490"/>
      <c r="C358" s="490"/>
      <c r="D358" s="490"/>
      <c r="E358" s="490"/>
      <c r="F358" s="490"/>
      <c r="G358" s="490"/>
      <c r="H358" s="490"/>
      <c r="I358" s="490"/>
      <c r="J358" s="490"/>
      <c r="K358" s="490"/>
      <c r="L358" s="490"/>
      <c r="M358" s="490"/>
      <c r="N358" s="490"/>
      <c r="O358" s="490"/>
      <c r="P358" s="490"/>
      <c r="Q358" s="490"/>
      <c r="R358" s="490"/>
      <c r="S358" s="490"/>
    </row>
    <row r="359" spans="2:19" s="70" customFormat="1">
      <c r="B359" s="490"/>
      <c r="C359" s="490"/>
      <c r="D359" s="490"/>
      <c r="E359" s="490"/>
      <c r="F359" s="490"/>
      <c r="G359" s="490"/>
      <c r="H359" s="490"/>
      <c r="I359" s="490"/>
      <c r="J359" s="490"/>
      <c r="K359" s="490"/>
      <c r="L359" s="490"/>
      <c r="M359" s="490"/>
      <c r="N359" s="490"/>
      <c r="O359" s="490"/>
      <c r="P359" s="490"/>
      <c r="Q359" s="490"/>
      <c r="R359" s="490"/>
      <c r="S359" s="490"/>
    </row>
    <row r="360" spans="2:19" s="70" customFormat="1">
      <c r="B360" s="490"/>
      <c r="C360" s="490"/>
      <c r="D360" s="490"/>
      <c r="E360" s="490"/>
      <c r="F360" s="490"/>
      <c r="G360" s="490"/>
      <c r="H360" s="490"/>
      <c r="I360" s="490"/>
      <c r="J360" s="490"/>
      <c r="K360" s="490"/>
      <c r="L360" s="490"/>
      <c r="M360" s="490"/>
      <c r="N360" s="490"/>
      <c r="O360" s="490"/>
      <c r="P360" s="490"/>
      <c r="Q360" s="490"/>
      <c r="R360" s="490"/>
      <c r="S360" s="490"/>
    </row>
    <row r="361" spans="2:19" s="70" customFormat="1">
      <c r="B361" s="490"/>
      <c r="C361" s="490"/>
      <c r="D361" s="490"/>
      <c r="E361" s="490"/>
      <c r="F361" s="490"/>
      <c r="G361" s="490"/>
      <c r="H361" s="490"/>
      <c r="I361" s="490"/>
      <c r="J361" s="490"/>
      <c r="K361" s="490"/>
      <c r="L361" s="490"/>
      <c r="M361" s="490"/>
      <c r="N361" s="490"/>
      <c r="O361" s="490"/>
      <c r="P361" s="490"/>
      <c r="Q361" s="490"/>
      <c r="R361" s="490"/>
      <c r="S361" s="490"/>
    </row>
    <row r="362" spans="2:19" s="70" customFormat="1">
      <c r="B362" s="490"/>
      <c r="C362" s="490"/>
      <c r="D362" s="490"/>
      <c r="E362" s="490"/>
      <c r="F362" s="490"/>
      <c r="G362" s="490"/>
      <c r="H362" s="490"/>
      <c r="I362" s="490"/>
      <c r="J362" s="490"/>
      <c r="K362" s="490"/>
      <c r="L362" s="490"/>
      <c r="M362" s="490"/>
      <c r="N362" s="490"/>
      <c r="O362" s="490"/>
      <c r="P362" s="490"/>
      <c r="Q362" s="490"/>
      <c r="R362" s="490"/>
      <c r="S362" s="490"/>
    </row>
    <row r="363" spans="2:19" s="70" customFormat="1">
      <c r="B363" s="490"/>
      <c r="C363" s="490"/>
      <c r="D363" s="490"/>
      <c r="E363" s="490"/>
      <c r="F363" s="490"/>
      <c r="G363" s="490"/>
      <c r="H363" s="490"/>
      <c r="I363" s="490"/>
      <c r="J363" s="490"/>
      <c r="K363" s="490"/>
      <c r="L363" s="490"/>
      <c r="M363" s="490"/>
      <c r="N363" s="490"/>
      <c r="O363" s="490"/>
      <c r="P363" s="490"/>
      <c r="Q363" s="490"/>
      <c r="R363" s="490"/>
      <c r="S363" s="490"/>
    </row>
    <row r="364" spans="2:19" s="70" customFormat="1">
      <c r="B364" s="490"/>
      <c r="C364" s="490"/>
      <c r="D364" s="490"/>
      <c r="E364" s="490"/>
      <c r="F364" s="490"/>
      <c r="G364" s="490"/>
      <c r="H364" s="490"/>
      <c r="I364" s="490"/>
      <c r="J364" s="490"/>
      <c r="K364" s="490"/>
      <c r="L364" s="490"/>
      <c r="M364" s="490"/>
      <c r="N364" s="490"/>
      <c r="O364" s="490"/>
      <c r="P364" s="490"/>
      <c r="Q364" s="490"/>
      <c r="R364" s="490"/>
      <c r="S364" s="490"/>
    </row>
    <row r="365" spans="2:19" s="70" customFormat="1">
      <c r="B365" s="490"/>
      <c r="C365" s="490"/>
      <c r="D365" s="490"/>
      <c r="E365" s="490"/>
      <c r="F365" s="490"/>
      <c r="G365" s="490"/>
      <c r="H365" s="490"/>
      <c r="I365" s="490"/>
      <c r="J365" s="490"/>
      <c r="K365" s="490"/>
      <c r="L365" s="490"/>
      <c r="M365" s="490"/>
      <c r="N365" s="490"/>
      <c r="O365" s="490"/>
      <c r="P365" s="490"/>
      <c r="Q365" s="490"/>
      <c r="R365" s="490"/>
      <c r="S365" s="490"/>
    </row>
    <row r="366" spans="2:19" s="70" customFormat="1">
      <c r="B366" s="490"/>
      <c r="C366" s="490"/>
      <c r="D366" s="490"/>
      <c r="E366" s="490"/>
      <c r="F366" s="490"/>
      <c r="G366" s="490"/>
      <c r="H366" s="490"/>
      <c r="I366" s="490"/>
      <c r="J366" s="490"/>
      <c r="K366" s="490"/>
      <c r="L366" s="490"/>
      <c r="M366" s="490"/>
      <c r="N366" s="490"/>
      <c r="O366" s="490"/>
      <c r="P366" s="490"/>
      <c r="Q366" s="490"/>
      <c r="R366" s="490"/>
      <c r="S366" s="490"/>
    </row>
    <row r="367" spans="2:19" s="70" customFormat="1">
      <c r="B367" s="490"/>
      <c r="C367" s="490"/>
      <c r="D367" s="490"/>
      <c r="E367" s="490"/>
      <c r="F367" s="490"/>
      <c r="G367" s="490"/>
      <c r="H367" s="490"/>
      <c r="I367" s="490"/>
      <c r="J367" s="490"/>
      <c r="K367" s="490"/>
      <c r="L367" s="490"/>
      <c r="M367" s="490"/>
      <c r="N367" s="490"/>
      <c r="O367" s="490"/>
      <c r="P367" s="490"/>
      <c r="Q367" s="490"/>
      <c r="R367" s="490"/>
      <c r="S367" s="490"/>
    </row>
    <row r="368" spans="2:19" s="70" customFormat="1">
      <c r="B368" s="490"/>
      <c r="C368" s="490"/>
      <c r="D368" s="490"/>
      <c r="E368" s="490"/>
      <c r="F368" s="490"/>
      <c r="G368" s="490"/>
      <c r="H368" s="490"/>
      <c r="I368" s="490"/>
      <c r="J368" s="490"/>
      <c r="K368" s="490"/>
      <c r="L368" s="490"/>
      <c r="M368" s="490"/>
      <c r="N368" s="490"/>
      <c r="O368" s="490"/>
      <c r="P368" s="490"/>
      <c r="Q368" s="490"/>
      <c r="R368" s="490"/>
      <c r="S368" s="490"/>
    </row>
    <row r="369" spans="2:19" s="70" customFormat="1">
      <c r="B369" s="490"/>
      <c r="C369" s="490"/>
      <c r="D369" s="490"/>
      <c r="E369" s="490"/>
      <c r="F369" s="490"/>
      <c r="G369" s="490"/>
      <c r="H369" s="490"/>
      <c r="I369" s="490"/>
      <c r="J369" s="490"/>
      <c r="K369" s="490"/>
      <c r="L369" s="490"/>
      <c r="M369" s="490"/>
      <c r="N369" s="490"/>
      <c r="O369" s="490"/>
      <c r="P369" s="490"/>
      <c r="Q369" s="490"/>
      <c r="R369" s="490"/>
      <c r="S369" s="490"/>
    </row>
    <row r="370" spans="2:19" s="70" customFormat="1">
      <c r="B370" s="490"/>
      <c r="C370" s="490"/>
      <c r="D370" s="490"/>
      <c r="E370" s="490"/>
      <c r="F370" s="490"/>
      <c r="G370" s="490"/>
      <c r="H370" s="490"/>
      <c r="I370" s="490"/>
      <c r="J370" s="490"/>
      <c r="K370" s="490"/>
      <c r="L370" s="490"/>
      <c r="M370" s="490"/>
      <c r="N370" s="490"/>
      <c r="O370" s="490"/>
      <c r="P370" s="490"/>
      <c r="Q370" s="490"/>
      <c r="R370" s="490"/>
      <c r="S370" s="490"/>
    </row>
    <row r="371" spans="2:19" s="70" customFormat="1">
      <c r="B371" s="490"/>
      <c r="C371" s="490"/>
      <c r="D371" s="490"/>
      <c r="E371" s="490"/>
      <c r="F371" s="490"/>
      <c r="G371" s="490"/>
      <c r="H371" s="490"/>
      <c r="I371" s="490"/>
      <c r="J371" s="490"/>
      <c r="K371" s="490"/>
      <c r="L371" s="490"/>
      <c r="M371" s="490"/>
      <c r="N371" s="490"/>
      <c r="O371" s="490"/>
      <c r="P371" s="490"/>
      <c r="Q371" s="490"/>
      <c r="R371" s="490"/>
      <c r="S371" s="490"/>
    </row>
    <row r="372" spans="2:19" s="70" customFormat="1">
      <c r="B372" s="490"/>
      <c r="C372" s="490"/>
      <c r="D372" s="490"/>
      <c r="E372" s="490"/>
      <c r="F372" s="490"/>
      <c r="G372" s="490"/>
      <c r="H372" s="490"/>
      <c r="I372" s="490"/>
      <c r="J372" s="490"/>
      <c r="K372" s="490"/>
      <c r="L372" s="490"/>
      <c r="M372" s="490"/>
      <c r="N372" s="490"/>
      <c r="O372" s="490"/>
      <c r="P372" s="490"/>
      <c r="Q372" s="490"/>
      <c r="R372" s="490"/>
      <c r="S372" s="490"/>
    </row>
    <row r="373" spans="2:19" s="70" customFormat="1">
      <c r="B373" s="490"/>
      <c r="C373" s="490"/>
      <c r="D373" s="490"/>
      <c r="E373" s="490"/>
      <c r="F373" s="490"/>
      <c r="G373" s="490"/>
      <c r="H373" s="490"/>
      <c r="I373" s="490"/>
      <c r="J373" s="490"/>
      <c r="K373" s="490"/>
      <c r="L373" s="490"/>
      <c r="M373" s="490"/>
      <c r="N373" s="490"/>
      <c r="O373" s="490"/>
      <c r="P373" s="490"/>
      <c r="Q373" s="490"/>
      <c r="R373" s="490"/>
      <c r="S373" s="490"/>
    </row>
    <row r="374" spans="2:19" s="70" customFormat="1">
      <c r="B374" s="490"/>
      <c r="C374" s="490"/>
      <c r="D374" s="490"/>
      <c r="E374" s="490"/>
      <c r="F374" s="490"/>
      <c r="G374" s="490"/>
      <c r="H374" s="490"/>
      <c r="I374" s="490"/>
      <c r="J374" s="490"/>
      <c r="K374" s="490"/>
      <c r="L374" s="490"/>
      <c r="M374" s="490"/>
      <c r="N374" s="490"/>
      <c r="O374" s="490"/>
      <c r="P374" s="490"/>
      <c r="Q374" s="490"/>
      <c r="R374" s="490"/>
      <c r="S374" s="490"/>
    </row>
    <row r="375" spans="2:19" s="70" customFormat="1">
      <c r="B375" s="490"/>
      <c r="C375" s="490"/>
      <c r="D375" s="490"/>
      <c r="E375" s="490"/>
      <c r="F375" s="490"/>
      <c r="G375" s="490"/>
      <c r="H375" s="490"/>
      <c r="I375" s="490"/>
      <c r="J375" s="490"/>
      <c r="K375" s="490"/>
      <c r="L375" s="490"/>
      <c r="M375" s="490"/>
      <c r="N375" s="490"/>
      <c r="O375" s="490"/>
      <c r="P375" s="490"/>
      <c r="Q375" s="490"/>
      <c r="R375" s="490"/>
      <c r="S375" s="490"/>
    </row>
    <row r="376" spans="2:19" s="70" customFormat="1">
      <c r="B376" s="490"/>
      <c r="C376" s="490"/>
      <c r="D376" s="490"/>
      <c r="E376" s="490"/>
      <c r="F376" s="490"/>
      <c r="G376" s="490"/>
      <c r="H376" s="490"/>
      <c r="I376" s="490"/>
      <c r="J376" s="490"/>
      <c r="K376" s="490"/>
      <c r="L376" s="490"/>
      <c r="M376" s="490"/>
      <c r="N376" s="490"/>
      <c r="O376" s="490"/>
      <c r="P376" s="490"/>
      <c r="Q376" s="490"/>
      <c r="R376" s="490"/>
      <c r="S376" s="490"/>
    </row>
    <row r="377" spans="2:19" s="70" customFormat="1">
      <c r="B377" s="490"/>
      <c r="C377" s="490"/>
      <c r="D377" s="490"/>
      <c r="E377" s="490"/>
      <c r="F377" s="490"/>
      <c r="G377" s="490"/>
      <c r="H377" s="490"/>
      <c r="I377" s="490"/>
      <c r="J377" s="490"/>
      <c r="K377" s="490"/>
      <c r="L377" s="490"/>
      <c r="M377" s="490"/>
      <c r="N377" s="490"/>
      <c r="O377" s="490"/>
      <c r="P377" s="490"/>
      <c r="Q377" s="490"/>
      <c r="R377" s="490"/>
      <c r="S377" s="490"/>
    </row>
    <row r="378" spans="2:19" s="70" customFormat="1">
      <c r="B378" s="490"/>
      <c r="C378" s="490"/>
      <c r="D378" s="490"/>
      <c r="E378" s="490"/>
      <c r="F378" s="490"/>
      <c r="G378" s="490"/>
      <c r="H378" s="490"/>
      <c r="I378" s="490"/>
      <c r="J378" s="490"/>
      <c r="K378" s="490"/>
      <c r="L378" s="490"/>
      <c r="M378" s="490"/>
      <c r="N378" s="490"/>
      <c r="O378" s="490"/>
      <c r="P378" s="490"/>
      <c r="Q378" s="490"/>
      <c r="R378" s="490"/>
      <c r="S378" s="490"/>
    </row>
    <row r="379" spans="2:19" s="70" customFormat="1">
      <c r="B379" s="490"/>
      <c r="C379" s="490"/>
      <c r="D379" s="490"/>
      <c r="E379" s="490"/>
      <c r="F379" s="490"/>
      <c r="G379" s="490"/>
      <c r="H379" s="490"/>
      <c r="I379" s="490"/>
      <c r="J379" s="490"/>
      <c r="K379" s="490"/>
      <c r="L379" s="490"/>
      <c r="M379" s="490"/>
      <c r="N379" s="490"/>
      <c r="O379" s="490"/>
      <c r="P379" s="490"/>
      <c r="Q379" s="490"/>
      <c r="R379" s="490"/>
      <c r="S379" s="490"/>
    </row>
    <row r="380" spans="2:19" s="70" customFormat="1">
      <c r="B380" s="490"/>
      <c r="C380" s="490"/>
      <c r="D380" s="490"/>
      <c r="E380" s="490"/>
      <c r="F380" s="490"/>
      <c r="G380" s="490"/>
      <c r="H380" s="490"/>
      <c r="I380" s="490"/>
      <c r="J380" s="490"/>
      <c r="K380" s="490"/>
      <c r="L380" s="490"/>
      <c r="M380" s="490"/>
      <c r="N380" s="490"/>
      <c r="O380" s="490"/>
      <c r="P380" s="490"/>
      <c r="Q380" s="490"/>
      <c r="R380" s="490"/>
      <c r="S380" s="490"/>
    </row>
    <row r="381" spans="2:19" s="70" customFormat="1">
      <c r="B381" s="490"/>
      <c r="C381" s="490"/>
      <c r="D381" s="490"/>
      <c r="E381" s="490"/>
      <c r="F381" s="490"/>
      <c r="G381" s="490"/>
      <c r="H381" s="490"/>
      <c r="I381" s="490"/>
      <c r="J381" s="490"/>
      <c r="K381" s="490"/>
      <c r="L381" s="490"/>
      <c r="M381" s="490"/>
      <c r="N381" s="490"/>
      <c r="O381" s="490"/>
      <c r="P381" s="490"/>
      <c r="Q381" s="490"/>
      <c r="R381" s="490"/>
      <c r="S381" s="490"/>
    </row>
    <row r="382" spans="2:19" s="70" customFormat="1">
      <c r="B382" s="490"/>
      <c r="C382" s="490"/>
      <c r="D382" s="490"/>
      <c r="E382" s="490"/>
      <c r="F382" s="490"/>
      <c r="G382" s="490"/>
      <c r="H382" s="490"/>
      <c r="I382" s="490"/>
      <c r="J382" s="490"/>
      <c r="K382" s="490"/>
      <c r="L382" s="490"/>
      <c r="M382" s="490"/>
      <c r="N382" s="490"/>
      <c r="O382" s="490"/>
      <c r="P382" s="490"/>
      <c r="Q382" s="490"/>
      <c r="R382" s="490"/>
      <c r="S382" s="490"/>
    </row>
  </sheetData>
  <mergeCells count="10">
    <mergeCell ref="N6:P6"/>
    <mergeCell ref="A1:T1"/>
    <mergeCell ref="A2:T2"/>
    <mergeCell ref="A4:A6"/>
    <mergeCell ref="T4:T6"/>
    <mergeCell ref="B6:D6"/>
    <mergeCell ref="E6:G6"/>
    <mergeCell ref="H6:J6"/>
    <mergeCell ref="K6:M6"/>
    <mergeCell ref="Q6:S6"/>
  </mergeCells>
  <pageMargins left="0.46" right="0.17" top="0.52" bottom="0.34" header="0.3" footer="0.3"/>
  <pageSetup paperSize="9" scale="73" orientation="landscape" r:id="rId1"/>
  <colBreaks count="15" manualBreakCount="15">
    <brk id="20" max="19" man="1"/>
    <brk id="24" max="19" man="1"/>
    <brk id="28" max="19" man="1"/>
    <brk id="32" max="19" man="1"/>
    <brk id="35" max="19" man="1"/>
    <brk id="37" max="19" man="1"/>
    <brk id="38" max="19" man="1"/>
    <brk id="41" max="19" man="1"/>
    <brk id="44" max="19" man="1"/>
    <brk id="46" max="19" man="1"/>
    <brk id="47" max="19" man="1"/>
    <brk id="49" max="19" man="1"/>
    <brk id="51" max="19" man="1"/>
    <brk id="52" max="19" man="1"/>
    <brk id="54" max="19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7"/>
  <sheetViews>
    <sheetView tabSelected="1" view="pageBreakPreview" zoomScaleNormal="100" zoomScaleSheetLayoutView="100" workbookViewId="0">
      <selection activeCell="A2" sqref="A2:H2"/>
    </sheetView>
  </sheetViews>
  <sheetFormatPr defaultColWidth="9.140625" defaultRowHeight="15"/>
  <cols>
    <col min="1" max="1" width="35.28515625" style="76" customWidth="1"/>
    <col min="2" max="5" width="12.85546875" style="76" customWidth="1"/>
    <col min="6" max="7" width="14.28515625" style="76" bestFit="1" customWidth="1"/>
    <col min="8" max="8" width="28.5703125" style="76" customWidth="1"/>
    <col min="9" max="16384" width="9.140625" style="76"/>
  </cols>
  <sheetData>
    <row r="1" spans="1:9" ht="21">
      <c r="A1" s="911" t="s">
        <v>320</v>
      </c>
      <c r="B1" s="912"/>
      <c r="C1" s="912"/>
      <c r="D1" s="912"/>
      <c r="E1" s="912"/>
      <c r="F1" s="912"/>
      <c r="G1" s="912"/>
      <c r="H1" s="912"/>
      <c r="I1" s="153"/>
    </row>
    <row r="2" spans="1:9">
      <c r="A2" s="977" t="s">
        <v>319</v>
      </c>
      <c r="B2" s="977"/>
      <c r="C2" s="977"/>
      <c r="D2" s="977"/>
      <c r="E2" s="977"/>
      <c r="F2" s="977"/>
      <c r="G2" s="977"/>
      <c r="H2" s="977"/>
    </row>
    <row r="3" spans="1:9" ht="6" customHeight="1">
      <c r="A3" s="830"/>
      <c r="B3" s="830"/>
      <c r="C3" s="830"/>
      <c r="D3" s="830"/>
      <c r="E3" s="830"/>
      <c r="F3" s="830"/>
      <c r="G3" s="830"/>
    </row>
    <row r="4" spans="1:9" ht="18.75" customHeight="1">
      <c r="A4" s="914" t="s">
        <v>134</v>
      </c>
      <c r="B4" s="978" t="s">
        <v>147</v>
      </c>
      <c r="C4" s="978"/>
      <c r="D4" s="978"/>
      <c r="E4" s="978"/>
      <c r="F4" s="978"/>
      <c r="G4" s="978"/>
      <c r="H4" s="975" t="s">
        <v>135</v>
      </c>
    </row>
    <row r="5" spans="1:9" ht="18.75" customHeight="1">
      <c r="A5" s="915"/>
      <c r="B5" s="79">
        <v>2010</v>
      </c>
      <c r="C5" s="79">
        <v>2011</v>
      </c>
      <c r="D5" s="79">
        <v>2012</v>
      </c>
      <c r="E5" s="79">
        <v>2013</v>
      </c>
      <c r="F5" s="79">
        <v>2014</v>
      </c>
      <c r="G5" s="79">
        <v>2015</v>
      </c>
      <c r="H5" s="976"/>
    </row>
    <row r="6" spans="1:9" s="94" customFormat="1" ht="19.5" customHeight="1">
      <c r="A6" s="93" t="s">
        <v>125</v>
      </c>
      <c r="B6" s="131">
        <f t="shared" ref="B6:F6" si="0">SUM(B7:B8)</f>
        <v>2933</v>
      </c>
      <c r="C6" s="131">
        <f t="shared" si="0"/>
        <v>2975</v>
      </c>
      <c r="D6" s="131">
        <f t="shared" si="0"/>
        <v>3217</v>
      </c>
      <c r="E6" s="131">
        <f t="shared" si="0"/>
        <v>3003</v>
      </c>
      <c r="F6" s="131">
        <f t="shared" si="0"/>
        <v>3214</v>
      </c>
      <c r="G6" s="131">
        <f>SUM(G7:G8)</f>
        <v>3820</v>
      </c>
      <c r="H6" s="162" t="s">
        <v>146</v>
      </c>
    </row>
    <row r="7" spans="1:9" ht="17.25" customHeight="1">
      <c r="A7" s="82" t="s">
        <v>58</v>
      </c>
      <c r="B7" s="132">
        <v>2640</v>
      </c>
      <c r="C7" s="132">
        <v>2690</v>
      </c>
      <c r="D7" s="132">
        <v>2923</v>
      </c>
      <c r="E7" s="132">
        <v>2732</v>
      </c>
      <c r="F7" s="132">
        <v>2938</v>
      </c>
      <c r="G7" s="132">
        <v>3360</v>
      </c>
      <c r="H7" s="152" t="s">
        <v>142</v>
      </c>
    </row>
    <row r="8" spans="1:9" ht="17.25" customHeight="1">
      <c r="A8" s="82" t="s">
        <v>59</v>
      </c>
      <c r="B8" s="132">
        <v>293</v>
      </c>
      <c r="C8" s="132">
        <v>285</v>
      </c>
      <c r="D8" s="132">
        <v>294</v>
      </c>
      <c r="E8" s="132">
        <v>271</v>
      </c>
      <c r="F8" s="132">
        <v>276</v>
      </c>
      <c r="G8" s="132">
        <v>460</v>
      </c>
      <c r="H8" s="152" t="s">
        <v>143</v>
      </c>
    </row>
    <row r="9" spans="1:9" ht="19.5" customHeight="1">
      <c r="A9" s="561" t="s">
        <v>288</v>
      </c>
      <c r="B9" s="420">
        <v>714.50589947000003</v>
      </c>
      <c r="C9" s="420">
        <v>743.81639273999997</v>
      </c>
      <c r="D9" s="420">
        <v>837.16104358000007</v>
      </c>
      <c r="E9" s="420">
        <v>902.77045583000006</v>
      </c>
      <c r="F9" s="420">
        <v>1049.5818967499999</v>
      </c>
      <c r="G9" s="420">
        <v>1062.9100000000001</v>
      </c>
      <c r="H9" s="161" t="s">
        <v>289</v>
      </c>
    </row>
    <row r="10" spans="1:9" s="406" customFormat="1" ht="17.25">
      <c r="A10" s="404" t="s">
        <v>29</v>
      </c>
      <c r="B10" s="404"/>
      <c r="C10" s="405"/>
      <c r="H10" s="407" t="s">
        <v>137</v>
      </c>
    </row>
    <row r="13" spans="1:9">
      <c r="B13" s="409"/>
      <c r="C13" s="409"/>
      <c r="D13" s="409"/>
      <c r="E13" s="409"/>
      <c r="F13" s="409"/>
      <c r="G13" s="409"/>
    </row>
    <row r="14" spans="1:9">
      <c r="B14" s="421"/>
      <c r="C14" s="421"/>
      <c r="D14" s="421"/>
      <c r="E14" s="421"/>
      <c r="F14" s="421"/>
      <c r="G14" s="421"/>
    </row>
    <row r="15" spans="1:9">
      <c r="A15" s="410"/>
      <c r="B15" s="410"/>
      <c r="C15" s="410"/>
      <c r="D15" s="410"/>
      <c r="E15" s="410"/>
      <c r="F15" s="410"/>
      <c r="G15" s="410"/>
      <c r="H15" s="410"/>
    </row>
    <row r="16" spans="1:9">
      <c r="A16" s="410"/>
      <c r="B16" s="132"/>
      <c r="C16" s="132"/>
      <c r="D16" s="132"/>
      <c r="E16" s="132"/>
      <c r="F16" s="132"/>
      <c r="G16" s="132"/>
      <c r="H16" s="410"/>
    </row>
    <row r="17" spans="1:8">
      <c r="A17" s="410"/>
      <c r="B17" s="410"/>
      <c r="C17" s="410"/>
      <c r="D17" s="410"/>
      <c r="E17" s="410"/>
      <c r="F17" s="410"/>
      <c r="G17" s="410"/>
      <c r="H17" s="410"/>
    </row>
  </sheetData>
  <mergeCells count="5">
    <mergeCell ref="A4:A5"/>
    <mergeCell ref="H4:H5"/>
    <mergeCell ref="A2:H2"/>
    <mergeCell ref="A1:H1"/>
    <mergeCell ref="B4:G4"/>
  </mergeCells>
  <pageMargins left="0.12" right="0.11" top="0.75" bottom="0.75" header="0.3" footer="0.3"/>
  <pageSetup paperSize="9" scale="90" orientation="landscape" r:id="rId1"/>
  <ignoredErrors>
    <ignoredError sqref="B6:G6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59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96" customWidth="1"/>
    <col min="36" max="16384" width="12.28515625" style="2"/>
  </cols>
  <sheetData>
    <row r="1" spans="1:36" ht="21">
      <c r="A1" s="979" t="s">
        <v>157</v>
      </c>
      <c r="B1" s="979"/>
      <c r="C1" s="979"/>
      <c r="D1" s="979"/>
      <c r="E1" s="979"/>
      <c r="F1" s="979"/>
      <c r="G1" s="979"/>
      <c r="H1" s="979"/>
      <c r="I1" s="979"/>
      <c r="J1" s="979"/>
      <c r="K1" s="979"/>
      <c r="L1" s="979"/>
      <c r="M1" s="979"/>
      <c r="N1" s="979"/>
      <c r="O1" s="979"/>
      <c r="P1" s="979"/>
      <c r="Q1" s="979"/>
      <c r="R1" s="979"/>
      <c r="S1" s="979"/>
      <c r="T1" s="979"/>
      <c r="U1" s="979"/>
      <c r="V1" s="979"/>
      <c r="W1" s="979"/>
      <c r="X1" s="979"/>
      <c r="Y1" s="979"/>
      <c r="Z1" s="979"/>
      <c r="AA1" s="979"/>
      <c r="AB1" s="979"/>
      <c r="AC1" s="979"/>
      <c r="AD1" s="979"/>
      <c r="AE1" s="979"/>
      <c r="AF1" s="979"/>
      <c r="AG1" s="979"/>
      <c r="AH1" s="979"/>
      <c r="AI1" s="979"/>
    </row>
    <row r="2" spans="1:36">
      <c r="A2" s="980" t="s">
        <v>149</v>
      </c>
      <c r="B2" s="980"/>
      <c r="C2" s="980"/>
      <c r="D2" s="980"/>
      <c r="E2" s="980"/>
      <c r="F2" s="980"/>
      <c r="G2" s="980"/>
      <c r="H2" s="980"/>
      <c r="I2" s="980"/>
      <c r="J2" s="980"/>
      <c r="K2" s="980"/>
      <c r="L2" s="980"/>
      <c r="M2" s="980"/>
      <c r="N2" s="980"/>
      <c r="O2" s="980"/>
      <c r="P2" s="980"/>
      <c r="Q2" s="980"/>
      <c r="R2" s="980"/>
      <c r="S2" s="980"/>
      <c r="T2" s="980"/>
      <c r="U2" s="980"/>
      <c r="V2" s="980"/>
      <c r="W2" s="980"/>
      <c r="X2" s="980"/>
      <c r="Y2" s="980"/>
      <c r="Z2" s="980"/>
      <c r="AA2" s="980"/>
      <c r="AB2" s="980"/>
      <c r="AC2" s="980"/>
      <c r="AD2" s="980"/>
      <c r="AE2" s="980"/>
      <c r="AF2" s="980"/>
      <c r="AG2" s="980"/>
      <c r="AH2" s="980"/>
      <c r="AI2" s="980"/>
    </row>
    <row r="3" spans="1:36" ht="15" customHeight="1">
      <c r="A3" s="981"/>
      <c r="B3" s="981"/>
      <c r="C3" s="983" t="s">
        <v>113</v>
      </c>
      <c r="D3" s="983"/>
      <c r="E3" s="983"/>
      <c r="F3" s="983"/>
      <c r="G3" s="983"/>
      <c r="H3" s="196"/>
      <c r="I3" s="196"/>
      <c r="J3" s="984" t="s">
        <v>79</v>
      </c>
      <c r="K3" s="984"/>
      <c r="L3" s="984"/>
      <c r="M3" s="984"/>
      <c r="N3" s="984"/>
      <c r="O3" s="191"/>
      <c r="P3" s="984" t="s">
        <v>80</v>
      </c>
      <c r="Q3" s="984"/>
      <c r="R3" s="984"/>
      <c r="S3" s="984"/>
      <c r="T3" s="984"/>
      <c r="U3" s="165"/>
      <c r="V3" s="165"/>
      <c r="W3" s="165"/>
      <c r="X3" s="985" t="s">
        <v>81</v>
      </c>
      <c r="Y3" s="985"/>
      <c r="Z3" s="985"/>
      <c r="AA3" s="985"/>
      <c r="AB3" s="985"/>
      <c r="AC3" s="192"/>
      <c r="AD3" s="192"/>
      <c r="AE3" s="985" t="s">
        <v>82</v>
      </c>
      <c r="AF3" s="985"/>
      <c r="AG3" s="985"/>
      <c r="AH3" s="985"/>
      <c r="AI3" s="985"/>
    </row>
    <row r="4" spans="1:36" ht="25.5">
      <c r="A4" s="982"/>
      <c r="B4" s="982"/>
      <c r="C4" s="197" t="s">
        <v>83</v>
      </c>
      <c r="D4" s="197" t="s">
        <v>84</v>
      </c>
      <c r="E4" s="197" t="s">
        <v>75</v>
      </c>
      <c r="F4" s="198" t="s">
        <v>85</v>
      </c>
      <c r="G4" s="197" t="s">
        <v>86</v>
      </c>
      <c r="H4" s="197" t="s">
        <v>152</v>
      </c>
      <c r="I4" s="197" t="s">
        <v>158</v>
      </c>
      <c r="J4" s="172" t="s">
        <v>83</v>
      </c>
      <c r="K4" s="172" t="s">
        <v>84</v>
      </c>
      <c r="L4" s="172" t="s">
        <v>75</v>
      </c>
      <c r="M4" s="173" t="s">
        <v>85</v>
      </c>
      <c r="N4" s="172" t="s">
        <v>86</v>
      </c>
      <c r="O4" s="197" t="s">
        <v>152</v>
      </c>
      <c r="P4" s="172" t="s">
        <v>83</v>
      </c>
      <c r="Q4" s="172" t="s">
        <v>84</v>
      </c>
      <c r="R4" s="172" t="s">
        <v>75</v>
      </c>
      <c r="S4" s="173" t="s">
        <v>85</v>
      </c>
      <c r="T4" s="172" t="s">
        <v>86</v>
      </c>
      <c r="U4" s="197" t="s">
        <v>152</v>
      </c>
      <c r="V4" s="197"/>
      <c r="W4" s="197"/>
      <c r="X4" s="172" t="s">
        <v>83</v>
      </c>
      <c r="Y4" s="172" t="s">
        <v>84</v>
      </c>
      <c r="Z4" s="172" t="s">
        <v>75</v>
      </c>
      <c r="AA4" s="173" t="s">
        <v>85</v>
      </c>
      <c r="AB4" s="172" t="s">
        <v>86</v>
      </c>
      <c r="AC4" s="197" t="s">
        <v>152</v>
      </c>
      <c r="AD4" s="197"/>
      <c r="AE4" s="172" t="s">
        <v>83</v>
      </c>
      <c r="AF4" s="172" t="s">
        <v>84</v>
      </c>
      <c r="AG4" s="172" t="s">
        <v>75</v>
      </c>
      <c r="AH4" s="173" t="s">
        <v>85</v>
      </c>
      <c r="AI4" s="172" t="s">
        <v>86</v>
      </c>
      <c r="AJ4" s="197" t="s">
        <v>152</v>
      </c>
    </row>
    <row r="5" spans="1:36" ht="14.25" customHeight="1">
      <c r="A5" s="190"/>
      <c r="B5" s="194" t="s">
        <v>154</v>
      </c>
      <c r="C5" s="199">
        <f t="shared" ref="C5:G32" si="0">J5+P5</f>
        <v>3010</v>
      </c>
      <c r="D5" s="199">
        <f t="shared" si="0"/>
        <v>2381</v>
      </c>
      <c r="E5" s="199">
        <f t="shared" si="0"/>
        <v>5391</v>
      </c>
      <c r="F5" s="199">
        <f>M5+S5</f>
        <v>1774</v>
      </c>
      <c r="G5" s="199">
        <f t="shared" si="0"/>
        <v>3617</v>
      </c>
      <c r="H5" s="200">
        <f>F5/E5*100</f>
        <v>32.906696345761453</v>
      </c>
      <c r="I5" s="200">
        <f>G5/E5*100</f>
        <v>67.093303654238539</v>
      </c>
      <c r="J5" s="169">
        <v>2893</v>
      </c>
      <c r="K5" s="169">
        <v>2200</v>
      </c>
      <c r="L5" s="169">
        <v>5093</v>
      </c>
      <c r="M5" s="169">
        <v>1617</v>
      </c>
      <c r="N5" s="169">
        <v>3476</v>
      </c>
      <c r="O5" s="200">
        <f>M5/L5*100</f>
        <v>31.749460043196542</v>
      </c>
      <c r="P5" s="169">
        <v>117</v>
      </c>
      <c r="Q5" s="169">
        <v>181</v>
      </c>
      <c r="R5" s="169">
        <v>298</v>
      </c>
      <c r="S5" s="169">
        <v>157</v>
      </c>
      <c r="T5" s="169">
        <v>141</v>
      </c>
      <c r="U5" s="200">
        <f>S5/R5*100</f>
        <v>52.68456375838926</v>
      </c>
      <c r="V5" s="200"/>
      <c r="W5" s="194" t="s">
        <v>154</v>
      </c>
      <c r="X5" s="169">
        <v>3628</v>
      </c>
      <c r="Y5" s="169">
        <v>6873</v>
      </c>
      <c r="Z5" s="169">
        <v>10500</v>
      </c>
      <c r="AA5" s="169">
        <v>6554</v>
      </c>
      <c r="AB5" s="169">
        <v>3946</v>
      </c>
      <c r="AC5" s="200">
        <f>AA5/Z5*100</f>
        <v>62.419047619047618</v>
      </c>
      <c r="AD5" s="194" t="s">
        <v>154</v>
      </c>
      <c r="AE5" s="169">
        <v>890</v>
      </c>
      <c r="AF5" s="169">
        <v>6097</v>
      </c>
      <c r="AG5" s="169">
        <v>6987</v>
      </c>
      <c r="AH5" s="169">
        <v>5904</v>
      </c>
      <c r="AI5" s="169">
        <v>1083</v>
      </c>
      <c r="AJ5" s="200">
        <f>AH5/AG5*100</f>
        <v>84.499785315586081</v>
      </c>
    </row>
    <row r="6" spans="1:36" ht="14.25" customHeight="1">
      <c r="A6" s="190"/>
      <c r="B6" s="194" t="s">
        <v>155</v>
      </c>
      <c r="C6" s="199">
        <f t="shared" si="0"/>
        <v>2247</v>
      </c>
      <c r="D6" s="199">
        <f t="shared" si="0"/>
        <v>1246</v>
      </c>
      <c r="E6" s="199">
        <f t="shared" si="0"/>
        <v>3493</v>
      </c>
      <c r="F6" s="199">
        <f t="shared" si="0"/>
        <v>1084</v>
      </c>
      <c r="G6" s="199">
        <f t="shared" si="0"/>
        <v>2409</v>
      </c>
      <c r="H6" s="200">
        <f>F6/E6*100</f>
        <v>31.033495562553682</v>
      </c>
      <c r="I6" s="200">
        <f>G6/E6*100</f>
        <v>68.966504437446318</v>
      </c>
      <c r="J6" s="171">
        <v>2193</v>
      </c>
      <c r="K6" s="171">
        <v>1163</v>
      </c>
      <c r="L6" s="171">
        <v>3356</v>
      </c>
      <c r="M6" s="171">
        <v>990</v>
      </c>
      <c r="N6" s="171">
        <v>2366</v>
      </c>
      <c r="O6" s="200">
        <f>M6/L6*100</f>
        <v>29.499404052443385</v>
      </c>
      <c r="P6" s="171">
        <v>54</v>
      </c>
      <c r="Q6" s="171">
        <v>83</v>
      </c>
      <c r="R6" s="171">
        <v>137</v>
      </c>
      <c r="S6" s="171">
        <v>94</v>
      </c>
      <c r="T6" s="171">
        <v>43</v>
      </c>
      <c r="U6" s="200">
        <f>S6/R6*100</f>
        <v>68.613138686131393</v>
      </c>
      <c r="V6" s="200"/>
      <c r="W6" s="194" t="s">
        <v>155</v>
      </c>
      <c r="X6" s="171">
        <v>1847</v>
      </c>
      <c r="Y6" s="171">
        <v>2725</v>
      </c>
      <c r="Z6" s="171">
        <v>4571</v>
      </c>
      <c r="AA6" s="171">
        <v>2719</v>
      </c>
      <c r="AB6" s="171">
        <v>1852</v>
      </c>
      <c r="AC6" s="200">
        <f>AA6/Z6*100</f>
        <v>59.483701597024719</v>
      </c>
      <c r="AD6" s="194" t="s">
        <v>155</v>
      </c>
      <c r="AE6" s="171">
        <v>456</v>
      </c>
      <c r="AF6" s="171">
        <v>2367</v>
      </c>
      <c r="AG6" s="171">
        <v>2823</v>
      </c>
      <c r="AH6" s="171">
        <v>2296</v>
      </c>
      <c r="AI6" s="171">
        <v>527</v>
      </c>
      <c r="AJ6" s="200">
        <f>AH6/AG6*100</f>
        <v>81.331916400991858</v>
      </c>
    </row>
    <row r="7" spans="1:36" s="180" customFormat="1" ht="14.25" customHeight="1">
      <c r="A7" s="178"/>
      <c r="B7" s="194" t="s">
        <v>156</v>
      </c>
      <c r="C7" s="199">
        <f t="shared" si="0"/>
        <v>763</v>
      </c>
      <c r="D7" s="199">
        <f t="shared" si="0"/>
        <v>1135</v>
      </c>
      <c r="E7" s="199">
        <f t="shared" si="0"/>
        <v>1898</v>
      </c>
      <c r="F7" s="199">
        <f t="shared" si="0"/>
        <v>690</v>
      </c>
      <c r="G7" s="199">
        <f t="shared" si="0"/>
        <v>1208</v>
      </c>
      <c r="H7" s="200">
        <f>F7/E7*100</f>
        <v>36.354056902002107</v>
      </c>
      <c r="I7" s="200">
        <f>G7/E7*100</f>
        <v>63.645943097997893</v>
      </c>
      <c r="J7" s="171">
        <v>700</v>
      </c>
      <c r="K7" s="171">
        <v>1037</v>
      </c>
      <c r="L7" s="171">
        <v>1737</v>
      </c>
      <c r="M7" s="171">
        <v>627</v>
      </c>
      <c r="N7" s="171">
        <v>1110</v>
      </c>
      <c r="O7" s="200">
        <f>M7/L7*100</f>
        <v>36.096718480138165</v>
      </c>
      <c r="P7" s="171">
        <v>63</v>
      </c>
      <c r="Q7" s="171">
        <v>98</v>
      </c>
      <c r="R7" s="171">
        <v>161</v>
      </c>
      <c r="S7" s="171">
        <v>63</v>
      </c>
      <c r="T7" s="171">
        <v>98</v>
      </c>
      <c r="U7" s="200">
        <f>S7/R7*100</f>
        <v>39.130434782608695</v>
      </c>
      <c r="V7" s="200"/>
      <c r="W7" s="194" t="s">
        <v>156</v>
      </c>
      <c r="X7" s="171">
        <v>1781</v>
      </c>
      <c r="Y7" s="171">
        <v>4148</v>
      </c>
      <c r="Z7" s="171">
        <v>5929</v>
      </c>
      <c r="AA7" s="171">
        <v>3835</v>
      </c>
      <c r="AB7" s="171">
        <v>2094</v>
      </c>
      <c r="AC7" s="200">
        <f>AA7/Z7*100</f>
        <v>64.682071175577676</v>
      </c>
      <c r="AD7" s="194" t="s">
        <v>156</v>
      </c>
      <c r="AE7" s="171">
        <v>434</v>
      </c>
      <c r="AF7" s="171">
        <v>3730</v>
      </c>
      <c r="AG7" s="171">
        <v>4164</v>
      </c>
      <c r="AH7" s="171">
        <v>3608</v>
      </c>
      <c r="AI7" s="171">
        <v>556</v>
      </c>
      <c r="AJ7" s="200">
        <f>AH7/AG7*100</f>
        <v>86.647454370797306</v>
      </c>
    </row>
    <row r="8" spans="1:36" s="180" customFormat="1" ht="14.25" customHeight="1">
      <c r="A8" s="190" t="s">
        <v>93</v>
      </c>
      <c r="B8" s="166" t="s">
        <v>0</v>
      </c>
      <c r="C8" s="199">
        <f t="shared" si="0"/>
        <v>68</v>
      </c>
      <c r="D8" s="199">
        <f t="shared" si="0"/>
        <v>28</v>
      </c>
      <c r="E8" s="199">
        <f t="shared" si="0"/>
        <v>96</v>
      </c>
      <c r="F8" s="199">
        <f t="shared" si="0"/>
        <v>21</v>
      </c>
      <c r="G8" s="199">
        <f t="shared" si="0"/>
        <v>75</v>
      </c>
      <c r="H8" s="199"/>
      <c r="I8" s="199"/>
      <c r="J8" s="171">
        <v>61</v>
      </c>
      <c r="K8" s="171">
        <v>27</v>
      </c>
      <c r="L8" s="171">
        <v>88</v>
      </c>
      <c r="M8" s="171">
        <v>18</v>
      </c>
      <c r="N8" s="171">
        <v>70</v>
      </c>
      <c r="O8" s="171"/>
      <c r="P8" s="171">
        <v>7</v>
      </c>
      <c r="Q8" s="171">
        <v>1</v>
      </c>
      <c r="R8" s="171">
        <v>8</v>
      </c>
      <c r="S8" s="171">
        <v>3</v>
      </c>
      <c r="T8" s="171">
        <v>5</v>
      </c>
      <c r="U8" s="171"/>
      <c r="V8" s="171"/>
      <c r="W8" s="171"/>
      <c r="X8" s="171">
        <v>123</v>
      </c>
      <c r="Y8" s="171">
        <v>181</v>
      </c>
      <c r="Z8" s="171">
        <v>304</v>
      </c>
      <c r="AA8" s="171">
        <v>148</v>
      </c>
      <c r="AB8" s="171">
        <v>156</v>
      </c>
      <c r="AC8" s="171"/>
      <c r="AD8" s="171"/>
      <c r="AE8" s="171">
        <v>21</v>
      </c>
      <c r="AF8" s="171">
        <v>169</v>
      </c>
      <c r="AG8" s="171">
        <v>190</v>
      </c>
      <c r="AH8" s="171">
        <v>170</v>
      </c>
      <c r="AI8" s="171">
        <v>20</v>
      </c>
    </row>
    <row r="9" spans="1:36" s="180" customFormat="1" ht="14.25" customHeight="1">
      <c r="A9" s="190" t="s">
        <v>94</v>
      </c>
      <c r="B9" s="166" t="s">
        <v>0</v>
      </c>
      <c r="C9" s="199">
        <f t="shared" si="0"/>
        <v>81</v>
      </c>
      <c r="D9" s="199">
        <f t="shared" si="0"/>
        <v>73</v>
      </c>
      <c r="E9" s="199">
        <f t="shared" si="0"/>
        <v>154</v>
      </c>
      <c r="F9" s="199">
        <f t="shared" si="0"/>
        <v>41</v>
      </c>
      <c r="G9" s="199">
        <f t="shared" si="0"/>
        <v>113</v>
      </c>
      <c r="H9" s="199"/>
      <c r="I9" s="199"/>
      <c r="J9" s="171">
        <v>74</v>
      </c>
      <c r="K9" s="171">
        <v>69</v>
      </c>
      <c r="L9" s="171">
        <v>143</v>
      </c>
      <c r="M9" s="171">
        <v>34</v>
      </c>
      <c r="N9" s="171">
        <v>109</v>
      </c>
      <c r="O9" s="171"/>
      <c r="P9" s="171">
        <v>7</v>
      </c>
      <c r="Q9" s="171">
        <v>4</v>
      </c>
      <c r="R9" s="171">
        <v>11</v>
      </c>
      <c r="S9" s="171">
        <v>7</v>
      </c>
      <c r="T9" s="171">
        <v>4</v>
      </c>
      <c r="U9" s="171"/>
      <c r="V9" s="171"/>
      <c r="W9" s="171"/>
      <c r="X9" s="171">
        <v>93</v>
      </c>
      <c r="Y9" s="171">
        <v>178</v>
      </c>
      <c r="Z9" s="171">
        <v>271</v>
      </c>
      <c r="AA9" s="171">
        <v>104</v>
      </c>
      <c r="AB9" s="171">
        <v>167</v>
      </c>
      <c r="AC9" s="171"/>
      <c r="AD9" s="171"/>
      <c r="AE9" s="171">
        <v>34</v>
      </c>
      <c r="AF9" s="171">
        <v>233</v>
      </c>
      <c r="AG9" s="171">
        <v>267</v>
      </c>
      <c r="AH9" s="171">
        <v>222</v>
      </c>
      <c r="AI9" s="171">
        <v>45</v>
      </c>
    </row>
    <row r="10" spans="1:36" s="180" customFormat="1" ht="14.25" customHeight="1">
      <c r="A10" s="190" t="s">
        <v>95</v>
      </c>
      <c r="B10" s="166" t="s">
        <v>0</v>
      </c>
      <c r="C10" s="199">
        <f t="shared" si="0"/>
        <v>10</v>
      </c>
      <c r="D10" s="199">
        <f t="shared" si="0"/>
        <v>24</v>
      </c>
      <c r="E10" s="199">
        <f t="shared" si="0"/>
        <v>34</v>
      </c>
      <c r="F10" s="199">
        <f t="shared" si="0"/>
        <v>28</v>
      </c>
      <c r="G10" s="199">
        <f t="shared" si="0"/>
        <v>6</v>
      </c>
      <c r="H10" s="199"/>
      <c r="I10" s="199"/>
      <c r="J10" s="171">
        <v>10</v>
      </c>
      <c r="K10" s="171">
        <v>22</v>
      </c>
      <c r="L10" s="171">
        <v>32</v>
      </c>
      <c r="M10" s="171">
        <v>28</v>
      </c>
      <c r="N10" s="171">
        <v>4</v>
      </c>
      <c r="O10" s="171"/>
      <c r="P10" s="171">
        <v>0</v>
      </c>
      <c r="Q10" s="171">
        <v>2</v>
      </c>
      <c r="R10" s="171">
        <v>2</v>
      </c>
      <c r="S10" s="171">
        <v>0</v>
      </c>
      <c r="T10" s="171">
        <v>2</v>
      </c>
      <c r="U10" s="171"/>
      <c r="V10" s="171"/>
      <c r="W10" s="171"/>
      <c r="X10" s="171">
        <v>43</v>
      </c>
      <c r="Y10" s="171">
        <v>145</v>
      </c>
      <c r="Z10" s="171">
        <v>188</v>
      </c>
      <c r="AA10" s="171">
        <v>142</v>
      </c>
      <c r="AB10" s="171">
        <v>46</v>
      </c>
      <c r="AC10" s="171"/>
      <c r="AD10" s="171"/>
      <c r="AE10" s="171">
        <v>16</v>
      </c>
      <c r="AF10" s="171">
        <v>162</v>
      </c>
      <c r="AG10" s="171">
        <v>178</v>
      </c>
      <c r="AH10" s="171">
        <v>162</v>
      </c>
      <c r="AI10" s="171">
        <v>16</v>
      </c>
    </row>
    <row r="11" spans="1:36" s="180" customFormat="1" ht="14.25" customHeight="1">
      <c r="A11" s="190" t="s">
        <v>96</v>
      </c>
      <c r="B11" s="166" t="s">
        <v>0</v>
      </c>
      <c r="C11" s="199">
        <f t="shared" si="0"/>
        <v>48</v>
      </c>
      <c r="D11" s="199">
        <f t="shared" si="0"/>
        <v>62</v>
      </c>
      <c r="E11" s="199">
        <f t="shared" si="0"/>
        <v>110</v>
      </c>
      <c r="F11" s="199">
        <f t="shared" si="0"/>
        <v>45</v>
      </c>
      <c r="G11" s="199">
        <f t="shared" si="0"/>
        <v>65</v>
      </c>
      <c r="H11" s="199"/>
      <c r="I11" s="199"/>
      <c r="J11" s="171">
        <v>47</v>
      </c>
      <c r="K11" s="171">
        <v>58</v>
      </c>
      <c r="L11" s="171">
        <v>105</v>
      </c>
      <c r="M11" s="171">
        <v>42</v>
      </c>
      <c r="N11" s="171">
        <v>63</v>
      </c>
      <c r="O11" s="171"/>
      <c r="P11" s="171">
        <v>1</v>
      </c>
      <c r="Q11" s="171">
        <v>4</v>
      </c>
      <c r="R11" s="171">
        <v>5</v>
      </c>
      <c r="S11" s="171">
        <v>3</v>
      </c>
      <c r="T11" s="171">
        <v>2</v>
      </c>
      <c r="U11" s="171"/>
      <c r="V11" s="171"/>
      <c r="W11" s="171"/>
      <c r="X11" s="171">
        <v>117</v>
      </c>
      <c r="Y11" s="171">
        <v>186</v>
      </c>
      <c r="Z11" s="171">
        <v>303</v>
      </c>
      <c r="AA11" s="171">
        <v>174</v>
      </c>
      <c r="AB11" s="171">
        <v>129</v>
      </c>
      <c r="AC11" s="171"/>
      <c r="AD11" s="171"/>
      <c r="AE11" s="171">
        <v>30</v>
      </c>
      <c r="AF11" s="171">
        <v>215</v>
      </c>
      <c r="AG11" s="171">
        <v>245</v>
      </c>
      <c r="AH11" s="171">
        <v>188</v>
      </c>
      <c r="AI11" s="171">
        <v>57</v>
      </c>
    </row>
    <row r="12" spans="1:36" s="180" customFormat="1" ht="14.25" customHeight="1">
      <c r="A12" s="190" t="s">
        <v>97</v>
      </c>
      <c r="B12" s="166" t="s">
        <v>0</v>
      </c>
      <c r="C12" s="199">
        <f t="shared" si="0"/>
        <v>73</v>
      </c>
      <c r="D12" s="199">
        <f t="shared" si="0"/>
        <v>84</v>
      </c>
      <c r="E12" s="199">
        <f t="shared" si="0"/>
        <v>157</v>
      </c>
      <c r="F12" s="199">
        <f t="shared" si="0"/>
        <v>80</v>
      </c>
      <c r="G12" s="199">
        <f t="shared" si="0"/>
        <v>77</v>
      </c>
      <c r="H12" s="199"/>
      <c r="I12" s="199"/>
      <c r="J12" s="171">
        <v>70</v>
      </c>
      <c r="K12" s="171">
        <v>78</v>
      </c>
      <c r="L12" s="171">
        <v>148</v>
      </c>
      <c r="M12" s="171">
        <v>76</v>
      </c>
      <c r="N12" s="171">
        <v>72</v>
      </c>
      <c r="O12" s="171"/>
      <c r="P12" s="171">
        <v>3</v>
      </c>
      <c r="Q12" s="171">
        <v>6</v>
      </c>
      <c r="R12" s="171">
        <v>9</v>
      </c>
      <c r="S12" s="171">
        <v>4</v>
      </c>
      <c r="T12" s="171">
        <v>5</v>
      </c>
      <c r="U12" s="171"/>
      <c r="V12" s="171"/>
      <c r="W12" s="171"/>
      <c r="X12" s="171">
        <v>71</v>
      </c>
      <c r="Y12" s="171">
        <v>202</v>
      </c>
      <c r="Z12" s="171">
        <v>273</v>
      </c>
      <c r="AA12" s="171">
        <v>186</v>
      </c>
      <c r="AB12" s="171">
        <v>87</v>
      </c>
      <c r="AC12" s="171"/>
      <c r="AD12" s="171"/>
      <c r="AE12" s="171">
        <v>18</v>
      </c>
      <c r="AF12" s="171">
        <v>231</v>
      </c>
      <c r="AG12" s="171">
        <v>249</v>
      </c>
      <c r="AH12" s="171">
        <v>219</v>
      </c>
      <c r="AI12" s="171">
        <v>30</v>
      </c>
    </row>
    <row r="13" spans="1:36" s="180" customFormat="1" ht="14.25" customHeight="1">
      <c r="A13" s="190" t="s">
        <v>98</v>
      </c>
      <c r="B13" s="166" t="s">
        <v>0</v>
      </c>
      <c r="C13" s="199">
        <f t="shared" si="0"/>
        <v>21</v>
      </c>
      <c r="D13" s="199">
        <f t="shared" si="0"/>
        <v>26</v>
      </c>
      <c r="E13" s="199">
        <f t="shared" si="0"/>
        <v>47</v>
      </c>
      <c r="F13" s="199">
        <f t="shared" si="0"/>
        <v>10</v>
      </c>
      <c r="G13" s="199">
        <f t="shared" si="0"/>
        <v>37</v>
      </c>
      <c r="H13" s="199"/>
      <c r="I13" s="199"/>
      <c r="J13" s="171">
        <v>17</v>
      </c>
      <c r="K13" s="171">
        <v>23</v>
      </c>
      <c r="L13" s="171">
        <v>40</v>
      </c>
      <c r="M13" s="171">
        <v>9</v>
      </c>
      <c r="N13" s="171">
        <v>31</v>
      </c>
      <c r="O13" s="171"/>
      <c r="P13" s="171">
        <v>4</v>
      </c>
      <c r="Q13" s="171">
        <v>3</v>
      </c>
      <c r="R13" s="171">
        <v>7</v>
      </c>
      <c r="S13" s="171">
        <v>1</v>
      </c>
      <c r="T13" s="171">
        <v>6</v>
      </c>
      <c r="U13" s="171"/>
      <c r="V13" s="171"/>
      <c r="W13" s="171"/>
      <c r="X13" s="171">
        <v>38</v>
      </c>
      <c r="Y13" s="171">
        <v>183</v>
      </c>
      <c r="Z13" s="171">
        <v>221</v>
      </c>
      <c r="AA13" s="171">
        <v>119</v>
      </c>
      <c r="AB13" s="171">
        <v>102</v>
      </c>
      <c r="AC13" s="171"/>
      <c r="AD13" s="171"/>
      <c r="AE13" s="171">
        <v>20</v>
      </c>
      <c r="AF13" s="171">
        <v>135</v>
      </c>
      <c r="AG13" s="171">
        <v>155</v>
      </c>
      <c r="AH13" s="171">
        <v>124</v>
      </c>
      <c r="AI13" s="171">
        <v>31</v>
      </c>
    </row>
    <row r="14" spans="1:36" s="180" customFormat="1" ht="14.25" customHeight="1">
      <c r="A14" s="190" t="s">
        <v>99</v>
      </c>
      <c r="B14" s="166" t="s">
        <v>0</v>
      </c>
      <c r="C14" s="199">
        <f t="shared" si="0"/>
        <v>77</v>
      </c>
      <c r="D14" s="199">
        <f t="shared" si="0"/>
        <v>61</v>
      </c>
      <c r="E14" s="199">
        <f t="shared" si="0"/>
        <v>138</v>
      </c>
      <c r="F14" s="199">
        <f t="shared" si="0"/>
        <v>57</v>
      </c>
      <c r="G14" s="199">
        <f t="shared" si="0"/>
        <v>81</v>
      </c>
      <c r="H14" s="199"/>
      <c r="I14" s="199"/>
      <c r="J14" s="171">
        <v>72</v>
      </c>
      <c r="K14" s="171">
        <v>57</v>
      </c>
      <c r="L14" s="171">
        <v>129</v>
      </c>
      <c r="M14" s="171">
        <v>52</v>
      </c>
      <c r="N14" s="171">
        <v>77</v>
      </c>
      <c r="O14" s="171"/>
      <c r="P14" s="171">
        <v>5</v>
      </c>
      <c r="Q14" s="171">
        <v>4</v>
      </c>
      <c r="R14" s="171">
        <v>9</v>
      </c>
      <c r="S14" s="171">
        <v>5</v>
      </c>
      <c r="T14" s="171">
        <v>4</v>
      </c>
      <c r="U14" s="171"/>
      <c r="V14" s="171"/>
      <c r="W14" s="171"/>
      <c r="X14" s="171">
        <v>124</v>
      </c>
      <c r="Y14" s="171">
        <v>124</v>
      </c>
      <c r="Z14" s="171">
        <v>248</v>
      </c>
      <c r="AA14" s="171">
        <v>127</v>
      </c>
      <c r="AB14" s="171">
        <v>121</v>
      </c>
      <c r="AC14" s="171"/>
      <c r="AD14" s="171"/>
      <c r="AE14" s="171">
        <v>44</v>
      </c>
      <c r="AF14" s="171">
        <v>178</v>
      </c>
      <c r="AG14" s="171">
        <v>222</v>
      </c>
      <c r="AH14" s="171">
        <v>182</v>
      </c>
      <c r="AI14" s="171">
        <v>40</v>
      </c>
    </row>
    <row r="15" spans="1:36" s="180" customFormat="1" ht="14.25" customHeight="1">
      <c r="A15" s="190" t="s">
        <v>100</v>
      </c>
      <c r="B15" s="166" t="s">
        <v>0</v>
      </c>
      <c r="C15" s="199">
        <f t="shared" si="0"/>
        <v>31</v>
      </c>
      <c r="D15" s="199">
        <f t="shared" si="0"/>
        <v>41</v>
      </c>
      <c r="E15" s="199">
        <f t="shared" si="0"/>
        <v>72</v>
      </c>
      <c r="F15" s="199">
        <f t="shared" si="0"/>
        <v>31</v>
      </c>
      <c r="G15" s="199">
        <f t="shared" si="0"/>
        <v>41</v>
      </c>
      <c r="H15" s="199"/>
      <c r="I15" s="199"/>
      <c r="J15" s="171">
        <v>30</v>
      </c>
      <c r="K15" s="171">
        <v>37</v>
      </c>
      <c r="L15" s="171">
        <v>67</v>
      </c>
      <c r="M15" s="171">
        <v>30</v>
      </c>
      <c r="N15" s="171">
        <v>37</v>
      </c>
      <c r="O15" s="171"/>
      <c r="P15" s="171">
        <v>1</v>
      </c>
      <c r="Q15" s="171">
        <v>4</v>
      </c>
      <c r="R15" s="171">
        <v>5</v>
      </c>
      <c r="S15" s="171">
        <v>1</v>
      </c>
      <c r="T15" s="171">
        <v>4</v>
      </c>
      <c r="U15" s="171"/>
      <c r="V15" s="171"/>
      <c r="W15" s="171"/>
      <c r="X15" s="171">
        <v>67</v>
      </c>
      <c r="Y15" s="171">
        <v>145</v>
      </c>
      <c r="Z15" s="171">
        <v>212</v>
      </c>
      <c r="AA15" s="171">
        <v>153</v>
      </c>
      <c r="AB15" s="171">
        <v>59</v>
      </c>
      <c r="AC15" s="171"/>
      <c r="AD15" s="171"/>
      <c r="AE15" s="171">
        <v>17</v>
      </c>
      <c r="AF15" s="171">
        <v>218</v>
      </c>
      <c r="AG15" s="171">
        <v>235</v>
      </c>
      <c r="AH15" s="171">
        <v>217</v>
      </c>
      <c r="AI15" s="171">
        <v>18</v>
      </c>
    </row>
    <row r="16" spans="1:36" s="180" customFormat="1" ht="14.25" customHeight="1">
      <c r="A16" s="190" t="s">
        <v>101</v>
      </c>
      <c r="B16" s="166" t="s">
        <v>0</v>
      </c>
      <c r="C16" s="199">
        <f t="shared" si="0"/>
        <v>13</v>
      </c>
      <c r="D16" s="199">
        <f t="shared" si="0"/>
        <v>13</v>
      </c>
      <c r="E16" s="199">
        <f t="shared" si="0"/>
        <v>26</v>
      </c>
      <c r="F16" s="199">
        <f t="shared" si="0"/>
        <v>11</v>
      </c>
      <c r="G16" s="199">
        <f t="shared" si="0"/>
        <v>15</v>
      </c>
      <c r="H16" s="199"/>
      <c r="I16" s="199"/>
      <c r="J16" s="171">
        <v>12</v>
      </c>
      <c r="K16" s="171">
        <v>11</v>
      </c>
      <c r="L16" s="171">
        <v>23</v>
      </c>
      <c r="M16" s="171">
        <v>11</v>
      </c>
      <c r="N16" s="171">
        <v>12</v>
      </c>
      <c r="O16" s="171"/>
      <c r="P16" s="171">
        <v>1</v>
      </c>
      <c r="Q16" s="171">
        <v>2</v>
      </c>
      <c r="R16" s="171">
        <v>3</v>
      </c>
      <c r="S16" s="171">
        <v>0</v>
      </c>
      <c r="T16" s="171">
        <v>3</v>
      </c>
      <c r="U16" s="171"/>
      <c r="V16" s="171"/>
      <c r="W16" s="171"/>
      <c r="X16" s="171">
        <v>58</v>
      </c>
      <c r="Y16" s="171">
        <v>123</v>
      </c>
      <c r="Z16" s="171">
        <v>181</v>
      </c>
      <c r="AA16" s="171">
        <v>142</v>
      </c>
      <c r="AB16" s="171">
        <v>39</v>
      </c>
      <c r="AC16" s="171"/>
      <c r="AD16" s="171"/>
      <c r="AE16" s="171">
        <v>9</v>
      </c>
      <c r="AF16" s="171">
        <v>123</v>
      </c>
      <c r="AG16" s="171">
        <v>132</v>
      </c>
      <c r="AH16" s="171">
        <v>126</v>
      </c>
      <c r="AI16" s="171">
        <v>6</v>
      </c>
    </row>
    <row r="17" spans="1:35" s="180" customFormat="1">
      <c r="A17" s="190" t="s">
        <v>102</v>
      </c>
      <c r="B17" s="166" t="s">
        <v>0</v>
      </c>
      <c r="C17" s="199">
        <f t="shared" si="0"/>
        <v>14</v>
      </c>
      <c r="D17" s="199">
        <f t="shared" si="0"/>
        <v>18</v>
      </c>
      <c r="E17" s="199">
        <f t="shared" si="0"/>
        <v>32</v>
      </c>
      <c r="F17" s="199">
        <f t="shared" si="0"/>
        <v>23</v>
      </c>
      <c r="G17" s="199">
        <f t="shared" si="0"/>
        <v>9</v>
      </c>
      <c r="H17" s="199"/>
      <c r="I17" s="199"/>
      <c r="J17" s="171">
        <v>13</v>
      </c>
      <c r="K17" s="171">
        <v>16</v>
      </c>
      <c r="L17" s="171">
        <v>29</v>
      </c>
      <c r="M17" s="171">
        <v>22</v>
      </c>
      <c r="N17" s="171">
        <v>7</v>
      </c>
      <c r="O17" s="171"/>
      <c r="P17" s="171">
        <v>1</v>
      </c>
      <c r="Q17" s="171">
        <v>2</v>
      </c>
      <c r="R17" s="171">
        <v>3</v>
      </c>
      <c r="S17" s="171">
        <v>1</v>
      </c>
      <c r="T17" s="171">
        <v>2</v>
      </c>
      <c r="U17" s="171"/>
      <c r="V17" s="171"/>
      <c r="W17" s="171"/>
      <c r="X17" s="171">
        <v>78</v>
      </c>
      <c r="Y17" s="171">
        <v>145</v>
      </c>
      <c r="Z17" s="171">
        <v>223</v>
      </c>
      <c r="AA17" s="171">
        <v>155</v>
      </c>
      <c r="AB17" s="171">
        <v>68</v>
      </c>
      <c r="AC17" s="171"/>
      <c r="AD17" s="171"/>
      <c r="AE17" s="171">
        <v>25</v>
      </c>
      <c r="AF17" s="171">
        <v>141</v>
      </c>
      <c r="AG17" s="171">
        <v>166</v>
      </c>
      <c r="AH17" s="171">
        <v>138</v>
      </c>
      <c r="AI17" s="171">
        <v>28</v>
      </c>
    </row>
    <row r="18" spans="1:35" s="180" customFormat="1">
      <c r="A18" s="190" t="s">
        <v>103</v>
      </c>
      <c r="B18" s="166" t="s">
        <v>0</v>
      </c>
      <c r="C18" s="199">
        <f t="shared" si="0"/>
        <v>2</v>
      </c>
      <c r="D18" s="199">
        <f t="shared" si="0"/>
        <v>1</v>
      </c>
      <c r="E18" s="199">
        <f t="shared" si="0"/>
        <v>3</v>
      </c>
      <c r="F18" s="199">
        <f t="shared" si="0"/>
        <v>2</v>
      </c>
      <c r="G18" s="199">
        <f t="shared" si="0"/>
        <v>1</v>
      </c>
      <c r="H18" s="199"/>
      <c r="I18" s="199"/>
      <c r="J18" s="171">
        <v>2</v>
      </c>
      <c r="K18" s="171">
        <v>1</v>
      </c>
      <c r="L18" s="171">
        <v>3</v>
      </c>
      <c r="M18" s="171">
        <v>2</v>
      </c>
      <c r="N18" s="171">
        <v>1</v>
      </c>
      <c r="O18" s="171"/>
      <c r="P18" s="171">
        <v>0</v>
      </c>
      <c r="Q18" s="171">
        <v>0</v>
      </c>
      <c r="R18" s="171">
        <v>0</v>
      </c>
      <c r="S18" s="171">
        <v>0</v>
      </c>
      <c r="T18" s="171">
        <v>0</v>
      </c>
      <c r="U18" s="171"/>
      <c r="V18" s="171"/>
      <c r="W18" s="171"/>
      <c r="X18" s="171">
        <v>6</v>
      </c>
      <c r="Y18" s="171">
        <v>33</v>
      </c>
      <c r="Z18" s="171">
        <v>39</v>
      </c>
      <c r="AA18" s="171">
        <v>28</v>
      </c>
      <c r="AB18" s="171">
        <v>11</v>
      </c>
      <c r="AC18" s="171"/>
      <c r="AD18" s="171"/>
      <c r="AE18" s="171">
        <v>2</v>
      </c>
      <c r="AF18" s="171">
        <v>19</v>
      </c>
      <c r="AG18" s="171">
        <v>21</v>
      </c>
      <c r="AH18" s="171">
        <v>21</v>
      </c>
      <c r="AI18" s="171">
        <v>0</v>
      </c>
    </row>
    <row r="19" spans="1:35" s="180" customFormat="1">
      <c r="A19" s="190" t="s">
        <v>104</v>
      </c>
      <c r="B19" s="166" t="s">
        <v>0</v>
      </c>
      <c r="C19" s="199">
        <f t="shared" si="0"/>
        <v>4</v>
      </c>
      <c r="D19" s="199">
        <f t="shared" si="0"/>
        <v>4</v>
      </c>
      <c r="E19" s="199">
        <f t="shared" si="0"/>
        <v>8</v>
      </c>
      <c r="F19" s="199">
        <f t="shared" si="0"/>
        <v>3</v>
      </c>
      <c r="G19" s="199">
        <f t="shared" si="0"/>
        <v>5</v>
      </c>
      <c r="H19" s="199"/>
      <c r="I19" s="199"/>
      <c r="J19" s="171">
        <v>4</v>
      </c>
      <c r="K19" s="171">
        <v>3</v>
      </c>
      <c r="L19" s="171">
        <v>7</v>
      </c>
      <c r="M19" s="171">
        <v>3</v>
      </c>
      <c r="N19" s="171">
        <v>4</v>
      </c>
      <c r="O19" s="171"/>
      <c r="P19" s="171">
        <v>0</v>
      </c>
      <c r="Q19" s="171">
        <v>1</v>
      </c>
      <c r="R19" s="171">
        <v>1</v>
      </c>
      <c r="S19" s="171">
        <v>0</v>
      </c>
      <c r="T19" s="171">
        <v>1</v>
      </c>
      <c r="U19" s="171"/>
      <c r="V19" s="171"/>
      <c r="W19" s="171"/>
      <c r="X19" s="171">
        <v>89</v>
      </c>
      <c r="Y19" s="171">
        <v>62</v>
      </c>
      <c r="Z19" s="171">
        <v>151</v>
      </c>
      <c r="AA19" s="171">
        <v>109</v>
      </c>
      <c r="AB19" s="171">
        <v>42</v>
      </c>
      <c r="AC19" s="171"/>
      <c r="AD19" s="171"/>
      <c r="AE19" s="171">
        <v>6</v>
      </c>
      <c r="AF19" s="171">
        <v>72</v>
      </c>
      <c r="AG19" s="171">
        <v>78</v>
      </c>
      <c r="AH19" s="171">
        <v>71</v>
      </c>
      <c r="AI19" s="171">
        <v>7</v>
      </c>
    </row>
    <row r="20" spans="1:35" s="180" customFormat="1">
      <c r="A20" s="190" t="s">
        <v>105</v>
      </c>
      <c r="B20" s="166" t="s">
        <v>0</v>
      </c>
      <c r="C20" s="199">
        <f t="shared" si="0"/>
        <v>6</v>
      </c>
      <c r="D20" s="199">
        <f t="shared" si="0"/>
        <v>14</v>
      </c>
      <c r="E20" s="199">
        <f t="shared" si="0"/>
        <v>20</v>
      </c>
      <c r="F20" s="199">
        <f t="shared" si="0"/>
        <v>13</v>
      </c>
      <c r="G20" s="199">
        <f t="shared" si="0"/>
        <v>7</v>
      </c>
      <c r="H20" s="199"/>
      <c r="I20" s="199"/>
      <c r="J20" s="171">
        <v>5</v>
      </c>
      <c r="K20" s="171">
        <v>14</v>
      </c>
      <c r="L20" s="171">
        <v>19</v>
      </c>
      <c r="M20" s="171">
        <v>12</v>
      </c>
      <c r="N20" s="171">
        <v>7</v>
      </c>
      <c r="O20" s="171"/>
      <c r="P20" s="171">
        <v>1</v>
      </c>
      <c r="Q20" s="171">
        <v>0</v>
      </c>
      <c r="R20" s="171">
        <v>1</v>
      </c>
      <c r="S20" s="171">
        <v>1</v>
      </c>
      <c r="T20" s="171">
        <v>0</v>
      </c>
      <c r="U20" s="171"/>
      <c r="V20" s="171"/>
      <c r="W20" s="171"/>
      <c r="X20" s="171">
        <v>50</v>
      </c>
      <c r="Y20" s="171">
        <v>83</v>
      </c>
      <c r="Z20" s="171">
        <v>133</v>
      </c>
      <c r="AA20" s="171">
        <v>84</v>
      </c>
      <c r="AB20" s="171">
        <v>49</v>
      </c>
      <c r="AC20" s="171"/>
      <c r="AD20" s="171"/>
      <c r="AE20" s="171">
        <v>14</v>
      </c>
      <c r="AF20" s="171">
        <v>70</v>
      </c>
      <c r="AG20" s="171">
        <v>84</v>
      </c>
      <c r="AH20" s="171">
        <v>70</v>
      </c>
      <c r="AI20" s="171">
        <v>14</v>
      </c>
    </row>
    <row r="21" spans="1:35" s="180" customFormat="1">
      <c r="A21" s="190" t="s">
        <v>106</v>
      </c>
      <c r="B21" s="166" t="s">
        <v>0</v>
      </c>
      <c r="C21" s="199">
        <f t="shared" si="0"/>
        <v>5</v>
      </c>
      <c r="D21" s="199">
        <f t="shared" si="0"/>
        <v>4</v>
      </c>
      <c r="E21" s="199">
        <f t="shared" si="0"/>
        <v>9</v>
      </c>
      <c r="F21" s="199">
        <f t="shared" si="0"/>
        <v>6</v>
      </c>
      <c r="G21" s="199">
        <f t="shared" si="0"/>
        <v>3</v>
      </c>
      <c r="H21" s="199"/>
      <c r="I21" s="199"/>
      <c r="J21" s="171">
        <v>3</v>
      </c>
      <c r="K21" s="171">
        <v>4</v>
      </c>
      <c r="L21" s="171">
        <v>7</v>
      </c>
      <c r="M21" s="171">
        <v>6</v>
      </c>
      <c r="N21" s="171">
        <v>1</v>
      </c>
      <c r="O21" s="171"/>
      <c r="P21" s="171">
        <v>2</v>
      </c>
      <c r="Q21" s="171">
        <v>0</v>
      </c>
      <c r="R21" s="171">
        <v>2</v>
      </c>
      <c r="S21" s="171">
        <v>0</v>
      </c>
      <c r="T21" s="171">
        <v>2</v>
      </c>
      <c r="U21" s="171"/>
      <c r="V21" s="171"/>
      <c r="W21" s="171"/>
      <c r="X21" s="171">
        <v>57</v>
      </c>
      <c r="Y21" s="171">
        <v>89</v>
      </c>
      <c r="Z21" s="171">
        <v>146</v>
      </c>
      <c r="AA21" s="171">
        <v>111</v>
      </c>
      <c r="AB21" s="171">
        <v>35</v>
      </c>
      <c r="AC21" s="171"/>
      <c r="AD21" s="171"/>
      <c r="AE21" s="171">
        <v>14</v>
      </c>
      <c r="AF21" s="171">
        <v>85</v>
      </c>
      <c r="AG21" s="171">
        <v>99</v>
      </c>
      <c r="AH21" s="171">
        <v>87</v>
      </c>
      <c r="AI21" s="171">
        <v>12</v>
      </c>
    </row>
    <row r="22" spans="1:35" s="180" customFormat="1">
      <c r="A22" s="190" t="s">
        <v>107</v>
      </c>
      <c r="B22" s="166" t="s">
        <v>0</v>
      </c>
      <c r="C22" s="199">
        <f t="shared" si="0"/>
        <v>46</v>
      </c>
      <c r="D22" s="199">
        <f t="shared" si="0"/>
        <v>76</v>
      </c>
      <c r="E22" s="199">
        <f t="shared" si="0"/>
        <v>122</v>
      </c>
      <c r="F22" s="199">
        <f t="shared" si="0"/>
        <v>34</v>
      </c>
      <c r="G22" s="199">
        <f t="shared" si="0"/>
        <v>88</v>
      </c>
      <c r="H22" s="199"/>
      <c r="I22" s="199"/>
      <c r="J22" s="171">
        <v>42</v>
      </c>
      <c r="K22" s="171">
        <v>67</v>
      </c>
      <c r="L22" s="171">
        <v>109</v>
      </c>
      <c r="M22" s="171">
        <v>27</v>
      </c>
      <c r="N22" s="171">
        <v>82</v>
      </c>
      <c r="O22" s="171"/>
      <c r="P22" s="171">
        <v>4</v>
      </c>
      <c r="Q22" s="171">
        <v>9</v>
      </c>
      <c r="R22" s="171">
        <v>13</v>
      </c>
      <c r="S22" s="171">
        <v>7</v>
      </c>
      <c r="T22" s="171">
        <v>6</v>
      </c>
      <c r="U22" s="171"/>
      <c r="V22" s="171"/>
      <c r="W22" s="171"/>
      <c r="X22" s="171">
        <v>103</v>
      </c>
      <c r="Y22" s="171">
        <v>177</v>
      </c>
      <c r="Z22" s="171">
        <v>280</v>
      </c>
      <c r="AA22" s="171">
        <v>172</v>
      </c>
      <c r="AB22" s="171">
        <v>108</v>
      </c>
      <c r="AC22" s="171"/>
      <c r="AD22" s="171"/>
      <c r="AE22" s="171">
        <v>22</v>
      </c>
      <c r="AF22" s="171">
        <v>171</v>
      </c>
      <c r="AG22" s="171">
        <v>193</v>
      </c>
      <c r="AH22" s="171">
        <v>168</v>
      </c>
      <c r="AI22" s="171">
        <v>25</v>
      </c>
    </row>
    <row r="23" spans="1:35" s="180" customFormat="1">
      <c r="A23" s="190" t="s">
        <v>108</v>
      </c>
      <c r="B23" s="166" t="s">
        <v>0</v>
      </c>
      <c r="C23" s="199">
        <f t="shared" si="0"/>
        <v>89</v>
      </c>
      <c r="D23" s="199">
        <f t="shared" si="0"/>
        <v>108</v>
      </c>
      <c r="E23" s="199">
        <f t="shared" si="0"/>
        <v>197</v>
      </c>
      <c r="F23" s="199">
        <f t="shared" si="0"/>
        <v>33</v>
      </c>
      <c r="G23" s="199">
        <f t="shared" si="0"/>
        <v>164</v>
      </c>
      <c r="H23" s="199"/>
      <c r="I23" s="199"/>
      <c r="J23" s="171">
        <v>82</v>
      </c>
      <c r="K23" s="171">
        <v>104</v>
      </c>
      <c r="L23" s="171">
        <v>186</v>
      </c>
      <c r="M23" s="171">
        <v>31</v>
      </c>
      <c r="N23" s="171">
        <v>155</v>
      </c>
      <c r="O23" s="171"/>
      <c r="P23" s="171">
        <v>7</v>
      </c>
      <c r="Q23" s="171">
        <v>4</v>
      </c>
      <c r="R23" s="171">
        <v>11</v>
      </c>
      <c r="S23" s="171">
        <v>2</v>
      </c>
      <c r="T23" s="171">
        <v>9</v>
      </c>
      <c r="U23" s="171"/>
      <c r="V23" s="171"/>
      <c r="W23" s="171"/>
      <c r="X23" s="171">
        <v>292</v>
      </c>
      <c r="Y23" s="171">
        <v>374</v>
      </c>
      <c r="Z23" s="171">
        <v>666</v>
      </c>
      <c r="AA23" s="171">
        <v>422</v>
      </c>
      <c r="AB23" s="171">
        <v>244</v>
      </c>
      <c r="AC23" s="171"/>
      <c r="AD23" s="171"/>
      <c r="AE23" s="171">
        <v>55</v>
      </c>
      <c r="AF23" s="171">
        <v>291</v>
      </c>
      <c r="AG23" s="171">
        <v>346</v>
      </c>
      <c r="AH23" s="171">
        <v>281</v>
      </c>
      <c r="AI23" s="171">
        <v>65</v>
      </c>
    </row>
    <row r="24" spans="1:35" s="180" customFormat="1">
      <c r="A24" s="190" t="s">
        <v>109</v>
      </c>
      <c r="B24" s="166" t="s">
        <v>0</v>
      </c>
      <c r="C24" s="199">
        <f t="shared" si="0"/>
        <v>34</v>
      </c>
      <c r="D24" s="199">
        <f t="shared" si="0"/>
        <v>48</v>
      </c>
      <c r="E24" s="199">
        <f t="shared" si="0"/>
        <v>82</v>
      </c>
      <c r="F24" s="199">
        <f t="shared" si="0"/>
        <v>48</v>
      </c>
      <c r="G24" s="199">
        <f t="shared" si="0"/>
        <v>34</v>
      </c>
      <c r="H24" s="199"/>
      <c r="I24" s="199"/>
      <c r="J24" s="171">
        <v>29</v>
      </c>
      <c r="K24" s="171">
        <v>47</v>
      </c>
      <c r="L24" s="171">
        <v>76</v>
      </c>
      <c r="M24" s="171">
        <v>45</v>
      </c>
      <c r="N24" s="171">
        <v>31</v>
      </c>
      <c r="O24" s="171"/>
      <c r="P24" s="171">
        <v>5</v>
      </c>
      <c r="Q24" s="171">
        <v>1</v>
      </c>
      <c r="R24" s="171">
        <v>6</v>
      </c>
      <c r="S24" s="171">
        <v>3</v>
      </c>
      <c r="T24" s="171">
        <v>3</v>
      </c>
      <c r="U24" s="171"/>
      <c r="V24" s="171"/>
      <c r="W24" s="171"/>
      <c r="X24" s="171">
        <v>185</v>
      </c>
      <c r="Y24" s="171">
        <v>652</v>
      </c>
      <c r="Z24" s="171">
        <v>837</v>
      </c>
      <c r="AA24" s="171">
        <v>625</v>
      </c>
      <c r="AB24" s="171">
        <v>212</v>
      </c>
      <c r="AC24" s="171"/>
      <c r="AD24" s="171"/>
      <c r="AE24" s="171">
        <v>31</v>
      </c>
      <c r="AF24" s="171">
        <v>238</v>
      </c>
      <c r="AG24" s="171">
        <v>269</v>
      </c>
      <c r="AH24" s="171">
        <v>245</v>
      </c>
      <c r="AI24" s="171">
        <v>24</v>
      </c>
    </row>
    <row r="25" spans="1:35" s="180" customFormat="1">
      <c r="A25" s="190" t="s">
        <v>110</v>
      </c>
      <c r="B25" s="166" t="s">
        <v>0</v>
      </c>
      <c r="C25" s="199">
        <f t="shared" si="0"/>
        <v>28</v>
      </c>
      <c r="D25" s="199">
        <f t="shared" si="0"/>
        <v>57</v>
      </c>
      <c r="E25" s="199">
        <f t="shared" si="0"/>
        <v>85</v>
      </c>
      <c r="F25" s="199">
        <f t="shared" si="0"/>
        <v>33</v>
      </c>
      <c r="G25" s="199">
        <f t="shared" si="0"/>
        <v>52</v>
      </c>
      <c r="H25" s="199"/>
      <c r="I25" s="199"/>
      <c r="J25" s="171">
        <v>27</v>
      </c>
      <c r="K25" s="171">
        <v>50</v>
      </c>
      <c r="L25" s="171">
        <v>77</v>
      </c>
      <c r="M25" s="171">
        <v>29</v>
      </c>
      <c r="N25" s="171">
        <v>48</v>
      </c>
      <c r="O25" s="171"/>
      <c r="P25" s="171">
        <v>1</v>
      </c>
      <c r="Q25" s="171">
        <v>7</v>
      </c>
      <c r="R25" s="171">
        <v>8</v>
      </c>
      <c r="S25" s="171">
        <v>4</v>
      </c>
      <c r="T25" s="171">
        <v>4</v>
      </c>
      <c r="U25" s="171"/>
      <c r="V25" s="171"/>
      <c r="W25" s="171"/>
      <c r="X25" s="171">
        <v>97</v>
      </c>
      <c r="Y25" s="171">
        <v>381</v>
      </c>
      <c r="Z25" s="171">
        <v>478</v>
      </c>
      <c r="AA25" s="171">
        <v>354</v>
      </c>
      <c r="AB25" s="171">
        <v>124</v>
      </c>
      <c r="AC25" s="171"/>
      <c r="AD25" s="171"/>
      <c r="AE25" s="171">
        <v>25</v>
      </c>
      <c r="AF25" s="171">
        <v>309</v>
      </c>
      <c r="AG25" s="171">
        <v>334</v>
      </c>
      <c r="AH25" s="171">
        <v>314</v>
      </c>
      <c r="AI25" s="171">
        <v>20</v>
      </c>
    </row>
    <row r="26" spans="1:35" s="180" customFormat="1">
      <c r="A26" s="190" t="s">
        <v>111</v>
      </c>
      <c r="B26" s="166" t="s">
        <v>0</v>
      </c>
      <c r="C26" s="199">
        <f t="shared" si="0"/>
        <v>106</v>
      </c>
      <c r="D26" s="199">
        <f t="shared" si="0"/>
        <v>149</v>
      </c>
      <c r="E26" s="199">
        <f t="shared" si="0"/>
        <v>255</v>
      </c>
      <c r="F26" s="199">
        <f t="shared" si="0"/>
        <v>110</v>
      </c>
      <c r="G26" s="199">
        <f t="shared" si="0"/>
        <v>145</v>
      </c>
      <c r="H26" s="199"/>
      <c r="I26" s="199"/>
      <c r="J26" s="171">
        <v>94</v>
      </c>
      <c r="K26" s="171">
        <v>128</v>
      </c>
      <c r="L26" s="171">
        <v>222</v>
      </c>
      <c r="M26" s="171">
        <v>95</v>
      </c>
      <c r="N26" s="171">
        <v>127</v>
      </c>
      <c r="O26" s="171"/>
      <c r="P26" s="171">
        <v>12</v>
      </c>
      <c r="Q26" s="171">
        <v>21</v>
      </c>
      <c r="R26" s="171">
        <v>33</v>
      </c>
      <c r="S26" s="171">
        <v>15</v>
      </c>
      <c r="T26" s="171">
        <v>18</v>
      </c>
      <c r="U26" s="171"/>
      <c r="V26" s="171"/>
      <c r="W26" s="171"/>
      <c r="X26" s="171">
        <v>49</v>
      </c>
      <c r="Y26" s="171">
        <v>295</v>
      </c>
      <c r="Z26" s="171">
        <v>344</v>
      </c>
      <c r="AA26" s="171">
        <v>257</v>
      </c>
      <c r="AB26" s="171">
        <v>87</v>
      </c>
      <c r="AC26" s="171"/>
      <c r="AD26" s="171"/>
      <c r="AE26" s="171">
        <v>18</v>
      </c>
      <c r="AF26" s="171">
        <v>242</v>
      </c>
      <c r="AG26" s="171">
        <v>260</v>
      </c>
      <c r="AH26" s="171">
        <v>228</v>
      </c>
      <c r="AI26" s="171">
        <v>32</v>
      </c>
    </row>
    <row r="27" spans="1:35" s="181" customFormat="1">
      <c r="A27" s="190" t="s">
        <v>112</v>
      </c>
      <c r="B27" s="166" t="s">
        <v>0</v>
      </c>
      <c r="C27" s="199">
        <f t="shared" si="0"/>
        <v>7</v>
      </c>
      <c r="D27" s="199">
        <f t="shared" si="0"/>
        <v>244</v>
      </c>
      <c r="E27" s="199">
        <f t="shared" si="0"/>
        <v>251</v>
      </c>
      <c r="F27" s="199">
        <f t="shared" si="0"/>
        <v>61</v>
      </c>
      <c r="G27" s="199">
        <f t="shared" si="0"/>
        <v>190</v>
      </c>
      <c r="H27" s="199"/>
      <c r="I27" s="199"/>
      <c r="J27" s="171">
        <v>6</v>
      </c>
      <c r="K27" s="171">
        <v>221</v>
      </c>
      <c r="L27" s="171">
        <v>227</v>
      </c>
      <c r="M27" s="171">
        <v>55</v>
      </c>
      <c r="N27" s="171">
        <v>172</v>
      </c>
      <c r="O27" s="171"/>
      <c r="P27" s="171">
        <v>1</v>
      </c>
      <c r="Q27" s="171">
        <v>23</v>
      </c>
      <c r="R27" s="171">
        <v>24</v>
      </c>
      <c r="S27" s="171">
        <v>6</v>
      </c>
      <c r="T27" s="171">
        <v>18</v>
      </c>
      <c r="U27" s="171"/>
      <c r="V27" s="171"/>
      <c r="W27" s="171"/>
      <c r="X27" s="171">
        <v>41</v>
      </c>
      <c r="Y27" s="171">
        <v>390</v>
      </c>
      <c r="Z27" s="171">
        <v>431</v>
      </c>
      <c r="AA27" s="171">
        <v>223</v>
      </c>
      <c r="AB27" s="171">
        <v>208</v>
      </c>
      <c r="AC27" s="171"/>
      <c r="AD27" s="171"/>
      <c r="AE27" s="171">
        <v>13</v>
      </c>
      <c r="AF27" s="171">
        <v>428</v>
      </c>
      <c r="AG27" s="171">
        <v>441</v>
      </c>
      <c r="AH27" s="171">
        <v>375</v>
      </c>
      <c r="AI27" s="171">
        <v>66</v>
      </c>
    </row>
    <row r="28" spans="1:35">
      <c r="A28" s="167" t="s">
        <v>87</v>
      </c>
      <c r="B28" s="168" t="s">
        <v>88</v>
      </c>
      <c r="C28" s="199">
        <f t="shared" si="0"/>
        <v>0</v>
      </c>
      <c r="D28" s="199">
        <f t="shared" si="0"/>
        <v>0</v>
      </c>
      <c r="E28" s="199">
        <f t="shared" si="0"/>
        <v>0</v>
      </c>
      <c r="F28" s="199">
        <f t="shared" si="0"/>
        <v>0</v>
      </c>
      <c r="G28" s="199">
        <f t="shared" si="0"/>
        <v>0</v>
      </c>
      <c r="H28" s="199"/>
      <c r="I28" s="199"/>
      <c r="J28" s="169">
        <v>0</v>
      </c>
      <c r="K28" s="170">
        <v>0</v>
      </c>
      <c r="L28" s="170">
        <v>0</v>
      </c>
      <c r="M28" s="170">
        <v>0</v>
      </c>
      <c r="N28" s="171">
        <v>0</v>
      </c>
      <c r="O28" s="171"/>
      <c r="P28" s="170">
        <v>0</v>
      </c>
      <c r="Q28" s="170">
        <v>0</v>
      </c>
      <c r="R28" s="170">
        <v>0</v>
      </c>
      <c r="S28" s="170">
        <v>0</v>
      </c>
      <c r="T28" s="171">
        <v>0</v>
      </c>
      <c r="U28" s="171"/>
      <c r="V28" s="171"/>
      <c r="W28" s="171"/>
      <c r="X28" s="170">
        <v>1736</v>
      </c>
      <c r="Y28" s="170">
        <v>2277</v>
      </c>
      <c r="Z28" s="170">
        <v>4013</v>
      </c>
      <c r="AA28" s="170">
        <v>2412</v>
      </c>
      <c r="AB28" s="171">
        <v>1601</v>
      </c>
      <c r="AC28" s="171"/>
      <c r="AD28" s="171"/>
      <c r="AE28" s="170">
        <v>0</v>
      </c>
      <c r="AF28" s="170">
        <v>0</v>
      </c>
      <c r="AG28" s="170">
        <v>0</v>
      </c>
      <c r="AH28" s="170">
        <v>0</v>
      </c>
      <c r="AI28" s="170">
        <v>0</v>
      </c>
    </row>
    <row r="29" spans="1:35">
      <c r="A29" s="167" t="s">
        <v>87</v>
      </c>
      <c r="B29" s="168" t="s">
        <v>89</v>
      </c>
      <c r="C29" s="199">
        <f t="shared" si="0"/>
        <v>2191</v>
      </c>
      <c r="D29" s="199">
        <f t="shared" si="0"/>
        <v>1158</v>
      </c>
      <c r="E29" s="199">
        <f t="shared" si="0"/>
        <v>3349</v>
      </c>
      <c r="F29" s="199">
        <f t="shared" si="0"/>
        <v>990</v>
      </c>
      <c r="G29" s="199">
        <f t="shared" si="0"/>
        <v>2359</v>
      </c>
      <c r="H29" s="199"/>
      <c r="I29" s="199"/>
      <c r="J29" s="170">
        <v>2191</v>
      </c>
      <c r="K29" s="170">
        <v>1158</v>
      </c>
      <c r="L29" s="170">
        <v>3349</v>
      </c>
      <c r="M29" s="170">
        <v>990</v>
      </c>
      <c r="N29" s="171">
        <v>2359</v>
      </c>
      <c r="O29" s="171"/>
      <c r="P29" s="170">
        <v>0</v>
      </c>
      <c r="Q29" s="170">
        <v>0</v>
      </c>
      <c r="R29" s="170">
        <v>0</v>
      </c>
      <c r="S29" s="170">
        <v>0</v>
      </c>
      <c r="T29" s="171">
        <v>0</v>
      </c>
      <c r="U29" s="171"/>
      <c r="V29" s="171"/>
      <c r="W29" s="171"/>
      <c r="X29" s="170">
        <v>0</v>
      </c>
      <c r="Y29" s="170">
        <v>0</v>
      </c>
      <c r="Z29" s="170">
        <v>0</v>
      </c>
      <c r="AA29" s="170">
        <v>0</v>
      </c>
      <c r="AB29" s="171">
        <v>0</v>
      </c>
      <c r="AC29" s="171"/>
      <c r="AD29" s="171"/>
      <c r="AE29" s="170">
        <v>0</v>
      </c>
      <c r="AF29" s="170">
        <v>0</v>
      </c>
      <c r="AG29" s="170">
        <v>0</v>
      </c>
      <c r="AH29" s="170">
        <v>0</v>
      </c>
      <c r="AI29" s="170">
        <v>0</v>
      </c>
    </row>
    <row r="30" spans="1:35">
      <c r="A30" s="167" t="s">
        <v>87</v>
      </c>
      <c r="B30" s="168" t="s">
        <v>90</v>
      </c>
      <c r="C30" s="199">
        <f t="shared" si="0"/>
        <v>0</v>
      </c>
      <c r="D30" s="199">
        <f t="shared" si="0"/>
        <v>0</v>
      </c>
      <c r="E30" s="199">
        <f t="shared" si="0"/>
        <v>0</v>
      </c>
      <c r="F30" s="199">
        <f t="shared" si="0"/>
        <v>0</v>
      </c>
      <c r="G30" s="199">
        <f t="shared" si="0"/>
        <v>0</v>
      </c>
      <c r="H30" s="199"/>
      <c r="I30" s="199"/>
      <c r="J30" s="170">
        <v>0</v>
      </c>
      <c r="K30" s="170">
        <v>0</v>
      </c>
      <c r="L30" s="170">
        <v>0</v>
      </c>
      <c r="M30" s="170">
        <v>0</v>
      </c>
      <c r="N30" s="171">
        <v>0</v>
      </c>
      <c r="O30" s="171"/>
      <c r="P30" s="170">
        <v>0</v>
      </c>
      <c r="Q30" s="170">
        <v>0</v>
      </c>
      <c r="R30" s="170">
        <v>0</v>
      </c>
      <c r="S30" s="170">
        <v>0</v>
      </c>
      <c r="T30" s="171">
        <v>0</v>
      </c>
      <c r="U30" s="171"/>
      <c r="V30" s="171"/>
      <c r="W30" s="171"/>
      <c r="X30" s="170">
        <v>0</v>
      </c>
      <c r="Y30" s="170">
        <v>0</v>
      </c>
      <c r="Z30" s="170">
        <v>0</v>
      </c>
      <c r="AA30" s="170">
        <v>0</v>
      </c>
      <c r="AB30" s="171">
        <v>0</v>
      </c>
      <c r="AC30" s="171"/>
      <c r="AD30" s="171"/>
      <c r="AE30" s="170">
        <v>451</v>
      </c>
      <c r="AF30" s="170">
        <v>2251</v>
      </c>
      <c r="AG30" s="170">
        <v>2702</v>
      </c>
      <c r="AH30" s="170">
        <v>2194</v>
      </c>
      <c r="AI30" s="170">
        <v>508</v>
      </c>
    </row>
    <row r="31" spans="1:35">
      <c r="A31" s="167" t="s">
        <v>87</v>
      </c>
      <c r="B31" s="168" t="s">
        <v>91</v>
      </c>
      <c r="C31" s="199">
        <f t="shared" si="0"/>
        <v>54</v>
      </c>
      <c r="D31" s="199">
        <f t="shared" si="0"/>
        <v>83</v>
      </c>
      <c r="E31" s="199">
        <f t="shared" si="0"/>
        <v>137</v>
      </c>
      <c r="F31" s="199">
        <f t="shared" si="0"/>
        <v>94</v>
      </c>
      <c r="G31" s="199">
        <f t="shared" si="0"/>
        <v>43</v>
      </c>
      <c r="H31" s="199"/>
      <c r="I31" s="199"/>
      <c r="J31" s="170">
        <v>0</v>
      </c>
      <c r="K31" s="170">
        <v>0</v>
      </c>
      <c r="L31" s="170">
        <v>0</v>
      </c>
      <c r="M31" s="170">
        <v>0</v>
      </c>
      <c r="N31" s="171">
        <v>0</v>
      </c>
      <c r="O31" s="171"/>
      <c r="P31" s="170">
        <v>54</v>
      </c>
      <c r="Q31" s="170">
        <v>83</v>
      </c>
      <c r="R31" s="170">
        <v>137</v>
      </c>
      <c r="S31" s="170">
        <v>94</v>
      </c>
      <c r="T31" s="171">
        <v>43</v>
      </c>
      <c r="U31" s="171"/>
      <c r="V31" s="171"/>
      <c r="W31" s="171"/>
      <c r="X31" s="170">
        <v>0</v>
      </c>
      <c r="Y31" s="170">
        <v>0</v>
      </c>
      <c r="Z31" s="170">
        <v>0</v>
      </c>
      <c r="AA31" s="170">
        <v>0</v>
      </c>
      <c r="AB31" s="171">
        <v>0</v>
      </c>
      <c r="AC31" s="171"/>
      <c r="AD31" s="171"/>
      <c r="AE31" s="170">
        <v>0</v>
      </c>
      <c r="AF31" s="170">
        <v>0</v>
      </c>
      <c r="AG31" s="170">
        <v>0</v>
      </c>
      <c r="AH31" s="170">
        <v>0</v>
      </c>
      <c r="AI31" s="170">
        <v>0</v>
      </c>
    </row>
    <row r="32" spans="1:35">
      <c r="A32" s="174" t="s">
        <v>87</v>
      </c>
      <c r="B32" s="175" t="s">
        <v>92</v>
      </c>
      <c r="C32" s="199">
        <f t="shared" si="0"/>
        <v>2</v>
      </c>
      <c r="D32" s="199">
        <f t="shared" si="0"/>
        <v>5</v>
      </c>
      <c r="E32" s="199">
        <f t="shared" si="0"/>
        <v>7</v>
      </c>
      <c r="F32" s="199">
        <f t="shared" si="0"/>
        <v>0</v>
      </c>
      <c r="G32" s="199">
        <f t="shared" si="0"/>
        <v>7</v>
      </c>
      <c r="H32" s="199"/>
      <c r="I32" s="199"/>
      <c r="J32" s="176">
        <v>2</v>
      </c>
      <c r="K32" s="176">
        <v>5</v>
      </c>
      <c r="L32" s="176">
        <v>7</v>
      </c>
      <c r="M32" s="176">
        <v>0</v>
      </c>
      <c r="N32" s="177">
        <v>7</v>
      </c>
      <c r="O32" s="177"/>
      <c r="P32" s="176">
        <v>0</v>
      </c>
      <c r="Q32" s="176">
        <v>0</v>
      </c>
      <c r="R32" s="176">
        <v>0</v>
      </c>
      <c r="S32" s="176">
        <v>0</v>
      </c>
      <c r="T32" s="177">
        <v>0</v>
      </c>
      <c r="U32" s="177"/>
      <c r="V32" s="177"/>
      <c r="W32" s="177"/>
      <c r="X32" s="176">
        <v>111</v>
      </c>
      <c r="Y32" s="176">
        <v>448</v>
      </c>
      <c r="Z32" s="176">
        <v>558</v>
      </c>
      <c r="AA32" s="176">
        <v>307</v>
      </c>
      <c r="AB32" s="177">
        <v>251</v>
      </c>
      <c r="AC32" s="177"/>
      <c r="AD32" s="177"/>
      <c r="AE32" s="176">
        <v>5</v>
      </c>
      <c r="AF32" s="176">
        <v>116</v>
      </c>
      <c r="AG32" s="176">
        <v>121</v>
      </c>
      <c r="AH32" s="176">
        <v>102</v>
      </c>
      <c r="AI32" s="176">
        <v>19</v>
      </c>
    </row>
    <row r="33" spans="1:35">
      <c r="A33" s="179" t="s">
        <v>2</v>
      </c>
      <c r="AI33" s="164" t="s">
        <v>150</v>
      </c>
    </row>
    <row r="36" spans="1:35">
      <c r="A36" s="2"/>
      <c r="B36" s="193" t="s">
        <v>152</v>
      </c>
    </row>
    <row r="37" spans="1:35">
      <c r="B37" s="194" t="s">
        <v>113</v>
      </c>
      <c r="C37" s="194" t="s">
        <v>153</v>
      </c>
      <c r="D37" s="194" t="s">
        <v>114</v>
      </c>
      <c r="E37" s="194"/>
      <c r="F37" s="194"/>
    </row>
    <row r="38" spans="1:35">
      <c r="A38" s="194" t="s">
        <v>154</v>
      </c>
      <c r="B38" s="195">
        <f>H5</f>
        <v>32.906696345761453</v>
      </c>
      <c r="C38" s="195">
        <f>AC5</f>
        <v>62.419047619047618</v>
      </c>
      <c r="D38" s="195">
        <f>AJ5</f>
        <v>84.499785315586081</v>
      </c>
    </row>
    <row r="39" spans="1:35">
      <c r="A39" s="194" t="s">
        <v>155</v>
      </c>
      <c r="B39" s="195">
        <f>H6</f>
        <v>31.033495562553682</v>
      </c>
      <c r="C39" s="195">
        <f>AC6</f>
        <v>59.483701597024719</v>
      </c>
      <c r="D39" s="195">
        <f>AJ6</f>
        <v>81.331916400991858</v>
      </c>
    </row>
    <row r="40" spans="1:35">
      <c r="A40" s="194" t="s">
        <v>156</v>
      </c>
      <c r="B40" s="195">
        <f>H7</f>
        <v>36.354056902002107</v>
      </c>
      <c r="C40" s="195">
        <f>AC7</f>
        <v>64.682071175577676</v>
      </c>
      <c r="D40" s="195">
        <f>AJ7</f>
        <v>86.647454370797306</v>
      </c>
    </row>
    <row r="42" spans="1:35">
      <c r="B42" s="201" t="s">
        <v>159</v>
      </c>
      <c r="C42" s="201"/>
      <c r="D42" s="201"/>
    </row>
    <row r="43" spans="1:35">
      <c r="B43" s="194" t="s">
        <v>113</v>
      </c>
      <c r="C43" s="194" t="s">
        <v>153</v>
      </c>
      <c r="D43" s="194" t="s">
        <v>114</v>
      </c>
    </row>
    <row r="44" spans="1:35">
      <c r="A44" s="194" t="s">
        <v>154</v>
      </c>
      <c r="B44" s="202">
        <f>G5</f>
        <v>3617</v>
      </c>
      <c r="C44" s="202">
        <f>AB5</f>
        <v>3946</v>
      </c>
      <c r="D44" s="202">
        <f>AI5</f>
        <v>1083</v>
      </c>
    </row>
    <row r="45" spans="1:35">
      <c r="A45" s="194" t="s">
        <v>155</v>
      </c>
      <c r="B45" s="202">
        <f>G6</f>
        <v>2409</v>
      </c>
      <c r="C45" s="202">
        <f>AB6</f>
        <v>1852</v>
      </c>
      <c r="D45" s="202">
        <f>AI6</f>
        <v>527</v>
      </c>
    </row>
    <row r="46" spans="1:35">
      <c r="A46" s="194" t="s">
        <v>156</v>
      </c>
      <c r="B46" s="202">
        <f>G7</f>
        <v>1208</v>
      </c>
      <c r="C46" s="202">
        <f>AB7</f>
        <v>2094</v>
      </c>
      <c r="D46" s="202">
        <f>AI7</f>
        <v>556</v>
      </c>
    </row>
    <row r="49" spans="1:5">
      <c r="B49" s="201" t="s">
        <v>160</v>
      </c>
      <c r="C49" s="201"/>
      <c r="D49" s="201"/>
    </row>
    <row r="50" spans="1:5">
      <c r="B50" s="194" t="s">
        <v>113</v>
      </c>
      <c r="C50" s="194" t="s">
        <v>153</v>
      </c>
      <c r="D50" s="194" t="s">
        <v>114</v>
      </c>
    </row>
    <row r="51" spans="1:5">
      <c r="A51" s="194" t="s">
        <v>154</v>
      </c>
      <c r="B51" s="202">
        <f>F5</f>
        <v>1774</v>
      </c>
      <c r="C51" s="202">
        <f>AA5</f>
        <v>6554</v>
      </c>
      <c r="D51" s="202">
        <f>AH5</f>
        <v>5904</v>
      </c>
    </row>
    <row r="52" spans="1:5">
      <c r="A52" s="194" t="s">
        <v>155</v>
      </c>
      <c r="B52" s="202">
        <f>F6</f>
        <v>1084</v>
      </c>
      <c r="C52" s="202">
        <f>AA6</f>
        <v>2719</v>
      </c>
      <c r="D52" s="202">
        <f>AH6</f>
        <v>2296</v>
      </c>
    </row>
    <row r="53" spans="1:5">
      <c r="A53" s="194" t="s">
        <v>156</v>
      </c>
      <c r="B53" s="202">
        <f>F7</f>
        <v>690</v>
      </c>
      <c r="C53" s="202">
        <f>AA7</f>
        <v>3835</v>
      </c>
      <c r="D53" s="202">
        <f>AH7</f>
        <v>3608</v>
      </c>
    </row>
    <row r="55" spans="1:5">
      <c r="A55" s="193" t="s">
        <v>0</v>
      </c>
      <c r="B55" s="201"/>
      <c r="C55" s="201"/>
      <c r="D55" s="201"/>
    </row>
    <row r="56" spans="1:5">
      <c r="A56" s="193"/>
      <c r="B56" s="201" t="s">
        <v>126</v>
      </c>
      <c r="C56" s="201" t="s">
        <v>87</v>
      </c>
      <c r="D56" s="201" t="s">
        <v>124</v>
      </c>
    </row>
    <row r="57" spans="1:5">
      <c r="A57" s="201" t="s">
        <v>161</v>
      </c>
      <c r="B57" s="202">
        <v>7528</v>
      </c>
      <c r="C57" s="202">
        <v>4550</v>
      </c>
      <c r="D57" s="202">
        <v>2978</v>
      </c>
      <c r="E57" s="163"/>
    </row>
    <row r="58" spans="1:5">
      <c r="A58" s="201" t="s">
        <v>162</v>
      </c>
      <c r="B58" s="202">
        <v>15351</v>
      </c>
      <c r="C58" s="202">
        <v>6338</v>
      </c>
      <c r="D58" s="202">
        <v>9013</v>
      </c>
      <c r="E58" s="163"/>
    </row>
    <row r="59" spans="1:5">
      <c r="A59" s="201" t="s">
        <v>160</v>
      </c>
      <c r="B59" s="202">
        <v>14232</v>
      </c>
      <c r="C59" s="202">
        <v>6099</v>
      </c>
      <c r="D59" s="202">
        <v>8133</v>
      </c>
    </row>
    <row r="60" spans="1:5">
      <c r="A60" s="201" t="s">
        <v>159</v>
      </c>
      <c r="B60" s="202">
        <v>8646</v>
      </c>
      <c r="C60" s="202">
        <v>4788</v>
      </c>
      <c r="D60" s="202">
        <v>3858</v>
      </c>
    </row>
    <row r="61" spans="1:5">
      <c r="B61" s="166"/>
      <c r="C61" s="166"/>
      <c r="D61" s="166"/>
    </row>
    <row r="62" spans="1:5">
      <c r="A62" s="2"/>
      <c r="B62" s="163"/>
      <c r="C62" s="163"/>
      <c r="D62" s="163"/>
      <c r="E62" s="163"/>
    </row>
    <row r="63" spans="1:5">
      <c r="A63" s="2"/>
      <c r="B63" s="163"/>
      <c r="C63" s="163"/>
      <c r="D63" s="163"/>
      <c r="E63" s="163"/>
    </row>
    <row r="64" spans="1:5">
      <c r="A64" s="2"/>
      <c r="B64" s="163"/>
      <c r="C64" s="163"/>
      <c r="D64" s="163"/>
      <c r="E64" s="163"/>
    </row>
    <row r="65" spans="1:11">
      <c r="A65" s="2"/>
      <c r="B65" s="163"/>
      <c r="C65" s="163"/>
      <c r="D65" s="163"/>
      <c r="E65" s="163"/>
    </row>
    <row r="66" spans="1:11">
      <c r="B66" s="193" t="s">
        <v>163</v>
      </c>
    </row>
    <row r="67" spans="1:11">
      <c r="B67" s="201"/>
      <c r="H67" s="201" t="s">
        <v>164</v>
      </c>
    </row>
    <row r="68" spans="1:11">
      <c r="A68" s="2"/>
      <c r="B68" s="201"/>
      <c r="C68" s="201" t="s">
        <v>165</v>
      </c>
      <c r="D68" s="201" t="s">
        <v>166</v>
      </c>
      <c r="E68" s="201" t="s">
        <v>167</v>
      </c>
      <c r="F68" s="201" t="s">
        <v>168</v>
      </c>
      <c r="G68" s="201"/>
      <c r="H68" s="203" t="s">
        <v>169</v>
      </c>
      <c r="I68" s="201" t="s">
        <v>170</v>
      </c>
      <c r="J68" s="201" t="s">
        <v>171</v>
      </c>
      <c r="K68" s="201"/>
    </row>
    <row r="69" spans="1:11">
      <c r="A69" s="2"/>
      <c r="B69" s="201" t="s">
        <v>93</v>
      </c>
      <c r="C69" s="201">
        <v>590</v>
      </c>
      <c r="D69" s="201">
        <v>339</v>
      </c>
      <c r="E69" s="201">
        <v>251</v>
      </c>
      <c r="F69" s="195">
        <f>D69/C69*100</f>
        <v>57.457627118644069</v>
      </c>
      <c r="G69" s="201"/>
      <c r="H69" s="204">
        <v>10</v>
      </c>
      <c r="I69" s="195">
        <f t="shared" ref="I69:I88" si="1">C69/H69</f>
        <v>59</v>
      </c>
      <c r="J69" s="195">
        <f t="shared" ref="J69:J88" si="2">D69/H69</f>
        <v>33.9</v>
      </c>
      <c r="K69" s="201"/>
    </row>
    <row r="70" spans="1:11">
      <c r="A70" s="2"/>
      <c r="B70" s="201" t="s">
        <v>94</v>
      </c>
      <c r="C70" s="201">
        <v>692</v>
      </c>
      <c r="D70" s="201">
        <v>367</v>
      </c>
      <c r="E70" s="201">
        <v>325</v>
      </c>
      <c r="F70" s="195">
        <f t="shared" ref="F70:F88" si="3">D70/C70*100</f>
        <v>53.034682080924853</v>
      </c>
      <c r="G70" s="201"/>
      <c r="H70" s="204">
        <v>8</v>
      </c>
      <c r="I70" s="195">
        <f t="shared" si="1"/>
        <v>86.5</v>
      </c>
      <c r="J70" s="195">
        <f t="shared" si="2"/>
        <v>45.875</v>
      </c>
      <c r="K70" s="201"/>
    </row>
    <row r="71" spans="1:11">
      <c r="A71" s="2"/>
      <c r="B71" s="201" t="s">
        <v>95</v>
      </c>
      <c r="C71" s="201">
        <v>400</v>
      </c>
      <c r="D71" s="201">
        <v>332</v>
      </c>
      <c r="E71" s="201">
        <v>68</v>
      </c>
      <c r="F71" s="195">
        <f t="shared" si="3"/>
        <v>83</v>
      </c>
      <c r="G71" s="201"/>
      <c r="H71" s="204">
        <v>4</v>
      </c>
      <c r="I71" s="195">
        <f t="shared" si="1"/>
        <v>100</v>
      </c>
      <c r="J71" s="195">
        <f t="shared" si="2"/>
        <v>83</v>
      </c>
      <c r="K71" s="201"/>
    </row>
    <row r="72" spans="1:11">
      <c r="A72" s="2"/>
      <c r="B72" s="201" t="s">
        <v>96</v>
      </c>
      <c r="C72" s="201">
        <v>658</v>
      </c>
      <c r="D72" s="201">
        <v>407</v>
      </c>
      <c r="E72" s="201">
        <v>251</v>
      </c>
      <c r="F72" s="195">
        <f t="shared" si="3"/>
        <v>61.854103343465049</v>
      </c>
      <c r="G72" s="201"/>
      <c r="H72" s="204">
        <v>5</v>
      </c>
      <c r="I72" s="195">
        <f t="shared" si="1"/>
        <v>131.6</v>
      </c>
      <c r="J72" s="195">
        <f t="shared" si="2"/>
        <v>81.400000000000006</v>
      </c>
      <c r="K72" s="201"/>
    </row>
    <row r="73" spans="1:11">
      <c r="A73" s="2"/>
      <c r="B73" s="201" t="s">
        <v>97</v>
      </c>
      <c r="C73" s="201">
        <v>679</v>
      </c>
      <c r="D73" s="201">
        <v>485</v>
      </c>
      <c r="E73" s="201">
        <v>194</v>
      </c>
      <c r="F73" s="195">
        <f t="shared" si="3"/>
        <v>71.428571428571431</v>
      </c>
      <c r="G73" s="201"/>
      <c r="H73" s="204">
        <v>7</v>
      </c>
      <c r="I73" s="195">
        <f t="shared" si="1"/>
        <v>97</v>
      </c>
      <c r="J73" s="195">
        <f t="shared" si="2"/>
        <v>69.285714285714292</v>
      </c>
      <c r="K73" s="201"/>
    </row>
    <row r="74" spans="1:11">
      <c r="B74" s="201" t="s">
        <v>98</v>
      </c>
      <c r="C74" s="201">
        <v>423</v>
      </c>
      <c r="D74" s="201">
        <v>253</v>
      </c>
      <c r="E74" s="201">
        <v>170</v>
      </c>
      <c r="F74" s="195">
        <f t="shared" si="3"/>
        <v>59.810874704491724</v>
      </c>
      <c r="G74" s="201"/>
      <c r="H74" s="204">
        <v>5</v>
      </c>
      <c r="I74" s="195">
        <f t="shared" si="1"/>
        <v>84.6</v>
      </c>
      <c r="J74" s="195">
        <f t="shared" si="2"/>
        <v>50.6</v>
      </c>
      <c r="K74" s="201"/>
    </row>
    <row r="75" spans="1:11">
      <c r="B75" s="201" t="s">
        <v>99</v>
      </c>
      <c r="C75" s="201">
        <v>608</v>
      </c>
      <c r="D75" s="201">
        <v>366</v>
      </c>
      <c r="E75" s="201">
        <v>242</v>
      </c>
      <c r="F75" s="195">
        <f t="shared" si="3"/>
        <v>60.19736842105263</v>
      </c>
      <c r="G75" s="201"/>
      <c r="H75" s="204">
        <v>1</v>
      </c>
      <c r="I75" s="195">
        <f t="shared" si="1"/>
        <v>608</v>
      </c>
      <c r="J75" s="195">
        <f t="shared" si="2"/>
        <v>366</v>
      </c>
      <c r="K75" s="201"/>
    </row>
    <row r="76" spans="1:11">
      <c r="B76" s="201" t="s">
        <v>100</v>
      </c>
      <c r="C76" s="201">
        <v>519</v>
      </c>
      <c r="D76" s="201">
        <v>401</v>
      </c>
      <c r="E76" s="201">
        <v>118</v>
      </c>
      <c r="F76" s="195">
        <f t="shared" si="3"/>
        <v>77.263969171483623</v>
      </c>
      <c r="G76" s="201"/>
      <c r="H76" s="204">
        <v>8</v>
      </c>
      <c r="I76" s="195">
        <f t="shared" si="1"/>
        <v>64.875</v>
      </c>
      <c r="J76" s="195">
        <f t="shared" si="2"/>
        <v>50.125</v>
      </c>
      <c r="K76" s="201"/>
    </row>
    <row r="77" spans="1:11">
      <c r="B77" s="201" t="s">
        <v>101</v>
      </c>
      <c r="C77" s="201">
        <v>339</v>
      </c>
      <c r="D77" s="201">
        <v>279</v>
      </c>
      <c r="E77" s="201">
        <v>60</v>
      </c>
      <c r="F77" s="195">
        <f t="shared" si="3"/>
        <v>82.30088495575221</v>
      </c>
      <c r="G77" s="201"/>
      <c r="H77" s="204">
        <v>7</v>
      </c>
      <c r="I77" s="195">
        <f t="shared" si="1"/>
        <v>48.428571428571431</v>
      </c>
      <c r="J77" s="195">
        <f t="shared" si="2"/>
        <v>39.857142857142854</v>
      </c>
      <c r="K77" s="201"/>
    </row>
    <row r="78" spans="1:11">
      <c r="B78" s="201" t="s">
        <v>102</v>
      </c>
      <c r="C78" s="201">
        <v>421</v>
      </c>
      <c r="D78" s="201">
        <v>316</v>
      </c>
      <c r="E78" s="201">
        <v>105</v>
      </c>
      <c r="F78" s="195">
        <f t="shared" si="3"/>
        <v>75.059382422802841</v>
      </c>
      <c r="G78" s="201"/>
      <c r="H78" s="204">
        <v>4</v>
      </c>
      <c r="I78" s="195">
        <f t="shared" si="1"/>
        <v>105.25</v>
      </c>
      <c r="J78" s="195">
        <f t="shared" si="2"/>
        <v>79</v>
      </c>
      <c r="K78" s="201"/>
    </row>
    <row r="79" spans="1:11">
      <c r="B79" s="201" t="s">
        <v>103</v>
      </c>
      <c r="C79" s="201">
        <v>63</v>
      </c>
      <c r="D79" s="201">
        <v>51</v>
      </c>
      <c r="E79" s="201">
        <v>12</v>
      </c>
      <c r="F79" s="195">
        <f t="shared" si="3"/>
        <v>80.952380952380949</v>
      </c>
      <c r="G79" s="201"/>
      <c r="H79" s="204">
        <v>2</v>
      </c>
      <c r="I79" s="195">
        <f t="shared" si="1"/>
        <v>31.5</v>
      </c>
      <c r="J79" s="195">
        <f t="shared" si="2"/>
        <v>25.5</v>
      </c>
      <c r="K79" s="201"/>
    </row>
    <row r="80" spans="1:11">
      <c r="B80" s="201" t="s">
        <v>104</v>
      </c>
      <c r="C80" s="201">
        <v>237</v>
      </c>
      <c r="D80" s="201">
        <v>183</v>
      </c>
      <c r="E80" s="201">
        <v>54</v>
      </c>
      <c r="F80" s="195">
        <f t="shared" si="3"/>
        <v>77.215189873417728</v>
      </c>
      <c r="G80" s="201"/>
      <c r="H80" s="204">
        <v>5</v>
      </c>
      <c r="I80" s="195">
        <f t="shared" si="1"/>
        <v>47.4</v>
      </c>
      <c r="J80" s="195">
        <f t="shared" si="2"/>
        <v>36.6</v>
      </c>
      <c r="K80" s="201"/>
    </row>
    <row r="81" spans="2:11">
      <c r="B81" s="201" t="s">
        <v>105</v>
      </c>
      <c r="C81" s="201">
        <v>237</v>
      </c>
      <c r="D81" s="201">
        <v>167</v>
      </c>
      <c r="E81" s="201">
        <v>70</v>
      </c>
      <c r="F81" s="195">
        <f t="shared" si="3"/>
        <v>70.46413502109705</v>
      </c>
      <c r="G81" s="201"/>
      <c r="H81" s="204">
        <v>3</v>
      </c>
      <c r="I81" s="195">
        <f t="shared" si="1"/>
        <v>79</v>
      </c>
      <c r="J81" s="195">
        <f t="shared" si="2"/>
        <v>55.666666666666664</v>
      </c>
      <c r="K81" s="201"/>
    </row>
    <row r="82" spans="2:11">
      <c r="B82" s="201" t="s">
        <v>106</v>
      </c>
      <c r="C82" s="201">
        <v>254</v>
      </c>
      <c r="D82" s="201">
        <v>204</v>
      </c>
      <c r="E82" s="201">
        <v>50</v>
      </c>
      <c r="F82" s="195">
        <f t="shared" si="3"/>
        <v>80.314960629921259</v>
      </c>
      <c r="G82" s="201"/>
      <c r="H82" s="204">
        <v>4</v>
      </c>
      <c r="I82" s="195">
        <f t="shared" si="1"/>
        <v>63.5</v>
      </c>
      <c r="J82" s="195">
        <f t="shared" si="2"/>
        <v>51</v>
      </c>
      <c r="K82" s="201"/>
    </row>
    <row r="83" spans="2:11">
      <c r="B83" s="201" t="s">
        <v>107</v>
      </c>
      <c r="C83" s="201">
        <v>595</v>
      </c>
      <c r="D83" s="201">
        <v>374</v>
      </c>
      <c r="E83" s="201">
        <v>221</v>
      </c>
      <c r="F83" s="195">
        <f t="shared" si="3"/>
        <v>62.857142857142854</v>
      </c>
      <c r="G83" s="201"/>
      <c r="H83" s="204">
        <v>10</v>
      </c>
      <c r="I83" s="195">
        <f t="shared" si="1"/>
        <v>59.5</v>
      </c>
      <c r="J83" s="195">
        <f t="shared" si="2"/>
        <v>37.4</v>
      </c>
      <c r="K83" s="201"/>
    </row>
    <row r="84" spans="2:11">
      <c r="B84" s="201" t="s">
        <v>108</v>
      </c>
      <c r="C84" s="201">
        <v>1209</v>
      </c>
      <c r="D84" s="201">
        <v>736</v>
      </c>
      <c r="E84" s="201">
        <v>473</v>
      </c>
      <c r="F84" s="195">
        <f t="shared" si="3"/>
        <v>60.876757650951198</v>
      </c>
      <c r="G84" s="201"/>
      <c r="H84" s="204">
        <v>9</v>
      </c>
      <c r="I84" s="195">
        <f t="shared" si="1"/>
        <v>134.33333333333334</v>
      </c>
      <c r="J84" s="195">
        <f t="shared" si="2"/>
        <v>81.777777777777771</v>
      </c>
      <c r="K84" s="201"/>
    </row>
    <row r="85" spans="2:11">
      <c r="B85" s="201" t="s">
        <v>109</v>
      </c>
      <c r="C85" s="201">
        <v>1188</v>
      </c>
      <c r="D85" s="201">
        <v>918</v>
      </c>
      <c r="E85" s="201">
        <v>270</v>
      </c>
      <c r="F85" s="195">
        <f t="shared" si="3"/>
        <v>77.272727272727266</v>
      </c>
      <c r="G85" s="201"/>
      <c r="H85" s="204">
        <v>10</v>
      </c>
      <c r="I85" s="195">
        <f t="shared" si="1"/>
        <v>118.8</v>
      </c>
      <c r="J85" s="195">
        <f t="shared" si="2"/>
        <v>91.8</v>
      </c>
      <c r="K85" s="201"/>
    </row>
    <row r="86" spans="2:11">
      <c r="B86" s="201" t="s">
        <v>110</v>
      </c>
      <c r="C86" s="201">
        <v>897</v>
      </c>
      <c r="D86" s="201">
        <v>701</v>
      </c>
      <c r="E86" s="201">
        <v>196</v>
      </c>
      <c r="F86" s="195">
        <f t="shared" si="3"/>
        <v>78.149386845039018</v>
      </c>
      <c r="G86" s="201"/>
      <c r="H86" s="204">
        <v>8</v>
      </c>
      <c r="I86" s="195">
        <f t="shared" si="1"/>
        <v>112.125</v>
      </c>
      <c r="J86" s="195">
        <f t="shared" si="2"/>
        <v>87.625</v>
      </c>
      <c r="K86" s="201"/>
    </row>
    <row r="87" spans="2:11">
      <c r="B87" s="201" t="s">
        <v>111</v>
      </c>
      <c r="C87" s="201">
        <v>859</v>
      </c>
      <c r="D87" s="201">
        <v>595</v>
      </c>
      <c r="E87" s="201">
        <v>264</v>
      </c>
      <c r="F87" s="195">
        <f t="shared" si="3"/>
        <v>69.266589057043078</v>
      </c>
      <c r="G87" s="201"/>
      <c r="H87" s="204">
        <v>2</v>
      </c>
      <c r="I87" s="195">
        <f t="shared" si="1"/>
        <v>429.5</v>
      </c>
      <c r="J87" s="195">
        <f t="shared" si="2"/>
        <v>297.5</v>
      </c>
      <c r="K87" s="201"/>
    </row>
    <row r="88" spans="2:11">
      <c r="B88" s="201" t="s">
        <v>112</v>
      </c>
      <c r="C88" s="201">
        <v>1123</v>
      </c>
      <c r="D88" s="201">
        <v>659</v>
      </c>
      <c r="E88" s="201">
        <v>464</v>
      </c>
      <c r="F88" s="195">
        <f t="shared" si="3"/>
        <v>58.682101513802323</v>
      </c>
      <c r="G88" s="201"/>
      <c r="H88" s="204">
        <v>8</v>
      </c>
      <c r="I88" s="195">
        <f t="shared" si="1"/>
        <v>140.375</v>
      </c>
      <c r="J88" s="195">
        <f t="shared" si="2"/>
        <v>82.375</v>
      </c>
      <c r="K88" s="201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D88"/>
  <sheetViews>
    <sheetView workbookViewId="0">
      <selection activeCell="O29" sqref="O29"/>
    </sheetView>
  </sheetViews>
  <sheetFormatPr defaultColWidth="9.140625" defaultRowHeight="15"/>
  <cols>
    <col min="1" max="1" width="23" style="497" customWidth="1"/>
    <col min="2" max="13" width="9.140625" style="497"/>
    <col min="14" max="15" width="10.5703125" style="684" customWidth="1"/>
    <col min="16" max="16" width="29.7109375" style="497" customWidth="1"/>
    <col min="17" max="17" width="6.5703125" style="497" bestFit="1" customWidth="1"/>
    <col min="18" max="18" width="1.28515625" style="497" customWidth="1"/>
    <col min="19" max="16384" width="9.140625" style="497"/>
  </cols>
  <sheetData>
    <row r="1" spans="1:25" ht="18">
      <c r="A1" s="986" t="s">
        <v>456</v>
      </c>
      <c r="B1" s="986"/>
      <c r="C1" s="986"/>
      <c r="D1" s="986"/>
      <c r="E1" s="986"/>
      <c r="F1" s="986"/>
      <c r="G1" s="986"/>
      <c r="H1" s="986"/>
      <c r="I1" s="986"/>
      <c r="J1" s="986"/>
      <c r="K1" s="986"/>
      <c r="L1" s="986"/>
      <c r="M1" s="986"/>
      <c r="N1" s="986"/>
      <c r="O1" s="986"/>
      <c r="P1" s="986"/>
    </row>
    <row r="2" spans="1:25" s="494" customFormat="1">
      <c r="A2" s="987" t="s">
        <v>457</v>
      </c>
      <c r="B2" s="988"/>
      <c r="C2" s="988"/>
      <c r="D2" s="988"/>
      <c r="E2" s="988"/>
      <c r="F2" s="988"/>
      <c r="G2" s="988"/>
      <c r="H2" s="988"/>
      <c r="I2" s="988"/>
      <c r="J2" s="988"/>
      <c r="K2" s="988"/>
      <c r="L2" s="988"/>
      <c r="M2" s="988"/>
      <c r="N2" s="988"/>
      <c r="O2" s="988"/>
      <c r="P2" s="989"/>
      <c r="Q2" s="493"/>
      <c r="R2" s="493"/>
      <c r="S2" s="493"/>
      <c r="T2" s="493"/>
      <c r="U2" s="493"/>
      <c r="V2" s="493"/>
      <c r="W2" s="493"/>
      <c r="X2" s="493"/>
      <c r="Y2" s="493"/>
    </row>
    <row r="3" spans="1:25" s="492" customFormat="1" ht="17.25">
      <c r="A3" s="498" t="s">
        <v>458</v>
      </c>
      <c r="B3" s="496">
        <v>2002</v>
      </c>
      <c r="C3" s="496">
        <v>2003</v>
      </c>
      <c r="D3" s="496">
        <v>2004</v>
      </c>
      <c r="E3" s="496">
        <v>2005</v>
      </c>
      <c r="F3" s="496">
        <v>2006</v>
      </c>
      <c r="G3" s="496">
        <v>2007</v>
      </c>
      <c r="H3" s="496">
        <v>2008</v>
      </c>
      <c r="I3" s="496">
        <v>2009</v>
      </c>
      <c r="J3" s="496">
        <v>2010</v>
      </c>
      <c r="K3" s="496">
        <v>2011</v>
      </c>
      <c r="L3" s="496">
        <v>2012</v>
      </c>
      <c r="M3" s="496">
        <v>2013</v>
      </c>
      <c r="N3" s="491">
        <v>2014</v>
      </c>
      <c r="O3" s="491">
        <v>2015</v>
      </c>
      <c r="P3" s="507" t="s">
        <v>459</v>
      </c>
      <c r="Q3" s="514"/>
      <c r="R3" s="514"/>
      <c r="S3" s="514"/>
      <c r="T3" s="514"/>
      <c r="U3" s="514"/>
      <c r="V3" s="514"/>
      <c r="W3" s="514"/>
      <c r="X3" s="514"/>
      <c r="Y3" s="514"/>
    </row>
    <row r="4" spans="1:25" s="492" customFormat="1">
      <c r="A4" s="555" t="s">
        <v>0</v>
      </c>
      <c r="B4" s="499">
        <f>SUM(B5:B9)</f>
        <v>12390</v>
      </c>
      <c r="C4" s="499">
        <f t="shared" ref="C4:H4" si="0">SUM(C5:C9)</f>
        <v>11317</v>
      </c>
      <c r="D4" s="499">
        <f t="shared" si="0"/>
        <v>10776</v>
      </c>
      <c r="E4" s="499">
        <f>SUM(E5:E9)</f>
        <v>12107</v>
      </c>
      <c r="F4" s="499">
        <f t="shared" si="0"/>
        <v>14084</v>
      </c>
      <c r="G4" s="499">
        <f t="shared" si="0"/>
        <v>13820</v>
      </c>
      <c r="H4" s="499">
        <f t="shared" si="0"/>
        <v>12921</v>
      </c>
      <c r="I4" s="499">
        <f t="shared" ref="I4:O4" si="1">SUM(I5:I10)</f>
        <v>15997</v>
      </c>
      <c r="J4" s="499">
        <f t="shared" si="1"/>
        <v>15036</v>
      </c>
      <c r="K4" s="499">
        <f t="shared" si="1"/>
        <v>14710</v>
      </c>
      <c r="L4" s="499">
        <f t="shared" si="1"/>
        <v>14232</v>
      </c>
      <c r="M4" s="499">
        <f t="shared" si="1"/>
        <v>16189</v>
      </c>
      <c r="N4" s="499">
        <f t="shared" si="1"/>
        <v>18902</v>
      </c>
      <c r="O4" s="499">
        <f t="shared" si="1"/>
        <v>18101</v>
      </c>
      <c r="P4" s="511" t="s">
        <v>1</v>
      </c>
      <c r="Q4" s="505"/>
      <c r="R4" s="514"/>
      <c r="S4" s="514"/>
      <c r="T4" s="514"/>
      <c r="U4" s="514"/>
      <c r="V4" s="514"/>
      <c r="W4" s="514"/>
      <c r="X4" s="514"/>
      <c r="Y4" s="514"/>
    </row>
    <row r="5" spans="1:25" s="492" customFormat="1" ht="17.25">
      <c r="A5" s="501" t="s">
        <v>460</v>
      </c>
      <c r="B5" s="513">
        <v>136</v>
      </c>
      <c r="C5" s="513">
        <v>210</v>
      </c>
      <c r="D5" s="513">
        <v>184</v>
      </c>
      <c r="E5" s="513">
        <v>86</v>
      </c>
      <c r="F5" s="513">
        <v>154</v>
      </c>
      <c r="G5" s="558">
        <v>103</v>
      </c>
      <c r="H5" s="554">
        <v>62</v>
      </c>
      <c r="I5" s="502">
        <v>105</v>
      </c>
      <c r="J5" s="554">
        <v>211</v>
      </c>
      <c r="K5" s="554">
        <v>123</v>
      </c>
      <c r="L5" s="554">
        <v>94</v>
      </c>
      <c r="M5" s="554">
        <v>122</v>
      </c>
      <c r="N5" s="554">
        <v>81</v>
      </c>
      <c r="O5" s="515">
        <v>26</v>
      </c>
      <c r="P5" s="509" t="s">
        <v>461</v>
      </c>
      <c r="Q5" s="557"/>
      <c r="R5" s="514"/>
      <c r="S5" s="514"/>
      <c r="T5" s="514"/>
      <c r="U5" s="514"/>
      <c r="V5" s="514"/>
      <c r="W5" s="514"/>
      <c r="X5" s="514"/>
      <c r="Y5" s="514"/>
    </row>
    <row r="6" spans="1:25" s="492" customFormat="1" ht="17.25">
      <c r="A6" s="501" t="s">
        <v>462</v>
      </c>
      <c r="B6" s="513">
        <v>1302</v>
      </c>
      <c r="C6" s="513">
        <v>1332</v>
      </c>
      <c r="D6" s="513">
        <v>1401</v>
      </c>
      <c r="E6" s="513">
        <v>1865</v>
      </c>
      <c r="F6" s="513">
        <v>2034</v>
      </c>
      <c r="G6" s="558">
        <v>1981</v>
      </c>
      <c r="H6" s="554">
        <v>2032</v>
      </c>
      <c r="I6" s="502">
        <v>2089</v>
      </c>
      <c r="J6" s="554">
        <v>2044</v>
      </c>
      <c r="K6" s="554">
        <v>1996</v>
      </c>
      <c r="L6" s="554">
        <v>2194</v>
      </c>
      <c r="M6" s="554">
        <v>2590</v>
      </c>
      <c r="N6" s="554">
        <v>2616</v>
      </c>
      <c r="O6" s="515">
        <v>2553</v>
      </c>
      <c r="P6" s="509" t="s">
        <v>463</v>
      </c>
      <c r="Q6" s="505"/>
      <c r="R6" s="514"/>
      <c r="S6" s="514"/>
      <c r="T6" s="514"/>
      <c r="U6" s="514"/>
      <c r="V6" s="514"/>
      <c r="W6" s="514"/>
      <c r="X6" s="514"/>
      <c r="Y6" s="514"/>
    </row>
    <row r="7" spans="1:25" s="492" customFormat="1" ht="17.25">
      <c r="A7" s="501" t="s">
        <v>464</v>
      </c>
      <c r="B7" s="513">
        <v>1700</v>
      </c>
      <c r="C7" s="513">
        <v>1071</v>
      </c>
      <c r="D7" s="513">
        <v>798</v>
      </c>
      <c r="E7" s="513">
        <v>949</v>
      </c>
      <c r="F7" s="513">
        <v>1643</v>
      </c>
      <c r="G7" s="558">
        <v>2002</v>
      </c>
      <c r="H7" s="554">
        <v>1460</v>
      </c>
      <c r="I7" s="502">
        <v>2334</v>
      </c>
      <c r="J7" s="554">
        <v>1433</v>
      </c>
      <c r="K7" s="554">
        <v>1036</v>
      </c>
      <c r="L7" s="554">
        <v>990</v>
      </c>
      <c r="M7" s="554">
        <v>1669</v>
      </c>
      <c r="N7" s="554">
        <v>1957</v>
      </c>
      <c r="O7" s="515">
        <v>1069</v>
      </c>
      <c r="P7" s="509" t="s">
        <v>465</v>
      </c>
      <c r="Q7" s="505"/>
      <c r="R7" s="514"/>
      <c r="S7" s="514"/>
      <c r="T7" s="514"/>
      <c r="U7" s="514"/>
      <c r="V7" s="514"/>
      <c r="W7" s="514"/>
      <c r="X7" s="514"/>
      <c r="Y7" s="514"/>
    </row>
    <row r="8" spans="1:25" s="492" customFormat="1" ht="17.25">
      <c r="A8" s="501" t="s">
        <v>466</v>
      </c>
      <c r="B8" s="513">
        <v>2292</v>
      </c>
      <c r="C8" s="513">
        <v>1953</v>
      </c>
      <c r="D8" s="513">
        <v>1618</v>
      </c>
      <c r="E8" s="513">
        <v>1940</v>
      </c>
      <c r="F8" s="513">
        <v>2119</v>
      </c>
      <c r="G8" s="558">
        <v>1958</v>
      </c>
      <c r="H8" s="554">
        <v>2181</v>
      </c>
      <c r="I8" s="502">
        <v>2754</v>
      </c>
      <c r="J8" s="554">
        <v>2493</v>
      </c>
      <c r="K8" s="554">
        <v>2262</v>
      </c>
      <c r="L8" s="554">
        <v>2412</v>
      </c>
      <c r="M8" s="554">
        <v>2154</v>
      </c>
      <c r="N8" s="554">
        <v>3203</v>
      </c>
      <c r="O8" s="515">
        <v>2283</v>
      </c>
      <c r="P8" s="509" t="s">
        <v>467</v>
      </c>
      <c r="R8" s="514"/>
      <c r="S8" s="514"/>
      <c r="T8" s="514"/>
      <c r="U8" s="514"/>
      <c r="V8" s="514"/>
      <c r="W8" s="514"/>
      <c r="X8" s="514"/>
      <c r="Y8" s="514"/>
    </row>
    <row r="9" spans="1:25" s="492" customFormat="1" ht="17.25">
      <c r="A9" s="501" t="s">
        <v>468</v>
      </c>
      <c r="B9" s="513">
        <v>6960</v>
      </c>
      <c r="C9" s="513">
        <v>6751</v>
      </c>
      <c r="D9" s="513">
        <v>6775</v>
      </c>
      <c r="E9" s="513">
        <v>7267</v>
      </c>
      <c r="F9" s="513">
        <v>8134</v>
      </c>
      <c r="G9" s="558">
        <v>7776</v>
      </c>
      <c r="H9" s="554">
        <v>7186</v>
      </c>
      <c r="I9" s="502">
        <v>8661</v>
      </c>
      <c r="J9" s="554">
        <v>8747</v>
      </c>
      <c r="K9" s="554">
        <v>9178</v>
      </c>
      <c r="L9" s="554">
        <v>8133</v>
      </c>
      <c r="M9" s="554">
        <v>9159</v>
      </c>
      <c r="N9" s="554">
        <v>10529</v>
      </c>
      <c r="O9" s="515">
        <v>12170</v>
      </c>
      <c r="P9" s="509" t="s">
        <v>469</v>
      </c>
      <c r="Q9" s="505"/>
      <c r="R9" s="514"/>
      <c r="S9" s="514"/>
      <c r="T9" s="514"/>
      <c r="U9" s="514"/>
      <c r="V9" s="514"/>
      <c r="W9" s="514"/>
      <c r="X9" s="514"/>
      <c r="Y9" s="514"/>
    </row>
    <row r="10" spans="1:25" s="492" customFormat="1" ht="17.25">
      <c r="A10" s="553" t="s">
        <v>470</v>
      </c>
      <c r="B10" s="504" t="s">
        <v>471</v>
      </c>
      <c r="C10" s="504" t="s">
        <v>471</v>
      </c>
      <c r="D10" s="504" t="s">
        <v>471</v>
      </c>
      <c r="E10" s="504" t="s">
        <v>471</v>
      </c>
      <c r="F10" s="504" t="s">
        <v>471</v>
      </c>
      <c r="G10" s="504" t="s">
        <v>471</v>
      </c>
      <c r="H10" s="504" t="s">
        <v>471</v>
      </c>
      <c r="I10" s="500">
        <v>54</v>
      </c>
      <c r="J10" s="512">
        <v>108</v>
      </c>
      <c r="K10" s="512">
        <v>115</v>
      </c>
      <c r="L10" s="512">
        <v>409</v>
      </c>
      <c r="M10" s="512">
        <v>495</v>
      </c>
      <c r="N10" s="512">
        <v>516</v>
      </c>
      <c r="O10" s="506"/>
      <c r="P10" s="556" t="s">
        <v>472</v>
      </c>
      <c r="Q10" s="505"/>
      <c r="R10" s="514"/>
      <c r="S10" s="514"/>
      <c r="T10" s="514"/>
      <c r="U10" s="514"/>
      <c r="V10" s="514"/>
      <c r="W10" s="514"/>
      <c r="X10" s="514"/>
      <c r="Y10" s="514"/>
    </row>
    <row r="11" spans="1:25" s="492" customFormat="1">
      <c r="A11" s="555" t="s">
        <v>473</v>
      </c>
      <c r="B11" s="552"/>
      <c r="C11" s="552"/>
      <c r="D11" s="552"/>
      <c r="E11" s="552"/>
      <c r="F11" s="552"/>
      <c r="G11" s="508"/>
      <c r="H11" s="503"/>
      <c r="I11" s="503"/>
      <c r="J11" s="503"/>
      <c r="K11" s="503"/>
      <c r="L11" s="503"/>
      <c r="M11" s="503"/>
      <c r="N11" s="503"/>
      <c r="O11" s="503"/>
      <c r="P11" s="511" t="s">
        <v>474</v>
      </c>
      <c r="Q11" s="505"/>
      <c r="R11" s="514"/>
      <c r="S11" s="514"/>
      <c r="T11" s="514"/>
      <c r="U11" s="514"/>
      <c r="V11" s="514"/>
      <c r="W11" s="514"/>
      <c r="X11" s="514"/>
      <c r="Y11" s="514"/>
    </row>
    <row r="12" spans="1:25" s="492" customFormat="1" ht="17.25">
      <c r="A12" s="501" t="s">
        <v>460</v>
      </c>
      <c r="B12" s="516">
        <f>SUM(B5/B4)*100</f>
        <v>1.0976594027441486</v>
      </c>
      <c r="C12" s="516">
        <f t="shared" ref="C12:I12" si="2">SUM(C5/C4)*100</f>
        <v>1.8556154457895202</v>
      </c>
      <c r="D12" s="516">
        <f t="shared" si="2"/>
        <v>1.7074981440237564</v>
      </c>
      <c r="E12" s="516">
        <f t="shared" si="2"/>
        <v>0.7103328652845462</v>
      </c>
      <c r="F12" s="516">
        <f t="shared" si="2"/>
        <v>1.0934393638170974</v>
      </c>
      <c r="G12" s="516">
        <f t="shared" si="2"/>
        <v>0.74529667149059331</v>
      </c>
      <c r="H12" s="516">
        <f t="shared" si="2"/>
        <v>0.47983902174754278</v>
      </c>
      <c r="I12" s="516">
        <f t="shared" si="2"/>
        <v>0.65637306995061573</v>
      </c>
      <c r="J12" s="516">
        <f t="shared" ref="J12:O12" si="3">SUM(J5/J4)*100</f>
        <v>1.4032987496674647</v>
      </c>
      <c r="K12" s="516">
        <f t="shared" si="3"/>
        <v>0.83616587355540462</v>
      </c>
      <c r="L12" s="516">
        <f t="shared" si="3"/>
        <v>0.66048341765036545</v>
      </c>
      <c r="M12" s="516">
        <f t="shared" si="3"/>
        <v>0.75359812218172828</v>
      </c>
      <c r="N12" s="516">
        <f t="shared" si="3"/>
        <v>0.42852608189609565</v>
      </c>
      <c r="O12" s="516">
        <f t="shared" si="3"/>
        <v>0.14363847301254073</v>
      </c>
      <c r="P12" s="509" t="s">
        <v>461</v>
      </c>
      <c r="Q12" s="505"/>
      <c r="R12" s="514"/>
      <c r="S12" s="514"/>
      <c r="T12" s="514"/>
      <c r="U12" s="514"/>
      <c r="V12" s="514"/>
      <c r="W12" s="514"/>
      <c r="X12" s="514"/>
      <c r="Y12" s="514"/>
    </row>
    <row r="13" spans="1:25" s="492" customFormat="1" ht="17.25">
      <c r="A13" s="501" t="s">
        <v>462</v>
      </c>
      <c r="B13" s="516">
        <f>SUM(B6/B4)*100</f>
        <v>10.508474576271185</v>
      </c>
      <c r="C13" s="516">
        <f t="shared" ref="C13:O13" si="4">SUM(C6/C4)*100</f>
        <v>11.769903684722099</v>
      </c>
      <c r="D13" s="516">
        <f t="shared" si="4"/>
        <v>13.001113585746102</v>
      </c>
      <c r="E13" s="516">
        <f t="shared" si="4"/>
        <v>15.404311555298589</v>
      </c>
      <c r="F13" s="516">
        <f t="shared" si="4"/>
        <v>14.441919909116729</v>
      </c>
      <c r="G13" s="516">
        <f t="shared" si="4"/>
        <v>14.334298118668595</v>
      </c>
      <c r="H13" s="516">
        <f t="shared" si="4"/>
        <v>15.726336970822691</v>
      </c>
      <c r="I13" s="516">
        <f t="shared" si="4"/>
        <v>13.05869850596987</v>
      </c>
      <c r="J13" s="516">
        <f t="shared" si="4"/>
        <v>13.594040968342643</v>
      </c>
      <c r="K13" s="516">
        <f t="shared" si="4"/>
        <v>13.569000679809653</v>
      </c>
      <c r="L13" s="516">
        <f t="shared" si="4"/>
        <v>15.415964024732995</v>
      </c>
      <c r="M13" s="516">
        <f t="shared" si="4"/>
        <v>15.998517511890789</v>
      </c>
      <c r="N13" s="516">
        <f t="shared" si="4"/>
        <v>13.839805311607236</v>
      </c>
      <c r="O13" s="516">
        <f t="shared" si="4"/>
        <v>14.104193138500634</v>
      </c>
      <c r="P13" s="509" t="s">
        <v>463</v>
      </c>
      <c r="Q13" s="505"/>
      <c r="R13" s="514"/>
      <c r="S13" s="514"/>
      <c r="T13" s="514"/>
      <c r="U13" s="514"/>
      <c r="V13" s="514"/>
      <c r="W13" s="514"/>
      <c r="X13" s="514"/>
      <c r="Y13" s="514"/>
    </row>
    <row r="14" spans="1:25" s="492" customFormat="1" ht="17.25">
      <c r="A14" s="501" t="s">
        <v>464</v>
      </c>
      <c r="B14" s="516">
        <f>SUM(B7/B4)*100</f>
        <v>13.720742534301856</v>
      </c>
      <c r="C14" s="516">
        <f t="shared" ref="C14:J14" si="5">SUM(C7/C4)*100</f>
        <v>9.4636387735265526</v>
      </c>
      <c r="D14" s="516">
        <f t="shared" si="5"/>
        <v>7.4053452115812917</v>
      </c>
      <c r="E14" s="516">
        <f t="shared" si="5"/>
        <v>7.8384405715701657</v>
      </c>
      <c r="F14" s="516">
        <f t="shared" si="5"/>
        <v>11.665719965918774</v>
      </c>
      <c r="G14" s="516">
        <f t="shared" si="5"/>
        <v>14.486251808972503</v>
      </c>
      <c r="H14" s="516">
        <f t="shared" si="5"/>
        <v>11.299435028248588</v>
      </c>
      <c r="I14" s="516">
        <f t="shared" si="5"/>
        <v>14.590235669187972</v>
      </c>
      <c r="J14" s="516">
        <f t="shared" si="5"/>
        <v>9.5304602287842517</v>
      </c>
      <c r="K14" s="516">
        <f>SUM(K7/K4)*100</f>
        <v>7.0428280081577155</v>
      </c>
      <c r="L14" s="516">
        <f>SUM(L7/L4)*100</f>
        <v>6.9561551433389548</v>
      </c>
      <c r="M14" s="516">
        <f>SUM(M7/M4)*100</f>
        <v>10.309469392797578</v>
      </c>
      <c r="N14" s="516">
        <f>SUM(N7/N4)*100</f>
        <v>10.353401756427891</v>
      </c>
      <c r="O14" s="516">
        <f>SUM(O7/O4)*100</f>
        <v>5.9057510634771564</v>
      </c>
      <c r="P14" s="509" t="s">
        <v>465</v>
      </c>
      <c r="Q14" s="505"/>
      <c r="R14" s="514"/>
      <c r="S14" s="514"/>
      <c r="T14" s="514"/>
      <c r="U14" s="514"/>
      <c r="V14" s="514"/>
      <c r="W14" s="514"/>
      <c r="X14" s="514"/>
      <c r="Y14" s="514"/>
    </row>
    <row r="15" spans="1:25" s="636" customFormat="1" ht="17.25">
      <c r="A15" s="510" t="s">
        <v>466</v>
      </c>
      <c r="B15" s="632">
        <f>SUM(B8/B4)*100</f>
        <v>18.498789346246973</v>
      </c>
      <c r="C15" s="632">
        <f t="shared" ref="C15:O15" si="6">SUM(C8/C4)*100</f>
        <v>17.257223645842537</v>
      </c>
      <c r="D15" s="632">
        <f t="shared" si="6"/>
        <v>15.014847809948032</v>
      </c>
      <c r="E15" s="632">
        <f t="shared" si="6"/>
        <v>16.02378789130255</v>
      </c>
      <c r="F15" s="632">
        <f t="shared" si="6"/>
        <v>15.045441635898893</v>
      </c>
      <c r="G15" s="632">
        <f t="shared" si="6"/>
        <v>14.167872648335745</v>
      </c>
      <c r="H15" s="632">
        <f t="shared" si="6"/>
        <v>16.879498490828883</v>
      </c>
      <c r="I15" s="632">
        <f t="shared" si="6"/>
        <v>17.215727948990438</v>
      </c>
      <c r="J15" s="632">
        <f t="shared" si="6"/>
        <v>16.580207501995211</v>
      </c>
      <c r="K15" s="632">
        <f t="shared" si="6"/>
        <v>15.377294357579876</v>
      </c>
      <c r="L15" s="632">
        <f t="shared" si="6"/>
        <v>16.947723440134908</v>
      </c>
      <c r="M15" s="632">
        <f t="shared" si="6"/>
        <v>13.305330780159366</v>
      </c>
      <c r="N15" s="632">
        <f t="shared" si="6"/>
        <v>16.945296793990053</v>
      </c>
      <c r="O15" s="632">
        <f t="shared" si="6"/>
        <v>12.612562841831942</v>
      </c>
      <c r="P15" s="633" t="s">
        <v>467</v>
      </c>
      <c r="Q15" s="634"/>
      <c r="R15" s="635"/>
      <c r="S15" s="635"/>
      <c r="T15" s="635"/>
      <c r="U15" s="635"/>
      <c r="V15" s="635"/>
      <c r="W15" s="635"/>
      <c r="X15" s="635"/>
      <c r="Y15" s="635"/>
    </row>
    <row r="16" spans="1:25" s="642" customFormat="1" ht="17.25">
      <c r="A16" s="637" t="s">
        <v>468</v>
      </c>
      <c r="B16" s="638">
        <f>SUM(B9/B4)*100</f>
        <v>56.174334140435832</v>
      </c>
      <c r="C16" s="638">
        <f t="shared" ref="C16:J16" si="7">SUM(C9/C4)*100</f>
        <v>59.653618450119296</v>
      </c>
      <c r="D16" s="638">
        <f t="shared" si="7"/>
        <v>62.871195248700815</v>
      </c>
      <c r="E16" s="638">
        <f t="shared" si="7"/>
        <v>60.023127116544153</v>
      </c>
      <c r="F16" s="638">
        <f t="shared" si="7"/>
        <v>57.753479125248511</v>
      </c>
      <c r="G16" s="638">
        <f t="shared" si="7"/>
        <v>56.266280752532559</v>
      </c>
      <c r="H16" s="638">
        <f t="shared" si="7"/>
        <v>55.614890488352295</v>
      </c>
      <c r="I16" s="638">
        <f t="shared" si="7"/>
        <v>54.141401512783652</v>
      </c>
      <c r="J16" s="638">
        <f t="shared" si="7"/>
        <v>58.173716413939879</v>
      </c>
      <c r="K16" s="638">
        <f>SUM(K9/K4)*100</f>
        <v>62.392929979605718</v>
      </c>
      <c r="L16" s="638">
        <f>SUM(L9/L4)*100</f>
        <v>57.145868465430013</v>
      </c>
      <c r="M16" s="638">
        <f>SUM(M9/M4)*100</f>
        <v>56.575452467724993</v>
      </c>
      <c r="N16" s="638">
        <f>SUM(N9/N4)*100</f>
        <v>55.703100201036925</v>
      </c>
      <c r="O16" s="638">
        <f>SUM(O9/O4)*100</f>
        <v>67.233854483177723</v>
      </c>
      <c r="P16" s="639" t="s">
        <v>469</v>
      </c>
      <c r="Q16" s="640"/>
      <c r="R16" s="641"/>
      <c r="S16" s="641"/>
      <c r="T16" s="641"/>
      <c r="U16" s="641"/>
      <c r="V16" s="641"/>
      <c r="W16" s="641"/>
      <c r="X16" s="641"/>
      <c r="Y16" s="641"/>
    </row>
    <row r="17" spans="1:25" s="647" customFormat="1" ht="17.25">
      <c r="A17" s="553" t="s">
        <v>470</v>
      </c>
      <c r="B17" s="504" t="s">
        <v>471</v>
      </c>
      <c r="C17" s="504" t="s">
        <v>471</v>
      </c>
      <c r="D17" s="504" t="s">
        <v>471</v>
      </c>
      <c r="E17" s="504" t="s">
        <v>471</v>
      </c>
      <c r="F17" s="504" t="s">
        <v>471</v>
      </c>
      <c r="G17" s="504" t="s">
        <v>471</v>
      </c>
      <c r="H17" s="504" t="s">
        <v>471</v>
      </c>
      <c r="I17" s="500">
        <v>54</v>
      </c>
      <c r="J17" s="643">
        <f t="shared" ref="J17:O17" si="8">SUM(J10/J4)*100</f>
        <v>0.71827613727055062</v>
      </c>
      <c r="K17" s="644">
        <f t="shared" si="8"/>
        <v>0.78178110129163847</v>
      </c>
      <c r="L17" s="644">
        <f t="shared" si="8"/>
        <v>2.8738055087127599</v>
      </c>
      <c r="M17" s="644">
        <f t="shared" si="8"/>
        <v>3.0576317252455372</v>
      </c>
      <c r="N17" s="644">
        <f t="shared" si="8"/>
        <v>2.7298698550417946</v>
      </c>
      <c r="O17" s="644">
        <f t="shared" si="8"/>
        <v>0</v>
      </c>
      <c r="P17" s="556" t="s">
        <v>472</v>
      </c>
      <c r="Q17" s="645"/>
      <c r="R17" s="646"/>
      <c r="S17" s="646"/>
      <c r="T17" s="646"/>
      <c r="U17" s="646"/>
      <c r="V17" s="646"/>
      <c r="W17" s="646"/>
      <c r="X17" s="646"/>
      <c r="Y17" s="646"/>
    </row>
    <row r="18" spans="1:25" s="492" customFormat="1">
      <c r="A18" s="555" t="s">
        <v>475</v>
      </c>
      <c r="B18" s="648">
        <v>7</v>
      </c>
      <c r="C18" s="648">
        <f t="shared" ref="C18:O23" si="9">(C4-B4)*100/B4</f>
        <v>-8.660209846650524</v>
      </c>
      <c r="D18" s="648">
        <f t="shared" si="9"/>
        <v>-4.7804188389149065</v>
      </c>
      <c r="E18" s="648">
        <f t="shared" si="9"/>
        <v>12.351521900519673</v>
      </c>
      <c r="F18" s="648">
        <f t="shared" si="9"/>
        <v>16.32939621706451</v>
      </c>
      <c r="G18" s="648">
        <f t="shared" si="9"/>
        <v>-1.8744674808293098</v>
      </c>
      <c r="H18" s="648">
        <f t="shared" si="9"/>
        <v>-6.5050651230101302</v>
      </c>
      <c r="I18" s="649">
        <f t="shared" si="9"/>
        <v>23.806206949926477</v>
      </c>
      <c r="J18" s="649">
        <f t="shared" si="9"/>
        <v>-6.0073763830718256</v>
      </c>
      <c r="K18" s="649">
        <f t="shared" si="9"/>
        <v>-2.1681298217611067</v>
      </c>
      <c r="L18" s="649">
        <f t="shared" si="9"/>
        <v>-3.2494901427600271</v>
      </c>
      <c r="M18" s="649">
        <f t="shared" si="9"/>
        <v>13.750702641933671</v>
      </c>
      <c r="N18" s="649">
        <f t="shared" si="9"/>
        <v>16.758292667860893</v>
      </c>
      <c r="O18" s="649">
        <f t="shared" si="9"/>
        <v>-4.2376468098613902</v>
      </c>
      <c r="P18" s="511" t="s">
        <v>476</v>
      </c>
      <c r="Q18" s="505"/>
      <c r="R18" s="514"/>
      <c r="S18" s="649"/>
      <c r="T18" s="514"/>
      <c r="U18" s="514"/>
      <c r="V18" s="514"/>
      <c r="W18" s="514"/>
      <c r="X18" s="514"/>
      <c r="Y18" s="514"/>
    </row>
    <row r="19" spans="1:25" s="492" customFormat="1" ht="17.25">
      <c r="A19" s="501" t="s">
        <v>460</v>
      </c>
      <c r="B19" s="516">
        <v>27</v>
      </c>
      <c r="C19" s="516">
        <f t="shared" si="9"/>
        <v>54.411764705882355</v>
      </c>
      <c r="D19" s="516">
        <f t="shared" si="9"/>
        <v>-12.380952380952381</v>
      </c>
      <c r="E19" s="516">
        <f>(E5-D5)*100/D5</f>
        <v>-53.260869565217391</v>
      </c>
      <c r="F19" s="516">
        <f t="shared" si="9"/>
        <v>79.069767441860463</v>
      </c>
      <c r="G19" s="516">
        <f t="shared" si="9"/>
        <v>-33.116883116883116</v>
      </c>
      <c r="H19" s="516">
        <f t="shared" si="9"/>
        <v>-39.805825242718448</v>
      </c>
      <c r="I19" s="516">
        <f t="shared" si="9"/>
        <v>69.354838709677423</v>
      </c>
      <c r="J19" s="516">
        <f t="shared" si="9"/>
        <v>100.95238095238095</v>
      </c>
      <c r="K19" s="516">
        <f t="shared" si="9"/>
        <v>-41.706161137440759</v>
      </c>
      <c r="L19" s="516">
        <f t="shared" si="9"/>
        <v>-23.577235772357724</v>
      </c>
      <c r="M19" s="516">
        <f t="shared" si="9"/>
        <v>29.787234042553191</v>
      </c>
      <c r="N19" s="516">
        <f t="shared" si="9"/>
        <v>-33.606557377049178</v>
      </c>
      <c r="O19" s="516">
        <f t="shared" si="9"/>
        <v>-67.901234567901241</v>
      </c>
      <c r="P19" s="509" t="s">
        <v>461</v>
      </c>
      <c r="Q19" s="505"/>
      <c r="R19" s="514"/>
      <c r="S19" s="516"/>
      <c r="T19" s="514"/>
      <c r="U19" s="514"/>
      <c r="V19" s="514"/>
      <c r="W19" s="514"/>
      <c r="X19" s="514"/>
      <c r="Y19" s="514"/>
    </row>
    <row r="20" spans="1:25" s="492" customFormat="1" ht="17.25">
      <c r="A20" s="501" t="s">
        <v>462</v>
      </c>
      <c r="B20" s="516">
        <v>58</v>
      </c>
      <c r="C20" s="516">
        <f t="shared" si="9"/>
        <v>2.3041474654377878</v>
      </c>
      <c r="D20" s="516">
        <f t="shared" si="9"/>
        <v>5.1801801801801801</v>
      </c>
      <c r="E20" s="516">
        <f t="shared" si="9"/>
        <v>33.119200571020698</v>
      </c>
      <c r="F20" s="516">
        <f t="shared" si="9"/>
        <v>9.0616621983914207</v>
      </c>
      <c r="G20" s="516">
        <f t="shared" si="9"/>
        <v>-2.6057030481809242</v>
      </c>
      <c r="H20" s="516">
        <f t="shared" si="9"/>
        <v>2.5744573447753658</v>
      </c>
      <c r="I20" s="516">
        <f t="shared" si="9"/>
        <v>2.8051181102362204</v>
      </c>
      <c r="J20" s="516">
        <f t="shared" si="9"/>
        <v>-2.15414073719483</v>
      </c>
      <c r="K20" s="516">
        <f t="shared" si="9"/>
        <v>-2.3483365949119372</v>
      </c>
      <c r="L20" s="516">
        <f t="shared" si="9"/>
        <v>9.9198396793587182</v>
      </c>
      <c r="M20" s="516">
        <f t="shared" si="9"/>
        <v>18.049225159525982</v>
      </c>
      <c r="N20" s="516">
        <f t="shared" si="9"/>
        <v>1.0038610038610039</v>
      </c>
      <c r="O20" s="516">
        <f t="shared" si="9"/>
        <v>-2.4082568807339451</v>
      </c>
      <c r="P20" s="509" t="s">
        <v>463</v>
      </c>
      <c r="Q20" s="505"/>
      <c r="R20" s="514"/>
      <c r="S20" s="516"/>
      <c r="T20" s="514"/>
      <c r="U20" s="514"/>
      <c r="V20" s="514"/>
      <c r="W20" s="514"/>
      <c r="X20" s="514"/>
      <c r="Y20" s="514"/>
    </row>
    <row r="21" spans="1:25" s="492" customFormat="1" ht="17.25">
      <c r="A21" s="501" t="s">
        <v>464</v>
      </c>
      <c r="B21" s="516">
        <v>3</v>
      </c>
      <c r="C21" s="516">
        <f t="shared" si="9"/>
        <v>-37</v>
      </c>
      <c r="D21" s="516">
        <f t="shared" si="9"/>
        <v>-25.490196078431371</v>
      </c>
      <c r="E21" s="516">
        <f t="shared" si="9"/>
        <v>18.922305764411028</v>
      </c>
      <c r="F21" s="516">
        <f t="shared" si="9"/>
        <v>73.12961011591149</v>
      </c>
      <c r="G21" s="516">
        <f t="shared" si="9"/>
        <v>21.850273889227022</v>
      </c>
      <c r="H21" s="516">
        <f t="shared" si="9"/>
        <v>-27.072927072927072</v>
      </c>
      <c r="I21" s="516">
        <f t="shared" si="9"/>
        <v>59.863013698630134</v>
      </c>
      <c r="J21" s="516">
        <f t="shared" si="9"/>
        <v>-38.603256212510708</v>
      </c>
      <c r="K21" s="516">
        <f>(K7-J7)*100/J7</f>
        <v>-27.704117236566642</v>
      </c>
      <c r="L21" s="516">
        <f t="shared" si="9"/>
        <v>-4.4401544401544397</v>
      </c>
      <c r="M21" s="516">
        <f t="shared" si="9"/>
        <v>68.585858585858588</v>
      </c>
      <c r="N21" s="516">
        <f t="shared" si="9"/>
        <v>17.25584182144997</v>
      </c>
      <c r="O21" s="516">
        <f t="shared" si="9"/>
        <v>-45.375574859478796</v>
      </c>
      <c r="P21" s="509" t="s">
        <v>465</v>
      </c>
      <c r="Q21" s="505"/>
      <c r="R21" s="514"/>
      <c r="S21" s="516"/>
      <c r="T21" s="514"/>
      <c r="U21" s="514"/>
      <c r="V21" s="514"/>
      <c r="W21" s="514"/>
      <c r="X21" s="514"/>
      <c r="Y21" s="514"/>
    </row>
    <row r="22" spans="1:25" s="636" customFormat="1" ht="17.25">
      <c r="A22" s="510" t="s">
        <v>466</v>
      </c>
      <c r="B22" s="632">
        <v>0</v>
      </c>
      <c r="C22" s="632">
        <f t="shared" si="9"/>
        <v>-14.790575916230367</v>
      </c>
      <c r="D22" s="632">
        <f t="shared" si="9"/>
        <v>-17.15309779825909</v>
      </c>
      <c r="E22" s="632">
        <f t="shared" si="9"/>
        <v>19.901112484548825</v>
      </c>
      <c r="F22" s="632">
        <f t="shared" si="9"/>
        <v>9.2268041237113394</v>
      </c>
      <c r="G22" s="632">
        <f t="shared" si="9"/>
        <v>-7.5979235488437942</v>
      </c>
      <c r="H22" s="632">
        <f t="shared" si="9"/>
        <v>11.389172625127681</v>
      </c>
      <c r="I22" s="632">
        <f t="shared" si="9"/>
        <v>26.272352132049519</v>
      </c>
      <c r="J22" s="632">
        <f t="shared" si="9"/>
        <v>-9.477124183006536</v>
      </c>
      <c r="K22" s="632">
        <f t="shared" si="9"/>
        <v>-9.2659446450060177</v>
      </c>
      <c r="L22" s="632">
        <f>(L8-K8)*100/K8</f>
        <v>6.6312997347480103</v>
      </c>
      <c r="M22" s="632">
        <f>(M8-L8)*100/L8</f>
        <v>-10.696517412935323</v>
      </c>
      <c r="N22" s="632">
        <f>(N8-M8)*100/M8</f>
        <v>48.700092850510678</v>
      </c>
      <c r="O22" s="632">
        <f>(O8-N8)*100/N8</f>
        <v>-28.723072119887604</v>
      </c>
      <c r="P22" s="633" t="s">
        <v>467</v>
      </c>
      <c r="Q22" s="634"/>
      <c r="R22" s="635"/>
      <c r="S22" s="632"/>
      <c r="T22" s="635"/>
      <c r="U22" s="635"/>
      <c r="V22" s="635"/>
      <c r="W22" s="635"/>
      <c r="X22" s="635"/>
      <c r="Y22" s="635"/>
    </row>
    <row r="23" spans="1:25" s="642" customFormat="1" ht="17.25">
      <c r="A23" s="501" t="s">
        <v>468</v>
      </c>
      <c r="B23" s="638">
        <v>4</v>
      </c>
      <c r="C23" s="638">
        <v>-3.0028735632183898</v>
      </c>
      <c r="D23" s="638">
        <v>0.35550288846096872</v>
      </c>
      <c r="E23" s="638">
        <v>7.2619926199261995</v>
      </c>
      <c r="F23" s="638">
        <v>11.930645383239302</v>
      </c>
      <c r="G23" s="638">
        <v>-4.4012785837226458</v>
      </c>
      <c r="H23" s="638">
        <v>-7.5874485596707819</v>
      </c>
      <c r="I23" s="638">
        <f t="shared" si="9"/>
        <v>20.526022822154189</v>
      </c>
      <c r="J23" s="638">
        <f>(J9-I9)*100/I9</f>
        <v>0.9929569333795174</v>
      </c>
      <c r="K23" s="638">
        <f t="shared" si="9"/>
        <v>4.9274036812621471</v>
      </c>
      <c r="L23" s="638">
        <f t="shared" si="9"/>
        <v>-11.385922859010678</v>
      </c>
      <c r="M23" s="638">
        <f t="shared" si="9"/>
        <v>12.615271117668756</v>
      </c>
      <c r="N23" s="638">
        <f t="shared" si="9"/>
        <v>14.957964843323508</v>
      </c>
      <c r="O23" s="638">
        <f t="shared" si="9"/>
        <v>15.585525690948808</v>
      </c>
      <c r="P23" s="639" t="s">
        <v>469</v>
      </c>
      <c r="Q23" s="640"/>
      <c r="R23" s="641"/>
      <c r="S23" s="638"/>
      <c r="T23" s="641"/>
      <c r="U23" s="641"/>
      <c r="V23" s="641"/>
      <c r="W23" s="641"/>
      <c r="X23" s="641"/>
      <c r="Y23" s="641"/>
    </row>
    <row r="24" spans="1:25" s="647" customFormat="1" ht="17.25">
      <c r="A24" s="650" t="s">
        <v>470</v>
      </c>
      <c r="B24" s="651" t="s">
        <v>471</v>
      </c>
      <c r="C24" s="651" t="s">
        <v>471</v>
      </c>
      <c r="D24" s="651" t="s">
        <v>471</v>
      </c>
      <c r="E24" s="651" t="s">
        <v>471</v>
      </c>
      <c r="F24" s="651" t="s">
        <v>471</v>
      </c>
      <c r="G24" s="651" t="s">
        <v>471</v>
      </c>
      <c r="H24" s="651" t="s">
        <v>471</v>
      </c>
      <c r="I24" s="651" t="s">
        <v>471</v>
      </c>
      <c r="J24" s="652">
        <f>(J10-I10)*100/I10</f>
        <v>100</v>
      </c>
      <c r="K24" s="653">
        <f>(K10-J10)*100/J10</f>
        <v>6.4814814814814818</v>
      </c>
      <c r="L24" s="653">
        <f>(L10-K10)*100/K10</f>
        <v>255.65217391304347</v>
      </c>
      <c r="M24" s="653">
        <f>(M10-L10)*100/L10</f>
        <v>21.026894865525673</v>
      </c>
      <c r="N24" s="653">
        <f>(N10-M10)*100/M10</f>
        <v>4.2424242424242422</v>
      </c>
      <c r="O24" s="653">
        <f>(O10-N10)*100/N10</f>
        <v>-100</v>
      </c>
      <c r="P24" s="654" t="s">
        <v>472</v>
      </c>
      <c r="Q24" s="645"/>
      <c r="R24" s="655"/>
      <c r="S24" s="638"/>
      <c r="T24" s="656"/>
      <c r="U24" s="646"/>
      <c r="V24" s="646"/>
      <c r="W24" s="646"/>
      <c r="X24" s="646"/>
      <c r="Y24" s="646"/>
    </row>
    <row r="25" spans="1:25" s="492" customFormat="1">
      <c r="A25" s="1" t="s">
        <v>2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8"/>
      <c r="O25" s="658"/>
      <c r="P25" s="564" t="s">
        <v>150</v>
      </c>
      <c r="Q25" s="514"/>
      <c r="R25" s="514"/>
      <c r="S25" s="646"/>
      <c r="T25" s="514"/>
      <c r="U25" s="514"/>
      <c r="V25" s="514"/>
      <c r="W25" s="514"/>
      <c r="X25" s="514"/>
      <c r="Y25" s="514"/>
    </row>
    <row r="26" spans="1:25" s="492" customFormat="1">
      <c r="A26" s="1"/>
      <c r="B26" s="657"/>
      <c r="C26" s="657"/>
      <c r="D26" s="657"/>
      <c r="E26" s="657"/>
      <c r="F26" s="657"/>
      <c r="G26" s="657"/>
      <c r="H26" s="657"/>
      <c r="I26" s="657"/>
      <c r="J26" s="657"/>
      <c r="K26" s="657"/>
      <c r="L26" s="657"/>
      <c r="M26" s="657"/>
      <c r="N26" s="658"/>
      <c r="O26" s="658"/>
      <c r="P26" s="564"/>
      <c r="Q26" s="514"/>
      <c r="R26" s="514"/>
      <c r="S26" s="514"/>
      <c r="T26" s="514"/>
      <c r="U26" s="514"/>
      <c r="V26" s="514"/>
      <c r="W26" s="514"/>
      <c r="X26" s="514"/>
      <c r="Y26" s="514"/>
    </row>
    <row r="27" spans="1:25">
      <c r="A27" s="514"/>
      <c r="B27" s="514"/>
      <c r="C27" s="514"/>
      <c r="D27" s="514"/>
      <c r="E27" s="514"/>
      <c r="F27" s="514"/>
      <c r="G27" s="514"/>
      <c r="H27" s="514"/>
      <c r="I27" s="514"/>
      <c r="J27" s="514"/>
      <c r="K27" s="514"/>
      <c r="L27" s="514"/>
      <c r="M27" s="514"/>
      <c r="N27" s="659"/>
      <c r="O27" s="659"/>
      <c r="P27" s="514"/>
      <c r="Q27" s="514"/>
      <c r="R27" s="514"/>
      <c r="S27" s="514"/>
      <c r="T27" s="514"/>
      <c r="U27" s="514"/>
      <c r="V27" s="514"/>
      <c r="W27" s="514"/>
      <c r="X27" s="514"/>
      <c r="Y27" s="514"/>
    </row>
    <row r="28" spans="1:25">
      <c r="A28" s="514"/>
      <c r="B28" s="514"/>
      <c r="C28" s="514"/>
      <c r="D28" s="514"/>
      <c r="E28" s="514"/>
      <c r="F28" s="514"/>
      <c r="G28" s="514"/>
      <c r="H28" s="514"/>
      <c r="I28" s="514"/>
      <c r="J28" s="514"/>
      <c r="K28" s="514"/>
      <c r="L28" s="514"/>
      <c r="M28" s="514"/>
      <c r="N28" s="659"/>
      <c r="O28" s="659"/>
      <c r="P28" s="514"/>
      <c r="Q28" s="514"/>
      <c r="R28" s="514"/>
      <c r="S28" s="514"/>
      <c r="T28" s="514"/>
      <c r="U28" s="514"/>
      <c r="V28" s="514"/>
      <c r="W28" s="514"/>
      <c r="X28" s="514"/>
      <c r="Y28" s="514"/>
    </row>
    <row r="29" spans="1:25">
      <c r="A29" s="514"/>
      <c r="B29" s="514"/>
      <c r="C29" s="514"/>
      <c r="D29" s="514"/>
      <c r="E29" s="514"/>
      <c r="F29" s="514"/>
      <c r="G29" s="514"/>
      <c r="H29" s="514"/>
      <c r="I29" s="514"/>
      <c r="J29" s="514"/>
      <c r="K29" s="514"/>
      <c r="L29" s="514"/>
      <c r="M29" s="514"/>
      <c r="N29" s="659"/>
      <c r="O29" s="659"/>
      <c r="P29" s="514"/>
      <c r="Q29" s="514"/>
      <c r="R29" s="514"/>
      <c r="S29" s="514"/>
      <c r="T29" s="514"/>
      <c r="U29" s="514"/>
      <c r="V29" s="514"/>
      <c r="W29" s="514"/>
      <c r="X29" s="514"/>
      <c r="Y29" s="514"/>
    </row>
    <row r="30" spans="1:25">
      <c r="A30" s="514"/>
      <c r="B30" s="514"/>
      <c r="C30" s="514"/>
      <c r="D30" s="514"/>
      <c r="E30" s="514"/>
      <c r="F30" s="514"/>
      <c r="G30" s="514"/>
      <c r="H30" s="514"/>
      <c r="I30" s="514"/>
      <c r="J30" s="514"/>
      <c r="K30" s="514"/>
      <c r="L30" s="514"/>
      <c r="M30" s="514"/>
      <c r="N30" s="659"/>
      <c r="O30" s="659"/>
      <c r="P30" s="514"/>
      <c r="Q30" s="514"/>
      <c r="R30" s="514"/>
      <c r="S30" s="514"/>
      <c r="T30" s="514"/>
      <c r="U30" s="514"/>
      <c r="V30" s="514"/>
      <c r="W30" s="514"/>
      <c r="X30" s="514"/>
      <c r="Y30" s="514"/>
    </row>
    <row r="31" spans="1:25">
      <c r="A31" s="514"/>
      <c r="B31" s="514"/>
      <c r="C31" s="514"/>
      <c r="D31" s="514"/>
      <c r="E31" s="514"/>
      <c r="F31" s="514"/>
      <c r="G31" s="514"/>
      <c r="H31" s="514"/>
      <c r="I31" s="514"/>
      <c r="J31" s="514"/>
      <c r="K31" s="514"/>
      <c r="L31" s="514"/>
      <c r="M31" s="514"/>
      <c r="N31" s="659"/>
      <c r="O31" s="659"/>
      <c r="P31" s="514"/>
      <c r="Q31" s="514"/>
      <c r="R31" s="514"/>
      <c r="S31" s="514"/>
      <c r="T31" s="514"/>
      <c r="U31" s="514"/>
      <c r="V31" s="514"/>
      <c r="W31" s="514"/>
      <c r="X31" s="514"/>
      <c r="Y31" s="514"/>
    </row>
    <row r="32" spans="1:25">
      <c r="A32" s="514"/>
      <c r="B32" s="514"/>
      <c r="C32" s="514"/>
      <c r="D32" s="514"/>
      <c r="E32" s="514"/>
      <c r="F32" s="514"/>
      <c r="G32" s="514"/>
      <c r="H32" s="514"/>
      <c r="I32" s="514"/>
      <c r="J32" s="514"/>
      <c r="K32" s="514"/>
      <c r="L32" s="514"/>
      <c r="M32" s="514"/>
      <c r="N32" s="659"/>
      <c r="O32" s="659"/>
      <c r="P32" s="514"/>
      <c r="Q32" s="514"/>
      <c r="R32" s="514"/>
      <c r="S32" s="514"/>
      <c r="T32" s="514"/>
      <c r="U32" s="514"/>
      <c r="V32" s="514"/>
      <c r="W32" s="514"/>
      <c r="X32" s="514"/>
      <c r="Y32" s="514"/>
    </row>
    <row r="33" spans="1:30">
      <c r="A33" s="514"/>
      <c r="B33" s="660"/>
      <c r="C33" s="514"/>
      <c r="D33" s="514"/>
      <c r="E33" s="514"/>
      <c r="F33" s="514"/>
      <c r="G33" s="514"/>
      <c r="H33" s="514"/>
      <c r="I33" s="514"/>
      <c r="J33" s="514"/>
      <c r="K33" s="514"/>
      <c r="L33" s="514"/>
      <c r="M33" s="514"/>
      <c r="N33" s="659"/>
      <c r="O33" s="659"/>
      <c r="P33" s="514"/>
      <c r="Q33" s="514"/>
      <c r="R33" s="661"/>
      <c r="S33" s="662"/>
      <c r="T33" s="662"/>
      <c r="U33" s="662"/>
      <c r="V33" s="662"/>
      <c r="W33" s="662"/>
      <c r="X33" s="514"/>
      <c r="Y33" s="514"/>
    </row>
    <row r="34" spans="1:30">
      <c r="A34" s="514"/>
      <c r="B34" s="663"/>
      <c r="C34" s="514"/>
      <c r="D34" s="514"/>
      <c r="E34" s="514"/>
      <c r="F34" s="514"/>
      <c r="G34" s="514"/>
      <c r="H34" s="514"/>
      <c r="I34" s="514"/>
      <c r="J34" s="514"/>
      <c r="K34" s="514"/>
      <c r="L34" s="514"/>
      <c r="M34" s="514"/>
      <c r="N34" s="659"/>
      <c r="O34" s="659"/>
      <c r="P34" s="514"/>
      <c r="Q34" s="514"/>
      <c r="R34" s="661"/>
      <c r="S34" s="664"/>
      <c r="T34" s="664"/>
      <c r="U34" s="664"/>
      <c r="V34" s="664"/>
      <c r="W34" s="664"/>
      <c r="X34" s="514"/>
      <c r="Y34" s="514"/>
    </row>
    <row r="35" spans="1:30">
      <c r="A35" s="514"/>
      <c r="B35" s="663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14"/>
      <c r="N35" s="659"/>
      <c r="O35" s="659"/>
      <c r="P35" s="514"/>
      <c r="Q35" s="514"/>
      <c r="R35" s="665"/>
      <c r="S35" s="666"/>
      <c r="T35" s="666"/>
      <c r="U35" s="666"/>
      <c r="V35" s="666"/>
      <c r="W35" s="666"/>
      <c r="X35" s="514"/>
      <c r="Y35" s="514"/>
    </row>
    <row r="36" spans="1:30">
      <c r="A36" s="514"/>
      <c r="B36" s="663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14"/>
      <c r="N36" s="659"/>
      <c r="O36" s="659"/>
      <c r="P36" s="514"/>
      <c r="Q36" s="514"/>
      <c r="R36" s="665"/>
      <c r="S36" s="666"/>
      <c r="T36" s="666"/>
      <c r="U36" s="666"/>
      <c r="V36" s="666"/>
      <c r="W36" s="666"/>
      <c r="X36" s="514"/>
      <c r="Y36" s="514"/>
    </row>
    <row r="37" spans="1:30">
      <c r="A37" s="514"/>
      <c r="B37" s="663"/>
      <c r="C37" s="514"/>
      <c r="D37" s="514"/>
      <c r="E37" s="514"/>
      <c r="F37" s="514"/>
      <c r="G37" s="514"/>
      <c r="H37" s="514"/>
      <c r="I37" s="514"/>
      <c r="J37" s="514"/>
      <c r="K37" s="514"/>
      <c r="L37" s="514"/>
      <c r="M37" s="514"/>
      <c r="N37" s="659"/>
      <c r="O37" s="659"/>
      <c r="P37" s="514"/>
      <c r="Q37" s="514"/>
      <c r="R37" s="665"/>
      <c r="S37" s="666"/>
      <c r="T37" s="666"/>
      <c r="U37" s="666"/>
      <c r="V37" s="666"/>
      <c r="W37" s="666"/>
      <c r="X37" s="514"/>
      <c r="Y37" s="514"/>
    </row>
    <row r="38" spans="1:30">
      <c r="A38" s="514"/>
      <c r="B38" s="663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14"/>
      <c r="N38" s="659"/>
      <c r="O38" s="659"/>
      <c r="P38" s="514"/>
      <c r="Q38" s="635"/>
      <c r="R38" s="667"/>
      <c r="S38" s="668"/>
      <c r="T38" s="668"/>
      <c r="U38" s="668"/>
      <c r="V38" s="668"/>
      <c r="W38" s="668"/>
      <c r="X38" s="635"/>
      <c r="Y38" s="635"/>
      <c r="Z38" s="669"/>
    </row>
    <row r="39" spans="1:30">
      <c r="A39" s="514"/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14"/>
      <c r="N39" s="659"/>
      <c r="O39" s="659"/>
      <c r="P39" s="670"/>
      <c r="Q39" s="641"/>
      <c r="R39" s="671"/>
      <c r="S39" s="672"/>
      <c r="T39" s="672"/>
      <c r="U39" s="672"/>
      <c r="V39" s="672"/>
      <c r="W39" s="672"/>
      <c r="X39" s="641"/>
      <c r="Y39" s="641"/>
      <c r="Z39" s="673"/>
      <c r="AA39" s="674"/>
    </row>
    <row r="40" spans="1:30">
      <c r="A40" s="514"/>
      <c r="B40" s="514"/>
      <c r="C40" s="514"/>
      <c r="D40" s="514"/>
      <c r="E40" s="514"/>
      <c r="F40" s="514"/>
      <c r="G40" s="514"/>
      <c r="H40" s="514"/>
      <c r="I40" s="514"/>
      <c r="J40" s="514"/>
      <c r="K40" s="514"/>
      <c r="L40" s="514"/>
      <c r="M40" s="514"/>
      <c r="N40" s="659"/>
      <c r="O40" s="659"/>
      <c r="P40" s="670"/>
      <c r="Q40" s="641"/>
      <c r="R40" s="641"/>
      <c r="S40" s="641"/>
      <c r="T40" s="641"/>
      <c r="U40" s="641"/>
      <c r="V40" s="641"/>
      <c r="W40" s="641"/>
      <c r="X40" s="641"/>
      <c r="Y40" s="641"/>
      <c r="Z40" s="673"/>
      <c r="AA40" s="674"/>
    </row>
    <row r="41" spans="1:30">
      <c r="A41" s="514"/>
      <c r="B41" s="514"/>
      <c r="C41" s="514"/>
      <c r="D41" s="514"/>
      <c r="E41" s="514"/>
      <c r="F41" s="514"/>
      <c r="G41" s="514"/>
      <c r="H41" s="514"/>
      <c r="I41" s="514"/>
      <c r="J41" s="514"/>
      <c r="K41" s="514"/>
      <c r="L41" s="514"/>
      <c r="M41" s="514"/>
      <c r="N41" s="659"/>
      <c r="O41" s="659"/>
      <c r="P41" s="670"/>
      <c r="Q41" s="641"/>
      <c r="R41" s="641"/>
      <c r="S41" s="641"/>
      <c r="T41" s="641"/>
      <c r="U41" s="641"/>
      <c r="V41" s="641"/>
      <c r="W41" s="641"/>
      <c r="X41" s="641"/>
      <c r="Y41" s="641"/>
      <c r="Z41" s="673"/>
      <c r="AA41" s="674"/>
    </row>
    <row r="42" spans="1:30">
      <c r="A42" s="514"/>
      <c r="B42" s="514"/>
      <c r="C42" s="514"/>
      <c r="D42" s="514"/>
      <c r="E42" s="514"/>
      <c r="F42" s="514"/>
      <c r="G42" s="514"/>
      <c r="H42" s="514"/>
      <c r="I42" s="514"/>
      <c r="J42" s="514"/>
      <c r="K42" s="514"/>
      <c r="L42" s="514"/>
      <c r="M42" s="514"/>
      <c r="N42" s="659"/>
      <c r="O42" s="659"/>
      <c r="P42" s="670"/>
      <c r="Q42" s="641"/>
      <c r="R42" s="673"/>
      <c r="S42" s="673"/>
      <c r="T42" s="673"/>
      <c r="U42" s="673"/>
      <c r="V42" s="673"/>
      <c r="W42" s="673"/>
      <c r="X42" s="641"/>
      <c r="Y42" s="641"/>
      <c r="Z42" s="673"/>
      <c r="AA42" s="674"/>
    </row>
    <row r="43" spans="1:30">
      <c r="A43" s="514"/>
      <c r="B43" s="514"/>
      <c r="C43" s="514"/>
      <c r="D43" s="514"/>
      <c r="E43" s="514"/>
      <c r="F43" s="514"/>
      <c r="G43" s="514"/>
      <c r="H43" s="514"/>
      <c r="I43" s="514"/>
      <c r="J43" s="514"/>
      <c r="K43" s="514"/>
      <c r="L43" s="514"/>
      <c r="M43" s="514"/>
      <c r="N43" s="659"/>
      <c r="O43" s="659"/>
      <c r="P43" s="670"/>
      <c r="Q43" s="641"/>
      <c r="R43" s="641"/>
      <c r="S43" s="673"/>
      <c r="T43" s="673"/>
      <c r="U43" s="673"/>
      <c r="V43" s="673"/>
      <c r="W43" s="673"/>
      <c r="X43" s="673"/>
      <c r="Y43" s="641"/>
      <c r="Z43" s="641"/>
      <c r="AA43" s="675"/>
      <c r="AB43" s="675"/>
      <c r="AC43" s="675"/>
      <c r="AD43" s="675"/>
    </row>
    <row r="44" spans="1:30">
      <c r="A44" s="514"/>
      <c r="B44" s="514"/>
      <c r="C44" s="514"/>
      <c r="D44" s="514"/>
      <c r="E44" s="514"/>
      <c r="F44" s="514"/>
      <c r="G44" s="514"/>
      <c r="H44" s="514"/>
      <c r="I44" s="514"/>
      <c r="J44" s="514"/>
      <c r="K44" s="514"/>
      <c r="L44" s="514"/>
      <c r="M44" s="514"/>
      <c r="N44" s="659"/>
      <c r="O44" s="659"/>
      <c r="P44" s="670"/>
      <c r="Q44" s="641"/>
      <c r="R44" s="641"/>
      <c r="S44" s="676"/>
      <c r="T44" s="677"/>
      <c r="U44" s="677"/>
      <c r="V44" s="677"/>
      <c r="W44" s="677"/>
      <c r="X44" s="677"/>
      <c r="Y44" s="677"/>
      <c r="Z44" s="677"/>
      <c r="AA44" s="675"/>
      <c r="AB44" s="675"/>
      <c r="AC44" s="675"/>
      <c r="AD44" s="675"/>
    </row>
    <row r="45" spans="1:30">
      <c r="A45" s="514"/>
      <c r="B45" s="514"/>
      <c r="C45" s="514"/>
      <c r="D45" s="514"/>
      <c r="E45" s="514"/>
      <c r="F45" s="514"/>
      <c r="G45" s="514"/>
      <c r="H45" s="514"/>
      <c r="I45" s="514"/>
      <c r="J45" s="514"/>
      <c r="K45" s="514"/>
      <c r="L45" s="514"/>
      <c r="M45" s="514"/>
      <c r="N45" s="659"/>
      <c r="O45" s="659"/>
      <c r="P45" s="670"/>
      <c r="Q45" s="641"/>
      <c r="R45" s="641"/>
      <c r="S45" s="671"/>
      <c r="T45" s="672"/>
      <c r="U45" s="672"/>
      <c r="V45" s="672"/>
      <c r="W45" s="672"/>
      <c r="X45" s="672"/>
      <c r="Y45" s="672"/>
      <c r="Z45" s="641"/>
      <c r="AA45" s="678"/>
      <c r="AB45" s="554"/>
      <c r="AD45" s="675"/>
    </row>
    <row r="46" spans="1:30">
      <c r="A46" s="514"/>
      <c r="B46" s="514"/>
      <c r="C46" s="514"/>
      <c r="D46" s="514"/>
      <c r="E46" s="514"/>
      <c r="F46" s="514"/>
      <c r="G46" s="514"/>
      <c r="H46" s="514"/>
      <c r="I46" s="514"/>
      <c r="J46" s="514"/>
      <c r="K46" s="514"/>
      <c r="L46" s="514"/>
      <c r="M46" s="514"/>
      <c r="N46" s="659"/>
      <c r="O46" s="659"/>
      <c r="P46" s="670"/>
      <c r="Q46" s="641"/>
      <c r="R46" s="641"/>
      <c r="S46" s="671"/>
      <c r="T46" s="672"/>
      <c r="U46" s="672"/>
      <c r="V46" s="672"/>
      <c r="W46" s="672"/>
      <c r="X46" s="672"/>
      <c r="Y46" s="672"/>
      <c r="Z46" s="641"/>
      <c r="AA46" s="678"/>
      <c r="AB46" s="554"/>
      <c r="AD46" s="675"/>
    </row>
    <row r="47" spans="1:30" ht="35.25" customHeight="1">
      <c r="A47" s="514"/>
      <c r="B47" s="514"/>
      <c r="C47" s="514"/>
      <c r="D47" s="514"/>
      <c r="E47" s="514"/>
      <c r="F47" s="514"/>
      <c r="G47" s="514"/>
      <c r="H47" s="514"/>
      <c r="I47" s="514"/>
      <c r="J47" s="514"/>
      <c r="K47" s="514"/>
      <c r="L47" s="514"/>
      <c r="M47" s="514"/>
      <c r="N47" s="659"/>
      <c r="O47" s="659"/>
      <c r="P47" s="670"/>
      <c r="Q47" s="641"/>
      <c r="R47" s="641"/>
      <c r="S47" s="671"/>
      <c r="T47" s="672"/>
      <c r="U47" s="672"/>
      <c r="V47" s="672"/>
      <c r="W47" s="672"/>
      <c r="X47" s="672"/>
      <c r="Y47" s="672"/>
      <c r="Z47" s="641"/>
      <c r="AA47" s="678"/>
      <c r="AB47" s="554"/>
      <c r="AD47" s="675"/>
    </row>
    <row r="48" spans="1:30">
      <c r="A48" s="514"/>
      <c r="B48" s="514"/>
      <c r="C48" s="514"/>
      <c r="D48" s="514"/>
      <c r="E48" s="514"/>
      <c r="F48" s="514"/>
      <c r="G48" s="514"/>
      <c r="H48" s="514"/>
      <c r="I48" s="514"/>
      <c r="J48" s="514"/>
      <c r="K48" s="514"/>
      <c r="L48" s="514"/>
      <c r="M48" s="514"/>
      <c r="N48" s="659"/>
      <c r="O48" s="659"/>
      <c r="P48" s="670"/>
      <c r="Q48" s="641"/>
      <c r="R48" s="641"/>
      <c r="S48" s="671"/>
      <c r="T48" s="672"/>
      <c r="U48" s="672"/>
      <c r="V48" s="672"/>
      <c r="W48" s="672"/>
      <c r="X48" s="672"/>
      <c r="Y48" s="672"/>
      <c r="Z48" s="641"/>
      <c r="AA48" s="678"/>
      <c r="AB48" s="554"/>
      <c r="AD48" s="675"/>
    </row>
    <row r="49" spans="1:30">
      <c r="A49" s="514"/>
      <c r="B49" s="514"/>
      <c r="C49" s="514"/>
      <c r="D49" s="514"/>
      <c r="E49" s="514"/>
      <c r="F49" s="514"/>
      <c r="G49" s="514"/>
      <c r="H49" s="514"/>
      <c r="I49" s="514"/>
      <c r="J49" s="514"/>
      <c r="K49" s="514"/>
      <c r="L49" s="514"/>
      <c r="M49" s="514"/>
      <c r="N49" s="659"/>
      <c r="O49" s="659"/>
      <c r="P49" s="670"/>
      <c r="Q49" s="641"/>
      <c r="R49" s="641"/>
      <c r="S49" s="671"/>
      <c r="T49" s="672"/>
      <c r="U49" s="672"/>
      <c r="V49" s="672"/>
      <c r="W49" s="672"/>
      <c r="X49" s="672"/>
      <c r="Y49" s="672"/>
      <c r="Z49" s="641"/>
      <c r="AA49" s="678"/>
      <c r="AB49" s="554"/>
      <c r="AD49" s="675"/>
    </row>
    <row r="50" spans="1:30">
      <c r="A50" s="514"/>
      <c r="B50" s="514"/>
      <c r="C50" s="514"/>
      <c r="D50" s="514"/>
      <c r="E50" s="514"/>
      <c r="F50" s="514"/>
      <c r="G50" s="514"/>
      <c r="H50" s="514"/>
      <c r="I50" s="514"/>
      <c r="J50" s="514"/>
      <c r="K50" s="514"/>
      <c r="L50" s="514"/>
      <c r="M50" s="514"/>
      <c r="N50" s="659"/>
      <c r="O50" s="659"/>
      <c r="P50" s="514"/>
      <c r="Q50" s="646"/>
      <c r="R50" s="679"/>
      <c r="S50" s="679"/>
      <c r="T50" s="679"/>
      <c r="U50" s="679"/>
      <c r="V50" s="679"/>
      <c r="W50" s="679"/>
      <c r="X50" s="679"/>
      <c r="Y50" s="679"/>
      <c r="Z50" s="679"/>
      <c r="AC50" s="675"/>
      <c r="AD50" s="675"/>
    </row>
    <row r="51" spans="1:30">
      <c r="A51" s="514"/>
      <c r="B51" s="514"/>
      <c r="C51" s="514"/>
      <c r="D51" s="514"/>
      <c r="E51" s="514"/>
      <c r="F51" s="514"/>
      <c r="G51" s="514"/>
      <c r="H51" s="514"/>
      <c r="I51" s="514"/>
      <c r="J51" s="514"/>
      <c r="K51" s="514"/>
      <c r="L51" s="514"/>
      <c r="M51" s="514"/>
      <c r="N51" s="659"/>
      <c r="O51" s="659"/>
      <c r="P51" s="514"/>
      <c r="Q51" s="514"/>
      <c r="R51" s="679"/>
      <c r="S51" s="680"/>
      <c r="T51" s="681"/>
      <c r="U51" s="681"/>
      <c r="V51" s="681"/>
      <c r="W51" s="681"/>
      <c r="X51" s="681"/>
      <c r="Y51" s="681"/>
      <c r="Z51" s="681"/>
      <c r="AA51" s="675"/>
      <c r="AB51" s="675"/>
      <c r="AC51" s="675"/>
      <c r="AD51" s="675"/>
    </row>
    <row r="52" spans="1:30">
      <c r="A52" s="514"/>
      <c r="B52" s="514"/>
      <c r="C52" s="514"/>
      <c r="D52" s="514"/>
      <c r="E52" s="514"/>
      <c r="F52" s="514"/>
      <c r="G52" s="514"/>
      <c r="H52" s="514"/>
      <c r="I52" s="514"/>
      <c r="J52" s="514"/>
      <c r="K52" s="514"/>
      <c r="L52" s="514"/>
      <c r="M52" s="514"/>
      <c r="N52" s="659"/>
      <c r="O52" s="659"/>
      <c r="P52" s="514"/>
      <c r="Q52" s="514"/>
      <c r="R52" s="679"/>
      <c r="S52" s="679"/>
      <c r="T52" s="679"/>
      <c r="U52" s="679"/>
      <c r="V52" s="679"/>
      <c r="W52" s="679"/>
      <c r="X52" s="679"/>
      <c r="Y52" s="679"/>
      <c r="Z52" s="679"/>
      <c r="AA52" s="675"/>
      <c r="AB52" s="675"/>
      <c r="AC52" s="675"/>
      <c r="AD52" s="675"/>
    </row>
    <row r="53" spans="1:30">
      <c r="A53" s="514"/>
      <c r="B53" s="514"/>
      <c r="C53" s="514"/>
      <c r="D53" s="514"/>
      <c r="E53" s="514"/>
      <c r="F53" s="514"/>
      <c r="G53" s="514"/>
      <c r="H53" s="514"/>
      <c r="I53" s="514"/>
      <c r="J53" s="514"/>
      <c r="K53" s="514"/>
      <c r="L53" s="514"/>
      <c r="M53" s="514"/>
      <c r="N53" s="659"/>
      <c r="O53" s="659"/>
      <c r="P53" s="514"/>
      <c r="Q53" s="514"/>
      <c r="R53" s="679"/>
      <c r="S53" s="679"/>
      <c r="T53" s="679"/>
      <c r="U53" s="679"/>
      <c r="V53" s="679"/>
      <c r="W53" s="679"/>
      <c r="X53" s="679"/>
      <c r="Y53" s="679"/>
      <c r="Z53" s="679"/>
      <c r="AA53" s="675"/>
      <c r="AB53" s="675"/>
      <c r="AC53" s="675"/>
      <c r="AD53" s="675"/>
    </row>
    <row r="54" spans="1:30">
      <c r="A54" s="514"/>
      <c r="B54" s="514"/>
      <c r="C54" s="514"/>
      <c r="D54" s="514"/>
      <c r="E54" s="514"/>
      <c r="F54" s="514"/>
      <c r="G54" s="514"/>
      <c r="H54" s="514"/>
      <c r="I54" s="514"/>
      <c r="J54" s="514"/>
      <c r="K54" s="514"/>
      <c r="L54" s="514"/>
      <c r="M54" s="514"/>
      <c r="N54" s="659"/>
      <c r="O54" s="659"/>
      <c r="P54" s="514"/>
      <c r="Q54" s="514"/>
      <c r="R54" s="514"/>
      <c r="S54" s="514"/>
      <c r="T54" s="514"/>
      <c r="U54" s="514"/>
      <c r="V54" s="514"/>
      <c r="W54" s="514"/>
      <c r="X54" s="514"/>
      <c r="Y54" s="514"/>
    </row>
    <row r="55" spans="1:30">
      <c r="A55" s="514"/>
      <c r="B55" s="514"/>
      <c r="C55" s="514"/>
      <c r="D55" s="514"/>
      <c r="E55" s="514"/>
      <c r="F55" s="514"/>
      <c r="G55" s="514"/>
      <c r="H55" s="514"/>
      <c r="I55" s="514"/>
      <c r="J55" s="514"/>
      <c r="K55" s="514"/>
      <c r="L55" s="514"/>
      <c r="M55" s="514"/>
      <c r="N55" s="659"/>
      <c r="O55" s="659"/>
      <c r="P55" s="514"/>
      <c r="Q55" s="514"/>
      <c r="R55" s="514"/>
      <c r="S55" s="514"/>
      <c r="T55" s="514"/>
      <c r="U55" s="514"/>
      <c r="V55" s="514"/>
      <c r="W55" s="514"/>
      <c r="X55" s="514"/>
      <c r="Y55" s="514"/>
    </row>
    <row r="56" spans="1:30">
      <c r="A56" s="514"/>
      <c r="B56" s="514"/>
      <c r="C56" s="514"/>
      <c r="D56" s="514"/>
      <c r="E56" s="514"/>
      <c r="F56" s="514"/>
      <c r="G56" s="514"/>
      <c r="H56" s="514"/>
      <c r="I56" s="514"/>
      <c r="J56" s="514"/>
      <c r="K56" s="514"/>
      <c r="L56" s="514"/>
      <c r="M56" s="514"/>
      <c r="N56" s="659"/>
      <c r="O56" s="659"/>
      <c r="P56" s="514"/>
      <c r="Q56" s="514"/>
      <c r="R56" s="514"/>
      <c r="S56" s="514"/>
      <c r="T56" s="514"/>
      <c r="U56" s="514"/>
      <c r="V56" s="514"/>
      <c r="W56" s="514"/>
      <c r="X56" s="514"/>
      <c r="Y56" s="514"/>
    </row>
    <row r="57" spans="1:30">
      <c r="A57" s="514"/>
      <c r="B57" s="514"/>
      <c r="C57" s="514"/>
      <c r="D57" s="514"/>
      <c r="E57" s="514"/>
      <c r="F57" s="514"/>
      <c r="G57" s="514"/>
      <c r="H57" s="514"/>
      <c r="I57" s="514"/>
      <c r="J57" s="514"/>
      <c r="K57" s="514"/>
      <c r="L57" s="514"/>
      <c r="M57" s="514"/>
      <c r="N57" s="659"/>
      <c r="O57" s="659"/>
      <c r="P57" s="514"/>
      <c r="Q57" s="514"/>
      <c r="R57" s="514"/>
      <c r="S57" s="514"/>
      <c r="T57" s="514"/>
      <c r="U57" s="514"/>
      <c r="V57" s="514"/>
      <c r="W57" s="514"/>
      <c r="X57" s="514"/>
      <c r="Y57" s="514"/>
    </row>
    <row r="58" spans="1:30">
      <c r="A58" s="514"/>
      <c r="B58" s="514"/>
      <c r="C58" s="514"/>
      <c r="D58" s="514"/>
      <c r="E58" s="514"/>
      <c r="F58" s="514"/>
      <c r="G58" s="514"/>
      <c r="H58" s="514"/>
      <c r="I58" s="514"/>
      <c r="J58" s="514"/>
      <c r="K58" s="514"/>
      <c r="L58" s="514"/>
      <c r="M58" s="514"/>
      <c r="N58" s="659"/>
      <c r="O58" s="659"/>
      <c r="P58" s="514"/>
      <c r="Q58" s="514"/>
      <c r="R58" s="514"/>
      <c r="S58" s="514"/>
      <c r="T58" s="514"/>
      <c r="U58" s="514"/>
      <c r="V58" s="514"/>
      <c r="W58" s="514"/>
      <c r="X58" s="514"/>
      <c r="Y58" s="514"/>
    </row>
    <row r="59" spans="1:30">
      <c r="A59" s="514"/>
      <c r="B59" s="514"/>
      <c r="C59" s="514"/>
      <c r="D59" s="514"/>
      <c r="E59" s="514"/>
      <c r="F59" s="514"/>
      <c r="G59" s="514"/>
      <c r="H59" s="514"/>
      <c r="I59" s="514"/>
      <c r="J59" s="514"/>
      <c r="K59" s="514"/>
      <c r="L59" s="514"/>
      <c r="M59" s="514"/>
      <c r="N59" s="659"/>
      <c r="O59" s="659"/>
      <c r="P59" s="514"/>
      <c r="Q59" s="514"/>
      <c r="R59" s="514"/>
      <c r="S59" s="514"/>
      <c r="T59" s="514"/>
      <c r="U59" s="514"/>
      <c r="V59" s="514"/>
      <c r="W59" s="514"/>
      <c r="X59" s="514"/>
      <c r="Y59" s="514"/>
    </row>
    <row r="60" spans="1:30">
      <c r="A60" s="514"/>
      <c r="B60" s="514"/>
      <c r="C60" s="514"/>
      <c r="D60" s="514"/>
      <c r="E60" s="514"/>
      <c r="F60" s="514"/>
      <c r="G60" s="514"/>
      <c r="H60" s="514"/>
      <c r="I60" s="514"/>
      <c r="J60" s="514"/>
      <c r="K60" s="514"/>
      <c r="L60" s="514"/>
      <c r="M60" s="514"/>
      <c r="N60" s="659"/>
      <c r="O60" s="659"/>
      <c r="P60" s="514"/>
      <c r="Q60" s="514"/>
      <c r="R60" s="514"/>
      <c r="S60" s="514"/>
      <c r="T60" s="514"/>
      <c r="U60" s="514"/>
      <c r="V60" s="514"/>
      <c r="W60" s="514"/>
      <c r="X60" s="514"/>
      <c r="Y60" s="514"/>
    </row>
    <row r="61" spans="1:30">
      <c r="A61" s="514"/>
      <c r="B61" s="514"/>
      <c r="C61" s="514"/>
      <c r="D61" s="514"/>
      <c r="E61" s="514"/>
      <c r="F61" s="514"/>
      <c r="G61" s="514"/>
      <c r="H61" s="514"/>
      <c r="I61" s="514"/>
      <c r="J61" s="514"/>
      <c r="K61" s="514"/>
      <c r="L61" s="514"/>
      <c r="M61" s="514"/>
      <c r="N61" s="659"/>
      <c r="O61" s="659"/>
      <c r="P61" s="514"/>
      <c r="Q61" s="514"/>
      <c r="R61" s="514"/>
      <c r="S61" s="514"/>
      <c r="T61" s="514"/>
      <c r="U61" s="514"/>
      <c r="V61" s="514"/>
      <c r="W61" s="514"/>
      <c r="X61" s="514"/>
      <c r="Y61" s="514"/>
    </row>
    <row r="62" spans="1:30">
      <c r="A62" s="514"/>
      <c r="B62" s="514"/>
      <c r="C62" s="514"/>
      <c r="D62" s="514"/>
      <c r="E62" s="514"/>
      <c r="F62" s="514"/>
      <c r="G62" s="514"/>
      <c r="H62" s="514"/>
      <c r="I62" s="514"/>
      <c r="J62" s="514"/>
      <c r="K62" s="514"/>
      <c r="L62" s="514"/>
      <c r="M62" s="514"/>
      <c r="N62" s="659"/>
      <c r="O62" s="659"/>
      <c r="P62" s="514"/>
      <c r="Q62" s="514"/>
      <c r="R62" s="514"/>
      <c r="S62" s="514"/>
      <c r="T62" s="514"/>
      <c r="U62" s="514"/>
      <c r="V62" s="514"/>
      <c r="W62" s="514"/>
      <c r="X62" s="514"/>
      <c r="Y62" s="514"/>
    </row>
    <row r="63" spans="1:30">
      <c r="A63" s="514"/>
      <c r="B63" s="514"/>
      <c r="C63" s="514"/>
      <c r="D63" s="514"/>
      <c r="E63" s="514"/>
      <c r="F63" s="514"/>
      <c r="G63" s="514"/>
      <c r="H63" s="514"/>
      <c r="I63" s="514"/>
      <c r="J63" s="514"/>
      <c r="K63" s="514"/>
      <c r="L63" s="514"/>
      <c r="M63" s="514"/>
      <c r="N63" s="659"/>
      <c r="O63" s="659"/>
      <c r="P63" s="514"/>
      <c r="Q63" s="514"/>
      <c r="R63" s="514"/>
      <c r="S63" s="514"/>
      <c r="T63" s="514"/>
      <c r="U63" s="514"/>
      <c r="V63" s="514"/>
      <c r="W63" s="514"/>
      <c r="X63" s="514"/>
      <c r="Y63" s="514"/>
    </row>
    <row r="64" spans="1:30">
      <c r="A64" s="514"/>
      <c r="B64" s="514"/>
      <c r="C64" s="514"/>
      <c r="D64" s="514"/>
      <c r="E64" s="514"/>
      <c r="F64" s="514"/>
      <c r="G64" s="514"/>
      <c r="H64" s="514"/>
      <c r="I64" s="514"/>
      <c r="J64" s="514"/>
      <c r="K64" s="514"/>
      <c r="L64" s="514"/>
      <c r="M64" s="514"/>
      <c r="N64" s="659"/>
      <c r="O64" s="659"/>
      <c r="P64" s="514"/>
      <c r="Q64" s="514"/>
      <c r="R64" s="514"/>
      <c r="S64" s="514"/>
      <c r="T64" s="514"/>
      <c r="U64" s="514"/>
      <c r="V64" s="514"/>
      <c r="W64" s="514"/>
      <c r="X64" s="514"/>
      <c r="Y64" s="514"/>
    </row>
    <row r="65" spans="1:25">
      <c r="A65" s="514"/>
      <c r="B65" s="514"/>
      <c r="C65" s="514"/>
      <c r="D65" s="514"/>
      <c r="E65" s="514"/>
      <c r="F65" s="514"/>
      <c r="G65" s="514"/>
      <c r="H65" s="514"/>
      <c r="I65" s="514"/>
      <c r="J65" s="514"/>
      <c r="K65" s="514"/>
      <c r="L65" s="514"/>
      <c r="M65" s="514"/>
      <c r="N65" s="659"/>
      <c r="O65" s="659"/>
      <c r="P65" s="514"/>
      <c r="Q65" s="514"/>
      <c r="R65" s="514"/>
      <c r="S65" s="514"/>
      <c r="T65" s="514"/>
      <c r="U65" s="514"/>
      <c r="V65" s="514"/>
      <c r="W65" s="514"/>
      <c r="X65" s="514"/>
      <c r="Y65" s="514"/>
    </row>
    <row r="66" spans="1:25">
      <c r="A66" s="514"/>
      <c r="B66" s="514"/>
      <c r="C66" s="514"/>
      <c r="D66" s="514"/>
      <c r="E66" s="514"/>
      <c r="F66" s="514"/>
      <c r="G66" s="514"/>
      <c r="H66" s="514"/>
      <c r="I66" s="514"/>
      <c r="J66" s="514"/>
      <c r="K66" s="514"/>
      <c r="L66" s="514"/>
      <c r="M66" s="514"/>
      <c r="N66" s="659"/>
      <c r="O66" s="659"/>
      <c r="P66" s="514"/>
      <c r="Q66" s="514"/>
      <c r="R66" s="514"/>
      <c r="S66" s="514"/>
      <c r="T66" s="514"/>
      <c r="U66" s="514"/>
      <c r="V66" s="514"/>
      <c r="W66" s="514"/>
      <c r="X66" s="514"/>
      <c r="Y66" s="514"/>
    </row>
    <row r="67" spans="1:25">
      <c r="A67" s="514"/>
      <c r="B67" s="514"/>
      <c r="C67" s="514"/>
      <c r="D67" s="514"/>
      <c r="E67" s="514"/>
      <c r="F67" s="514"/>
      <c r="G67" s="514"/>
      <c r="H67" s="514"/>
      <c r="I67" s="514"/>
      <c r="J67" s="514"/>
      <c r="K67" s="514"/>
      <c r="L67" s="514"/>
      <c r="M67" s="514"/>
      <c r="N67" s="659"/>
      <c r="O67" s="659"/>
      <c r="P67" s="514"/>
      <c r="Q67" s="514"/>
      <c r="R67" s="514"/>
      <c r="S67" s="514"/>
      <c r="T67" s="514"/>
      <c r="U67" s="514"/>
      <c r="V67" s="514"/>
      <c r="W67" s="514"/>
      <c r="X67" s="514"/>
      <c r="Y67" s="514"/>
    </row>
    <row r="68" spans="1:25">
      <c r="A68" s="514"/>
      <c r="B68" s="514"/>
      <c r="C68" s="514"/>
      <c r="D68" s="514"/>
      <c r="E68" s="514"/>
      <c r="F68" s="514"/>
      <c r="G68" s="514"/>
      <c r="H68" s="514"/>
      <c r="I68" s="514"/>
      <c r="J68" s="514"/>
      <c r="K68" s="514"/>
      <c r="L68" s="514"/>
      <c r="M68" s="514"/>
      <c r="N68" s="659"/>
      <c r="O68" s="659"/>
      <c r="P68" s="514"/>
      <c r="Q68" s="514"/>
      <c r="R68" s="514"/>
      <c r="S68" s="514"/>
      <c r="T68" s="514"/>
      <c r="U68" s="514"/>
      <c r="V68" s="514"/>
      <c r="W68" s="514"/>
      <c r="X68" s="514"/>
      <c r="Y68" s="514"/>
    </row>
    <row r="69" spans="1:25">
      <c r="A69" s="514"/>
      <c r="B69" s="514"/>
      <c r="C69" s="514"/>
      <c r="D69" s="514"/>
      <c r="E69" s="514"/>
      <c r="F69" s="514"/>
      <c r="H69" s="496"/>
      <c r="I69" s="514"/>
      <c r="J69" s="496">
        <v>2010</v>
      </c>
      <c r="K69" s="496">
        <v>2011</v>
      </c>
      <c r="L69" s="496">
        <v>2012</v>
      </c>
      <c r="M69" s="496">
        <v>2012</v>
      </c>
      <c r="N69" s="491">
        <v>2012</v>
      </c>
      <c r="O69" s="491">
        <v>2012</v>
      </c>
      <c r="P69" s="514">
        <v>2013</v>
      </c>
      <c r="Q69" s="514">
        <v>2014</v>
      </c>
      <c r="R69" s="514"/>
      <c r="S69" s="514"/>
      <c r="T69" s="514"/>
      <c r="U69" s="514"/>
      <c r="V69" s="514"/>
      <c r="W69" s="514"/>
      <c r="X69" s="514"/>
      <c r="Y69" s="514"/>
    </row>
    <row r="70" spans="1:25">
      <c r="A70" s="514"/>
      <c r="B70" s="514"/>
      <c r="C70" s="514"/>
      <c r="D70" s="514"/>
      <c r="E70" s="514"/>
      <c r="F70" s="514"/>
      <c r="H70" s="554"/>
      <c r="I70" s="501" t="s">
        <v>460</v>
      </c>
      <c r="J70" s="554">
        <v>211</v>
      </c>
      <c r="K70" s="554">
        <v>123</v>
      </c>
      <c r="L70" s="554">
        <v>94</v>
      </c>
      <c r="M70" s="554">
        <v>94</v>
      </c>
      <c r="N70" s="682">
        <v>94</v>
      </c>
      <c r="O70" s="682">
        <v>94</v>
      </c>
      <c r="P70" s="554">
        <v>122</v>
      </c>
      <c r="Q70" s="514">
        <v>81</v>
      </c>
      <c r="S70" s="514"/>
      <c r="T70" s="514"/>
      <c r="U70" s="514"/>
      <c r="V70" s="514"/>
      <c r="W70" s="514"/>
      <c r="X70" s="514"/>
      <c r="Y70" s="514"/>
    </row>
    <row r="71" spans="1:25">
      <c r="A71" s="514"/>
      <c r="B71" s="514"/>
      <c r="C71" s="514"/>
      <c r="D71" s="514"/>
      <c r="E71" s="514"/>
      <c r="F71" s="514"/>
      <c r="H71" s="554"/>
      <c r="I71" s="501" t="s">
        <v>462</v>
      </c>
      <c r="J71" s="554">
        <v>2044</v>
      </c>
      <c r="K71" s="554">
        <v>1996</v>
      </c>
      <c r="L71" s="554">
        <v>2194</v>
      </c>
      <c r="M71" s="554">
        <v>2194</v>
      </c>
      <c r="N71" s="682">
        <v>2194</v>
      </c>
      <c r="O71" s="682">
        <v>2194</v>
      </c>
      <c r="P71" s="554">
        <v>2590</v>
      </c>
      <c r="Q71" s="514">
        <v>2616</v>
      </c>
      <c r="S71" s="514"/>
      <c r="T71" s="514"/>
      <c r="U71" s="514"/>
      <c r="V71" s="514"/>
      <c r="W71" s="514"/>
      <c r="X71" s="514"/>
      <c r="Y71" s="514"/>
    </row>
    <row r="72" spans="1:25">
      <c r="A72" s="514"/>
      <c r="B72" s="514"/>
      <c r="C72" s="514"/>
      <c r="D72" s="514"/>
      <c r="E72" s="514"/>
      <c r="F72" s="514"/>
      <c r="H72" s="554"/>
      <c r="I72" s="501" t="s">
        <v>464</v>
      </c>
      <c r="J72" s="554">
        <v>1433</v>
      </c>
      <c r="K72" s="554">
        <v>1036</v>
      </c>
      <c r="L72" s="554">
        <v>990</v>
      </c>
      <c r="M72" s="554">
        <v>990</v>
      </c>
      <c r="N72" s="682">
        <v>990</v>
      </c>
      <c r="O72" s="682">
        <v>990</v>
      </c>
      <c r="P72" s="554">
        <v>1669</v>
      </c>
      <c r="Q72" s="514">
        <v>1957</v>
      </c>
      <c r="S72" s="514"/>
      <c r="T72" s="514"/>
      <c r="U72" s="514"/>
      <c r="V72" s="514"/>
      <c r="W72" s="514"/>
      <c r="X72" s="514"/>
      <c r="Y72" s="514"/>
    </row>
    <row r="73" spans="1:25">
      <c r="A73" s="514"/>
      <c r="B73" s="514"/>
      <c r="C73" s="514"/>
      <c r="D73" s="514"/>
      <c r="E73" s="514"/>
      <c r="F73" s="514"/>
      <c r="H73" s="554"/>
      <c r="I73" s="501" t="s">
        <v>466</v>
      </c>
      <c r="J73" s="554">
        <v>2493</v>
      </c>
      <c r="K73" s="554">
        <v>2262</v>
      </c>
      <c r="L73" s="554">
        <v>2412</v>
      </c>
      <c r="M73" s="554">
        <v>2412</v>
      </c>
      <c r="N73" s="682">
        <v>2412</v>
      </c>
      <c r="O73" s="682">
        <v>2412</v>
      </c>
      <c r="P73" s="554">
        <v>2154</v>
      </c>
      <c r="Q73" s="514">
        <v>3203</v>
      </c>
      <c r="S73" s="514"/>
      <c r="T73" s="514"/>
      <c r="U73" s="514"/>
      <c r="V73" s="514"/>
      <c r="W73" s="514"/>
      <c r="X73" s="514"/>
      <c r="Y73" s="514"/>
    </row>
    <row r="74" spans="1:25">
      <c r="A74" s="514"/>
      <c r="B74" s="514"/>
      <c r="C74" s="514"/>
      <c r="D74" s="514"/>
      <c r="E74" s="514"/>
      <c r="F74" s="514"/>
      <c r="H74" s="554"/>
      <c r="I74" s="501" t="s">
        <v>468</v>
      </c>
      <c r="J74" s="554">
        <v>8747</v>
      </c>
      <c r="K74" s="554">
        <v>9178</v>
      </c>
      <c r="L74" s="554">
        <v>8133</v>
      </c>
      <c r="M74" s="554">
        <v>8133</v>
      </c>
      <c r="N74" s="682">
        <v>8133</v>
      </c>
      <c r="O74" s="682">
        <v>8133</v>
      </c>
      <c r="P74" s="554">
        <v>9159</v>
      </c>
      <c r="Q74" s="514">
        <v>10529</v>
      </c>
      <c r="S74" s="514"/>
      <c r="T74" s="514"/>
      <c r="U74" s="514"/>
      <c r="V74" s="514"/>
      <c r="W74" s="514"/>
      <c r="X74" s="514"/>
      <c r="Y74" s="514"/>
    </row>
    <row r="75" spans="1:25">
      <c r="A75" s="514"/>
      <c r="B75" s="514"/>
      <c r="C75" s="514"/>
      <c r="D75" s="514"/>
      <c r="E75" s="514"/>
      <c r="F75" s="514"/>
      <c r="H75" s="504"/>
      <c r="I75" s="553" t="s">
        <v>470</v>
      </c>
      <c r="J75" s="512">
        <v>108</v>
      </c>
      <c r="K75" s="512">
        <v>115</v>
      </c>
      <c r="L75" s="512">
        <v>409</v>
      </c>
      <c r="M75" s="512">
        <v>409</v>
      </c>
      <c r="N75" s="683">
        <v>409</v>
      </c>
      <c r="O75" s="683">
        <v>409</v>
      </c>
      <c r="P75" s="512">
        <v>495</v>
      </c>
      <c r="Q75" s="514">
        <v>516</v>
      </c>
      <c r="S75" s="514"/>
      <c r="T75" s="514"/>
      <c r="U75" s="514"/>
      <c r="V75" s="514"/>
      <c r="W75" s="514"/>
      <c r="X75" s="514"/>
      <c r="Y75" s="514"/>
    </row>
    <row r="76" spans="1:25">
      <c r="A76" s="514"/>
      <c r="B76" s="514"/>
      <c r="C76" s="514"/>
      <c r="D76" s="514"/>
      <c r="E76" s="514"/>
      <c r="F76" s="514"/>
      <c r="G76" s="514"/>
      <c r="H76" s="514"/>
      <c r="I76" s="514"/>
      <c r="J76" s="514"/>
      <c r="K76" s="514"/>
      <c r="L76" s="514"/>
      <c r="M76" s="514"/>
      <c r="N76" s="659"/>
      <c r="O76" s="659"/>
      <c r="P76" s="514"/>
      <c r="Q76" s="514"/>
      <c r="R76" s="514"/>
      <c r="S76" s="514"/>
      <c r="T76" s="514"/>
      <c r="U76" s="514"/>
      <c r="V76" s="514"/>
      <c r="W76" s="514"/>
      <c r="X76" s="514"/>
      <c r="Y76" s="514"/>
    </row>
    <row r="77" spans="1:25">
      <c r="A77" s="514"/>
      <c r="B77" s="514"/>
      <c r="C77" s="514"/>
      <c r="D77" s="514"/>
      <c r="E77" s="514"/>
      <c r="F77" s="514"/>
      <c r="G77" s="514"/>
      <c r="H77" s="514"/>
      <c r="I77" s="514"/>
      <c r="J77" s="514"/>
      <c r="K77" s="514"/>
      <c r="L77" s="514"/>
      <c r="M77" s="514"/>
      <c r="N77" s="659"/>
      <c r="O77" s="659"/>
      <c r="P77" s="514"/>
      <c r="Q77" s="514"/>
      <c r="R77" s="514"/>
      <c r="S77" s="514"/>
      <c r="T77" s="514"/>
      <c r="U77" s="514"/>
      <c r="V77" s="514"/>
      <c r="W77" s="514"/>
      <c r="X77" s="514"/>
      <c r="Y77" s="514"/>
    </row>
    <row r="78" spans="1:25">
      <c r="A78" s="514"/>
      <c r="B78" s="514"/>
      <c r="C78" s="514"/>
      <c r="D78" s="514"/>
      <c r="E78" s="514"/>
      <c r="F78" s="514"/>
      <c r="G78" s="514"/>
      <c r="H78" s="514"/>
      <c r="I78" s="514"/>
      <c r="J78" s="514"/>
      <c r="K78" s="514"/>
      <c r="L78" s="514"/>
      <c r="M78" s="514"/>
      <c r="N78" s="659"/>
      <c r="O78" s="659"/>
      <c r="P78" s="514"/>
      <c r="Q78" s="514"/>
      <c r="R78" s="514"/>
      <c r="S78" s="514"/>
      <c r="T78" s="514"/>
      <c r="U78" s="514"/>
      <c r="V78" s="514"/>
      <c r="W78" s="514"/>
      <c r="X78" s="514"/>
      <c r="Y78" s="514"/>
    </row>
    <row r="79" spans="1:25">
      <c r="A79" s="514"/>
      <c r="B79" s="514"/>
      <c r="C79" s="514"/>
      <c r="D79" s="514"/>
      <c r="E79" s="514"/>
      <c r="F79" s="514"/>
      <c r="G79" s="514"/>
      <c r="H79" s="514"/>
      <c r="I79" s="514"/>
      <c r="J79" s="514"/>
      <c r="K79" s="514"/>
      <c r="L79" s="514"/>
      <c r="M79" s="514"/>
      <c r="N79" s="659"/>
      <c r="O79" s="659"/>
      <c r="P79" s="514"/>
      <c r="Q79" s="514"/>
      <c r="R79" s="514"/>
      <c r="S79" s="514"/>
      <c r="T79" s="514"/>
      <c r="U79" s="514"/>
      <c r="V79" s="514"/>
      <c r="W79" s="514"/>
      <c r="X79" s="514"/>
      <c r="Y79" s="514"/>
    </row>
    <row r="80" spans="1:25">
      <c r="A80" s="514"/>
      <c r="B80" s="514"/>
      <c r="C80" s="514"/>
      <c r="D80" s="514"/>
      <c r="E80" s="514"/>
      <c r="F80" s="514"/>
      <c r="G80" s="514"/>
      <c r="H80" s="514"/>
      <c r="I80" s="514"/>
      <c r="J80" s="514"/>
      <c r="K80" s="514"/>
      <c r="L80" s="514"/>
      <c r="M80" s="514"/>
      <c r="N80" s="659"/>
      <c r="O80" s="659"/>
      <c r="P80" s="514"/>
      <c r="Q80" s="514"/>
      <c r="R80" s="514"/>
      <c r="S80" s="514"/>
      <c r="T80" s="514"/>
      <c r="U80" s="514"/>
      <c r="V80" s="514"/>
      <c r="W80" s="514"/>
      <c r="X80" s="514"/>
      <c r="Y80" s="514"/>
    </row>
    <row r="81" spans="1:25">
      <c r="A81" s="514"/>
      <c r="B81" s="514"/>
      <c r="C81" s="514"/>
      <c r="D81" s="514"/>
      <c r="E81" s="514"/>
      <c r="F81" s="514"/>
      <c r="G81" s="514"/>
      <c r="H81" s="514"/>
      <c r="I81" s="514"/>
      <c r="J81" s="514"/>
      <c r="K81" s="514"/>
      <c r="L81" s="514"/>
      <c r="M81" s="514"/>
      <c r="N81" s="659"/>
      <c r="O81" s="659"/>
      <c r="P81" s="514"/>
      <c r="Q81" s="514"/>
      <c r="R81" s="514"/>
      <c r="S81" s="514"/>
      <c r="T81" s="514"/>
      <c r="U81" s="514"/>
      <c r="V81" s="514"/>
      <c r="W81" s="514"/>
      <c r="X81" s="514"/>
      <c r="Y81" s="514"/>
    </row>
    <row r="82" spans="1:25">
      <c r="A82" s="514"/>
      <c r="B82" s="514"/>
      <c r="C82" s="514"/>
      <c r="D82" s="514"/>
      <c r="E82" s="514"/>
      <c r="F82" s="514"/>
      <c r="G82" s="514"/>
      <c r="H82" s="514"/>
      <c r="I82" s="514"/>
      <c r="J82" s="514"/>
      <c r="K82" s="514"/>
      <c r="L82" s="514"/>
      <c r="M82" s="514"/>
      <c r="N82" s="659"/>
      <c r="O82" s="659"/>
      <c r="P82" s="514"/>
      <c r="Q82" s="514"/>
      <c r="R82" s="514"/>
      <c r="S82" s="514"/>
      <c r="T82" s="514"/>
      <c r="U82" s="514"/>
      <c r="V82" s="514"/>
      <c r="W82" s="514"/>
      <c r="X82" s="514"/>
      <c r="Y82" s="514"/>
    </row>
    <row r="83" spans="1:25">
      <c r="A83" s="514"/>
      <c r="B83" s="514"/>
      <c r="C83" s="514"/>
      <c r="D83" s="514"/>
      <c r="E83" s="514"/>
      <c r="F83" s="514"/>
      <c r="G83" s="514"/>
      <c r="H83" s="514"/>
      <c r="I83" s="514"/>
      <c r="J83" s="514"/>
      <c r="K83" s="514"/>
      <c r="L83" s="514"/>
      <c r="M83" s="514"/>
      <c r="N83" s="659"/>
      <c r="O83" s="659"/>
      <c r="P83" s="514"/>
      <c r="Q83" s="514"/>
      <c r="R83" s="514"/>
      <c r="S83" s="514"/>
      <c r="T83" s="514"/>
      <c r="U83" s="514"/>
      <c r="V83" s="514"/>
      <c r="W83" s="514"/>
      <c r="X83" s="514"/>
      <c r="Y83" s="514"/>
    </row>
    <row r="84" spans="1:25">
      <c r="A84" s="514"/>
      <c r="B84" s="514"/>
      <c r="C84" s="514"/>
      <c r="D84" s="514"/>
      <c r="E84" s="514"/>
      <c r="F84" s="514"/>
      <c r="G84" s="514"/>
      <c r="H84" s="514"/>
      <c r="I84" s="514"/>
      <c r="J84" s="514"/>
      <c r="K84" s="514"/>
      <c r="L84" s="514"/>
      <c r="M84" s="514"/>
      <c r="N84" s="659"/>
      <c r="O84" s="659"/>
      <c r="P84" s="514"/>
      <c r="Q84" s="514"/>
      <c r="R84" s="514"/>
      <c r="S84" s="514"/>
      <c r="T84" s="514"/>
      <c r="U84" s="514"/>
      <c r="V84" s="514"/>
      <c r="W84" s="514"/>
      <c r="X84" s="514"/>
      <c r="Y84" s="514"/>
    </row>
    <row r="85" spans="1:25">
      <c r="A85" s="514"/>
      <c r="B85" s="514"/>
      <c r="C85" s="514"/>
      <c r="D85" s="514"/>
      <c r="E85" s="514"/>
      <c r="F85" s="514"/>
      <c r="G85" s="514"/>
      <c r="H85" s="514"/>
      <c r="I85" s="514"/>
      <c r="J85" s="514"/>
      <c r="K85" s="514"/>
      <c r="L85" s="514"/>
      <c r="M85" s="514"/>
      <c r="N85" s="659"/>
      <c r="O85" s="659"/>
      <c r="P85" s="514"/>
      <c r="Q85" s="514"/>
      <c r="R85" s="514"/>
      <c r="S85" s="514"/>
      <c r="T85" s="514"/>
      <c r="U85" s="514"/>
      <c r="V85" s="514"/>
      <c r="W85" s="514"/>
      <c r="X85" s="514"/>
      <c r="Y85" s="514"/>
    </row>
    <row r="86" spans="1:25">
      <c r="A86" s="514"/>
      <c r="B86" s="514"/>
      <c r="C86" s="514"/>
      <c r="D86" s="514"/>
      <c r="E86" s="514"/>
      <c r="F86" s="514"/>
      <c r="G86" s="514"/>
      <c r="H86" s="514"/>
      <c r="I86" s="514"/>
      <c r="J86" s="514"/>
      <c r="K86" s="514"/>
      <c r="L86" s="514"/>
      <c r="M86" s="514"/>
      <c r="N86" s="659"/>
      <c r="O86" s="659"/>
      <c r="P86" s="514"/>
      <c r="Q86" s="514"/>
      <c r="R86" s="514"/>
      <c r="S86" s="514"/>
      <c r="T86" s="514"/>
      <c r="U86" s="514"/>
      <c r="V86" s="514"/>
      <c r="W86" s="514"/>
      <c r="X86" s="514"/>
      <c r="Y86" s="514"/>
    </row>
    <row r="87" spans="1:25">
      <c r="A87" s="514"/>
      <c r="B87" s="514"/>
      <c r="C87" s="514"/>
      <c r="D87" s="514"/>
      <c r="E87" s="514"/>
      <c r="F87" s="514"/>
      <c r="G87" s="514"/>
      <c r="H87" s="514"/>
      <c r="I87" s="514"/>
      <c r="J87" s="514"/>
      <c r="K87" s="514"/>
      <c r="L87" s="514"/>
      <c r="M87" s="514"/>
      <c r="N87" s="659"/>
      <c r="O87" s="659"/>
      <c r="P87" s="514"/>
      <c r="R87" s="514"/>
      <c r="S87" s="514"/>
      <c r="T87" s="514"/>
      <c r="U87" s="514"/>
      <c r="V87" s="514"/>
      <c r="W87" s="514"/>
      <c r="X87" s="514"/>
      <c r="Y87" s="514"/>
    </row>
    <row r="88" spans="1:25">
      <c r="B88" s="514"/>
      <c r="C88" s="514"/>
      <c r="D88" s="514"/>
      <c r="E88" s="514"/>
      <c r="F88" s="514"/>
      <c r="G88" s="514"/>
      <c r="H88" s="514"/>
      <c r="I88" s="514"/>
      <c r="J88" s="514"/>
      <c r="K88" s="514"/>
      <c r="L88" s="514"/>
      <c r="M88" s="514"/>
      <c r="N88" s="659"/>
      <c r="O88" s="659"/>
      <c r="R88" s="514"/>
      <c r="S88" s="514"/>
      <c r="T88" s="514"/>
      <c r="U88" s="514"/>
      <c r="V88" s="514"/>
      <c r="W88" s="514"/>
      <c r="X88" s="514"/>
      <c r="Y88" s="514"/>
    </row>
  </sheetData>
  <mergeCells count="2">
    <mergeCell ref="A1:P1"/>
    <mergeCell ref="A2:P2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24"/>
  <sheetViews>
    <sheetView zoomScaleNormal="100" workbookViewId="0">
      <selection activeCell="W6" sqref="W6"/>
    </sheetView>
  </sheetViews>
  <sheetFormatPr defaultRowHeight="15"/>
  <cols>
    <col min="1" max="1" width="46.28515625" style="583" bestFit="1" customWidth="1"/>
    <col min="2" max="3" width="8.7109375" style="583" hidden="1" customWidth="1"/>
    <col min="4" max="4" width="4.28515625" style="583" hidden="1" customWidth="1"/>
    <col min="5" max="5" width="4.7109375" style="583" hidden="1" customWidth="1"/>
    <col min="6" max="7" width="8.7109375" style="583" hidden="1" customWidth="1"/>
    <col min="8" max="9" width="8.7109375" style="583" customWidth="1"/>
    <col min="10" max="11" width="4" style="583" customWidth="1"/>
    <col min="12" max="15" width="8.7109375" style="583" customWidth="1"/>
    <col min="16" max="17" width="4.28515625" style="583" customWidth="1"/>
    <col min="18" max="19" width="8.7109375" style="583" customWidth="1"/>
    <col min="20" max="20" width="46.7109375" style="583" bestFit="1" customWidth="1"/>
    <col min="21" max="16384" width="9.140625" style="583"/>
  </cols>
  <sheetData>
    <row r="2" spans="1:25" ht="18">
      <c r="A2" s="992" t="s">
        <v>789</v>
      </c>
      <c r="B2" s="992"/>
      <c r="C2" s="992"/>
      <c r="D2" s="992"/>
      <c r="E2" s="992"/>
      <c r="F2" s="992"/>
      <c r="G2" s="992"/>
      <c r="H2" s="992"/>
      <c r="I2" s="992"/>
      <c r="J2" s="992"/>
      <c r="K2" s="992"/>
      <c r="L2" s="992"/>
      <c r="M2" s="992"/>
      <c r="N2" s="992"/>
      <c r="O2" s="992"/>
      <c r="P2" s="992"/>
      <c r="Q2" s="992"/>
      <c r="R2" s="992"/>
      <c r="S2" s="992"/>
      <c r="T2" s="992"/>
    </row>
    <row r="3" spans="1:25">
      <c r="A3" s="993" t="s">
        <v>790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</row>
    <row r="4" spans="1:25" ht="6.75" customHeight="1">
      <c r="A4" s="805"/>
      <c r="B4" s="806"/>
      <c r="H4" s="806"/>
      <c r="N4" s="806"/>
    </row>
    <row r="5" spans="1:25">
      <c r="A5" s="994" t="s">
        <v>753</v>
      </c>
      <c r="B5" s="996">
        <v>2013</v>
      </c>
      <c r="C5" s="997"/>
      <c r="D5" s="997"/>
      <c r="E5" s="997"/>
      <c r="F5" s="997"/>
      <c r="G5" s="998"/>
      <c r="H5" s="996">
        <v>2014</v>
      </c>
      <c r="I5" s="997"/>
      <c r="J5" s="997"/>
      <c r="K5" s="997"/>
      <c r="L5" s="997"/>
      <c r="M5" s="998"/>
      <c r="N5" s="996">
        <v>2015</v>
      </c>
      <c r="O5" s="997"/>
      <c r="P5" s="997"/>
      <c r="Q5" s="997"/>
      <c r="R5" s="997"/>
      <c r="S5" s="998"/>
      <c r="T5" s="999" t="s">
        <v>754</v>
      </c>
      <c r="U5" s="807"/>
      <c r="V5" s="807"/>
      <c r="W5" s="807"/>
      <c r="X5" s="807"/>
      <c r="Y5" s="807"/>
    </row>
    <row r="6" spans="1:25" ht="245.25">
      <c r="A6" s="995"/>
      <c r="B6" s="808" t="s">
        <v>755</v>
      </c>
      <c r="C6" s="809" t="s">
        <v>756</v>
      </c>
      <c r="D6" s="810" t="s">
        <v>757</v>
      </c>
      <c r="E6" s="809" t="s">
        <v>758</v>
      </c>
      <c r="F6" s="809" t="s">
        <v>759</v>
      </c>
      <c r="G6" s="811" t="s">
        <v>760</v>
      </c>
      <c r="H6" s="808" t="s">
        <v>761</v>
      </c>
      <c r="I6" s="809" t="s">
        <v>762</v>
      </c>
      <c r="J6" s="810" t="s">
        <v>763</v>
      </c>
      <c r="K6" s="809" t="s">
        <v>764</v>
      </c>
      <c r="L6" s="809" t="s">
        <v>765</v>
      </c>
      <c r="M6" s="811" t="s">
        <v>766</v>
      </c>
      <c r="N6" s="808" t="s">
        <v>767</v>
      </c>
      <c r="O6" s="809" t="s">
        <v>768</v>
      </c>
      <c r="P6" s="810" t="s">
        <v>800</v>
      </c>
      <c r="Q6" s="809" t="s">
        <v>801</v>
      </c>
      <c r="R6" s="809" t="s">
        <v>769</v>
      </c>
      <c r="S6" s="811" t="s">
        <v>802</v>
      </c>
      <c r="T6" s="1000"/>
    </row>
    <row r="7" spans="1:25" ht="13.5" customHeight="1">
      <c r="A7" s="801" t="s">
        <v>0</v>
      </c>
      <c r="B7" s="821">
        <v>277</v>
      </c>
      <c r="C7" s="822">
        <v>401</v>
      </c>
      <c r="D7" s="1001">
        <v>678</v>
      </c>
      <c r="E7" s="1001"/>
      <c r="F7" s="822">
        <v>389</v>
      </c>
      <c r="G7" s="822">
        <v>289</v>
      </c>
      <c r="H7" s="821">
        <v>289</v>
      </c>
      <c r="I7" s="822">
        <v>365</v>
      </c>
      <c r="J7" s="1001">
        <v>654</v>
      </c>
      <c r="K7" s="1001"/>
      <c r="L7" s="822">
        <v>414</v>
      </c>
      <c r="M7" s="822">
        <v>238</v>
      </c>
      <c r="N7" s="821">
        <v>238</v>
      </c>
      <c r="O7" s="822">
        <v>413</v>
      </c>
      <c r="P7" s="1001">
        <v>651</v>
      </c>
      <c r="Q7" s="1001"/>
      <c r="R7" s="822">
        <v>329</v>
      </c>
      <c r="S7" s="822">
        <v>323</v>
      </c>
      <c r="T7" s="812" t="s">
        <v>63</v>
      </c>
      <c r="U7" s="813"/>
      <c r="V7" s="813"/>
      <c r="W7" s="813"/>
      <c r="X7" s="813"/>
      <c r="Y7" s="813"/>
    </row>
    <row r="8" spans="1:25" ht="53.25" customHeight="1">
      <c r="A8" s="802" t="s">
        <v>770</v>
      </c>
      <c r="B8" s="823">
        <v>232</v>
      </c>
      <c r="C8" s="824">
        <v>306</v>
      </c>
      <c r="D8" s="990">
        <v>538</v>
      </c>
      <c r="E8" s="990"/>
      <c r="F8" s="824">
        <v>325</v>
      </c>
      <c r="G8" s="825">
        <v>213</v>
      </c>
      <c r="H8" s="823">
        <v>213</v>
      </c>
      <c r="I8" s="824">
        <v>280</v>
      </c>
      <c r="J8" s="990">
        <v>493</v>
      </c>
      <c r="K8" s="990"/>
      <c r="L8" s="824">
        <v>302</v>
      </c>
      <c r="M8" s="825">
        <v>198</v>
      </c>
      <c r="N8" s="823">
        <v>198</v>
      </c>
      <c r="O8" s="824">
        <v>355</v>
      </c>
      <c r="P8" s="990">
        <v>553</v>
      </c>
      <c r="Q8" s="990"/>
      <c r="R8" s="824">
        <v>277</v>
      </c>
      <c r="S8" s="825">
        <v>276</v>
      </c>
      <c r="T8" s="814" t="s">
        <v>771</v>
      </c>
      <c r="U8" s="815"/>
      <c r="V8" s="815"/>
      <c r="W8" s="815"/>
      <c r="X8" s="815"/>
      <c r="Y8" s="815"/>
    </row>
    <row r="9" spans="1:25" ht="26.25" customHeight="1">
      <c r="A9" s="802" t="s">
        <v>772</v>
      </c>
      <c r="B9" s="823">
        <v>37</v>
      </c>
      <c r="C9" s="824">
        <v>84</v>
      </c>
      <c r="D9" s="990">
        <v>121</v>
      </c>
      <c r="E9" s="990"/>
      <c r="F9" s="824">
        <v>55</v>
      </c>
      <c r="G9" s="825">
        <v>66</v>
      </c>
      <c r="H9" s="823">
        <v>66</v>
      </c>
      <c r="I9" s="824">
        <v>64</v>
      </c>
      <c r="J9" s="990">
        <v>130</v>
      </c>
      <c r="K9" s="990"/>
      <c r="L9" s="824">
        <v>89</v>
      </c>
      <c r="M9" s="825">
        <v>33</v>
      </c>
      <c r="N9" s="823">
        <v>33</v>
      </c>
      <c r="O9" s="824">
        <v>51</v>
      </c>
      <c r="P9" s="990">
        <v>84</v>
      </c>
      <c r="Q9" s="990"/>
      <c r="R9" s="824">
        <v>46</v>
      </c>
      <c r="S9" s="825">
        <v>38</v>
      </c>
      <c r="T9" s="816" t="s">
        <v>773</v>
      </c>
      <c r="U9" s="815"/>
      <c r="V9" s="815"/>
      <c r="W9" s="815"/>
      <c r="X9" s="815"/>
      <c r="Y9" s="815"/>
    </row>
    <row r="10" spans="1:25" ht="26.25" customHeight="1">
      <c r="A10" s="803" t="s">
        <v>774</v>
      </c>
      <c r="B10" s="823">
        <v>1</v>
      </c>
      <c r="C10" s="824">
        <v>1</v>
      </c>
      <c r="D10" s="990">
        <v>2</v>
      </c>
      <c r="E10" s="990"/>
      <c r="F10" s="824">
        <v>1</v>
      </c>
      <c r="G10" s="825">
        <v>1</v>
      </c>
      <c r="H10" s="823">
        <v>1</v>
      </c>
      <c r="I10" s="824">
        <v>0</v>
      </c>
      <c r="J10" s="990">
        <v>1</v>
      </c>
      <c r="K10" s="990"/>
      <c r="L10" s="824">
        <v>1</v>
      </c>
      <c r="M10" s="825">
        <v>0</v>
      </c>
      <c r="N10" s="823">
        <v>0</v>
      </c>
      <c r="O10" s="824">
        <v>5</v>
      </c>
      <c r="P10" s="990">
        <v>5</v>
      </c>
      <c r="Q10" s="990"/>
      <c r="R10" s="824">
        <v>0</v>
      </c>
      <c r="S10" s="825">
        <v>5</v>
      </c>
      <c r="T10" s="816" t="s">
        <v>775</v>
      </c>
      <c r="U10" s="816"/>
      <c r="V10" s="815"/>
      <c r="W10" s="815"/>
      <c r="X10" s="815"/>
      <c r="Y10" s="815"/>
    </row>
    <row r="11" spans="1:25" ht="26.25" customHeight="1">
      <c r="A11" s="802" t="s">
        <v>776</v>
      </c>
      <c r="B11" s="823">
        <v>0</v>
      </c>
      <c r="C11" s="824">
        <v>2</v>
      </c>
      <c r="D11" s="990">
        <v>2</v>
      </c>
      <c r="E11" s="990"/>
      <c r="F11" s="824">
        <v>2</v>
      </c>
      <c r="G11" s="825">
        <v>0</v>
      </c>
      <c r="H11" s="823">
        <v>0</v>
      </c>
      <c r="I11" s="824">
        <v>0</v>
      </c>
      <c r="J11" s="990">
        <v>0</v>
      </c>
      <c r="K11" s="990"/>
      <c r="L11" s="824">
        <v>0</v>
      </c>
      <c r="M11" s="825">
        <v>0</v>
      </c>
      <c r="N11" s="823">
        <v>0</v>
      </c>
      <c r="O11" s="824">
        <v>0</v>
      </c>
      <c r="P11" s="990">
        <v>0</v>
      </c>
      <c r="Q11" s="990"/>
      <c r="R11" s="824">
        <v>0</v>
      </c>
      <c r="S11" s="825">
        <v>0</v>
      </c>
      <c r="T11" s="816" t="s">
        <v>777</v>
      </c>
      <c r="U11" s="815"/>
      <c r="V11" s="815"/>
      <c r="W11" s="815"/>
      <c r="X11" s="815"/>
      <c r="Y11" s="815"/>
    </row>
    <row r="12" spans="1:25" ht="26.25" customHeight="1">
      <c r="A12" s="802" t="s">
        <v>778</v>
      </c>
      <c r="B12" s="823">
        <v>0</v>
      </c>
      <c r="C12" s="824">
        <v>2</v>
      </c>
      <c r="D12" s="990">
        <v>2</v>
      </c>
      <c r="E12" s="990"/>
      <c r="F12" s="824">
        <v>2</v>
      </c>
      <c r="G12" s="825">
        <v>0</v>
      </c>
      <c r="H12" s="823">
        <v>0</v>
      </c>
      <c r="I12" s="824">
        <v>15</v>
      </c>
      <c r="J12" s="990">
        <v>0</v>
      </c>
      <c r="K12" s="990"/>
      <c r="L12" s="824">
        <v>15</v>
      </c>
      <c r="M12" s="825">
        <v>0</v>
      </c>
      <c r="N12" s="823">
        <v>0</v>
      </c>
      <c r="O12" s="824">
        <v>0</v>
      </c>
      <c r="P12" s="990">
        <v>0</v>
      </c>
      <c r="Q12" s="990"/>
      <c r="R12" s="824">
        <v>0</v>
      </c>
      <c r="S12" s="825">
        <v>0</v>
      </c>
      <c r="T12" s="817" t="s">
        <v>779</v>
      </c>
      <c r="U12" s="815"/>
      <c r="V12" s="815"/>
      <c r="W12" s="815"/>
      <c r="X12" s="815"/>
      <c r="Y12" s="815"/>
    </row>
    <row r="13" spans="1:25" ht="26.25" customHeight="1">
      <c r="A13" s="802" t="s">
        <v>780</v>
      </c>
      <c r="B13" s="823">
        <v>0</v>
      </c>
      <c r="C13" s="824">
        <v>0</v>
      </c>
      <c r="D13" s="990">
        <v>0</v>
      </c>
      <c r="E13" s="990"/>
      <c r="F13" s="824">
        <v>0</v>
      </c>
      <c r="G13" s="825">
        <v>0</v>
      </c>
      <c r="H13" s="823">
        <v>0</v>
      </c>
      <c r="I13" s="824">
        <v>0</v>
      </c>
      <c r="J13" s="990">
        <v>0</v>
      </c>
      <c r="K13" s="990"/>
      <c r="L13" s="824">
        <v>0</v>
      </c>
      <c r="M13" s="825">
        <v>0</v>
      </c>
      <c r="N13" s="823">
        <v>0</v>
      </c>
      <c r="O13" s="824">
        <v>0</v>
      </c>
      <c r="P13" s="990">
        <v>0</v>
      </c>
      <c r="Q13" s="990"/>
      <c r="R13" s="824">
        <v>0</v>
      </c>
      <c r="S13" s="825">
        <v>0</v>
      </c>
      <c r="T13" s="817" t="s">
        <v>781</v>
      </c>
      <c r="U13" s="815"/>
      <c r="V13" s="815"/>
      <c r="W13" s="815"/>
      <c r="X13" s="815"/>
      <c r="Y13" s="815"/>
    </row>
    <row r="14" spans="1:25" ht="26.25" customHeight="1">
      <c r="A14" s="804" t="s">
        <v>782</v>
      </c>
      <c r="B14" s="826">
        <v>7</v>
      </c>
      <c r="C14" s="827">
        <v>6</v>
      </c>
      <c r="D14" s="991">
        <v>13</v>
      </c>
      <c r="E14" s="991"/>
      <c r="F14" s="827">
        <v>4</v>
      </c>
      <c r="G14" s="828">
        <v>9</v>
      </c>
      <c r="H14" s="826">
        <v>9</v>
      </c>
      <c r="I14" s="827">
        <v>6</v>
      </c>
      <c r="J14" s="991">
        <v>15</v>
      </c>
      <c r="K14" s="991"/>
      <c r="L14" s="827">
        <v>7</v>
      </c>
      <c r="M14" s="828">
        <v>7</v>
      </c>
      <c r="N14" s="826">
        <v>7</v>
      </c>
      <c r="O14" s="827">
        <v>2</v>
      </c>
      <c r="P14" s="991">
        <v>9</v>
      </c>
      <c r="Q14" s="991"/>
      <c r="R14" s="827">
        <v>6</v>
      </c>
      <c r="S14" s="828">
        <v>4</v>
      </c>
      <c r="T14" s="818" t="s">
        <v>783</v>
      </c>
      <c r="U14" s="815"/>
      <c r="V14" s="815"/>
      <c r="W14" s="815"/>
      <c r="X14" s="815"/>
      <c r="Y14" s="815"/>
    </row>
    <row r="15" spans="1:25" ht="15.75">
      <c r="A15" s="836" t="s">
        <v>784</v>
      </c>
      <c r="B15" s="819"/>
      <c r="C15" s="819"/>
      <c r="D15" s="815"/>
      <c r="E15" s="819"/>
      <c r="F15" s="819"/>
      <c r="G15" s="820"/>
      <c r="H15" s="819"/>
      <c r="I15" s="819"/>
      <c r="J15" s="815"/>
      <c r="K15" s="819"/>
      <c r="L15" s="819"/>
      <c r="M15" s="820"/>
      <c r="N15" s="819"/>
      <c r="O15" s="819"/>
      <c r="P15" s="815"/>
      <c r="Q15" s="819"/>
      <c r="R15" s="819"/>
      <c r="S15" s="820"/>
      <c r="T15" s="837" t="s">
        <v>785</v>
      </c>
      <c r="U15" s="815"/>
      <c r="V15" s="815"/>
      <c r="W15" s="815"/>
      <c r="X15" s="815"/>
      <c r="Y15" s="815"/>
    </row>
    <row r="16" spans="1:25">
      <c r="A16" s="815"/>
      <c r="B16" s="819"/>
      <c r="C16" s="819"/>
      <c r="D16" s="819"/>
      <c r="E16" s="819" t="s">
        <v>786</v>
      </c>
      <c r="F16" s="819"/>
      <c r="G16" s="820"/>
      <c r="H16" s="819"/>
      <c r="I16" s="819"/>
      <c r="J16" s="819"/>
      <c r="K16" s="819" t="s">
        <v>786</v>
      </c>
      <c r="L16" s="819"/>
      <c r="M16" s="820"/>
      <c r="N16" s="819"/>
      <c r="O16" s="819"/>
      <c r="P16" s="819"/>
      <c r="Q16" s="819" t="s">
        <v>786</v>
      </c>
      <c r="R16" s="819"/>
      <c r="S16" s="820"/>
      <c r="T16" s="819"/>
      <c r="U16" s="815"/>
      <c r="V16" s="815"/>
      <c r="W16" s="815"/>
      <c r="X16" s="815"/>
      <c r="Y16" s="815"/>
    </row>
    <row r="17" spans="2:19">
      <c r="B17" s="819"/>
      <c r="C17" s="819"/>
      <c r="D17" s="819"/>
      <c r="E17" s="819"/>
      <c r="F17" s="819"/>
      <c r="G17" s="820"/>
      <c r="H17" s="819"/>
      <c r="I17" s="819"/>
      <c r="J17" s="819"/>
      <c r="K17" s="819"/>
      <c r="L17" s="819"/>
      <c r="M17" s="820"/>
      <c r="N17" s="819"/>
      <c r="O17" s="819"/>
      <c r="P17" s="819"/>
      <c r="Q17" s="819"/>
      <c r="R17" s="819"/>
      <c r="S17" s="820"/>
    </row>
    <row r="18" spans="2:19">
      <c r="E18" s="800" t="s">
        <v>786</v>
      </c>
      <c r="K18" s="800" t="s">
        <v>786</v>
      </c>
      <c r="Q18" s="800" t="s">
        <v>786</v>
      </c>
    </row>
    <row r="20" spans="2:19">
      <c r="E20" s="800" t="s">
        <v>786</v>
      </c>
      <c r="K20" s="800" t="s">
        <v>786</v>
      </c>
      <c r="Q20" s="800" t="s">
        <v>786</v>
      </c>
    </row>
    <row r="22" spans="2:19">
      <c r="E22" s="800" t="s">
        <v>786</v>
      </c>
      <c r="K22" s="800" t="s">
        <v>786</v>
      </c>
      <c r="Q22" s="800" t="s">
        <v>786</v>
      </c>
    </row>
    <row r="24" spans="2:19">
      <c r="E24" s="800" t="s">
        <v>786</v>
      </c>
      <c r="K24" s="800" t="s">
        <v>786</v>
      </c>
      <c r="Q24" s="800" t="s">
        <v>786</v>
      </c>
    </row>
  </sheetData>
  <mergeCells count="31">
    <mergeCell ref="D14:E14"/>
    <mergeCell ref="J14:K14"/>
    <mergeCell ref="D12:E12"/>
    <mergeCell ref="J12:K12"/>
    <mergeCell ref="D13:E13"/>
    <mergeCell ref="J13:K13"/>
    <mergeCell ref="D10:E10"/>
    <mergeCell ref="J10:K10"/>
    <mergeCell ref="D11:E11"/>
    <mergeCell ref="J11:K11"/>
    <mergeCell ref="D9:E9"/>
    <mergeCell ref="J9:K9"/>
    <mergeCell ref="D7:E7"/>
    <mergeCell ref="J7:K7"/>
    <mergeCell ref="P7:Q7"/>
    <mergeCell ref="D8:E8"/>
    <mergeCell ref="J8:K8"/>
    <mergeCell ref="A2:T2"/>
    <mergeCell ref="A3:T3"/>
    <mergeCell ref="A5:A6"/>
    <mergeCell ref="B5:G5"/>
    <mergeCell ref="H5:M5"/>
    <mergeCell ref="N5:S5"/>
    <mergeCell ref="T5:T6"/>
    <mergeCell ref="P13:Q13"/>
    <mergeCell ref="P14:Q14"/>
    <mergeCell ref="P8:Q8"/>
    <mergeCell ref="P9:Q9"/>
    <mergeCell ref="P10:Q10"/>
    <mergeCell ref="P11:Q11"/>
    <mergeCell ref="P12:Q12"/>
  </mergeCells>
  <pageMargins left="0.7" right="0.7" top="0.75" bottom="0.75" header="0.3" footer="0.3"/>
  <pageSetup paperSize="9" scale="7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O315"/>
  <sheetViews>
    <sheetView topLeftCell="A228" zoomScale="87" zoomScaleNormal="87" workbookViewId="0">
      <selection activeCell="C5" sqref="C5"/>
    </sheetView>
  </sheetViews>
  <sheetFormatPr defaultColWidth="12.28515625" defaultRowHeight="15"/>
  <cols>
    <col min="1" max="1" width="8.5703125" style="560" customWidth="1"/>
    <col min="2" max="2" width="19.85546875" style="559" customWidth="1"/>
    <col min="3" max="7" width="9.85546875" style="559" customWidth="1"/>
    <col min="8" max="8" width="1.5703125" style="559" customWidth="1"/>
    <col min="9" max="13" width="10.42578125" style="559" customWidth="1"/>
    <col min="14" max="14" width="2" style="559" customWidth="1"/>
    <col min="15" max="19" width="10.42578125" style="559" customWidth="1"/>
    <col min="20" max="20" width="1.7109375" style="559" customWidth="1"/>
    <col min="21" max="24" width="10" style="559" customWidth="1"/>
    <col min="25" max="25" width="10" style="579" customWidth="1"/>
    <col min="26" max="33" width="12.28515625" style="559"/>
    <col min="34" max="36" width="13.7109375" style="559" customWidth="1"/>
    <col min="37" max="16384" width="12.28515625" style="559"/>
  </cols>
  <sheetData>
    <row r="1" spans="1:67" ht="21">
      <c r="A1" s="1012" t="s">
        <v>477</v>
      </c>
      <c r="B1" s="1012"/>
      <c r="C1" s="1012"/>
      <c r="D1" s="1012"/>
      <c r="E1" s="1012"/>
      <c r="F1" s="1012"/>
      <c r="G1" s="1012"/>
      <c r="H1" s="1012"/>
      <c r="I1" s="1012"/>
      <c r="J1" s="1012"/>
      <c r="K1" s="1012"/>
      <c r="L1" s="1012"/>
      <c r="M1" s="1012"/>
      <c r="N1" s="1012"/>
      <c r="O1" s="1012"/>
      <c r="P1" s="1012"/>
      <c r="Q1" s="1012"/>
      <c r="R1" s="1012"/>
      <c r="S1" s="1012"/>
      <c r="T1" s="1012"/>
      <c r="U1" s="1012"/>
      <c r="V1" s="1012"/>
      <c r="W1" s="1012"/>
      <c r="X1" s="1012"/>
      <c r="Y1" s="1012"/>
    </row>
    <row r="2" spans="1:67">
      <c r="A2" s="980" t="s">
        <v>478</v>
      </c>
      <c r="B2" s="980"/>
      <c r="C2" s="980"/>
      <c r="D2" s="980"/>
      <c r="E2" s="980"/>
      <c r="F2" s="980"/>
      <c r="G2" s="980"/>
      <c r="H2" s="980"/>
      <c r="I2" s="980"/>
      <c r="J2" s="980"/>
      <c r="K2" s="980"/>
      <c r="L2" s="980"/>
      <c r="M2" s="980"/>
      <c r="N2" s="980"/>
      <c r="O2" s="980"/>
      <c r="P2" s="980"/>
      <c r="Q2" s="980"/>
      <c r="R2" s="980"/>
      <c r="S2" s="980"/>
      <c r="T2" s="980"/>
      <c r="U2" s="980"/>
      <c r="V2" s="980"/>
      <c r="W2" s="980"/>
      <c r="X2" s="980"/>
      <c r="Y2" s="980"/>
    </row>
    <row r="3" spans="1:67">
      <c r="A3" s="981" t="s">
        <v>479</v>
      </c>
      <c r="B3" s="981" t="s">
        <v>458</v>
      </c>
      <c r="C3" s="984" t="s">
        <v>79</v>
      </c>
      <c r="D3" s="984"/>
      <c r="E3" s="984"/>
      <c r="F3" s="984"/>
      <c r="G3" s="984"/>
      <c r="H3" s="581"/>
      <c r="I3" s="984" t="s">
        <v>80</v>
      </c>
      <c r="J3" s="984"/>
      <c r="K3" s="984"/>
      <c r="L3" s="984"/>
      <c r="M3" s="984"/>
      <c r="N3" s="565"/>
      <c r="O3" s="985" t="s">
        <v>81</v>
      </c>
      <c r="P3" s="985"/>
      <c r="Q3" s="985"/>
      <c r="R3" s="985"/>
      <c r="S3" s="985"/>
      <c r="T3" s="582"/>
      <c r="U3" s="985" t="s">
        <v>82</v>
      </c>
      <c r="V3" s="985"/>
      <c r="W3" s="985"/>
      <c r="X3" s="985"/>
      <c r="Y3" s="985"/>
    </row>
    <row r="4" spans="1:67" ht="25.5">
      <c r="A4" s="982"/>
      <c r="B4" s="982"/>
      <c r="C4" s="572" t="s">
        <v>83</v>
      </c>
      <c r="D4" s="572" t="s">
        <v>84</v>
      </c>
      <c r="E4" s="572" t="s">
        <v>75</v>
      </c>
      <c r="F4" s="572" t="s">
        <v>85</v>
      </c>
      <c r="G4" s="572" t="s">
        <v>86</v>
      </c>
      <c r="H4" s="572"/>
      <c r="I4" s="572" t="s">
        <v>83</v>
      </c>
      <c r="J4" s="572" t="s">
        <v>84</v>
      </c>
      <c r="K4" s="572" t="s">
        <v>75</v>
      </c>
      <c r="L4" s="685" t="s">
        <v>85</v>
      </c>
      <c r="M4" s="572" t="s">
        <v>86</v>
      </c>
      <c r="N4" s="572"/>
      <c r="O4" s="572" t="s">
        <v>83</v>
      </c>
      <c r="P4" s="572" t="s">
        <v>84</v>
      </c>
      <c r="Q4" s="572" t="s">
        <v>75</v>
      </c>
      <c r="R4" s="572" t="s">
        <v>85</v>
      </c>
      <c r="S4" s="572" t="s">
        <v>86</v>
      </c>
      <c r="T4" s="572"/>
      <c r="U4" s="572" t="s">
        <v>83</v>
      </c>
      <c r="V4" s="572" t="s">
        <v>84</v>
      </c>
      <c r="W4" s="572" t="s">
        <v>75</v>
      </c>
      <c r="X4" s="572" t="s">
        <v>85</v>
      </c>
      <c r="Y4" s="572" t="s">
        <v>86</v>
      </c>
    </row>
    <row r="5" spans="1:67">
      <c r="A5" s="687"/>
      <c r="B5" s="566" t="s">
        <v>480</v>
      </c>
      <c r="C5" s="569">
        <f>C6+C13</f>
        <v>2576</v>
      </c>
      <c r="D5" s="569">
        <f>D6+D13</f>
        <v>1976</v>
      </c>
      <c r="E5" s="569">
        <f>E6+E13</f>
        <v>4552</v>
      </c>
      <c r="F5" s="569">
        <f>F6+F13</f>
        <v>2539</v>
      </c>
      <c r="G5" s="569">
        <f>G6+G13</f>
        <v>2013</v>
      </c>
      <c r="H5" s="569"/>
      <c r="I5" s="569">
        <f>I6+I13</f>
        <v>91</v>
      </c>
      <c r="J5" s="569">
        <f>J6+J13</f>
        <v>57</v>
      </c>
      <c r="K5" s="569">
        <f>K6+K13</f>
        <v>148</v>
      </c>
      <c r="L5" s="569">
        <f>L6+L13</f>
        <v>95</v>
      </c>
      <c r="M5" s="569">
        <f>M6+M13</f>
        <v>53</v>
      </c>
      <c r="N5" s="569"/>
      <c r="O5" s="569">
        <f>O6+O13</f>
        <v>3827</v>
      </c>
      <c r="P5" s="569">
        <f>P6+P13</f>
        <v>5290</v>
      </c>
      <c r="Q5" s="569">
        <f>Q6+Q13</f>
        <v>9117</v>
      </c>
      <c r="R5" s="569">
        <f>R6+R13</f>
        <v>5756</v>
      </c>
      <c r="S5" s="569">
        <f>S6+S13</f>
        <v>2210</v>
      </c>
      <c r="T5" s="569"/>
      <c r="U5" s="569">
        <f>U6+U13</f>
        <v>1388</v>
      </c>
      <c r="V5" s="569">
        <f>V6+V13</f>
        <v>9477</v>
      </c>
      <c r="W5" s="569">
        <f>W6+W13</f>
        <v>10865</v>
      </c>
      <c r="X5" s="569">
        <f>X6+X13</f>
        <v>9711</v>
      </c>
      <c r="Y5" s="569">
        <f>Y6+Y13</f>
        <v>2168</v>
      </c>
      <c r="AG5" s="560"/>
    </row>
    <row r="6" spans="1:67">
      <c r="A6" s="1011" t="s">
        <v>87</v>
      </c>
      <c r="B6" s="566" t="s">
        <v>481</v>
      </c>
      <c r="C6" s="571">
        <f>SUM(C8:C12)</f>
        <v>1207</v>
      </c>
      <c r="D6" s="571">
        <f>SUM(D8:D12)</f>
        <v>830</v>
      </c>
      <c r="E6" s="571">
        <f>SUM(E8:E12)</f>
        <v>2037</v>
      </c>
      <c r="F6" s="571">
        <f>SUM(F8:F12)</f>
        <v>1121</v>
      </c>
      <c r="G6" s="571">
        <f>SUM(G8:G12)</f>
        <v>916</v>
      </c>
      <c r="H6" s="571"/>
      <c r="I6" s="571">
        <f>SUM(I8:I12)</f>
        <v>7</v>
      </c>
      <c r="J6" s="571">
        <f>SUM(J8:J12)</f>
        <v>25</v>
      </c>
      <c r="K6" s="571">
        <f>SUM(K8:K12)</f>
        <v>32</v>
      </c>
      <c r="L6" s="571">
        <f>SUM(L8:L12)</f>
        <v>26</v>
      </c>
      <c r="M6" s="571">
        <f>SUM(M8:M12)</f>
        <v>6</v>
      </c>
      <c r="N6" s="571"/>
      <c r="O6" s="571">
        <f>SUM(O8:O12)</f>
        <v>1604</v>
      </c>
      <c r="P6" s="571">
        <f>SUM(P8:P12)</f>
        <v>2543</v>
      </c>
      <c r="Q6" s="571">
        <f>SUM(Q8:Q12)</f>
        <v>4147</v>
      </c>
      <c r="R6" s="571">
        <f>SUM(R8:R12)</f>
        <v>2701</v>
      </c>
      <c r="S6" s="571">
        <f>SUM(S8:S12)</f>
        <v>1304</v>
      </c>
      <c r="T6" s="571"/>
      <c r="U6" s="571">
        <f>SUM(U8:U12)</f>
        <v>443</v>
      </c>
      <c r="V6" s="571">
        <f>SUM(V8:V12)</f>
        <v>3044</v>
      </c>
      <c r="W6" s="571">
        <f>SUM(W8:W12)</f>
        <v>3487</v>
      </c>
      <c r="X6" s="571">
        <f>SUM(X8:X12)</f>
        <v>2924</v>
      </c>
      <c r="Y6" s="571">
        <f>SUM(Y8:Y12)</f>
        <v>568</v>
      </c>
      <c r="AG6" s="560"/>
    </row>
    <row r="7" spans="1:67">
      <c r="A7" s="1011"/>
      <c r="B7" s="566" t="s">
        <v>468</v>
      </c>
      <c r="C7" s="571"/>
      <c r="D7" s="571"/>
      <c r="E7" s="571"/>
      <c r="F7" s="571"/>
      <c r="G7" s="571"/>
      <c r="H7" s="571"/>
      <c r="I7" s="571"/>
      <c r="J7" s="571"/>
      <c r="K7" s="571"/>
      <c r="L7" s="571"/>
      <c r="M7" s="571"/>
      <c r="N7" s="571"/>
      <c r="O7" s="571"/>
      <c r="P7" s="571"/>
      <c r="Q7" s="571"/>
      <c r="R7" s="571"/>
      <c r="S7" s="571"/>
      <c r="T7" s="571"/>
      <c r="U7" s="571"/>
      <c r="V7" s="571"/>
      <c r="W7" s="571"/>
      <c r="X7" s="571"/>
      <c r="Y7" s="571"/>
      <c r="AH7" s="563"/>
      <c r="AI7" s="563"/>
      <c r="AJ7" s="563"/>
    </row>
    <row r="8" spans="1:67">
      <c r="A8" s="567" t="s">
        <v>87</v>
      </c>
      <c r="B8" s="568" t="s">
        <v>88</v>
      </c>
      <c r="C8" s="569">
        <v>0</v>
      </c>
      <c r="D8" s="570">
        <v>0</v>
      </c>
      <c r="E8" s="570">
        <v>0</v>
      </c>
      <c r="F8" s="570">
        <v>0</v>
      </c>
      <c r="G8" s="571">
        <v>0</v>
      </c>
      <c r="H8" s="571"/>
      <c r="I8" s="570">
        <v>0</v>
      </c>
      <c r="J8" s="570">
        <v>0</v>
      </c>
      <c r="K8" s="570">
        <v>0</v>
      </c>
      <c r="L8" s="570">
        <v>0</v>
      </c>
      <c r="M8" s="571">
        <v>0</v>
      </c>
      <c r="N8" s="571"/>
      <c r="O8" s="570">
        <v>1286</v>
      </c>
      <c r="P8" s="570">
        <v>2377</v>
      </c>
      <c r="Q8" s="570">
        <v>3663</v>
      </c>
      <c r="R8" s="570">
        <v>2283</v>
      </c>
      <c r="S8" s="571">
        <v>1243</v>
      </c>
      <c r="T8" s="571"/>
      <c r="U8" s="570">
        <v>0</v>
      </c>
      <c r="V8" s="570">
        <v>0</v>
      </c>
      <c r="W8" s="570">
        <v>0</v>
      </c>
      <c r="X8" s="570">
        <v>0</v>
      </c>
      <c r="Y8" s="571">
        <v>0</v>
      </c>
      <c r="AH8" s="563"/>
      <c r="AI8" s="563"/>
      <c r="AJ8" s="563"/>
    </row>
    <row r="9" spans="1:67">
      <c r="A9" s="567" t="s">
        <v>87</v>
      </c>
      <c r="B9" s="568" t="s">
        <v>89</v>
      </c>
      <c r="C9" s="570">
        <v>1153</v>
      </c>
      <c r="D9" s="570">
        <v>806</v>
      </c>
      <c r="E9" s="570">
        <v>1959</v>
      </c>
      <c r="F9" s="570">
        <v>1069</v>
      </c>
      <c r="G9" s="571">
        <v>890</v>
      </c>
      <c r="H9" s="571"/>
      <c r="I9" s="570">
        <v>0</v>
      </c>
      <c r="J9" s="570">
        <v>0</v>
      </c>
      <c r="K9" s="570">
        <v>0</v>
      </c>
      <c r="L9" s="570">
        <v>0</v>
      </c>
      <c r="M9" s="571">
        <v>0</v>
      </c>
      <c r="N9" s="571"/>
      <c r="O9" s="570">
        <v>0</v>
      </c>
      <c r="P9" s="570">
        <v>0</v>
      </c>
      <c r="Q9" s="570">
        <v>0</v>
      </c>
      <c r="R9" s="570">
        <v>0</v>
      </c>
      <c r="S9" s="571">
        <v>0</v>
      </c>
      <c r="T9" s="571"/>
      <c r="U9" s="570">
        <v>0</v>
      </c>
      <c r="V9" s="570">
        <v>0</v>
      </c>
      <c r="W9" s="570">
        <v>0</v>
      </c>
      <c r="X9" s="570">
        <v>0</v>
      </c>
      <c r="Y9" s="571">
        <v>0</v>
      </c>
      <c r="AH9" s="563"/>
      <c r="AI9" s="563"/>
      <c r="AJ9" s="563"/>
    </row>
    <row r="10" spans="1:67">
      <c r="A10" s="567" t="s">
        <v>87</v>
      </c>
      <c r="B10" s="568" t="s">
        <v>90</v>
      </c>
      <c r="C10" s="570">
        <v>0</v>
      </c>
      <c r="D10" s="570">
        <v>0</v>
      </c>
      <c r="E10" s="570">
        <v>0</v>
      </c>
      <c r="F10" s="570">
        <v>0</v>
      </c>
      <c r="G10" s="571">
        <v>0</v>
      </c>
      <c r="H10" s="571"/>
      <c r="I10" s="570">
        <v>0</v>
      </c>
      <c r="J10" s="570">
        <v>0</v>
      </c>
      <c r="K10" s="570">
        <v>0</v>
      </c>
      <c r="L10" s="570">
        <v>0</v>
      </c>
      <c r="M10" s="571">
        <v>0</v>
      </c>
      <c r="N10" s="571"/>
      <c r="O10" s="570">
        <v>0</v>
      </c>
      <c r="P10" s="570">
        <v>0</v>
      </c>
      <c r="Q10" s="570">
        <v>0</v>
      </c>
      <c r="R10" s="570">
        <v>0</v>
      </c>
      <c r="S10" s="571">
        <v>0</v>
      </c>
      <c r="T10" s="571"/>
      <c r="U10" s="570">
        <v>404</v>
      </c>
      <c r="V10" s="570">
        <v>2706</v>
      </c>
      <c r="W10" s="570">
        <v>3110</v>
      </c>
      <c r="X10" s="570">
        <v>2553</v>
      </c>
      <c r="Y10" s="571">
        <v>557</v>
      </c>
      <c r="AH10" s="563"/>
      <c r="AI10" s="563"/>
      <c r="AJ10" s="563"/>
    </row>
    <row r="11" spans="1:67">
      <c r="A11" s="567" t="s">
        <v>87</v>
      </c>
      <c r="B11" s="568" t="s">
        <v>91</v>
      </c>
      <c r="C11" s="570">
        <v>0</v>
      </c>
      <c r="D11" s="570">
        <v>0</v>
      </c>
      <c r="E11" s="570">
        <v>0</v>
      </c>
      <c r="F11" s="570">
        <v>0</v>
      </c>
      <c r="G11" s="571">
        <v>0</v>
      </c>
      <c r="H11" s="571"/>
      <c r="I11" s="570">
        <v>7</v>
      </c>
      <c r="J11" s="570">
        <v>25</v>
      </c>
      <c r="K11" s="570">
        <v>32</v>
      </c>
      <c r="L11" s="570">
        <v>26</v>
      </c>
      <c r="M11" s="571">
        <v>6</v>
      </c>
      <c r="N11" s="571"/>
      <c r="O11" s="570">
        <v>0</v>
      </c>
      <c r="P11" s="570">
        <v>0</v>
      </c>
      <c r="Q11" s="570">
        <v>0</v>
      </c>
      <c r="R11" s="570">
        <v>0</v>
      </c>
      <c r="S11" s="571">
        <v>0</v>
      </c>
      <c r="T11" s="571"/>
      <c r="U11" s="570">
        <v>0</v>
      </c>
      <c r="V11" s="570">
        <v>0</v>
      </c>
      <c r="W11" s="570">
        <v>0</v>
      </c>
      <c r="X11" s="570">
        <v>0</v>
      </c>
      <c r="Y11" s="571">
        <v>0</v>
      </c>
    </row>
    <row r="12" spans="1:67" ht="15" customHeight="1">
      <c r="A12" s="573" t="s">
        <v>87</v>
      </c>
      <c r="B12" s="574" t="s">
        <v>92</v>
      </c>
      <c r="C12" s="575">
        <v>54</v>
      </c>
      <c r="D12" s="575">
        <v>24</v>
      </c>
      <c r="E12" s="575">
        <v>78</v>
      </c>
      <c r="F12" s="575">
        <v>52</v>
      </c>
      <c r="G12" s="576">
        <v>26</v>
      </c>
      <c r="H12" s="576"/>
      <c r="I12" s="575">
        <v>0</v>
      </c>
      <c r="J12" s="575">
        <v>0</v>
      </c>
      <c r="K12" s="575">
        <v>0</v>
      </c>
      <c r="L12" s="575">
        <v>0</v>
      </c>
      <c r="M12" s="576">
        <v>0</v>
      </c>
      <c r="N12" s="576"/>
      <c r="O12" s="575">
        <v>318</v>
      </c>
      <c r="P12" s="575">
        <v>166</v>
      </c>
      <c r="Q12" s="575">
        <v>484</v>
      </c>
      <c r="R12" s="575">
        <v>418</v>
      </c>
      <c r="S12" s="576">
        <v>61</v>
      </c>
      <c r="T12" s="576"/>
      <c r="U12" s="575">
        <v>39</v>
      </c>
      <c r="V12" s="575">
        <v>338</v>
      </c>
      <c r="W12" s="575">
        <v>377</v>
      </c>
      <c r="X12" s="575">
        <v>371</v>
      </c>
      <c r="Y12" s="576">
        <v>11</v>
      </c>
      <c r="AQ12" s="981" t="s">
        <v>479</v>
      </c>
      <c r="AR12" s="981" t="s">
        <v>458</v>
      </c>
      <c r="AS12" s="984" t="s">
        <v>79</v>
      </c>
      <c r="AT12" s="984"/>
      <c r="AU12" s="984"/>
      <c r="AV12" s="984"/>
      <c r="AW12" s="984"/>
      <c r="AX12" s="581"/>
      <c r="AY12" s="984" t="s">
        <v>80</v>
      </c>
      <c r="AZ12" s="984"/>
      <c r="BA12" s="984"/>
      <c r="BB12" s="984"/>
      <c r="BC12" s="984"/>
      <c r="BD12" s="565"/>
      <c r="BE12" s="985" t="s">
        <v>81</v>
      </c>
      <c r="BF12" s="985"/>
      <c r="BG12" s="985"/>
      <c r="BH12" s="985"/>
      <c r="BI12" s="985"/>
      <c r="BJ12" s="582"/>
      <c r="BK12" s="985" t="s">
        <v>82</v>
      </c>
      <c r="BL12" s="985"/>
      <c r="BM12" s="985"/>
      <c r="BN12" s="985"/>
      <c r="BO12" s="985"/>
    </row>
    <row r="13" spans="1:67" s="579" customFormat="1" ht="25.5">
      <c r="A13" s="577"/>
      <c r="B13" s="566" t="s">
        <v>482</v>
      </c>
      <c r="C13" s="571">
        <f>C14+C29+C43+C58+C73+C89+C103+C108+C118+C127+C138+C144+C153+C159+C166+C180+C195+C205+C215+C217</f>
        <v>1369</v>
      </c>
      <c r="D13" s="571">
        <f>D14+D29+D43+D58+D73+D89+D103+D108+D118+D127+D138+D144+D153+D159+D166+D180+D195+D205+D215+D217</f>
        <v>1146</v>
      </c>
      <c r="E13" s="571">
        <f>E14+E29+E43+E58+E73+E89+E103+E108+E118+E127+E138+E144+E153+E159+E166+E180+E195+E205+E215+E217</f>
        <v>2515</v>
      </c>
      <c r="F13" s="571">
        <f>F14+F29+F43+F58+F73+F89+F103+F108+F118+F127+F138+F144+F153+F159+F166+F180+F195+F205+F215+F217</f>
        <v>1418</v>
      </c>
      <c r="G13" s="571">
        <f>G14+G29+G43+G58+G73+G89+G103+G108+G118+G127+G138+G144+G153+G159+G166+G180+G195+G205+G215+G217</f>
        <v>1097</v>
      </c>
      <c r="H13" s="571"/>
      <c r="I13" s="571">
        <f>I14+I29+I43+I58+I73+I89+I103+I108+I118+I127+I138+I144+I153+I159+I166+I180+I195+I205+I215+I217</f>
        <v>84</v>
      </c>
      <c r="J13" s="571">
        <f>J14+J29+J43+J58+J73+J89+J103+J108+J118+J127+J138+J144+J153+J159+J166+J180+J195+J205+J215+J217</f>
        <v>32</v>
      </c>
      <c r="K13" s="571">
        <f>K14+K29+K43+K58+K73+K89+K103+K108+K118+K127+K138+K144+K153+K159+K166+K180+K195+K205+K215+K217</f>
        <v>116</v>
      </c>
      <c r="L13" s="571">
        <f>L14+L29+L43+L58+L73+L89+L103+L108+L118+L127+L138+L144+L153+L159+L166+L180+L195+L205+L215+L217</f>
        <v>69</v>
      </c>
      <c r="M13" s="571">
        <f>M14+M29+M43+M58+M73+M89+M103+M108+M118+M127+M138+M144+M153+M159+M166+M180+M195+M205+M215+M217</f>
        <v>47</v>
      </c>
      <c r="N13" s="571"/>
      <c r="O13" s="571">
        <f>O14+O29+O43+O58+O73+O89+O103+O108+O118+O127+O138+O144+O153+O159+O166+O180+O195+O205+O215+O217</f>
        <v>2223</v>
      </c>
      <c r="P13" s="571">
        <f>P14+P29+P43+P58+P73+P89+P103+P108+P118+P127+P138+P144+P153+P159+P166+P180+P195+P205+P215+P217</f>
        <v>2747</v>
      </c>
      <c r="Q13" s="571">
        <f>Q14+Q29+Q43+Q58+Q73+Q89+Q103+Q108+Q118+Q127+Q138+Q144+Q153+Q159+Q166+Q180+Q195+Q205+Q215+Q217</f>
        <v>4970</v>
      </c>
      <c r="R13" s="571">
        <f>R14+R29+R43+R58+R73+R89+R103+R108+R118+R127+R138+R144+R153+R159+R166+R180+R195+R205+R215+R217</f>
        <v>3055</v>
      </c>
      <c r="S13" s="571">
        <f>S14+S29+S43+S58+S73+S89+S103+S108+S118+S127+S138+S144+S153+S159+S166+S180+S195+S205+S215+S217</f>
        <v>906</v>
      </c>
      <c r="T13" s="571"/>
      <c r="U13" s="571">
        <f>U14+U29+U43+U58+U73+U89+U103+U108+U118+U127+U138+U144+U153+U159+U166+U180+U195+U205+U215+U217</f>
        <v>945</v>
      </c>
      <c r="V13" s="571">
        <f>V14+V29+V43+V58+V73+V89+V103+V108+V118+V127+V138+V144+V153+V159+V166+V180+V195+V205+V215+V217</f>
        <v>6433</v>
      </c>
      <c r="W13" s="571">
        <f>W14+W29+W43+W58+W73+W89+W103+W108+W118+W127+W138+W144+W153+W159+W166+W180+W195+W205+W215+W217</f>
        <v>7378</v>
      </c>
      <c r="X13" s="571">
        <f>X14+X29+X43+X58+X73+X89+X103+X108+X118+X127+X138+X144+X153+X159+X166+X180+X195+X205+X215+X217</f>
        <v>6787</v>
      </c>
      <c r="Y13" s="571">
        <f>Y14+Y29+Y43+Y58+Y73+Y89+Y103+Y108+Y118+Y127+Y138+Y144+Y153+Y159+Y166+Y180+Y195+Y205+Y215+Y217</f>
        <v>1600</v>
      </c>
      <c r="AA13" s="559"/>
      <c r="AB13" s="559"/>
      <c r="AC13" s="559"/>
      <c r="AD13" s="559"/>
      <c r="AE13" s="559"/>
      <c r="AQ13" s="982"/>
      <c r="AR13" s="982"/>
      <c r="AS13" s="572" t="s">
        <v>83</v>
      </c>
      <c r="AT13" s="572" t="s">
        <v>84</v>
      </c>
      <c r="AU13" s="572" t="s">
        <v>75</v>
      </c>
      <c r="AV13" s="572" t="s">
        <v>85</v>
      </c>
      <c r="AW13" s="572" t="s">
        <v>86</v>
      </c>
      <c r="AX13" s="572"/>
      <c r="AY13" s="572" t="s">
        <v>83</v>
      </c>
      <c r="AZ13" s="572" t="s">
        <v>84</v>
      </c>
      <c r="BA13" s="572" t="s">
        <v>75</v>
      </c>
      <c r="BB13" s="685" t="s">
        <v>85</v>
      </c>
      <c r="BC13" s="572" t="s">
        <v>86</v>
      </c>
      <c r="BD13" s="572"/>
      <c r="BE13" s="572" t="s">
        <v>83</v>
      </c>
      <c r="BF13" s="572" t="s">
        <v>84</v>
      </c>
      <c r="BG13" s="572" t="s">
        <v>75</v>
      </c>
      <c r="BH13" s="572" t="s">
        <v>85</v>
      </c>
      <c r="BI13" s="572" t="s">
        <v>86</v>
      </c>
      <c r="BJ13" s="572"/>
      <c r="BK13" s="572" t="s">
        <v>83</v>
      </c>
      <c r="BL13" s="572" t="s">
        <v>84</v>
      </c>
      <c r="BM13" s="572" t="s">
        <v>75</v>
      </c>
      <c r="BN13" s="686" t="s">
        <v>85</v>
      </c>
      <c r="BO13" s="686" t="s">
        <v>86</v>
      </c>
    </row>
    <row r="14" spans="1:67" s="579" customFormat="1">
      <c r="A14" s="687" t="s">
        <v>93</v>
      </c>
      <c r="B14" s="566" t="s">
        <v>0</v>
      </c>
      <c r="C14" s="571">
        <f>SUM(C15:C28)</f>
        <v>123</v>
      </c>
      <c r="D14" s="571">
        <f>SUM(D15:D28)</f>
        <v>41</v>
      </c>
      <c r="E14" s="571">
        <f>SUM(E15:E28)</f>
        <v>164</v>
      </c>
      <c r="F14" s="571">
        <f>SUM(F15:F28)</f>
        <v>83</v>
      </c>
      <c r="G14" s="571">
        <f>SUM(G15:G28)</f>
        <v>81</v>
      </c>
      <c r="H14" s="571"/>
      <c r="I14" s="571">
        <f>SUM(I15:I28)</f>
        <v>4</v>
      </c>
      <c r="J14" s="571">
        <f>SUM(J15:J28)</f>
        <v>1</v>
      </c>
      <c r="K14" s="571">
        <f>SUM(K15:K28)</f>
        <v>5</v>
      </c>
      <c r="L14" s="571">
        <f>SUM(L15:L28)</f>
        <v>3</v>
      </c>
      <c r="M14" s="571">
        <f>SUM(M15:M28)</f>
        <v>2</v>
      </c>
      <c r="N14" s="571"/>
      <c r="O14" s="571">
        <f>SUM(O15:O28)</f>
        <v>160</v>
      </c>
      <c r="P14" s="571">
        <f>SUM(P15:P28)</f>
        <v>79</v>
      </c>
      <c r="Q14" s="571">
        <f>SUM(Q15:Q28)</f>
        <v>239</v>
      </c>
      <c r="R14" s="571">
        <f>SUM(R15:R28)</f>
        <v>115</v>
      </c>
      <c r="S14" s="571">
        <f>SUM(S15:S28)</f>
        <v>44</v>
      </c>
      <c r="T14" s="571"/>
      <c r="U14" s="571">
        <f>SUM(U15:U28)</f>
        <v>37</v>
      </c>
      <c r="V14" s="571">
        <f>SUM(V15:V28)</f>
        <v>257</v>
      </c>
      <c r="W14" s="571">
        <f>SUM(W15:W28)</f>
        <v>294</v>
      </c>
      <c r="X14" s="571">
        <f>SUM(X15:X28)</f>
        <v>267</v>
      </c>
      <c r="Y14" s="571">
        <f>SUM(Y15:Y28)</f>
        <v>107</v>
      </c>
      <c r="AA14" s="559"/>
      <c r="AB14" s="559"/>
      <c r="AC14" s="559"/>
      <c r="AD14" s="559"/>
      <c r="AE14" s="559"/>
      <c r="AQ14" s="687"/>
      <c r="AR14" s="566" t="s">
        <v>480</v>
      </c>
      <c r="AS14" s="569">
        <v>2576</v>
      </c>
      <c r="AT14" s="569">
        <v>1976</v>
      </c>
      <c r="AU14" s="569">
        <v>4552</v>
      </c>
      <c r="AV14" s="569">
        <v>2539</v>
      </c>
      <c r="AW14" s="569">
        <v>2013</v>
      </c>
      <c r="AX14" s="569"/>
      <c r="AY14" s="569">
        <v>91</v>
      </c>
      <c r="AZ14" s="569">
        <v>57</v>
      </c>
      <c r="BA14" s="569">
        <v>148</v>
      </c>
      <c r="BB14" s="569">
        <v>95</v>
      </c>
      <c r="BC14" s="569">
        <v>53</v>
      </c>
      <c r="BD14" s="569"/>
      <c r="BE14" s="569">
        <v>3827</v>
      </c>
      <c r="BF14" s="569">
        <v>5290</v>
      </c>
      <c r="BG14" s="569">
        <v>9117</v>
      </c>
      <c r="BH14" s="569">
        <v>5756</v>
      </c>
      <c r="BI14" s="569">
        <v>2210</v>
      </c>
      <c r="BJ14" s="569"/>
      <c r="BK14" s="569">
        <v>1388</v>
      </c>
      <c r="BL14" s="569">
        <v>9477</v>
      </c>
      <c r="BM14" s="569">
        <v>10865</v>
      </c>
      <c r="BN14" s="569">
        <v>9711</v>
      </c>
      <c r="BO14" s="569">
        <v>2168</v>
      </c>
    </row>
    <row r="15" spans="1:67">
      <c r="A15" s="567" t="s">
        <v>93</v>
      </c>
      <c r="B15" s="568" t="s">
        <v>483</v>
      </c>
      <c r="C15" s="570">
        <v>0</v>
      </c>
      <c r="D15" s="570">
        <v>0</v>
      </c>
      <c r="E15" s="570">
        <v>0</v>
      </c>
      <c r="F15" s="570">
        <v>0</v>
      </c>
      <c r="G15" s="571">
        <v>0</v>
      </c>
      <c r="H15" s="571"/>
      <c r="I15" s="570">
        <v>0</v>
      </c>
      <c r="J15" s="570">
        <v>0</v>
      </c>
      <c r="K15" s="570">
        <v>0</v>
      </c>
      <c r="L15" s="570">
        <v>0</v>
      </c>
      <c r="M15" s="571">
        <v>0</v>
      </c>
      <c r="N15" s="571"/>
      <c r="O15" s="570">
        <v>0</v>
      </c>
      <c r="P15" s="570">
        <v>1</v>
      </c>
      <c r="Q15" s="570">
        <v>1</v>
      </c>
      <c r="R15" s="570">
        <v>0</v>
      </c>
      <c r="S15" s="571">
        <v>0</v>
      </c>
      <c r="T15" s="571"/>
      <c r="U15" s="570">
        <v>0</v>
      </c>
      <c r="V15" s="570">
        <v>6</v>
      </c>
      <c r="W15" s="570">
        <v>6</v>
      </c>
      <c r="X15" s="570">
        <v>7</v>
      </c>
      <c r="Y15" s="571">
        <v>0</v>
      </c>
      <c r="AQ15" s="687" t="s">
        <v>87</v>
      </c>
      <c r="AR15" s="566" t="s">
        <v>481</v>
      </c>
      <c r="AS15" s="571">
        <v>1207</v>
      </c>
      <c r="AT15" s="571">
        <v>830</v>
      </c>
      <c r="AU15" s="571">
        <v>2037</v>
      </c>
      <c r="AV15" s="571">
        <v>1121</v>
      </c>
      <c r="AW15" s="571">
        <v>916</v>
      </c>
      <c r="AX15" s="571"/>
      <c r="AY15" s="571">
        <v>7</v>
      </c>
      <c r="AZ15" s="571">
        <v>25</v>
      </c>
      <c r="BA15" s="571">
        <v>32</v>
      </c>
      <c r="BB15" s="571">
        <v>26</v>
      </c>
      <c r="BC15" s="571">
        <v>6</v>
      </c>
      <c r="BD15" s="571"/>
      <c r="BE15" s="571">
        <v>1604</v>
      </c>
      <c r="BF15" s="571">
        <v>2543</v>
      </c>
      <c r="BG15" s="571">
        <v>4147</v>
      </c>
      <c r="BH15" s="571">
        <v>2701</v>
      </c>
      <c r="BI15" s="571">
        <v>1304</v>
      </c>
      <c r="BJ15" s="571"/>
      <c r="BK15" s="571">
        <v>443</v>
      </c>
      <c r="BL15" s="571">
        <v>3044</v>
      </c>
      <c r="BM15" s="571">
        <v>3487</v>
      </c>
      <c r="BN15" s="571">
        <v>2924</v>
      </c>
      <c r="BO15" s="571">
        <v>568</v>
      </c>
    </row>
    <row r="16" spans="1:67">
      <c r="A16" s="567" t="s">
        <v>93</v>
      </c>
      <c r="B16" s="568" t="s">
        <v>484</v>
      </c>
      <c r="C16" s="570">
        <v>0</v>
      </c>
      <c r="D16" s="570">
        <v>2</v>
      </c>
      <c r="E16" s="570">
        <v>2</v>
      </c>
      <c r="F16" s="570">
        <v>2</v>
      </c>
      <c r="G16" s="571">
        <v>0</v>
      </c>
      <c r="H16" s="571"/>
      <c r="I16" s="570">
        <v>0</v>
      </c>
      <c r="J16" s="570">
        <v>0</v>
      </c>
      <c r="K16" s="570">
        <v>0</v>
      </c>
      <c r="L16" s="570">
        <v>0</v>
      </c>
      <c r="M16" s="571">
        <v>0</v>
      </c>
      <c r="N16" s="571"/>
      <c r="O16" s="570">
        <v>1</v>
      </c>
      <c r="P16" s="570">
        <v>1</v>
      </c>
      <c r="Q16" s="570">
        <v>2</v>
      </c>
      <c r="R16" s="570">
        <v>1</v>
      </c>
      <c r="S16" s="571">
        <v>0</v>
      </c>
      <c r="T16" s="571"/>
      <c r="U16" s="570">
        <v>2</v>
      </c>
      <c r="V16" s="570">
        <v>4</v>
      </c>
      <c r="W16" s="570">
        <v>6</v>
      </c>
      <c r="X16" s="570">
        <v>7</v>
      </c>
      <c r="Y16" s="571">
        <v>0</v>
      </c>
      <c r="AQ16" s="577"/>
      <c r="AR16" s="566" t="s">
        <v>482</v>
      </c>
      <c r="AS16" s="571">
        <v>1369</v>
      </c>
      <c r="AT16" s="571">
        <v>1146</v>
      </c>
      <c r="AU16" s="571">
        <v>2515</v>
      </c>
      <c r="AV16" s="571">
        <v>1418</v>
      </c>
      <c r="AW16" s="571">
        <v>1097</v>
      </c>
      <c r="AX16" s="571">
        <f>AV16/AU16*100</f>
        <v>56.381709741550701</v>
      </c>
      <c r="AY16" s="571">
        <v>84</v>
      </c>
      <c r="AZ16" s="571">
        <v>32</v>
      </c>
      <c r="BA16" s="571">
        <v>116</v>
      </c>
      <c r="BB16" s="571">
        <v>69</v>
      </c>
      <c r="BC16" s="571">
        <v>47</v>
      </c>
      <c r="BD16" s="571"/>
      <c r="BE16" s="571">
        <v>2223</v>
      </c>
      <c r="BF16" s="571">
        <v>2747</v>
      </c>
      <c r="BG16" s="571">
        <v>4970</v>
      </c>
      <c r="BH16" s="571">
        <v>3055</v>
      </c>
      <c r="BI16" s="571">
        <v>906</v>
      </c>
      <c r="BJ16" s="571"/>
      <c r="BK16" s="571">
        <v>945</v>
      </c>
      <c r="BL16" s="571">
        <v>6433</v>
      </c>
      <c r="BM16" s="571">
        <v>7378</v>
      </c>
      <c r="BN16" s="571">
        <v>6787</v>
      </c>
      <c r="BO16" s="571">
        <v>1600</v>
      </c>
    </row>
    <row r="17" spans="1:67">
      <c r="A17" s="567" t="s">
        <v>93</v>
      </c>
      <c r="B17" s="568" t="s">
        <v>485</v>
      </c>
      <c r="C17" s="570">
        <v>3</v>
      </c>
      <c r="D17" s="570">
        <v>2</v>
      </c>
      <c r="E17" s="570">
        <v>5</v>
      </c>
      <c r="F17" s="570">
        <v>1</v>
      </c>
      <c r="G17" s="571">
        <v>4</v>
      </c>
      <c r="H17" s="571"/>
      <c r="I17" s="570">
        <v>0</v>
      </c>
      <c r="J17" s="570">
        <v>0</v>
      </c>
      <c r="K17" s="570">
        <v>0</v>
      </c>
      <c r="L17" s="570">
        <v>0</v>
      </c>
      <c r="M17" s="571">
        <v>0</v>
      </c>
      <c r="N17" s="571"/>
      <c r="O17" s="570">
        <v>2</v>
      </c>
      <c r="P17" s="570">
        <v>2</v>
      </c>
      <c r="Q17" s="570">
        <v>4</v>
      </c>
      <c r="R17" s="570">
        <v>2</v>
      </c>
      <c r="S17" s="571">
        <v>0</v>
      </c>
      <c r="T17" s="571"/>
      <c r="U17" s="570">
        <v>3</v>
      </c>
      <c r="V17" s="570">
        <v>12</v>
      </c>
      <c r="W17" s="570">
        <v>15</v>
      </c>
      <c r="X17" s="570">
        <v>15</v>
      </c>
      <c r="Y17" s="571">
        <v>2</v>
      </c>
      <c r="AQ17" s="687" t="s">
        <v>93</v>
      </c>
      <c r="AR17" s="566" t="s">
        <v>0</v>
      </c>
      <c r="AS17" s="571">
        <v>123</v>
      </c>
      <c r="AT17" s="571">
        <v>41</v>
      </c>
      <c r="AU17" s="571">
        <v>164</v>
      </c>
      <c r="AV17" s="571">
        <v>83</v>
      </c>
      <c r="AW17" s="571">
        <v>81</v>
      </c>
      <c r="AX17" s="571">
        <f t="shared" ref="AX17:AX35" si="0">AV17/AU17*100</f>
        <v>50.609756097560975</v>
      </c>
      <c r="AY17" s="571">
        <v>4</v>
      </c>
      <c r="AZ17" s="571">
        <v>1</v>
      </c>
      <c r="BA17" s="571">
        <v>5</v>
      </c>
      <c r="BB17" s="571">
        <v>3</v>
      </c>
      <c r="BC17" s="571">
        <v>2</v>
      </c>
      <c r="BD17" s="571"/>
      <c r="BE17" s="571">
        <v>160</v>
      </c>
      <c r="BF17" s="571">
        <v>79</v>
      </c>
      <c r="BG17" s="571">
        <v>239</v>
      </c>
      <c r="BH17" s="571">
        <v>115</v>
      </c>
      <c r="BI17" s="571">
        <v>44</v>
      </c>
      <c r="BJ17" s="571"/>
      <c r="BK17" s="571">
        <v>37</v>
      </c>
      <c r="BL17" s="571">
        <v>257</v>
      </c>
      <c r="BM17" s="571">
        <v>294</v>
      </c>
      <c r="BN17" s="571">
        <v>267</v>
      </c>
      <c r="BO17" s="571">
        <v>107</v>
      </c>
    </row>
    <row r="18" spans="1:67">
      <c r="A18" s="567" t="s">
        <v>93</v>
      </c>
      <c r="B18" s="568" t="s">
        <v>486</v>
      </c>
      <c r="C18" s="570">
        <v>28</v>
      </c>
      <c r="D18" s="570">
        <v>11</v>
      </c>
      <c r="E18" s="570">
        <v>39</v>
      </c>
      <c r="F18" s="570">
        <v>19</v>
      </c>
      <c r="G18" s="571">
        <v>20</v>
      </c>
      <c r="H18" s="571"/>
      <c r="I18" s="570">
        <v>2</v>
      </c>
      <c r="J18" s="570">
        <v>1</v>
      </c>
      <c r="K18" s="570">
        <v>3</v>
      </c>
      <c r="L18" s="570">
        <v>1</v>
      </c>
      <c r="M18" s="571">
        <v>2</v>
      </c>
      <c r="N18" s="571"/>
      <c r="O18" s="570">
        <v>23</v>
      </c>
      <c r="P18" s="570">
        <v>16</v>
      </c>
      <c r="Q18" s="570">
        <v>39</v>
      </c>
      <c r="R18" s="570">
        <v>17</v>
      </c>
      <c r="S18" s="571">
        <v>6</v>
      </c>
      <c r="T18" s="571"/>
      <c r="U18" s="570">
        <v>5</v>
      </c>
      <c r="V18" s="570">
        <v>61</v>
      </c>
      <c r="W18" s="570">
        <v>66</v>
      </c>
      <c r="X18" s="570">
        <v>57</v>
      </c>
      <c r="Y18" s="571">
        <v>25</v>
      </c>
      <c r="AQ18" s="687" t="s">
        <v>94</v>
      </c>
      <c r="AR18" s="566" t="s">
        <v>0</v>
      </c>
      <c r="AS18" s="571">
        <v>293</v>
      </c>
      <c r="AT18" s="571">
        <v>64</v>
      </c>
      <c r="AU18" s="571">
        <v>357</v>
      </c>
      <c r="AV18" s="571">
        <v>60</v>
      </c>
      <c r="AW18" s="571">
        <v>297</v>
      </c>
      <c r="AX18" s="571">
        <f t="shared" si="0"/>
        <v>16.806722689075631</v>
      </c>
      <c r="AY18" s="571">
        <v>13</v>
      </c>
      <c r="AZ18" s="571">
        <v>2</v>
      </c>
      <c r="BA18" s="571">
        <v>15</v>
      </c>
      <c r="BB18" s="571">
        <v>1</v>
      </c>
      <c r="BC18" s="571">
        <v>14</v>
      </c>
      <c r="BD18" s="571"/>
      <c r="BE18" s="571">
        <v>179</v>
      </c>
      <c r="BF18" s="571">
        <v>112</v>
      </c>
      <c r="BG18" s="571">
        <v>291</v>
      </c>
      <c r="BH18" s="571">
        <v>106</v>
      </c>
      <c r="BI18" s="571">
        <v>64</v>
      </c>
      <c r="BJ18" s="571"/>
      <c r="BK18" s="571">
        <v>87</v>
      </c>
      <c r="BL18" s="571">
        <v>440</v>
      </c>
      <c r="BM18" s="571">
        <v>527</v>
      </c>
      <c r="BN18" s="571">
        <v>509</v>
      </c>
      <c r="BO18" s="571">
        <v>139</v>
      </c>
    </row>
    <row r="19" spans="1:67">
      <c r="A19" s="567" t="s">
        <v>93</v>
      </c>
      <c r="B19" s="568" t="s">
        <v>487</v>
      </c>
      <c r="C19" s="570">
        <v>25</v>
      </c>
      <c r="D19" s="570">
        <v>4</v>
      </c>
      <c r="E19" s="570">
        <v>29</v>
      </c>
      <c r="F19" s="570">
        <v>29</v>
      </c>
      <c r="G19" s="571">
        <v>0</v>
      </c>
      <c r="H19" s="571"/>
      <c r="I19" s="570">
        <v>0</v>
      </c>
      <c r="J19" s="570">
        <v>0</v>
      </c>
      <c r="K19" s="570">
        <v>0</v>
      </c>
      <c r="L19" s="570">
        <v>0</v>
      </c>
      <c r="M19" s="571">
        <v>0</v>
      </c>
      <c r="N19" s="571"/>
      <c r="O19" s="570">
        <v>23</v>
      </c>
      <c r="P19" s="570">
        <v>19</v>
      </c>
      <c r="Q19" s="570">
        <v>42</v>
      </c>
      <c r="R19" s="570">
        <v>28</v>
      </c>
      <c r="S19" s="571">
        <v>4</v>
      </c>
      <c r="T19" s="571"/>
      <c r="U19" s="570">
        <v>1</v>
      </c>
      <c r="V19" s="570">
        <v>33</v>
      </c>
      <c r="W19" s="570">
        <v>34</v>
      </c>
      <c r="X19" s="570">
        <v>31</v>
      </c>
      <c r="Y19" s="571">
        <v>13</v>
      </c>
      <c r="AQ19" s="687" t="s">
        <v>95</v>
      </c>
      <c r="AR19" s="566" t="s">
        <v>0</v>
      </c>
      <c r="AS19" s="571">
        <v>7</v>
      </c>
      <c r="AT19" s="571">
        <v>36</v>
      </c>
      <c r="AU19" s="571">
        <v>43</v>
      </c>
      <c r="AV19" s="571">
        <v>28</v>
      </c>
      <c r="AW19" s="571">
        <v>15</v>
      </c>
      <c r="AX19" s="571">
        <f t="shared" si="0"/>
        <v>65.116279069767444</v>
      </c>
      <c r="AY19" s="571">
        <v>3</v>
      </c>
      <c r="AZ19" s="571">
        <v>0</v>
      </c>
      <c r="BA19" s="571">
        <v>3</v>
      </c>
      <c r="BB19" s="571">
        <v>2</v>
      </c>
      <c r="BC19" s="571">
        <v>1</v>
      </c>
      <c r="BD19" s="571"/>
      <c r="BE19" s="571">
        <v>55</v>
      </c>
      <c r="BF19" s="571">
        <v>67</v>
      </c>
      <c r="BG19" s="571">
        <v>122</v>
      </c>
      <c r="BH19" s="571">
        <v>67</v>
      </c>
      <c r="BI19" s="571">
        <v>25</v>
      </c>
      <c r="BJ19" s="571"/>
      <c r="BK19" s="571">
        <v>33</v>
      </c>
      <c r="BL19" s="571">
        <v>262</v>
      </c>
      <c r="BM19" s="571">
        <v>295</v>
      </c>
      <c r="BN19" s="571">
        <v>256</v>
      </c>
      <c r="BO19" s="571">
        <v>69</v>
      </c>
    </row>
    <row r="20" spans="1:67">
      <c r="A20" s="567" t="s">
        <v>93</v>
      </c>
      <c r="B20" s="568" t="s">
        <v>488</v>
      </c>
      <c r="C20" s="570">
        <v>13</v>
      </c>
      <c r="D20" s="570">
        <v>3</v>
      </c>
      <c r="E20" s="570">
        <v>16</v>
      </c>
      <c r="F20" s="570">
        <v>16</v>
      </c>
      <c r="G20" s="571">
        <v>0</v>
      </c>
      <c r="H20" s="571"/>
      <c r="I20" s="570">
        <v>1</v>
      </c>
      <c r="J20" s="570">
        <v>0</v>
      </c>
      <c r="K20" s="570">
        <v>1</v>
      </c>
      <c r="L20" s="570">
        <v>1</v>
      </c>
      <c r="M20" s="571">
        <v>0</v>
      </c>
      <c r="N20" s="571"/>
      <c r="O20" s="570">
        <v>11</v>
      </c>
      <c r="P20" s="570">
        <v>3</v>
      </c>
      <c r="Q20" s="570">
        <v>14</v>
      </c>
      <c r="R20" s="570">
        <v>3</v>
      </c>
      <c r="S20" s="571">
        <v>4</v>
      </c>
      <c r="T20" s="571"/>
      <c r="U20" s="570">
        <v>4</v>
      </c>
      <c r="V20" s="570">
        <v>19</v>
      </c>
      <c r="W20" s="570">
        <v>23</v>
      </c>
      <c r="X20" s="570">
        <v>18</v>
      </c>
      <c r="Y20" s="571">
        <v>12</v>
      </c>
      <c r="AQ20" s="687" t="s">
        <v>96</v>
      </c>
      <c r="AR20" s="566" t="s">
        <v>0</v>
      </c>
      <c r="AS20" s="571">
        <v>63</v>
      </c>
      <c r="AT20" s="571">
        <v>93</v>
      </c>
      <c r="AU20" s="571">
        <v>156</v>
      </c>
      <c r="AV20" s="571">
        <v>57</v>
      </c>
      <c r="AW20" s="571">
        <v>99</v>
      </c>
      <c r="AX20" s="571">
        <f t="shared" si="0"/>
        <v>36.538461538461533</v>
      </c>
      <c r="AY20" s="571">
        <v>4</v>
      </c>
      <c r="AZ20" s="571">
        <v>4</v>
      </c>
      <c r="BA20" s="571">
        <v>8</v>
      </c>
      <c r="BB20" s="571">
        <v>4</v>
      </c>
      <c r="BC20" s="571">
        <v>4</v>
      </c>
      <c r="BD20" s="571"/>
      <c r="BE20" s="571">
        <v>129</v>
      </c>
      <c r="BF20" s="571">
        <v>133</v>
      </c>
      <c r="BG20" s="571">
        <v>262</v>
      </c>
      <c r="BH20" s="571">
        <v>138</v>
      </c>
      <c r="BI20" s="571">
        <v>55</v>
      </c>
      <c r="BJ20" s="571"/>
      <c r="BK20" s="571">
        <v>65</v>
      </c>
      <c r="BL20" s="571">
        <v>383</v>
      </c>
      <c r="BM20" s="571">
        <v>448</v>
      </c>
      <c r="BN20" s="571">
        <v>395</v>
      </c>
      <c r="BO20" s="571">
        <v>122</v>
      </c>
    </row>
    <row r="21" spans="1:67">
      <c r="A21" s="567" t="s">
        <v>93</v>
      </c>
      <c r="B21" s="568" t="s">
        <v>489</v>
      </c>
      <c r="C21" s="570">
        <v>1</v>
      </c>
      <c r="D21" s="570">
        <v>2</v>
      </c>
      <c r="E21" s="570">
        <v>3</v>
      </c>
      <c r="F21" s="570">
        <v>0</v>
      </c>
      <c r="G21" s="571">
        <v>3</v>
      </c>
      <c r="H21" s="571"/>
      <c r="I21" s="570">
        <v>0</v>
      </c>
      <c r="J21" s="570">
        <v>0</v>
      </c>
      <c r="K21" s="570">
        <v>0</v>
      </c>
      <c r="L21" s="570">
        <v>0</v>
      </c>
      <c r="M21" s="571">
        <v>0</v>
      </c>
      <c r="N21" s="571"/>
      <c r="O21" s="570">
        <v>24</v>
      </c>
      <c r="P21" s="570">
        <v>6</v>
      </c>
      <c r="Q21" s="570">
        <v>30</v>
      </c>
      <c r="R21" s="570">
        <v>12</v>
      </c>
      <c r="S21" s="571">
        <v>12</v>
      </c>
      <c r="T21" s="571"/>
      <c r="U21" s="570">
        <v>6</v>
      </c>
      <c r="V21" s="570">
        <v>9</v>
      </c>
      <c r="W21" s="570">
        <v>15</v>
      </c>
      <c r="X21" s="570">
        <v>11</v>
      </c>
      <c r="Y21" s="571">
        <v>10</v>
      </c>
      <c r="AQ21" s="687" t="s">
        <v>97</v>
      </c>
      <c r="AR21" s="566" t="s">
        <v>0</v>
      </c>
      <c r="AS21" s="571">
        <v>82</v>
      </c>
      <c r="AT21" s="571">
        <v>56</v>
      </c>
      <c r="AU21" s="571">
        <v>138</v>
      </c>
      <c r="AV21" s="571">
        <v>70</v>
      </c>
      <c r="AW21" s="571">
        <v>68</v>
      </c>
      <c r="AX21" s="571">
        <f t="shared" si="0"/>
        <v>50.724637681159422</v>
      </c>
      <c r="AY21" s="571">
        <v>3</v>
      </c>
      <c r="AZ21" s="571">
        <v>0</v>
      </c>
      <c r="BA21" s="571">
        <v>3</v>
      </c>
      <c r="BB21" s="571">
        <v>3</v>
      </c>
      <c r="BC21" s="571">
        <v>0</v>
      </c>
      <c r="BD21" s="571"/>
      <c r="BE21" s="571">
        <v>138</v>
      </c>
      <c r="BF21" s="571">
        <v>153</v>
      </c>
      <c r="BG21" s="571">
        <v>291</v>
      </c>
      <c r="BH21" s="571">
        <v>189</v>
      </c>
      <c r="BI21" s="571">
        <v>46</v>
      </c>
      <c r="BJ21" s="571"/>
      <c r="BK21" s="571">
        <v>54</v>
      </c>
      <c r="BL21" s="571">
        <v>359</v>
      </c>
      <c r="BM21" s="571">
        <v>413</v>
      </c>
      <c r="BN21" s="571">
        <v>384</v>
      </c>
      <c r="BO21" s="571">
        <v>85</v>
      </c>
    </row>
    <row r="22" spans="1:67">
      <c r="A22" s="567" t="s">
        <v>93</v>
      </c>
      <c r="B22" s="568" t="s">
        <v>490</v>
      </c>
      <c r="C22" s="570">
        <v>16</v>
      </c>
      <c r="D22" s="570">
        <v>2</v>
      </c>
      <c r="E22" s="570">
        <v>18</v>
      </c>
      <c r="F22" s="570">
        <v>3</v>
      </c>
      <c r="G22" s="571">
        <v>15</v>
      </c>
      <c r="H22" s="571"/>
      <c r="I22" s="570">
        <v>1</v>
      </c>
      <c r="J22" s="570">
        <v>0</v>
      </c>
      <c r="K22" s="570">
        <v>1</v>
      </c>
      <c r="L22" s="570">
        <v>1</v>
      </c>
      <c r="M22" s="571">
        <v>0</v>
      </c>
      <c r="N22" s="571"/>
      <c r="O22" s="570">
        <v>35</v>
      </c>
      <c r="P22" s="570">
        <v>13</v>
      </c>
      <c r="Q22" s="570">
        <v>48</v>
      </c>
      <c r="R22" s="570">
        <v>26</v>
      </c>
      <c r="S22" s="571">
        <v>6</v>
      </c>
      <c r="T22" s="571"/>
      <c r="U22" s="570">
        <v>1</v>
      </c>
      <c r="V22" s="570">
        <v>36</v>
      </c>
      <c r="W22" s="570">
        <v>37</v>
      </c>
      <c r="X22" s="570">
        <v>41</v>
      </c>
      <c r="Y22" s="571">
        <v>12</v>
      </c>
      <c r="AQ22" s="687" t="s">
        <v>98</v>
      </c>
      <c r="AR22" s="566" t="s">
        <v>0</v>
      </c>
      <c r="AS22" s="571">
        <v>22</v>
      </c>
      <c r="AT22" s="571">
        <v>21</v>
      </c>
      <c r="AU22" s="571">
        <v>43</v>
      </c>
      <c r="AV22" s="571">
        <v>25</v>
      </c>
      <c r="AW22" s="571">
        <v>18</v>
      </c>
      <c r="AX22" s="571">
        <f t="shared" si="0"/>
        <v>58.139534883720934</v>
      </c>
      <c r="AY22" s="571">
        <v>2</v>
      </c>
      <c r="AZ22" s="571">
        <v>0</v>
      </c>
      <c r="BA22" s="571">
        <v>2</v>
      </c>
      <c r="BB22" s="571">
        <v>1</v>
      </c>
      <c r="BC22" s="571">
        <v>1</v>
      </c>
      <c r="BD22" s="571"/>
      <c r="BE22" s="571">
        <v>68</v>
      </c>
      <c r="BF22" s="571">
        <v>79</v>
      </c>
      <c r="BG22" s="571">
        <v>147</v>
      </c>
      <c r="BH22" s="571">
        <v>92</v>
      </c>
      <c r="BI22" s="571">
        <v>23</v>
      </c>
      <c r="BJ22" s="571"/>
      <c r="BK22" s="571">
        <v>36</v>
      </c>
      <c r="BL22" s="571">
        <v>175</v>
      </c>
      <c r="BM22" s="571">
        <v>211</v>
      </c>
      <c r="BN22" s="571">
        <v>220</v>
      </c>
      <c r="BO22" s="571">
        <v>23</v>
      </c>
    </row>
    <row r="23" spans="1:67">
      <c r="A23" s="567" t="s">
        <v>93</v>
      </c>
      <c r="B23" s="568" t="s">
        <v>491</v>
      </c>
      <c r="C23" s="570">
        <v>7</v>
      </c>
      <c r="D23" s="570">
        <v>4</v>
      </c>
      <c r="E23" s="570">
        <v>11</v>
      </c>
      <c r="F23" s="570">
        <v>3</v>
      </c>
      <c r="G23" s="571">
        <v>8</v>
      </c>
      <c r="H23" s="571"/>
      <c r="I23" s="570">
        <v>0</v>
      </c>
      <c r="J23" s="570">
        <v>0</v>
      </c>
      <c r="K23" s="570">
        <v>0</v>
      </c>
      <c r="L23" s="570">
        <v>0</v>
      </c>
      <c r="M23" s="571">
        <v>0</v>
      </c>
      <c r="N23" s="571"/>
      <c r="O23" s="570">
        <v>6</v>
      </c>
      <c r="P23" s="570">
        <v>2</v>
      </c>
      <c r="Q23" s="570">
        <v>8</v>
      </c>
      <c r="R23" s="570">
        <v>2</v>
      </c>
      <c r="S23" s="571">
        <v>0</v>
      </c>
      <c r="T23" s="571"/>
      <c r="U23" s="570">
        <v>0</v>
      </c>
      <c r="V23" s="570">
        <v>11</v>
      </c>
      <c r="W23" s="570">
        <v>11</v>
      </c>
      <c r="X23" s="570">
        <v>15</v>
      </c>
      <c r="Y23" s="571">
        <v>2</v>
      </c>
      <c r="AQ23" s="687" t="s">
        <v>99</v>
      </c>
      <c r="AR23" s="566" t="s">
        <v>0</v>
      </c>
      <c r="AS23" s="571">
        <v>81</v>
      </c>
      <c r="AT23" s="571">
        <v>32</v>
      </c>
      <c r="AU23" s="571">
        <v>113</v>
      </c>
      <c r="AV23" s="571">
        <v>111</v>
      </c>
      <c r="AW23" s="571">
        <v>2</v>
      </c>
      <c r="AX23" s="571">
        <f t="shared" si="0"/>
        <v>98.230088495575217</v>
      </c>
      <c r="AY23" s="571">
        <v>3</v>
      </c>
      <c r="AZ23" s="571">
        <v>4</v>
      </c>
      <c r="BA23" s="571">
        <v>7</v>
      </c>
      <c r="BB23" s="571">
        <v>7</v>
      </c>
      <c r="BC23" s="571">
        <v>0</v>
      </c>
      <c r="BD23" s="571"/>
      <c r="BE23" s="571">
        <v>143</v>
      </c>
      <c r="BF23" s="571">
        <v>111</v>
      </c>
      <c r="BG23" s="571">
        <v>254</v>
      </c>
      <c r="BH23" s="571">
        <v>106</v>
      </c>
      <c r="BI23" s="571">
        <v>80</v>
      </c>
      <c r="BJ23" s="571"/>
      <c r="BK23" s="571">
        <v>64</v>
      </c>
      <c r="BL23" s="571">
        <v>307</v>
      </c>
      <c r="BM23" s="571">
        <v>371</v>
      </c>
      <c r="BN23" s="571">
        <v>312</v>
      </c>
      <c r="BO23" s="571">
        <v>127</v>
      </c>
    </row>
    <row r="24" spans="1:67">
      <c r="A24" s="567" t="s">
        <v>93</v>
      </c>
      <c r="B24" s="568" t="s">
        <v>492</v>
      </c>
      <c r="C24" s="570">
        <v>0</v>
      </c>
      <c r="D24" s="570">
        <v>0</v>
      </c>
      <c r="E24" s="570">
        <v>0</v>
      </c>
      <c r="F24" s="570">
        <v>0</v>
      </c>
      <c r="G24" s="571">
        <v>0</v>
      </c>
      <c r="H24" s="571"/>
      <c r="I24" s="570">
        <v>0</v>
      </c>
      <c r="J24" s="570">
        <v>0</v>
      </c>
      <c r="K24" s="570">
        <v>0</v>
      </c>
      <c r="L24" s="570">
        <v>0</v>
      </c>
      <c r="M24" s="571">
        <v>0</v>
      </c>
      <c r="N24" s="571"/>
      <c r="O24" s="570">
        <v>8</v>
      </c>
      <c r="P24" s="570">
        <v>0</v>
      </c>
      <c r="Q24" s="570">
        <v>8</v>
      </c>
      <c r="R24" s="570">
        <v>7</v>
      </c>
      <c r="S24" s="571">
        <v>0</v>
      </c>
      <c r="T24" s="571"/>
      <c r="U24" s="570">
        <v>0</v>
      </c>
      <c r="V24" s="570">
        <v>11</v>
      </c>
      <c r="W24" s="570">
        <v>11</v>
      </c>
      <c r="X24" s="570">
        <v>7</v>
      </c>
      <c r="Y24" s="571">
        <v>5</v>
      </c>
      <c r="AQ24" s="687" t="s">
        <v>100</v>
      </c>
      <c r="AR24" s="566" t="s">
        <v>0</v>
      </c>
      <c r="AS24" s="571">
        <v>11</v>
      </c>
      <c r="AT24" s="571">
        <v>61</v>
      </c>
      <c r="AU24" s="571">
        <v>72</v>
      </c>
      <c r="AV24" s="571">
        <v>21</v>
      </c>
      <c r="AW24" s="571">
        <v>51</v>
      </c>
      <c r="AX24" s="571">
        <f t="shared" si="0"/>
        <v>29.166666666666668</v>
      </c>
      <c r="AY24" s="571">
        <v>4</v>
      </c>
      <c r="AZ24" s="571">
        <v>1</v>
      </c>
      <c r="BA24" s="571">
        <v>5</v>
      </c>
      <c r="BB24" s="571">
        <v>0</v>
      </c>
      <c r="BC24" s="571">
        <v>5</v>
      </c>
      <c r="BD24" s="571"/>
      <c r="BE24" s="571">
        <v>110</v>
      </c>
      <c r="BF24" s="571">
        <v>102</v>
      </c>
      <c r="BG24" s="571">
        <v>212</v>
      </c>
      <c r="BH24" s="571">
        <v>117</v>
      </c>
      <c r="BI24" s="571">
        <v>41</v>
      </c>
      <c r="BJ24" s="571"/>
      <c r="BK24" s="571">
        <v>67</v>
      </c>
      <c r="BL24" s="571">
        <v>388</v>
      </c>
      <c r="BM24" s="571">
        <v>455</v>
      </c>
      <c r="BN24" s="571">
        <v>433</v>
      </c>
      <c r="BO24" s="571">
        <v>76</v>
      </c>
    </row>
    <row r="25" spans="1:67">
      <c r="A25" s="567" t="s">
        <v>93</v>
      </c>
      <c r="B25" s="568" t="s">
        <v>493</v>
      </c>
      <c r="C25" s="570">
        <v>4</v>
      </c>
      <c r="D25" s="570">
        <v>1</v>
      </c>
      <c r="E25" s="570">
        <v>5</v>
      </c>
      <c r="F25" s="570">
        <v>5</v>
      </c>
      <c r="G25" s="571">
        <v>0</v>
      </c>
      <c r="H25" s="571"/>
      <c r="I25" s="570">
        <v>0</v>
      </c>
      <c r="J25" s="570">
        <v>0</v>
      </c>
      <c r="K25" s="570">
        <v>0</v>
      </c>
      <c r="L25" s="570">
        <v>0</v>
      </c>
      <c r="M25" s="571">
        <v>0</v>
      </c>
      <c r="N25" s="571"/>
      <c r="O25" s="570">
        <v>10</v>
      </c>
      <c r="P25" s="570">
        <v>1</v>
      </c>
      <c r="Q25" s="570">
        <v>11</v>
      </c>
      <c r="R25" s="570">
        <v>2</v>
      </c>
      <c r="S25" s="571">
        <v>2</v>
      </c>
      <c r="T25" s="571"/>
      <c r="U25" s="570">
        <v>6</v>
      </c>
      <c r="V25" s="570">
        <v>9</v>
      </c>
      <c r="W25" s="570">
        <v>15</v>
      </c>
      <c r="X25" s="570">
        <v>13</v>
      </c>
      <c r="Y25" s="571">
        <v>9</v>
      </c>
      <c r="AQ25" s="687" t="s">
        <v>101</v>
      </c>
      <c r="AR25" s="566" t="s">
        <v>0</v>
      </c>
      <c r="AS25" s="571">
        <v>19</v>
      </c>
      <c r="AT25" s="571">
        <v>15</v>
      </c>
      <c r="AU25" s="571">
        <v>34</v>
      </c>
      <c r="AV25" s="571">
        <v>17</v>
      </c>
      <c r="AW25" s="571">
        <v>17</v>
      </c>
      <c r="AX25" s="571">
        <f t="shared" si="0"/>
        <v>50</v>
      </c>
      <c r="AY25" s="571">
        <v>0</v>
      </c>
      <c r="AZ25" s="571">
        <v>0</v>
      </c>
      <c r="BA25" s="571">
        <v>0</v>
      </c>
      <c r="BB25" s="571">
        <v>0</v>
      </c>
      <c r="BC25" s="571">
        <v>0</v>
      </c>
      <c r="BD25" s="571"/>
      <c r="BE25" s="571">
        <v>39</v>
      </c>
      <c r="BF25" s="571">
        <v>115</v>
      </c>
      <c r="BG25" s="571">
        <v>154</v>
      </c>
      <c r="BH25" s="571">
        <v>110</v>
      </c>
      <c r="BI25" s="571">
        <v>23</v>
      </c>
      <c r="BJ25" s="571"/>
      <c r="BK25" s="571">
        <v>18</v>
      </c>
      <c r="BL25" s="571">
        <v>234</v>
      </c>
      <c r="BM25" s="571">
        <v>252</v>
      </c>
      <c r="BN25" s="571">
        <v>248</v>
      </c>
      <c r="BO25" s="571">
        <v>25</v>
      </c>
    </row>
    <row r="26" spans="1:67">
      <c r="A26" s="567" t="s">
        <v>93</v>
      </c>
      <c r="B26" s="568" t="s">
        <v>494</v>
      </c>
      <c r="C26" s="570">
        <v>2</v>
      </c>
      <c r="D26" s="570">
        <v>1</v>
      </c>
      <c r="E26" s="570">
        <v>3</v>
      </c>
      <c r="F26" s="570">
        <v>2</v>
      </c>
      <c r="G26" s="571">
        <v>1</v>
      </c>
      <c r="H26" s="571"/>
      <c r="I26" s="570">
        <v>0</v>
      </c>
      <c r="J26" s="570">
        <v>0</v>
      </c>
      <c r="K26" s="570">
        <v>0</v>
      </c>
      <c r="L26" s="570">
        <v>0</v>
      </c>
      <c r="M26" s="571">
        <v>0</v>
      </c>
      <c r="N26" s="571"/>
      <c r="O26" s="570">
        <v>0</v>
      </c>
      <c r="P26" s="570">
        <v>2</v>
      </c>
      <c r="Q26" s="570">
        <v>2</v>
      </c>
      <c r="R26" s="570">
        <v>0</v>
      </c>
      <c r="S26" s="571">
        <v>1</v>
      </c>
      <c r="T26" s="571"/>
      <c r="U26" s="570">
        <v>3</v>
      </c>
      <c r="V26" s="570">
        <v>7</v>
      </c>
      <c r="W26" s="570">
        <v>10</v>
      </c>
      <c r="X26" s="570">
        <v>8</v>
      </c>
      <c r="Y26" s="571">
        <v>3</v>
      </c>
      <c r="AQ26" s="687" t="s">
        <v>102</v>
      </c>
      <c r="AR26" s="566" t="s">
        <v>0</v>
      </c>
      <c r="AS26" s="571">
        <v>12</v>
      </c>
      <c r="AT26" s="571">
        <v>21</v>
      </c>
      <c r="AU26" s="571">
        <v>33</v>
      </c>
      <c r="AV26" s="571">
        <v>19</v>
      </c>
      <c r="AW26" s="571">
        <v>14</v>
      </c>
      <c r="AX26" s="571">
        <f t="shared" si="0"/>
        <v>57.575757575757578</v>
      </c>
      <c r="AY26" s="571">
        <v>3</v>
      </c>
      <c r="AZ26" s="571">
        <v>4</v>
      </c>
      <c r="BA26" s="571">
        <v>7</v>
      </c>
      <c r="BB26" s="571">
        <v>6</v>
      </c>
      <c r="BC26" s="571">
        <v>1</v>
      </c>
      <c r="BD26" s="571"/>
      <c r="BE26" s="571">
        <v>96</v>
      </c>
      <c r="BF26" s="571">
        <v>133</v>
      </c>
      <c r="BG26" s="571">
        <v>229</v>
      </c>
      <c r="BH26" s="571">
        <v>150</v>
      </c>
      <c r="BI26" s="571">
        <v>37</v>
      </c>
      <c r="BJ26" s="571"/>
      <c r="BK26" s="571">
        <v>30</v>
      </c>
      <c r="BL26" s="571">
        <v>284</v>
      </c>
      <c r="BM26" s="571">
        <v>314</v>
      </c>
      <c r="BN26" s="571">
        <v>281</v>
      </c>
      <c r="BO26" s="571">
        <v>75</v>
      </c>
    </row>
    <row r="27" spans="1:67">
      <c r="A27" s="567" t="s">
        <v>93</v>
      </c>
      <c r="B27" s="568" t="s">
        <v>495</v>
      </c>
      <c r="C27" s="570">
        <v>1</v>
      </c>
      <c r="D27" s="570">
        <v>0</v>
      </c>
      <c r="E27" s="570">
        <v>1</v>
      </c>
      <c r="F27" s="570">
        <v>0</v>
      </c>
      <c r="G27" s="571">
        <v>1</v>
      </c>
      <c r="H27" s="571"/>
      <c r="I27" s="570">
        <v>0</v>
      </c>
      <c r="J27" s="570">
        <v>0</v>
      </c>
      <c r="K27" s="570">
        <v>0</v>
      </c>
      <c r="L27" s="570">
        <v>0</v>
      </c>
      <c r="M27" s="571">
        <v>0</v>
      </c>
      <c r="N27" s="571"/>
      <c r="O27" s="570">
        <v>3</v>
      </c>
      <c r="P27" s="570">
        <v>0</v>
      </c>
      <c r="Q27" s="570">
        <v>3</v>
      </c>
      <c r="R27" s="570">
        <v>1</v>
      </c>
      <c r="S27" s="571">
        <v>0</v>
      </c>
      <c r="T27" s="571"/>
      <c r="U27" s="570">
        <v>3</v>
      </c>
      <c r="V27" s="570">
        <v>14</v>
      </c>
      <c r="W27" s="570">
        <v>17</v>
      </c>
      <c r="X27" s="570">
        <v>11</v>
      </c>
      <c r="Y27" s="571">
        <v>8</v>
      </c>
      <c r="AQ27" s="687" t="s">
        <v>103</v>
      </c>
      <c r="AR27" s="566" t="s">
        <v>0</v>
      </c>
      <c r="AS27" s="571">
        <v>0</v>
      </c>
      <c r="AT27" s="571">
        <v>0</v>
      </c>
      <c r="AU27" s="571">
        <v>0</v>
      </c>
      <c r="AV27" s="571">
        <v>0</v>
      </c>
      <c r="AW27" s="571">
        <v>0</v>
      </c>
      <c r="AX27" s="571">
        <v>0</v>
      </c>
      <c r="AY27" s="571">
        <v>0</v>
      </c>
      <c r="AZ27" s="571">
        <v>0</v>
      </c>
      <c r="BA27" s="571">
        <v>0</v>
      </c>
      <c r="BB27" s="571">
        <v>0</v>
      </c>
      <c r="BC27" s="571">
        <v>0</v>
      </c>
      <c r="BD27" s="571"/>
      <c r="BE27" s="571">
        <v>7</v>
      </c>
      <c r="BF27" s="571">
        <v>23</v>
      </c>
      <c r="BG27" s="571">
        <v>30</v>
      </c>
      <c r="BH27" s="571">
        <v>24</v>
      </c>
      <c r="BI27" s="571">
        <v>0</v>
      </c>
      <c r="BJ27" s="571"/>
      <c r="BK27" s="571">
        <v>3</v>
      </c>
      <c r="BL27" s="571">
        <v>47</v>
      </c>
      <c r="BM27" s="571">
        <v>50</v>
      </c>
      <c r="BN27" s="571">
        <v>43</v>
      </c>
      <c r="BO27" s="571">
        <v>13</v>
      </c>
    </row>
    <row r="28" spans="1:67">
      <c r="A28" s="573" t="s">
        <v>93</v>
      </c>
      <c r="B28" s="574" t="s">
        <v>496</v>
      </c>
      <c r="C28" s="575">
        <v>23</v>
      </c>
      <c r="D28" s="575">
        <v>9</v>
      </c>
      <c r="E28" s="575">
        <v>32</v>
      </c>
      <c r="F28" s="575">
        <v>3</v>
      </c>
      <c r="G28" s="576">
        <v>29</v>
      </c>
      <c r="H28" s="576"/>
      <c r="I28" s="575">
        <v>0</v>
      </c>
      <c r="J28" s="575">
        <v>0</v>
      </c>
      <c r="K28" s="575">
        <v>0</v>
      </c>
      <c r="L28" s="575">
        <v>0</v>
      </c>
      <c r="M28" s="576">
        <v>0</v>
      </c>
      <c r="N28" s="576"/>
      <c r="O28" s="575">
        <v>14</v>
      </c>
      <c r="P28" s="575">
        <v>13</v>
      </c>
      <c r="Q28" s="575">
        <v>27</v>
      </c>
      <c r="R28" s="575">
        <v>14</v>
      </c>
      <c r="S28" s="576">
        <v>9</v>
      </c>
      <c r="T28" s="576"/>
      <c r="U28" s="575">
        <v>3</v>
      </c>
      <c r="V28" s="575">
        <v>25</v>
      </c>
      <c r="W28" s="575">
        <v>28</v>
      </c>
      <c r="X28" s="575">
        <v>26</v>
      </c>
      <c r="Y28" s="576">
        <v>6</v>
      </c>
      <c r="AQ28" s="687" t="s">
        <v>104</v>
      </c>
      <c r="AR28" s="566" t="s">
        <v>0</v>
      </c>
      <c r="AS28" s="571">
        <v>23</v>
      </c>
      <c r="AT28" s="571">
        <v>5</v>
      </c>
      <c r="AU28" s="571">
        <v>28</v>
      </c>
      <c r="AV28" s="571">
        <v>20</v>
      </c>
      <c r="AW28" s="571">
        <v>8</v>
      </c>
      <c r="AX28" s="571">
        <f t="shared" si="0"/>
        <v>71.428571428571431</v>
      </c>
      <c r="AY28" s="571">
        <v>0</v>
      </c>
      <c r="AZ28" s="571">
        <v>0</v>
      </c>
      <c r="BA28" s="571">
        <v>0</v>
      </c>
      <c r="BB28" s="571">
        <v>0</v>
      </c>
      <c r="BC28" s="571">
        <v>0</v>
      </c>
      <c r="BD28" s="571"/>
      <c r="BE28" s="571">
        <v>26</v>
      </c>
      <c r="BF28" s="571">
        <v>52</v>
      </c>
      <c r="BG28" s="571">
        <v>78</v>
      </c>
      <c r="BH28" s="571">
        <v>50</v>
      </c>
      <c r="BI28" s="571">
        <v>16</v>
      </c>
      <c r="BJ28" s="571"/>
      <c r="BK28" s="571">
        <v>16</v>
      </c>
      <c r="BL28" s="571">
        <v>130</v>
      </c>
      <c r="BM28" s="571">
        <v>146</v>
      </c>
      <c r="BN28" s="571">
        <v>136</v>
      </c>
      <c r="BO28" s="571">
        <v>22</v>
      </c>
    </row>
    <row r="29" spans="1:67" s="579" customFormat="1">
      <c r="A29" s="687" t="s">
        <v>94</v>
      </c>
      <c r="B29" s="566" t="s">
        <v>0</v>
      </c>
      <c r="C29" s="571">
        <f>SUM(C30:C42)</f>
        <v>293</v>
      </c>
      <c r="D29" s="571">
        <f>SUM(D30:D42)</f>
        <v>64</v>
      </c>
      <c r="E29" s="571">
        <f>SUM(E30:E42)</f>
        <v>357</v>
      </c>
      <c r="F29" s="571">
        <f>SUM(F30:F42)</f>
        <v>60</v>
      </c>
      <c r="G29" s="571">
        <f>SUM(G30:G42)</f>
        <v>297</v>
      </c>
      <c r="H29" s="571"/>
      <c r="I29" s="571">
        <f>SUM(I30:I42)</f>
        <v>13</v>
      </c>
      <c r="J29" s="571">
        <f>SUM(J30:J42)</f>
        <v>2</v>
      </c>
      <c r="K29" s="571">
        <f>SUM(K30:K42)</f>
        <v>15</v>
      </c>
      <c r="L29" s="571">
        <f>SUM(L30:L42)</f>
        <v>1</v>
      </c>
      <c r="M29" s="571">
        <f>SUM(M30:M42)</f>
        <v>14</v>
      </c>
      <c r="N29" s="571"/>
      <c r="O29" s="571">
        <f>SUM(O30:O42)</f>
        <v>179</v>
      </c>
      <c r="P29" s="571">
        <f>SUM(P30:P42)</f>
        <v>112</v>
      </c>
      <c r="Q29" s="571">
        <f>SUM(Q30:Q42)</f>
        <v>291</v>
      </c>
      <c r="R29" s="571">
        <f>SUM(R30:R42)</f>
        <v>106</v>
      </c>
      <c r="S29" s="571">
        <f>SUM(S30:S42)</f>
        <v>64</v>
      </c>
      <c r="T29" s="571"/>
      <c r="U29" s="571">
        <f>SUM(U30:U42)</f>
        <v>87</v>
      </c>
      <c r="V29" s="571">
        <f>SUM(V30:V42)</f>
        <v>440</v>
      </c>
      <c r="W29" s="571">
        <f>SUM(W30:W42)</f>
        <v>527</v>
      </c>
      <c r="X29" s="571">
        <f>SUM(X30:X42)</f>
        <v>509</v>
      </c>
      <c r="Y29" s="571">
        <f>SUM(Y30:Y42)</f>
        <v>139</v>
      </c>
      <c r="AA29" s="559"/>
      <c r="AB29" s="559"/>
      <c r="AC29" s="559"/>
      <c r="AD29" s="559"/>
      <c r="AE29" s="559"/>
      <c r="AQ29" s="687" t="s">
        <v>105</v>
      </c>
      <c r="AR29" s="566" t="s">
        <v>0</v>
      </c>
      <c r="AS29" s="571">
        <v>12</v>
      </c>
      <c r="AT29" s="571">
        <v>4</v>
      </c>
      <c r="AU29" s="571">
        <v>16</v>
      </c>
      <c r="AV29" s="571">
        <v>11</v>
      </c>
      <c r="AW29" s="571">
        <v>5</v>
      </c>
      <c r="AX29" s="571">
        <f t="shared" si="0"/>
        <v>68.75</v>
      </c>
      <c r="AY29" s="571">
        <v>0</v>
      </c>
      <c r="AZ29" s="571">
        <v>0</v>
      </c>
      <c r="BA29" s="571">
        <v>0</v>
      </c>
      <c r="BB29" s="571">
        <v>0</v>
      </c>
      <c r="BC29" s="571">
        <v>0</v>
      </c>
      <c r="BD29" s="571"/>
      <c r="BE29" s="571">
        <v>22</v>
      </c>
      <c r="BF29" s="571">
        <v>53</v>
      </c>
      <c r="BG29" s="571">
        <v>75</v>
      </c>
      <c r="BH29" s="571">
        <v>43</v>
      </c>
      <c r="BI29" s="571">
        <v>22</v>
      </c>
      <c r="BJ29" s="571"/>
      <c r="BK29" s="571">
        <v>16</v>
      </c>
      <c r="BL29" s="571">
        <v>129</v>
      </c>
      <c r="BM29" s="571">
        <v>145</v>
      </c>
      <c r="BN29" s="571">
        <v>119</v>
      </c>
      <c r="BO29" s="571">
        <v>36</v>
      </c>
    </row>
    <row r="30" spans="1:67">
      <c r="A30" s="567" t="s">
        <v>94</v>
      </c>
      <c r="B30" s="568" t="s">
        <v>497</v>
      </c>
      <c r="C30" s="570">
        <v>0</v>
      </c>
      <c r="D30" s="570">
        <v>1</v>
      </c>
      <c r="E30" s="570">
        <v>1</v>
      </c>
      <c r="F30" s="570">
        <v>0</v>
      </c>
      <c r="G30" s="571">
        <v>1</v>
      </c>
      <c r="H30" s="571"/>
      <c r="I30" s="570">
        <v>0</v>
      </c>
      <c r="J30" s="570">
        <v>0</v>
      </c>
      <c r="K30" s="570">
        <v>0</v>
      </c>
      <c r="L30" s="570">
        <v>0</v>
      </c>
      <c r="M30" s="571">
        <v>0</v>
      </c>
      <c r="N30" s="571"/>
      <c r="O30" s="570">
        <v>3</v>
      </c>
      <c r="P30" s="570">
        <v>1</v>
      </c>
      <c r="Q30" s="570">
        <v>4</v>
      </c>
      <c r="R30" s="570">
        <v>0</v>
      </c>
      <c r="S30" s="571">
        <v>1</v>
      </c>
      <c r="T30" s="571"/>
      <c r="U30" s="570">
        <v>1</v>
      </c>
      <c r="V30" s="570">
        <v>5</v>
      </c>
      <c r="W30" s="570">
        <v>6</v>
      </c>
      <c r="X30" s="570">
        <v>5</v>
      </c>
      <c r="Y30" s="571">
        <v>4</v>
      </c>
      <c r="AQ30" s="687" t="s">
        <v>106</v>
      </c>
      <c r="AR30" s="566" t="s">
        <v>0</v>
      </c>
      <c r="AS30" s="571">
        <v>4</v>
      </c>
      <c r="AT30" s="571">
        <v>4</v>
      </c>
      <c r="AU30" s="571">
        <v>8</v>
      </c>
      <c r="AV30" s="571">
        <v>5</v>
      </c>
      <c r="AW30" s="571">
        <v>3</v>
      </c>
      <c r="AX30" s="571">
        <f t="shared" si="0"/>
        <v>62.5</v>
      </c>
      <c r="AY30" s="571">
        <v>0</v>
      </c>
      <c r="AZ30" s="571">
        <v>0</v>
      </c>
      <c r="BA30" s="571">
        <v>0</v>
      </c>
      <c r="BB30" s="571">
        <v>0</v>
      </c>
      <c r="BC30" s="571">
        <v>0</v>
      </c>
      <c r="BD30" s="571"/>
      <c r="BE30" s="571">
        <v>27</v>
      </c>
      <c r="BF30" s="571">
        <v>44</v>
      </c>
      <c r="BG30" s="571">
        <v>71</v>
      </c>
      <c r="BH30" s="571">
        <v>38</v>
      </c>
      <c r="BI30" s="571">
        <v>19</v>
      </c>
      <c r="BJ30" s="571"/>
      <c r="BK30" s="571">
        <v>12</v>
      </c>
      <c r="BL30" s="571">
        <v>145</v>
      </c>
      <c r="BM30" s="571">
        <v>157</v>
      </c>
      <c r="BN30" s="571">
        <v>137</v>
      </c>
      <c r="BO30" s="571">
        <v>34</v>
      </c>
    </row>
    <row r="31" spans="1:67">
      <c r="A31" s="567" t="s">
        <v>94</v>
      </c>
      <c r="B31" s="568" t="s">
        <v>498</v>
      </c>
      <c r="C31" s="570">
        <v>0</v>
      </c>
      <c r="D31" s="570">
        <v>4</v>
      </c>
      <c r="E31" s="570">
        <v>4</v>
      </c>
      <c r="F31" s="570">
        <v>0</v>
      </c>
      <c r="G31" s="571">
        <v>4</v>
      </c>
      <c r="H31" s="571"/>
      <c r="I31" s="570">
        <v>0</v>
      </c>
      <c r="J31" s="570">
        <v>0</v>
      </c>
      <c r="K31" s="570">
        <v>0</v>
      </c>
      <c r="L31" s="570">
        <v>0</v>
      </c>
      <c r="M31" s="571">
        <v>0</v>
      </c>
      <c r="N31" s="571"/>
      <c r="O31" s="570">
        <v>3</v>
      </c>
      <c r="P31" s="570">
        <v>5</v>
      </c>
      <c r="Q31" s="570">
        <v>8</v>
      </c>
      <c r="R31" s="570">
        <v>4</v>
      </c>
      <c r="S31" s="571">
        <v>3</v>
      </c>
      <c r="T31" s="571"/>
      <c r="U31" s="570">
        <v>6</v>
      </c>
      <c r="V31" s="570">
        <v>43</v>
      </c>
      <c r="W31" s="570">
        <v>49</v>
      </c>
      <c r="X31" s="570">
        <v>40</v>
      </c>
      <c r="Y31" s="571">
        <v>10</v>
      </c>
      <c r="AQ31" s="687" t="s">
        <v>107</v>
      </c>
      <c r="AR31" s="566" t="s">
        <v>0</v>
      </c>
      <c r="AS31" s="571">
        <v>96</v>
      </c>
      <c r="AT31" s="571">
        <v>27</v>
      </c>
      <c r="AU31" s="571">
        <v>123</v>
      </c>
      <c r="AV31" s="571">
        <v>62</v>
      </c>
      <c r="AW31" s="571">
        <v>61</v>
      </c>
      <c r="AX31" s="571">
        <f t="shared" si="0"/>
        <v>50.40650406504065</v>
      </c>
      <c r="AY31" s="571">
        <v>4</v>
      </c>
      <c r="AZ31" s="571">
        <v>0</v>
      </c>
      <c r="BA31" s="571">
        <v>4</v>
      </c>
      <c r="BB31" s="571">
        <v>2</v>
      </c>
      <c r="BC31" s="571">
        <v>2</v>
      </c>
      <c r="BD31" s="571"/>
      <c r="BE31" s="571">
        <v>106</v>
      </c>
      <c r="BF31" s="571">
        <v>101</v>
      </c>
      <c r="BG31" s="571">
        <v>207</v>
      </c>
      <c r="BH31" s="571">
        <v>106</v>
      </c>
      <c r="BI31" s="571">
        <v>56</v>
      </c>
      <c r="BJ31" s="571"/>
      <c r="BK31" s="571">
        <v>49</v>
      </c>
      <c r="BL31" s="571">
        <v>277</v>
      </c>
      <c r="BM31" s="571">
        <v>326</v>
      </c>
      <c r="BN31" s="571">
        <v>270</v>
      </c>
      <c r="BO31" s="571">
        <v>101</v>
      </c>
    </row>
    <row r="32" spans="1:67">
      <c r="A32" s="567" t="s">
        <v>94</v>
      </c>
      <c r="B32" s="568" t="s">
        <v>499</v>
      </c>
      <c r="C32" s="570">
        <v>2</v>
      </c>
      <c r="D32" s="570">
        <v>0</v>
      </c>
      <c r="E32" s="570">
        <v>2</v>
      </c>
      <c r="F32" s="570">
        <v>2</v>
      </c>
      <c r="G32" s="571">
        <v>0</v>
      </c>
      <c r="H32" s="571"/>
      <c r="I32" s="570">
        <v>0</v>
      </c>
      <c r="J32" s="570">
        <v>0</v>
      </c>
      <c r="K32" s="570">
        <v>0</v>
      </c>
      <c r="L32" s="570">
        <v>0</v>
      </c>
      <c r="M32" s="571">
        <v>0</v>
      </c>
      <c r="N32" s="571"/>
      <c r="O32" s="570">
        <v>3</v>
      </c>
      <c r="P32" s="570">
        <v>1</v>
      </c>
      <c r="Q32" s="570">
        <v>4</v>
      </c>
      <c r="R32" s="570">
        <v>1</v>
      </c>
      <c r="S32" s="571">
        <v>1</v>
      </c>
      <c r="T32" s="571"/>
      <c r="U32" s="570">
        <v>3</v>
      </c>
      <c r="V32" s="570">
        <v>8</v>
      </c>
      <c r="W32" s="570">
        <v>11</v>
      </c>
      <c r="X32" s="570">
        <v>10</v>
      </c>
      <c r="Y32" s="571">
        <v>3</v>
      </c>
      <c r="AQ32" s="687" t="s">
        <v>108</v>
      </c>
      <c r="AR32" s="566" t="s">
        <v>0</v>
      </c>
      <c r="AS32" s="571">
        <v>148</v>
      </c>
      <c r="AT32" s="571">
        <v>113</v>
      </c>
      <c r="AU32" s="571">
        <v>261</v>
      </c>
      <c r="AV32" s="571">
        <v>252</v>
      </c>
      <c r="AW32" s="571">
        <v>9</v>
      </c>
      <c r="AX32" s="571">
        <f t="shared" si="0"/>
        <v>96.551724137931032</v>
      </c>
      <c r="AY32" s="571">
        <v>11</v>
      </c>
      <c r="AZ32" s="571">
        <v>3</v>
      </c>
      <c r="BA32" s="571">
        <v>14</v>
      </c>
      <c r="BB32" s="571">
        <v>14</v>
      </c>
      <c r="BC32" s="571">
        <v>0</v>
      </c>
      <c r="BD32" s="571"/>
      <c r="BE32" s="571">
        <v>216</v>
      </c>
      <c r="BF32" s="571">
        <v>224</v>
      </c>
      <c r="BG32" s="571">
        <v>440</v>
      </c>
      <c r="BH32" s="571">
        <v>293</v>
      </c>
      <c r="BI32" s="571">
        <v>71</v>
      </c>
      <c r="BJ32" s="571"/>
      <c r="BK32" s="571">
        <v>100</v>
      </c>
      <c r="BL32" s="571">
        <v>633</v>
      </c>
      <c r="BM32" s="571">
        <v>733</v>
      </c>
      <c r="BN32" s="571">
        <v>659</v>
      </c>
      <c r="BO32" s="571">
        <v>150</v>
      </c>
    </row>
    <row r="33" spans="1:67">
      <c r="A33" s="567" t="s">
        <v>94</v>
      </c>
      <c r="B33" s="568" t="s">
        <v>500</v>
      </c>
      <c r="C33" s="570">
        <v>0</v>
      </c>
      <c r="D33" s="570">
        <v>3</v>
      </c>
      <c r="E33" s="570">
        <v>3</v>
      </c>
      <c r="F33" s="570">
        <v>2</v>
      </c>
      <c r="G33" s="571">
        <v>1</v>
      </c>
      <c r="H33" s="571"/>
      <c r="I33" s="570">
        <v>0</v>
      </c>
      <c r="J33" s="570">
        <v>0</v>
      </c>
      <c r="K33" s="570">
        <v>0</v>
      </c>
      <c r="L33" s="570">
        <v>0</v>
      </c>
      <c r="M33" s="571">
        <v>0</v>
      </c>
      <c r="N33" s="571"/>
      <c r="O33" s="570">
        <v>4</v>
      </c>
      <c r="P33" s="570">
        <v>4</v>
      </c>
      <c r="Q33" s="570">
        <v>8</v>
      </c>
      <c r="R33" s="570">
        <v>5</v>
      </c>
      <c r="S33" s="571">
        <v>1</v>
      </c>
      <c r="T33" s="571"/>
      <c r="U33" s="570">
        <v>3</v>
      </c>
      <c r="V33" s="570">
        <v>19</v>
      </c>
      <c r="W33" s="570">
        <v>22</v>
      </c>
      <c r="X33" s="570">
        <v>24</v>
      </c>
      <c r="Y33" s="571">
        <v>0</v>
      </c>
      <c r="AQ33" s="687" t="s">
        <v>109</v>
      </c>
      <c r="AR33" s="566" t="s">
        <v>0</v>
      </c>
      <c r="AS33" s="571">
        <v>32</v>
      </c>
      <c r="AT33" s="571">
        <v>94</v>
      </c>
      <c r="AU33" s="571">
        <v>126</v>
      </c>
      <c r="AV33" s="571">
        <v>62</v>
      </c>
      <c r="AW33" s="571">
        <v>64</v>
      </c>
      <c r="AX33" s="571">
        <f t="shared" si="0"/>
        <v>49.206349206349202</v>
      </c>
      <c r="AY33" s="571">
        <v>2</v>
      </c>
      <c r="AZ33" s="571">
        <v>3</v>
      </c>
      <c r="BA33" s="571">
        <v>5</v>
      </c>
      <c r="BB33" s="571">
        <v>4</v>
      </c>
      <c r="BC33" s="571">
        <v>1</v>
      </c>
      <c r="BD33" s="571"/>
      <c r="BE33" s="571">
        <v>145</v>
      </c>
      <c r="BF33" s="571">
        <v>412</v>
      </c>
      <c r="BG33" s="571">
        <v>557</v>
      </c>
      <c r="BH33" s="571">
        <v>399</v>
      </c>
      <c r="BI33" s="571">
        <v>113</v>
      </c>
      <c r="BJ33" s="571"/>
      <c r="BK33" s="571">
        <v>38</v>
      </c>
      <c r="BL33" s="571">
        <v>372</v>
      </c>
      <c r="BM33" s="571">
        <v>410</v>
      </c>
      <c r="BN33" s="571">
        <v>381</v>
      </c>
      <c r="BO33" s="571">
        <v>74</v>
      </c>
    </row>
    <row r="34" spans="1:67">
      <c r="A34" s="567" t="s">
        <v>94</v>
      </c>
      <c r="B34" s="568" t="s">
        <v>501</v>
      </c>
      <c r="C34" s="570">
        <v>227</v>
      </c>
      <c r="D34" s="570">
        <v>45</v>
      </c>
      <c r="E34" s="570">
        <v>272</v>
      </c>
      <c r="F34" s="570">
        <v>20</v>
      </c>
      <c r="G34" s="571">
        <v>252</v>
      </c>
      <c r="H34" s="571"/>
      <c r="I34" s="570">
        <v>6</v>
      </c>
      <c r="J34" s="570">
        <v>2</v>
      </c>
      <c r="K34" s="570">
        <v>8</v>
      </c>
      <c r="L34" s="570">
        <v>0</v>
      </c>
      <c r="M34" s="571">
        <v>8</v>
      </c>
      <c r="N34" s="571"/>
      <c r="O34" s="570">
        <v>69</v>
      </c>
      <c r="P34" s="570">
        <v>43</v>
      </c>
      <c r="Q34" s="570">
        <v>112</v>
      </c>
      <c r="R34" s="570">
        <v>36</v>
      </c>
      <c r="S34" s="571">
        <v>36</v>
      </c>
      <c r="T34" s="571"/>
      <c r="U34" s="570">
        <v>31</v>
      </c>
      <c r="V34" s="570">
        <v>173</v>
      </c>
      <c r="W34" s="570">
        <v>204</v>
      </c>
      <c r="X34" s="570">
        <v>166</v>
      </c>
      <c r="Y34" s="571">
        <v>78</v>
      </c>
      <c r="AQ34" s="687" t="s">
        <v>110</v>
      </c>
      <c r="AR34" s="566" t="s">
        <v>0</v>
      </c>
      <c r="AS34" s="571">
        <v>74</v>
      </c>
      <c r="AT34" s="571">
        <v>79</v>
      </c>
      <c r="AU34" s="571">
        <v>153</v>
      </c>
      <c r="AV34" s="571">
        <v>102</v>
      </c>
      <c r="AW34" s="571">
        <v>51</v>
      </c>
      <c r="AX34" s="571">
        <f t="shared" si="0"/>
        <v>66.666666666666657</v>
      </c>
      <c r="AY34" s="571">
        <v>1</v>
      </c>
      <c r="AZ34" s="571">
        <v>2</v>
      </c>
      <c r="BA34" s="571">
        <v>3</v>
      </c>
      <c r="BB34" s="571">
        <v>2</v>
      </c>
      <c r="BC34" s="571">
        <v>1</v>
      </c>
      <c r="BD34" s="571"/>
      <c r="BE34" s="571">
        <v>139</v>
      </c>
      <c r="BF34" s="571">
        <v>180</v>
      </c>
      <c r="BG34" s="571">
        <v>319</v>
      </c>
      <c r="BH34" s="571">
        <v>226</v>
      </c>
      <c r="BI34" s="571">
        <v>38</v>
      </c>
      <c r="BJ34" s="571"/>
      <c r="BK34" s="571">
        <v>71</v>
      </c>
      <c r="BL34" s="571">
        <v>505</v>
      </c>
      <c r="BM34" s="571">
        <v>576</v>
      </c>
      <c r="BN34" s="571">
        <v>553</v>
      </c>
      <c r="BO34" s="571">
        <v>78</v>
      </c>
    </row>
    <row r="35" spans="1:67">
      <c r="A35" s="567" t="s">
        <v>94</v>
      </c>
      <c r="B35" s="568" t="s">
        <v>502</v>
      </c>
      <c r="C35" s="570">
        <v>1</v>
      </c>
      <c r="D35" s="570">
        <v>0</v>
      </c>
      <c r="E35" s="570">
        <v>1</v>
      </c>
      <c r="F35" s="570">
        <v>1</v>
      </c>
      <c r="G35" s="571">
        <v>0</v>
      </c>
      <c r="H35" s="571"/>
      <c r="I35" s="570">
        <v>0</v>
      </c>
      <c r="J35" s="570">
        <v>0</v>
      </c>
      <c r="K35" s="570">
        <v>0</v>
      </c>
      <c r="L35" s="570">
        <v>0</v>
      </c>
      <c r="M35" s="571">
        <v>0</v>
      </c>
      <c r="N35" s="571"/>
      <c r="O35" s="570">
        <v>1</v>
      </c>
      <c r="P35" s="570">
        <v>4</v>
      </c>
      <c r="Q35" s="570">
        <v>5</v>
      </c>
      <c r="R35" s="570">
        <v>4</v>
      </c>
      <c r="S35" s="571">
        <v>0</v>
      </c>
      <c r="T35" s="571"/>
      <c r="U35" s="570">
        <v>1</v>
      </c>
      <c r="V35" s="570">
        <v>5</v>
      </c>
      <c r="W35" s="570">
        <v>6</v>
      </c>
      <c r="X35" s="570">
        <v>7</v>
      </c>
      <c r="Y35" s="571">
        <v>0</v>
      </c>
      <c r="AQ35" s="687" t="s">
        <v>111</v>
      </c>
      <c r="AR35" s="566" t="s">
        <v>0</v>
      </c>
      <c r="AS35" s="571">
        <v>166</v>
      </c>
      <c r="AT35" s="571">
        <v>134</v>
      </c>
      <c r="AU35" s="571">
        <v>300</v>
      </c>
      <c r="AV35" s="571">
        <v>162</v>
      </c>
      <c r="AW35" s="571">
        <v>138</v>
      </c>
      <c r="AX35" s="571">
        <f t="shared" si="0"/>
        <v>54</v>
      </c>
      <c r="AY35" s="571">
        <v>20</v>
      </c>
      <c r="AZ35" s="571">
        <v>4</v>
      </c>
      <c r="BA35" s="571">
        <v>24</v>
      </c>
      <c r="BB35" s="571">
        <v>10</v>
      </c>
      <c r="BC35" s="571">
        <v>14</v>
      </c>
      <c r="BD35" s="571"/>
      <c r="BE35" s="571">
        <v>172</v>
      </c>
      <c r="BF35" s="571">
        <v>212</v>
      </c>
      <c r="BG35" s="571">
        <v>384</v>
      </c>
      <c r="BH35" s="571">
        <v>251</v>
      </c>
      <c r="BI35" s="571">
        <v>84</v>
      </c>
      <c r="BJ35" s="571"/>
      <c r="BK35" s="571">
        <v>76</v>
      </c>
      <c r="BL35" s="571">
        <v>356</v>
      </c>
      <c r="BM35" s="571">
        <v>432</v>
      </c>
      <c r="BN35" s="571">
        <v>383</v>
      </c>
      <c r="BO35" s="571">
        <v>98</v>
      </c>
    </row>
    <row r="36" spans="1:67">
      <c r="A36" s="567" t="s">
        <v>94</v>
      </c>
      <c r="B36" s="568" t="s">
        <v>503</v>
      </c>
      <c r="C36" s="570">
        <v>15</v>
      </c>
      <c r="D36" s="570">
        <v>1</v>
      </c>
      <c r="E36" s="570">
        <v>16</v>
      </c>
      <c r="F36" s="570">
        <v>3</v>
      </c>
      <c r="G36" s="571">
        <v>13</v>
      </c>
      <c r="H36" s="571"/>
      <c r="I36" s="570">
        <v>3</v>
      </c>
      <c r="J36" s="570">
        <v>0</v>
      </c>
      <c r="K36" s="570">
        <v>3</v>
      </c>
      <c r="L36" s="570">
        <v>0</v>
      </c>
      <c r="M36" s="571">
        <v>3</v>
      </c>
      <c r="N36" s="571"/>
      <c r="O36" s="570">
        <v>33</v>
      </c>
      <c r="P36" s="570">
        <v>10</v>
      </c>
      <c r="Q36" s="570">
        <v>43</v>
      </c>
      <c r="R36" s="570">
        <v>8</v>
      </c>
      <c r="S36" s="571">
        <v>5</v>
      </c>
      <c r="T36" s="571"/>
      <c r="U36" s="570">
        <v>1</v>
      </c>
      <c r="V36" s="570">
        <v>19</v>
      </c>
      <c r="W36" s="570">
        <v>20</v>
      </c>
      <c r="X36" s="570">
        <v>43</v>
      </c>
      <c r="Y36" s="571">
        <v>7</v>
      </c>
      <c r="AQ36" s="687" t="s">
        <v>112</v>
      </c>
      <c r="AR36" s="566" t="s">
        <v>0</v>
      </c>
      <c r="AS36" s="571">
        <v>101</v>
      </c>
      <c r="AT36" s="571">
        <v>246</v>
      </c>
      <c r="AU36" s="571">
        <v>347</v>
      </c>
      <c r="AV36" s="571">
        <v>251</v>
      </c>
      <c r="AW36" s="571">
        <v>96</v>
      </c>
      <c r="AX36" s="571">
        <f>AV36/AU36*100</f>
        <v>72.334293948126799</v>
      </c>
      <c r="AY36" s="571">
        <v>7</v>
      </c>
      <c r="AZ36" s="571">
        <v>4</v>
      </c>
      <c r="BA36" s="571">
        <v>11</v>
      </c>
      <c r="BB36" s="571">
        <v>10</v>
      </c>
      <c r="BC36" s="571">
        <v>1</v>
      </c>
      <c r="BD36" s="571"/>
      <c r="BE36" s="571">
        <v>246</v>
      </c>
      <c r="BF36" s="571">
        <v>362</v>
      </c>
      <c r="BG36" s="571">
        <v>608</v>
      </c>
      <c r="BH36" s="571">
        <v>435</v>
      </c>
      <c r="BI36" s="571">
        <v>49</v>
      </c>
      <c r="BJ36" s="571"/>
      <c r="BK36" s="571">
        <v>73</v>
      </c>
      <c r="BL36" s="571">
        <v>750</v>
      </c>
      <c r="BM36" s="571">
        <v>823</v>
      </c>
      <c r="BN36" s="571">
        <v>801</v>
      </c>
      <c r="BO36" s="571">
        <v>146</v>
      </c>
    </row>
    <row r="37" spans="1:67">
      <c r="A37" s="567" t="s">
        <v>94</v>
      </c>
      <c r="B37" s="568" t="s">
        <v>504</v>
      </c>
      <c r="C37" s="570">
        <v>1</v>
      </c>
      <c r="D37" s="570">
        <v>3</v>
      </c>
      <c r="E37" s="570">
        <v>4</v>
      </c>
      <c r="F37" s="570">
        <v>4</v>
      </c>
      <c r="G37" s="571">
        <v>0</v>
      </c>
      <c r="H37" s="571"/>
      <c r="I37" s="570">
        <v>0</v>
      </c>
      <c r="J37" s="570">
        <v>0</v>
      </c>
      <c r="K37" s="570">
        <v>0</v>
      </c>
      <c r="L37" s="570">
        <v>0</v>
      </c>
      <c r="M37" s="571">
        <v>0</v>
      </c>
      <c r="N37" s="571"/>
      <c r="O37" s="570">
        <v>3</v>
      </c>
      <c r="P37" s="570">
        <v>4</v>
      </c>
      <c r="Q37" s="570">
        <v>7</v>
      </c>
      <c r="R37" s="570">
        <v>4</v>
      </c>
      <c r="S37" s="571">
        <v>0</v>
      </c>
      <c r="T37" s="571"/>
      <c r="U37" s="570">
        <v>2</v>
      </c>
      <c r="V37" s="570">
        <v>20</v>
      </c>
      <c r="W37" s="570">
        <v>22</v>
      </c>
      <c r="X37" s="570">
        <v>18</v>
      </c>
      <c r="Y37" s="571">
        <v>7</v>
      </c>
    </row>
    <row r="38" spans="1:67">
      <c r="A38" s="567" t="s">
        <v>94</v>
      </c>
      <c r="B38" s="568" t="s">
        <v>505</v>
      </c>
      <c r="C38" s="570">
        <v>21</v>
      </c>
      <c r="D38" s="570">
        <v>0</v>
      </c>
      <c r="E38" s="570">
        <v>21</v>
      </c>
      <c r="F38" s="570">
        <v>0</v>
      </c>
      <c r="G38" s="571">
        <v>21</v>
      </c>
      <c r="H38" s="571"/>
      <c r="I38" s="570">
        <v>2</v>
      </c>
      <c r="J38" s="570">
        <v>0</v>
      </c>
      <c r="K38" s="570">
        <v>2</v>
      </c>
      <c r="L38" s="570">
        <v>0</v>
      </c>
      <c r="M38" s="571">
        <v>2</v>
      </c>
      <c r="N38" s="571"/>
      <c r="O38" s="570">
        <v>21</v>
      </c>
      <c r="P38" s="570">
        <v>5</v>
      </c>
      <c r="Q38" s="570">
        <v>26</v>
      </c>
      <c r="R38" s="570">
        <v>3</v>
      </c>
      <c r="S38" s="571">
        <v>9</v>
      </c>
      <c r="T38" s="571"/>
      <c r="U38" s="570">
        <v>7</v>
      </c>
      <c r="V38" s="570">
        <v>31</v>
      </c>
      <c r="W38" s="570">
        <v>38</v>
      </c>
      <c r="X38" s="570">
        <v>39</v>
      </c>
      <c r="Y38" s="571">
        <v>13</v>
      </c>
    </row>
    <row r="39" spans="1:67">
      <c r="A39" s="567" t="s">
        <v>94</v>
      </c>
      <c r="B39" s="568" t="s">
        <v>506</v>
      </c>
      <c r="C39" s="570">
        <v>0</v>
      </c>
      <c r="D39" s="570">
        <v>0</v>
      </c>
      <c r="E39" s="570">
        <v>0</v>
      </c>
      <c r="F39" s="570">
        <v>0</v>
      </c>
      <c r="G39" s="571">
        <v>0</v>
      </c>
      <c r="H39" s="571"/>
      <c r="I39" s="570">
        <v>0</v>
      </c>
      <c r="J39" s="570">
        <v>0</v>
      </c>
      <c r="K39" s="570">
        <v>0</v>
      </c>
      <c r="L39" s="570">
        <v>0</v>
      </c>
      <c r="M39" s="571">
        <v>0</v>
      </c>
      <c r="N39" s="571"/>
      <c r="O39" s="570">
        <v>1</v>
      </c>
      <c r="P39" s="570">
        <v>1</v>
      </c>
      <c r="Q39" s="570">
        <v>2</v>
      </c>
      <c r="R39" s="570">
        <v>1</v>
      </c>
      <c r="S39" s="571">
        <v>1</v>
      </c>
      <c r="T39" s="571"/>
      <c r="U39" s="570">
        <v>1</v>
      </c>
      <c r="V39" s="570">
        <v>4</v>
      </c>
      <c r="W39" s="570">
        <v>5</v>
      </c>
      <c r="X39" s="570">
        <v>4</v>
      </c>
      <c r="Y39" s="571">
        <v>1</v>
      </c>
    </row>
    <row r="40" spans="1:67">
      <c r="A40" s="567" t="s">
        <v>94</v>
      </c>
      <c r="B40" s="568" t="s">
        <v>507</v>
      </c>
      <c r="C40" s="570">
        <v>15</v>
      </c>
      <c r="D40" s="570">
        <v>1</v>
      </c>
      <c r="E40" s="570">
        <v>16</v>
      </c>
      <c r="F40" s="570">
        <v>12</v>
      </c>
      <c r="G40" s="571">
        <v>4</v>
      </c>
      <c r="H40" s="571"/>
      <c r="I40" s="570">
        <v>2</v>
      </c>
      <c r="J40" s="570">
        <v>0</v>
      </c>
      <c r="K40" s="570">
        <v>2</v>
      </c>
      <c r="L40" s="570">
        <v>1</v>
      </c>
      <c r="M40" s="571">
        <v>1</v>
      </c>
      <c r="N40" s="571"/>
      <c r="O40" s="570">
        <v>27</v>
      </c>
      <c r="P40" s="570">
        <v>21</v>
      </c>
      <c r="Q40" s="570">
        <v>48</v>
      </c>
      <c r="R40" s="570">
        <v>29</v>
      </c>
      <c r="S40" s="571">
        <v>3</v>
      </c>
      <c r="T40" s="571"/>
      <c r="U40" s="570">
        <v>20</v>
      </c>
      <c r="V40" s="570">
        <v>57</v>
      </c>
      <c r="W40" s="570">
        <v>77</v>
      </c>
      <c r="X40" s="570">
        <v>85</v>
      </c>
      <c r="Y40" s="571">
        <v>8</v>
      </c>
    </row>
    <row r="41" spans="1:67">
      <c r="A41" s="567" t="s">
        <v>94</v>
      </c>
      <c r="B41" s="568" t="s">
        <v>508</v>
      </c>
      <c r="C41" s="570">
        <v>11</v>
      </c>
      <c r="D41" s="570">
        <v>5</v>
      </c>
      <c r="E41" s="570">
        <v>16</v>
      </c>
      <c r="F41" s="570">
        <v>16</v>
      </c>
      <c r="G41" s="571">
        <v>0</v>
      </c>
      <c r="H41" s="571"/>
      <c r="I41" s="570">
        <v>0</v>
      </c>
      <c r="J41" s="570">
        <v>0</v>
      </c>
      <c r="K41" s="570">
        <v>0</v>
      </c>
      <c r="L41" s="570">
        <v>0</v>
      </c>
      <c r="M41" s="571">
        <v>0</v>
      </c>
      <c r="N41" s="571"/>
      <c r="O41" s="570">
        <v>5</v>
      </c>
      <c r="P41" s="570">
        <v>2</v>
      </c>
      <c r="Q41" s="570">
        <v>7</v>
      </c>
      <c r="R41" s="570">
        <v>2</v>
      </c>
      <c r="S41" s="571">
        <v>1</v>
      </c>
      <c r="T41" s="571"/>
      <c r="U41" s="570">
        <v>8</v>
      </c>
      <c r="V41" s="570">
        <v>26</v>
      </c>
      <c r="W41" s="570">
        <v>34</v>
      </c>
      <c r="X41" s="570">
        <v>32</v>
      </c>
      <c r="Y41" s="571">
        <v>6</v>
      </c>
    </row>
    <row r="42" spans="1:67">
      <c r="A42" s="573" t="s">
        <v>94</v>
      </c>
      <c r="B42" s="574" t="s">
        <v>509</v>
      </c>
      <c r="C42" s="575">
        <v>0</v>
      </c>
      <c r="D42" s="575">
        <v>1</v>
      </c>
      <c r="E42" s="575">
        <v>1</v>
      </c>
      <c r="F42" s="575">
        <v>0</v>
      </c>
      <c r="G42" s="576">
        <v>1</v>
      </c>
      <c r="H42" s="576"/>
      <c r="I42" s="575">
        <v>0</v>
      </c>
      <c r="J42" s="575">
        <v>0</v>
      </c>
      <c r="K42" s="575">
        <v>0</v>
      </c>
      <c r="L42" s="575">
        <v>0</v>
      </c>
      <c r="M42" s="576">
        <v>0</v>
      </c>
      <c r="N42" s="576"/>
      <c r="O42" s="575">
        <v>6</v>
      </c>
      <c r="P42" s="575">
        <v>11</v>
      </c>
      <c r="Q42" s="575">
        <v>17</v>
      </c>
      <c r="R42" s="575">
        <v>9</v>
      </c>
      <c r="S42" s="576">
        <v>3</v>
      </c>
      <c r="T42" s="576"/>
      <c r="U42" s="575">
        <v>3</v>
      </c>
      <c r="V42" s="575">
        <v>30</v>
      </c>
      <c r="W42" s="575">
        <v>33</v>
      </c>
      <c r="X42" s="575">
        <v>36</v>
      </c>
      <c r="Y42" s="576">
        <v>2</v>
      </c>
    </row>
    <row r="43" spans="1:67" s="579" customFormat="1">
      <c r="A43" s="687" t="s">
        <v>95</v>
      </c>
      <c r="B43" s="566" t="s">
        <v>0</v>
      </c>
      <c r="C43" s="571">
        <f>SUM(C44:C57)</f>
        <v>7</v>
      </c>
      <c r="D43" s="571">
        <f>SUM(D44:D57)</f>
        <v>36</v>
      </c>
      <c r="E43" s="571">
        <f>SUM(E44:E57)</f>
        <v>43</v>
      </c>
      <c r="F43" s="571">
        <f>SUM(F44:F57)</f>
        <v>28</v>
      </c>
      <c r="G43" s="571">
        <f>SUM(G44:G57)</f>
        <v>15</v>
      </c>
      <c r="H43" s="571"/>
      <c r="I43" s="571">
        <f>SUM(I44:I57)</f>
        <v>3</v>
      </c>
      <c r="J43" s="571">
        <f>SUM(J44:J57)</f>
        <v>0</v>
      </c>
      <c r="K43" s="571">
        <f>SUM(K44:K57)</f>
        <v>3</v>
      </c>
      <c r="L43" s="571">
        <f>SUM(L44:L57)</f>
        <v>2</v>
      </c>
      <c r="M43" s="571">
        <f>SUM(M44:M57)</f>
        <v>1</v>
      </c>
      <c r="N43" s="571"/>
      <c r="O43" s="571">
        <f>SUM(O44:O57)</f>
        <v>55</v>
      </c>
      <c r="P43" s="571">
        <f>SUM(P44:P57)</f>
        <v>67</v>
      </c>
      <c r="Q43" s="571">
        <f>SUM(Q44:Q57)</f>
        <v>122</v>
      </c>
      <c r="R43" s="571">
        <f>SUM(R44:R57)</f>
        <v>67</v>
      </c>
      <c r="S43" s="571">
        <f>SUM(S44:S57)</f>
        <v>25</v>
      </c>
      <c r="T43" s="571"/>
      <c r="U43" s="571">
        <f>SUM(U44:U57)</f>
        <v>33</v>
      </c>
      <c r="V43" s="571">
        <f>SUM(V44:V57)</f>
        <v>262</v>
      </c>
      <c r="W43" s="571">
        <f>SUM(W44:W57)</f>
        <v>295</v>
      </c>
      <c r="X43" s="571">
        <f>SUM(X44:X57)</f>
        <v>256</v>
      </c>
      <c r="Y43" s="571">
        <f>SUM(Y44:Y57)</f>
        <v>69</v>
      </c>
      <c r="AA43" s="559"/>
      <c r="AB43" s="559"/>
      <c r="AC43" s="559"/>
      <c r="AD43" s="559"/>
      <c r="AE43" s="559"/>
    </row>
    <row r="44" spans="1:67">
      <c r="A44" s="567" t="s">
        <v>95</v>
      </c>
      <c r="B44" s="568" t="s">
        <v>510</v>
      </c>
      <c r="C44" s="570">
        <v>0</v>
      </c>
      <c r="D44" s="570">
        <v>1</v>
      </c>
      <c r="E44" s="570">
        <v>1</v>
      </c>
      <c r="F44" s="570">
        <v>0</v>
      </c>
      <c r="G44" s="571">
        <v>1</v>
      </c>
      <c r="H44" s="571"/>
      <c r="I44" s="570">
        <v>0</v>
      </c>
      <c r="J44" s="570">
        <v>0</v>
      </c>
      <c r="K44" s="570">
        <v>0</v>
      </c>
      <c r="L44" s="570">
        <v>0</v>
      </c>
      <c r="M44" s="571">
        <v>0</v>
      </c>
      <c r="N44" s="571"/>
      <c r="O44" s="570">
        <v>5</v>
      </c>
      <c r="P44" s="570">
        <v>6</v>
      </c>
      <c r="Q44" s="570">
        <v>11</v>
      </c>
      <c r="R44" s="570">
        <v>6</v>
      </c>
      <c r="S44" s="571">
        <v>3</v>
      </c>
      <c r="T44" s="571"/>
      <c r="U44" s="570">
        <v>7</v>
      </c>
      <c r="V44" s="570">
        <v>24</v>
      </c>
      <c r="W44" s="570">
        <v>31</v>
      </c>
      <c r="X44" s="570">
        <v>19</v>
      </c>
      <c r="Y44" s="571">
        <v>14</v>
      </c>
    </row>
    <row r="45" spans="1:67">
      <c r="A45" s="567" t="s">
        <v>95</v>
      </c>
      <c r="B45" s="568" t="s">
        <v>511</v>
      </c>
      <c r="C45" s="570">
        <v>1</v>
      </c>
      <c r="D45" s="570">
        <v>0</v>
      </c>
      <c r="E45" s="570">
        <v>1</v>
      </c>
      <c r="F45" s="570">
        <v>1</v>
      </c>
      <c r="G45" s="571">
        <v>0</v>
      </c>
      <c r="H45" s="571"/>
      <c r="I45" s="570">
        <v>0</v>
      </c>
      <c r="J45" s="570">
        <v>0</v>
      </c>
      <c r="K45" s="570">
        <v>0</v>
      </c>
      <c r="L45" s="570">
        <v>0</v>
      </c>
      <c r="M45" s="571">
        <v>0</v>
      </c>
      <c r="N45" s="571"/>
      <c r="O45" s="570">
        <v>1</v>
      </c>
      <c r="P45" s="570">
        <v>2</v>
      </c>
      <c r="Q45" s="570">
        <v>3</v>
      </c>
      <c r="R45" s="570">
        <v>3</v>
      </c>
      <c r="S45" s="571">
        <v>0</v>
      </c>
      <c r="T45" s="571"/>
      <c r="U45" s="570">
        <v>0</v>
      </c>
      <c r="V45" s="570">
        <v>4</v>
      </c>
      <c r="W45" s="570">
        <v>4</v>
      </c>
      <c r="X45" s="570">
        <v>3</v>
      </c>
      <c r="Y45" s="571">
        <v>1</v>
      </c>
    </row>
    <row r="46" spans="1:67">
      <c r="A46" s="567" t="s">
        <v>95</v>
      </c>
      <c r="B46" s="568" t="s">
        <v>512</v>
      </c>
      <c r="C46" s="570">
        <v>1</v>
      </c>
      <c r="D46" s="570">
        <v>0</v>
      </c>
      <c r="E46" s="570">
        <v>1</v>
      </c>
      <c r="F46" s="570">
        <v>1</v>
      </c>
      <c r="G46" s="571">
        <v>0</v>
      </c>
      <c r="H46" s="571"/>
      <c r="I46" s="570">
        <v>0</v>
      </c>
      <c r="J46" s="570">
        <v>0</v>
      </c>
      <c r="K46" s="570">
        <v>0</v>
      </c>
      <c r="L46" s="570">
        <v>0</v>
      </c>
      <c r="M46" s="571">
        <v>0</v>
      </c>
      <c r="N46" s="571"/>
      <c r="O46" s="570">
        <v>6</v>
      </c>
      <c r="P46" s="570">
        <v>7</v>
      </c>
      <c r="Q46" s="570">
        <v>13</v>
      </c>
      <c r="R46" s="570">
        <v>3</v>
      </c>
      <c r="S46" s="571">
        <v>5</v>
      </c>
      <c r="T46" s="571"/>
      <c r="U46" s="570">
        <v>0</v>
      </c>
      <c r="V46" s="570">
        <v>26</v>
      </c>
      <c r="W46" s="570">
        <v>26</v>
      </c>
      <c r="X46" s="570">
        <v>25</v>
      </c>
      <c r="Y46" s="571">
        <v>6</v>
      </c>
    </row>
    <row r="47" spans="1:67">
      <c r="A47" s="567" t="s">
        <v>95</v>
      </c>
      <c r="B47" s="568" t="s">
        <v>513</v>
      </c>
      <c r="C47" s="570">
        <v>1</v>
      </c>
      <c r="D47" s="570">
        <v>7</v>
      </c>
      <c r="E47" s="570">
        <v>8</v>
      </c>
      <c r="F47" s="570">
        <v>6</v>
      </c>
      <c r="G47" s="571">
        <v>2</v>
      </c>
      <c r="H47" s="571"/>
      <c r="I47" s="570">
        <v>1</v>
      </c>
      <c r="J47" s="570">
        <v>0</v>
      </c>
      <c r="K47" s="570">
        <v>1</v>
      </c>
      <c r="L47" s="570">
        <v>1</v>
      </c>
      <c r="M47" s="571">
        <v>0</v>
      </c>
      <c r="N47" s="571"/>
      <c r="O47" s="570">
        <v>14</v>
      </c>
      <c r="P47" s="570">
        <v>9</v>
      </c>
      <c r="Q47" s="570">
        <v>23</v>
      </c>
      <c r="R47" s="570">
        <v>11</v>
      </c>
      <c r="S47" s="571">
        <v>6</v>
      </c>
      <c r="T47" s="571"/>
      <c r="U47" s="570">
        <v>10</v>
      </c>
      <c r="V47" s="570">
        <v>21</v>
      </c>
      <c r="W47" s="570">
        <v>31</v>
      </c>
      <c r="X47" s="570">
        <v>24</v>
      </c>
      <c r="Y47" s="571">
        <v>13</v>
      </c>
    </row>
    <row r="48" spans="1:67">
      <c r="A48" s="567" t="s">
        <v>95</v>
      </c>
      <c r="B48" s="568" t="s">
        <v>514</v>
      </c>
      <c r="C48" s="570">
        <v>0</v>
      </c>
      <c r="D48" s="570">
        <v>1</v>
      </c>
      <c r="E48" s="570">
        <v>1</v>
      </c>
      <c r="F48" s="570">
        <v>1</v>
      </c>
      <c r="G48" s="571">
        <v>0</v>
      </c>
      <c r="H48" s="571"/>
      <c r="I48" s="570">
        <v>0</v>
      </c>
      <c r="J48" s="570">
        <v>0</v>
      </c>
      <c r="K48" s="570">
        <v>0</v>
      </c>
      <c r="L48" s="570">
        <v>0</v>
      </c>
      <c r="M48" s="571">
        <v>0</v>
      </c>
      <c r="N48" s="571"/>
      <c r="O48" s="570">
        <v>0</v>
      </c>
      <c r="P48" s="570">
        <v>2</v>
      </c>
      <c r="Q48" s="570">
        <v>2</v>
      </c>
      <c r="R48" s="570">
        <v>1</v>
      </c>
      <c r="S48" s="571">
        <v>0</v>
      </c>
      <c r="T48" s="571"/>
      <c r="U48" s="570">
        <v>0</v>
      </c>
      <c r="V48" s="570">
        <v>4</v>
      </c>
      <c r="W48" s="570">
        <v>4</v>
      </c>
      <c r="X48" s="570">
        <v>4</v>
      </c>
      <c r="Y48" s="571">
        <v>1</v>
      </c>
    </row>
    <row r="49" spans="1:31">
      <c r="A49" s="567" t="s">
        <v>95</v>
      </c>
      <c r="B49" s="568" t="s">
        <v>515</v>
      </c>
      <c r="C49" s="570">
        <v>0</v>
      </c>
      <c r="D49" s="570">
        <v>1</v>
      </c>
      <c r="E49" s="570">
        <v>1</v>
      </c>
      <c r="F49" s="570">
        <v>1</v>
      </c>
      <c r="G49" s="571">
        <v>0</v>
      </c>
      <c r="H49" s="571"/>
      <c r="I49" s="570">
        <v>0</v>
      </c>
      <c r="J49" s="570">
        <v>0</v>
      </c>
      <c r="K49" s="570">
        <v>0</v>
      </c>
      <c r="L49" s="570">
        <v>0</v>
      </c>
      <c r="M49" s="571">
        <v>0</v>
      </c>
      <c r="N49" s="571"/>
      <c r="O49" s="570">
        <v>5</v>
      </c>
      <c r="P49" s="570">
        <v>3</v>
      </c>
      <c r="Q49" s="570">
        <v>8</v>
      </c>
      <c r="R49" s="570">
        <v>3</v>
      </c>
      <c r="S49" s="571">
        <v>2</v>
      </c>
      <c r="T49" s="571"/>
      <c r="U49" s="570">
        <v>0</v>
      </c>
      <c r="V49" s="570">
        <v>8</v>
      </c>
      <c r="W49" s="570">
        <v>8</v>
      </c>
      <c r="X49" s="570">
        <v>9</v>
      </c>
      <c r="Y49" s="571">
        <v>2</v>
      </c>
    </row>
    <row r="50" spans="1:31">
      <c r="A50" s="567" t="s">
        <v>95</v>
      </c>
      <c r="B50" s="568" t="s">
        <v>516</v>
      </c>
      <c r="C50" s="570">
        <v>1</v>
      </c>
      <c r="D50" s="570">
        <v>15</v>
      </c>
      <c r="E50" s="570">
        <v>16</v>
      </c>
      <c r="F50" s="570">
        <v>10</v>
      </c>
      <c r="G50" s="571">
        <v>6</v>
      </c>
      <c r="H50" s="571"/>
      <c r="I50" s="570">
        <v>0</v>
      </c>
      <c r="J50" s="570">
        <v>0</v>
      </c>
      <c r="K50" s="570">
        <v>0</v>
      </c>
      <c r="L50" s="570">
        <v>0</v>
      </c>
      <c r="M50" s="571">
        <v>0</v>
      </c>
      <c r="N50" s="571"/>
      <c r="O50" s="570">
        <v>0</v>
      </c>
      <c r="P50" s="570">
        <v>11</v>
      </c>
      <c r="Q50" s="570">
        <v>11</v>
      </c>
      <c r="R50" s="570">
        <v>9</v>
      </c>
      <c r="S50" s="571">
        <v>1</v>
      </c>
      <c r="T50" s="571"/>
      <c r="U50" s="570">
        <v>1</v>
      </c>
      <c r="V50" s="570">
        <v>37</v>
      </c>
      <c r="W50" s="570">
        <v>38</v>
      </c>
      <c r="X50" s="570">
        <v>37</v>
      </c>
      <c r="Y50" s="571">
        <v>2</v>
      </c>
    </row>
    <row r="51" spans="1:31">
      <c r="A51" s="567" t="s">
        <v>95</v>
      </c>
      <c r="B51" s="568" t="s">
        <v>517</v>
      </c>
      <c r="C51" s="570">
        <v>0</v>
      </c>
      <c r="D51" s="570">
        <v>2</v>
      </c>
      <c r="E51" s="570">
        <v>2</v>
      </c>
      <c r="F51" s="570">
        <v>2</v>
      </c>
      <c r="G51" s="571">
        <v>0</v>
      </c>
      <c r="H51" s="571"/>
      <c r="I51" s="570">
        <v>0</v>
      </c>
      <c r="J51" s="570">
        <v>0</v>
      </c>
      <c r="K51" s="570">
        <v>0</v>
      </c>
      <c r="L51" s="570">
        <v>0</v>
      </c>
      <c r="M51" s="571">
        <v>0</v>
      </c>
      <c r="N51" s="571"/>
      <c r="O51" s="570">
        <v>0</v>
      </c>
      <c r="P51" s="570">
        <v>3</v>
      </c>
      <c r="Q51" s="570">
        <v>3</v>
      </c>
      <c r="R51" s="570">
        <v>1</v>
      </c>
      <c r="S51" s="571">
        <v>2</v>
      </c>
      <c r="T51" s="571"/>
      <c r="U51" s="570">
        <v>2</v>
      </c>
      <c r="V51" s="570">
        <v>0</v>
      </c>
      <c r="W51" s="570">
        <v>2</v>
      </c>
      <c r="X51" s="570">
        <v>2</v>
      </c>
      <c r="Y51" s="571">
        <v>0</v>
      </c>
    </row>
    <row r="52" spans="1:31">
      <c r="A52" s="567" t="s">
        <v>95</v>
      </c>
      <c r="B52" s="568" t="s">
        <v>518</v>
      </c>
      <c r="C52" s="570">
        <v>0</v>
      </c>
      <c r="D52" s="570">
        <v>3</v>
      </c>
      <c r="E52" s="570">
        <v>3</v>
      </c>
      <c r="F52" s="570">
        <v>2</v>
      </c>
      <c r="G52" s="571">
        <v>1</v>
      </c>
      <c r="H52" s="571"/>
      <c r="I52" s="570">
        <v>0</v>
      </c>
      <c r="J52" s="570">
        <v>0</v>
      </c>
      <c r="K52" s="570">
        <v>0</v>
      </c>
      <c r="L52" s="570">
        <v>0</v>
      </c>
      <c r="M52" s="571">
        <v>0</v>
      </c>
      <c r="N52" s="571"/>
      <c r="O52" s="570">
        <v>0</v>
      </c>
      <c r="P52" s="570">
        <v>4</v>
      </c>
      <c r="Q52" s="570">
        <v>4</v>
      </c>
      <c r="R52" s="570">
        <v>4</v>
      </c>
      <c r="S52" s="571">
        <v>0</v>
      </c>
      <c r="T52" s="571"/>
      <c r="U52" s="570">
        <v>2</v>
      </c>
      <c r="V52" s="570">
        <v>38</v>
      </c>
      <c r="W52" s="570">
        <v>40</v>
      </c>
      <c r="X52" s="570">
        <v>38</v>
      </c>
      <c r="Y52" s="571">
        <v>2</v>
      </c>
    </row>
    <row r="53" spans="1:31">
      <c r="A53" s="567" t="s">
        <v>95</v>
      </c>
      <c r="B53" s="568" t="s">
        <v>519</v>
      </c>
      <c r="C53" s="570">
        <v>1</v>
      </c>
      <c r="D53" s="570">
        <v>0</v>
      </c>
      <c r="E53" s="570">
        <v>1</v>
      </c>
      <c r="F53" s="570">
        <v>1</v>
      </c>
      <c r="G53" s="571">
        <v>0</v>
      </c>
      <c r="H53" s="571"/>
      <c r="I53" s="570">
        <v>0</v>
      </c>
      <c r="J53" s="570">
        <v>0</v>
      </c>
      <c r="K53" s="570">
        <v>0</v>
      </c>
      <c r="L53" s="570">
        <v>0</v>
      </c>
      <c r="M53" s="571">
        <v>0</v>
      </c>
      <c r="N53" s="571"/>
      <c r="O53" s="570">
        <v>6</v>
      </c>
      <c r="P53" s="570">
        <v>4</v>
      </c>
      <c r="Q53" s="570">
        <v>10</v>
      </c>
      <c r="R53" s="570">
        <v>5</v>
      </c>
      <c r="S53" s="571">
        <v>1</v>
      </c>
      <c r="T53" s="571"/>
      <c r="U53" s="570">
        <v>3</v>
      </c>
      <c r="V53" s="570">
        <v>7</v>
      </c>
      <c r="W53" s="570">
        <v>10</v>
      </c>
      <c r="X53" s="570">
        <v>12</v>
      </c>
      <c r="Y53" s="571">
        <v>2</v>
      </c>
    </row>
    <row r="54" spans="1:31">
      <c r="A54" s="567" t="s">
        <v>95</v>
      </c>
      <c r="B54" s="568" t="s">
        <v>520</v>
      </c>
      <c r="C54" s="570">
        <v>0</v>
      </c>
      <c r="D54" s="570">
        <v>0</v>
      </c>
      <c r="E54" s="570">
        <v>0</v>
      </c>
      <c r="F54" s="570">
        <v>0</v>
      </c>
      <c r="G54" s="571">
        <v>0</v>
      </c>
      <c r="H54" s="571"/>
      <c r="I54" s="570">
        <v>0</v>
      </c>
      <c r="J54" s="570">
        <v>0</v>
      </c>
      <c r="K54" s="570">
        <v>0</v>
      </c>
      <c r="L54" s="570">
        <v>0</v>
      </c>
      <c r="M54" s="571">
        <v>0</v>
      </c>
      <c r="N54" s="571"/>
      <c r="O54" s="570">
        <v>2</v>
      </c>
      <c r="P54" s="570">
        <v>1</v>
      </c>
      <c r="Q54" s="570">
        <v>3</v>
      </c>
      <c r="R54" s="570">
        <v>1</v>
      </c>
      <c r="S54" s="571">
        <v>1</v>
      </c>
      <c r="T54" s="571"/>
      <c r="U54" s="570">
        <v>2</v>
      </c>
      <c r="V54" s="570">
        <v>6</v>
      </c>
      <c r="W54" s="570">
        <v>8</v>
      </c>
      <c r="X54" s="570">
        <v>6</v>
      </c>
      <c r="Y54" s="571">
        <v>3</v>
      </c>
    </row>
    <row r="55" spans="1:31">
      <c r="A55" s="567" t="s">
        <v>95</v>
      </c>
      <c r="B55" s="568" t="s">
        <v>521</v>
      </c>
      <c r="C55" s="570">
        <v>0</v>
      </c>
      <c r="D55" s="570">
        <v>0</v>
      </c>
      <c r="E55" s="570">
        <v>0</v>
      </c>
      <c r="F55" s="570">
        <v>0</v>
      </c>
      <c r="G55" s="571">
        <v>0</v>
      </c>
      <c r="H55" s="571"/>
      <c r="I55" s="570">
        <v>1</v>
      </c>
      <c r="J55" s="570">
        <v>0</v>
      </c>
      <c r="K55" s="570">
        <v>1</v>
      </c>
      <c r="L55" s="570">
        <v>0</v>
      </c>
      <c r="M55" s="571">
        <v>1</v>
      </c>
      <c r="N55" s="571"/>
      <c r="O55" s="570">
        <v>8</v>
      </c>
      <c r="P55" s="570">
        <v>5</v>
      </c>
      <c r="Q55" s="570">
        <v>13</v>
      </c>
      <c r="R55" s="570">
        <v>7</v>
      </c>
      <c r="S55" s="571">
        <v>2</v>
      </c>
      <c r="T55" s="571"/>
      <c r="U55" s="570">
        <v>1</v>
      </c>
      <c r="V55" s="570">
        <v>8</v>
      </c>
      <c r="W55" s="570">
        <v>9</v>
      </c>
      <c r="X55" s="570">
        <v>7</v>
      </c>
      <c r="Y55" s="571">
        <v>6</v>
      </c>
    </row>
    <row r="56" spans="1:31">
      <c r="A56" s="567" t="s">
        <v>95</v>
      </c>
      <c r="B56" s="568" t="s">
        <v>522</v>
      </c>
      <c r="C56" s="570">
        <v>0</v>
      </c>
      <c r="D56" s="570">
        <v>2</v>
      </c>
      <c r="E56" s="570">
        <v>2</v>
      </c>
      <c r="F56" s="570">
        <v>1</v>
      </c>
      <c r="G56" s="571">
        <v>1</v>
      </c>
      <c r="H56" s="571"/>
      <c r="I56" s="570">
        <v>0</v>
      </c>
      <c r="J56" s="570">
        <v>0</v>
      </c>
      <c r="K56" s="570">
        <v>0</v>
      </c>
      <c r="L56" s="570">
        <v>0</v>
      </c>
      <c r="M56" s="571">
        <v>0</v>
      </c>
      <c r="N56" s="571"/>
      <c r="O56" s="570">
        <v>0</v>
      </c>
      <c r="P56" s="570">
        <v>2</v>
      </c>
      <c r="Q56" s="570">
        <v>2</v>
      </c>
      <c r="R56" s="570">
        <v>2</v>
      </c>
      <c r="S56" s="571">
        <v>0</v>
      </c>
      <c r="T56" s="571"/>
      <c r="U56" s="570">
        <v>1</v>
      </c>
      <c r="V56" s="570">
        <v>23</v>
      </c>
      <c r="W56" s="570">
        <v>24</v>
      </c>
      <c r="X56" s="570">
        <v>16</v>
      </c>
      <c r="Y56" s="571">
        <v>8</v>
      </c>
    </row>
    <row r="57" spans="1:31">
      <c r="A57" s="573" t="s">
        <v>95</v>
      </c>
      <c r="B57" s="574" t="s">
        <v>523</v>
      </c>
      <c r="C57" s="575">
        <v>2</v>
      </c>
      <c r="D57" s="575">
        <v>4</v>
      </c>
      <c r="E57" s="575">
        <v>6</v>
      </c>
      <c r="F57" s="575">
        <v>2</v>
      </c>
      <c r="G57" s="576">
        <v>4</v>
      </c>
      <c r="H57" s="576"/>
      <c r="I57" s="575">
        <v>1</v>
      </c>
      <c r="J57" s="575">
        <v>0</v>
      </c>
      <c r="K57" s="575">
        <v>1</v>
      </c>
      <c r="L57" s="575">
        <v>1</v>
      </c>
      <c r="M57" s="576">
        <v>0</v>
      </c>
      <c r="N57" s="576"/>
      <c r="O57" s="575">
        <v>8</v>
      </c>
      <c r="P57" s="575">
        <v>8</v>
      </c>
      <c r="Q57" s="575">
        <v>16</v>
      </c>
      <c r="R57" s="575">
        <v>11</v>
      </c>
      <c r="S57" s="576">
        <v>2</v>
      </c>
      <c r="T57" s="576"/>
      <c r="U57" s="575">
        <v>4</v>
      </c>
      <c r="V57" s="575">
        <v>56</v>
      </c>
      <c r="W57" s="575">
        <v>60</v>
      </c>
      <c r="X57" s="575">
        <v>54</v>
      </c>
      <c r="Y57" s="576">
        <v>9</v>
      </c>
    </row>
    <row r="58" spans="1:31" s="579" customFormat="1">
      <c r="A58" s="687" t="s">
        <v>96</v>
      </c>
      <c r="B58" s="566" t="s">
        <v>0</v>
      </c>
      <c r="C58" s="571">
        <f>SUM(C59:C72)</f>
        <v>63</v>
      </c>
      <c r="D58" s="571">
        <f>SUM(D59:D72)</f>
        <v>93</v>
      </c>
      <c r="E58" s="571">
        <f>SUM(E59:E72)</f>
        <v>156</v>
      </c>
      <c r="F58" s="571">
        <f>SUM(F59:F72)</f>
        <v>57</v>
      </c>
      <c r="G58" s="571">
        <f>SUM(G59:G72)</f>
        <v>99</v>
      </c>
      <c r="H58" s="571"/>
      <c r="I58" s="571">
        <f>SUM(I59:I72)</f>
        <v>4</v>
      </c>
      <c r="J58" s="571">
        <f>SUM(J59:J72)</f>
        <v>4</v>
      </c>
      <c r="K58" s="571">
        <f>SUM(K59:K72)</f>
        <v>8</v>
      </c>
      <c r="L58" s="571">
        <f>SUM(L59:L72)</f>
        <v>4</v>
      </c>
      <c r="M58" s="571">
        <f>SUM(M59:M72)</f>
        <v>4</v>
      </c>
      <c r="N58" s="571"/>
      <c r="O58" s="571">
        <f>SUM(O59:O72)</f>
        <v>129</v>
      </c>
      <c r="P58" s="571">
        <f>SUM(P59:P72)</f>
        <v>133</v>
      </c>
      <c r="Q58" s="571">
        <f>SUM(Q59:Q72)</f>
        <v>262</v>
      </c>
      <c r="R58" s="571">
        <f>SUM(R59:R72)</f>
        <v>138</v>
      </c>
      <c r="S58" s="571">
        <f>SUM(S59:S72)</f>
        <v>55</v>
      </c>
      <c r="T58" s="571"/>
      <c r="U58" s="571">
        <f>SUM(U59:U72)</f>
        <v>65</v>
      </c>
      <c r="V58" s="571">
        <f>SUM(V59:V72)</f>
        <v>383</v>
      </c>
      <c r="W58" s="571">
        <f>SUM(W59:W72)</f>
        <v>448</v>
      </c>
      <c r="X58" s="571">
        <f>SUM(X59:X72)</f>
        <v>395</v>
      </c>
      <c r="Y58" s="571">
        <f>SUM(Y59:Y72)</f>
        <v>122</v>
      </c>
      <c r="AA58" s="559"/>
      <c r="AB58" s="559"/>
      <c r="AC58" s="559"/>
      <c r="AD58" s="559"/>
      <c r="AE58" s="559"/>
    </row>
    <row r="59" spans="1:31">
      <c r="A59" s="567" t="s">
        <v>96</v>
      </c>
      <c r="B59" s="568" t="s">
        <v>524</v>
      </c>
      <c r="C59" s="570">
        <v>0</v>
      </c>
      <c r="D59" s="570">
        <v>0</v>
      </c>
      <c r="E59" s="570">
        <v>0</v>
      </c>
      <c r="F59" s="570">
        <v>0</v>
      </c>
      <c r="G59" s="571">
        <v>0</v>
      </c>
      <c r="H59" s="571"/>
      <c r="I59" s="570">
        <v>1</v>
      </c>
      <c r="J59" s="570">
        <v>0</v>
      </c>
      <c r="K59" s="570">
        <v>1</v>
      </c>
      <c r="L59" s="570">
        <v>1</v>
      </c>
      <c r="M59" s="571">
        <v>0</v>
      </c>
      <c r="N59" s="571"/>
      <c r="O59" s="570">
        <v>6</v>
      </c>
      <c r="P59" s="570">
        <v>4</v>
      </c>
      <c r="Q59" s="570">
        <v>10</v>
      </c>
      <c r="R59" s="570">
        <v>3</v>
      </c>
      <c r="S59" s="571">
        <v>4</v>
      </c>
      <c r="T59" s="571"/>
      <c r="U59" s="570">
        <v>1</v>
      </c>
      <c r="V59" s="570">
        <v>5</v>
      </c>
      <c r="W59" s="570">
        <v>6</v>
      </c>
      <c r="X59" s="570">
        <v>7</v>
      </c>
      <c r="Y59" s="571">
        <v>2</v>
      </c>
    </row>
    <row r="60" spans="1:31">
      <c r="A60" s="567" t="s">
        <v>96</v>
      </c>
      <c r="B60" s="568" t="s">
        <v>525</v>
      </c>
      <c r="C60" s="570">
        <v>3</v>
      </c>
      <c r="D60" s="570">
        <v>4</v>
      </c>
      <c r="E60" s="570">
        <v>7</v>
      </c>
      <c r="F60" s="570">
        <v>3</v>
      </c>
      <c r="G60" s="571">
        <v>4</v>
      </c>
      <c r="H60" s="571"/>
      <c r="I60" s="570">
        <v>0</v>
      </c>
      <c r="J60" s="570">
        <v>0</v>
      </c>
      <c r="K60" s="570">
        <v>0</v>
      </c>
      <c r="L60" s="570">
        <v>0</v>
      </c>
      <c r="M60" s="571">
        <v>0</v>
      </c>
      <c r="N60" s="571"/>
      <c r="O60" s="570">
        <v>1</v>
      </c>
      <c r="P60" s="570">
        <v>3</v>
      </c>
      <c r="Q60" s="570">
        <v>4</v>
      </c>
      <c r="R60" s="570">
        <v>3</v>
      </c>
      <c r="S60" s="571">
        <v>0</v>
      </c>
      <c r="T60" s="571"/>
      <c r="U60" s="570">
        <v>0</v>
      </c>
      <c r="V60" s="570">
        <v>17</v>
      </c>
      <c r="W60" s="570">
        <v>17</v>
      </c>
      <c r="X60" s="570">
        <v>15</v>
      </c>
      <c r="Y60" s="571">
        <v>3</v>
      </c>
    </row>
    <row r="61" spans="1:31" ht="25.5">
      <c r="A61" s="567" t="s">
        <v>96</v>
      </c>
      <c r="B61" s="568" t="s">
        <v>526</v>
      </c>
      <c r="C61" s="570">
        <v>0</v>
      </c>
      <c r="D61" s="570">
        <v>0</v>
      </c>
      <c r="E61" s="570">
        <v>0</v>
      </c>
      <c r="F61" s="570">
        <v>0</v>
      </c>
      <c r="G61" s="571">
        <v>0</v>
      </c>
      <c r="H61" s="571"/>
      <c r="I61" s="570">
        <v>0</v>
      </c>
      <c r="J61" s="570">
        <v>0</v>
      </c>
      <c r="K61" s="570">
        <v>0</v>
      </c>
      <c r="L61" s="570">
        <v>0</v>
      </c>
      <c r="M61" s="571">
        <v>0</v>
      </c>
      <c r="N61" s="571"/>
      <c r="O61" s="570">
        <v>3</v>
      </c>
      <c r="P61" s="570">
        <v>4</v>
      </c>
      <c r="Q61" s="570">
        <v>7</v>
      </c>
      <c r="R61" s="570">
        <v>5</v>
      </c>
      <c r="S61" s="571">
        <v>0</v>
      </c>
      <c r="T61" s="571"/>
      <c r="U61" s="570">
        <v>3</v>
      </c>
      <c r="V61" s="570">
        <v>17</v>
      </c>
      <c r="W61" s="570">
        <v>20</v>
      </c>
      <c r="X61" s="570">
        <v>21</v>
      </c>
      <c r="Y61" s="571">
        <v>1</v>
      </c>
    </row>
    <row r="62" spans="1:31">
      <c r="A62" s="567" t="s">
        <v>96</v>
      </c>
      <c r="B62" s="568" t="s">
        <v>527</v>
      </c>
      <c r="C62" s="570">
        <v>5</v>
      </c>
      <c r="D62" s="570">
        <v>2</v>
      </c>
      <c r="E62" s="570">
        <v>7</v>
      </c>
      <c r="F62" s="570">
        <v>1</v>
      </c>
      <c r="G62" s="571">
        <v>6</v>
      </c>
      <c r="H62" s="571"/>
      <c r="I62" s="570">
        <v>0</v>
      </c>
      <c r="J62" s="570">
        <v>0</v>
      </c>
      <c r="K62" s="570">
        <v>0</v>
      </c>
      <c r="L62" s="570">
        <v>0</v>
      </c>
      <c r="M62" s="571">
        <v>0</v>
      </c>
      <c r="N62" s="571"/>
      <c r="O62" s="570">
        <v>6</v>
      </c>
      <c r="P62" s="570">
        <v>3</v>
      </c>
      <c r="Q62" s="570">
        <v>9</v>
      </c>
      <c r="R62" s="570">
        <v>4</v>
      </c>
      <c r="S62" s="571">
        <v>2</v>
      </c>
      <c r="T62" s="571"/>
      <c r="U62" s="570">
        <v>3</v>
      </c>
      <c r="V62" s="570">
        <v>13</v>
      </c>
      <c r="W62" s="570">
        <v>16</v>
      </c>
      <c r="X62" s="570">
        <v>16</v>
      </c>
      <c r="Y62" s="571">
        <v>3</v>
      </c>
    </row>
    <row r="63" spans="1:31">
      <c r="A63" s="567" t="s">
        <v>96</v>
      </c>
      <c r="B63" s="568" t="s">
        <v>528</v>
      </c>
      <c r="C63" s="570">
        <v>2</v>
      </c>
      <c r="D63" s="570">
        <v>1</v>
      </c>
      <c r="E63" s="570">
        <v>3</v>
      </c>
      <c r="F63" s="570">
        <v>0</v>
      </c>
      <c r="G63" s="571">
        <v>3</v>
      </c>
      <c r="H63" s="571"/>
      <c r="I63" s="570">
        <v>0</v>
      </c>
      <c r="J63" s="570">
        <v>0</v>
      </c>
      <c r="K63" s="570">
        <v>0</v>
      </c>
      <c r="L63" s="570">
        <v>0</v>
      </c>
      <c r="M63" s="571">
        <v>0</v>
      </c>
      <c r="N63" s="571"/>
      <c r="O63" s="570">
        <v>9</v>
      </c>
      <c r="P63" s="570">
        <v>6</v>
      </c>
      <c r="Q63" s="570">
        <v>15</v>
      </c>
      <c r="R63" s="570">
        <v>2</v>
      </c>
      <c r="S63" s="571">
        <v>4</v>
      </c>
      <c r="T63" s="571"/>
      <c r="U63" s="570">
        <v>3</v>
      </c>
      <c r="V63" s="570">
        <v>14</v>
      </c>
      <c r="W63" s="570">
        <v>17</v>
      </c>
      <c r="X63" s="570">
        <v>19</v>
      </c>
      <c r="Y63" s="571">
        <v>7</v>
      </c>
    </row>
    <row r="64" spans="1:31">
      <c r="A64" s="567" t="s">
        <v>96</v>
      </c>
      <c r="B64" s="568" t="s">
        <v>529</v>
      </c>
      <c r="C64" s="570">
        <v>5</v>
      </c>
      <c r="D64" s="570">
        <v>11</v>
      </c>
      <c r="E64" s="570">
        <v>16</v>
      </c>
      <c r="F64" s="570">
        <v>3</v>
      </c>
      <c r="G64" s="571">
        <v>13</v>
      </c>
      <c r="H64" s="571"/>
      <c r="I64" s="570">
        <v>1</v>
      </c>
      <c r="J64" s="570">
        <v>0</v>
      </c>
      <c r="K64" s="570">
        <v>1</v>
      </c>
      <c r="L64" s="570">
        <v>0</v>
      </c>
      <c r="M64" s="571">
        <v>1</v>
      </c>
      <c r="N64" s="571"/>
      <c r="O64" s="570">
        <v>9</v>
      </c>
      <c r="P64" s="570">
        <v>4</v>
      </c>
      <c r="Q64" s="570">
        <v>13</v>
      </c>
      <c r="R64" s="570">
        <v>3</v>
      </c>
      <c r="S64" s="571">
        <v>3</v>
      </c>
      <c r="T64" s="571"/>
      <c r="U64" s="570">
        <v>9</v>
      </c>
      <c r="V64" s="570">
        <v>20</v>
      </c>
      <c r="W64" s="570">
        <v>29</v>
      </c>
      <c r="X64" s="570">
        <v>27</v>
      </c>
      <c r="Y64" s="571">
        <v>9</v>
      </c>
    </row>
    <row r="65" spans="1:34">
      <c r="A65" s="567" t="s">
        <v>96</v>
      </c>
      <c r="B65" s="568" t="s">
        <v>530</v>
      </c>
      <c r="C65" s="570">
        <v>3</v>
      </c>
      <c r="D65" s="570">
        <v>5</v>
      </c>
      <c r="E65" s="570">
        <v>8</v>
      </c>
      <c r="F65" s="570">
        <v>0</v>
      </c>
      <c r="G65" s="571">
        <v>8</v>
      </c>
      <c r="H65" s="571"/>
      <c r="I65" s="570">
        <v>1</v>
      </c>
      <c r="J65" s="570">
        <v>0</v>
      </c>
      <c r="K65" s="570">
        <v>1</v>
      </c>
      <c r="L65" s="570">
        <v>0</v>
      </c>
      <c r="M65" s="571">
        <v>1</v>
      </c>
      <c r="N65" s="571"/>
      <c r="O65" s="570">
        <v>11</v>
      </c>
      <c r="P65" s="570">
        <v>16</v>
      </c>
      <c r="Q65" s="570">
        <v>27</v>
      </c>
      <c r="R65" s="570">
        <v>12</v>
      </c>
      <c r="S65" s="571">
        <v>11</v>
      </c>
      <c r="T65" s="571"/>
      <c r="U65" s="570">
        <v>4</v>
      </c>
      <c r="V65" s="570">
        <v>21</v>
      </c>
      <c r="W65" s="570">
        <v>25</v>
      </c>
      <c r="X65" s="570">
        <v>19</v>
      </c>
      <c r="Y65" s="571">
        <v>10</v>
      </c>
    </row>
    <row r="66" spans="1:34">
      <c r="A66" s="567" t="s">
        <v>96</v>
      </c>
      <c r="B66" s="568" t="s">
        <v>531</v>
      </c>
      <c r="C66" s="570">
        <v>6</v>
      </c>
      <c r="D66" s="570">
        <v>8</v>
      </c>
      <c r="E66" s="570">
        <v>14</v>
      </c>
      <c r="F66" s="570">
        <v>3</v>
      </c>
      <c r="G66" s="571">
        <v>11</v>
      </c>
      <c r="H66" s="571"/>
      <c r="I66" s="570">
        <v>0</v>
      </c>
      <c r="J66" s="570">
        <v>0</v>
      </c>
      <c r="K66" s="570">
        <v>0</v>
      </c>
      <c r="L66" s="570">
        <v>0</v>
      </c>
      <c r="M66" s="571">
        <v>0</v>
      </c>
      <c r="N66" s="571"/>
      <c r="O66" s="570">
        <v>4</v>
      </c>
      <c r="P66" s="570">
        <v>5</v>
      </c>
      <c r="Q66" s="570">
        <v>9</v>
      </c>
      <c r="R66" s="570">
        <v>5</v>
      </c>
      <c r="S66" s="571">
        <v>1</v>
      </c>
      <c r="T66" s="571"/>
      <c r="U66" s="570">
        <v>1</v>
      </c>
      <c r="V66" s="570">
        <v>22</v>
      </c>
      <c r="W66" s="570">
        <v>23</v>
      </c>
      <c r="X66" s="570">
        <v>15</v>
      </c>
      <c r="Y66" s="571">
        <v>11</v>
      </c>
    </row>
    <row r="67" spans="1:34">
      <c r="A67" s="567" t="s">
        <v>96</v>
      </c>
      <c r="B67" s="568" t="s">
        <v>532</v>
      </c>
      <c r="C67" s="570">
        <v>6</v>
      </c>
      <c r="D67" s="570">
        <v>14</v>
      </c>
      <c r="E67" s="570">
        <v>20</v>
      </c>
      <c r="F67" s="570">
        <v>2</v>
      </c>
      <c r="G67" s="571">
        <v>18</v>
      </c>
      <c r="H67" s="571"/>
      <c r="I67" s="570">
        <v>0</v>
      </c>
      <c r="J67" s="570">
        <v>1</v>
      </c>
      <c r="K67" s="570">
        <v>1</v>
      </c>
      <c r="L67" s="570">
        <v>0</v>
      </c>
      <c r="M67" s="571">
        <v>1</v>
      </c>
      <c r="N67" s="571"/>
      <c r="O67" s="570">
        <v>25</v>
      </c>
      <c r="P67" s="570">
        <v>24</v>
      </c>
      <c r="Q67" s="570">
        <v>49</v>
      </c>
      <c r="R67" s="570">
        <v>31</v>
      </c>
      <c r="S67" s="571">
        <v>7</v>
      </c>
      <c r="T67" s="571"/>
      <c r="U67" s="570">
        <v>7</v>
      </c>
      <c r="V67" s="570">
        <v>50</v>
      </c>
      <c r="W67" s="570">
        <v>57</v>
      </c>
      <c r="X67" s="570">
        <v>51</v>
      </c>
      <c r="Y67" s="571">
        <v>17</v>
      </c>
    </row>
    <row r="68" spans="1:34">
      <c r="A68" s="567" t="s">
        <v>96</v>
      </c>
      <c r="B68" s="568" t="s">
        <v>533</v>
      </c>
      <c r="C68" s="570">
        <v>0</v>
      </c>
      <c r="D68" s="570">
        <v>2</v>
      </c>
      <c r="E68" s="570">
        <v>2</v>
      </c>
      <c r="F68" s="570">
        <v>1</v>
      </c>
      <c r="G68" s="571">
        <v>1</v>
      </c>
      <c r="H68" s="571"/>
      <c r="I68" s="570">
        <v>0</v>
      </c>
      <c r="J68" s="570">
        <v>0</v>
      </c>
      <c r="K68" s="570">
        <v>0</v>
      </c>
      <c r="L68" s="570">
        <v>0</v>
      </c>
      <c r="M68" s="571">
        <v>0</v>
      </c>
      <c r="N68" s="571"/>
      <c r="O68" s="570">
        <v>1</v>
      </c>
      <c r="P68" s="570">
        <v>1</v>
      </c>
      <c r="Q68" s="570">
        <v>2</v>
      </c>
      <c r="R68" s="570">
        <v>0</v>
      </c>
      <c r="S68" s="571">
        <v>2</v>
      </c>
      <c r="T68" s="571"/>
      <c r="U68" s="570">
        <v>1</v>
      </c>
      <c r="V68" s="570">
        <v>2</v>
      </c>
      <c r="W68" s="570">
        <v>3</v>
      </c>
      <c r="X68" s="570">
        <v>2</v>
      </c>
      <c r="Y68" s="571">
        <v>1</v>
      </c>
    </row>
    <row r="69" spans="1:34">
      <c r="A69" s="567" t="s">
        <v>96</v>
      </c>
      <c r="B69" s="568" t="s">
        <v>534</v>
      </c>
      <c r="C69" s="570">
        <v>2</v>
      </c>
      <c r="D69" s="570">
        <v>5</v>
      </c>
      <c r="E69" s="570">
        <v>7</v>
      </c>
      <c r="F69" s="570">
        <v>2</v>
      </c>
      <c r="G69" s="571">
        <v>5</v>
      </c>
      <c r="H69" s="571"/>
      <c r="I69" s="570">
        <v>0</v>
      </c>
      <c r="J69" s="570">
        <v>0</v>
      </c>
      <c r="K69" s="570">
        <v>0</v>
      </c>
      <c r="L69" s="570">
        <v>0</v>
      </c>
      <c r="M69" s="571">
        <v>0</v>
      </c>
      <c r="N69" s="571"/>
      <c r="O69" s="570">
        <v>10</v>
      </c>
      <c r="P69" s="570">
        <v>9</v>
      </c>
      <c r="Q69" s="570">
        <v>19</v>
      </c>
      <c r="R69" s="570">
        <v>11</v>
      </c>
      <c r="S69" s="571">
        <v>5</v>
      </c>
      <c r="T69" s="571"/>
      <c r="U69" s="570">
        <v>15</v>
      </c>
      <c r="V69" s="570">
        <v>69</v>
      </c>
      <c r="W69" s="570">
        <v>84</v>
      </c>
      <c r="X69" s="570">
        <v>66</v>
      </c>
      <c r="Y69" s="571">
        <v>21</v>
      </c>
    </row>
    <row r="70" spans="1:34">
      <c r="A70" s="567" t="s">
        <v>96</v>
      </c>
      <c r="B70" s="568" t="s">
        <v>535</v>
      </c>
      <c r="C70" s="570">
        <v>8</v>
      </c>
      <c r="D70" s="570">
        <v>15</v>
      </c>
      <c r="E70" s="570">
        <v>23</v>
      </c>
      <c r="F70" s="570">
        <v>10</v>
      </c>
      <c r="G70" s="571">
        <v>13</v>
      </c>
      <c r="H70" s="571"/>
      <c r="I70" s="570">
        <v>0</v>
      </c>
      <c r="J70" s="570">
        <v>0</v>
      </c>
      <c r="K70" s="570">
        <v>0</v>
      </c>
      <c r="L70" s="570">
        <v>0</v>
      </c>
      <c r="M70" s="571">
        <v>0</v>
      </c>
      <c r="N70" s="571"/>
      <c r="O70" s="570">
        <v>16</v>
      </c>
      <c r="P70" s="570">
        <v>11</v>
      </c>
      <c r="Q70" s="570">
        <v>27</v>
      </c>
      <c r="R70" s="570">
        <v>12</v>
      </c>
      <c r="S70" s="571">
        <v>6</v>
      </c>
      <c r="T70" s="571"/>
      <c r="U70" s="570">
        <v>7</v>
      </c>
      <c r="V70" s="570">
        <v>58</v>
      </c>
      <c r="W70" s="570">
        <v>65</v>
      </c>
      <c r="X70" s="570">
        <v>44</v>
      </c>
      <c r="Y70" s="571">
        <v>30</v>
      </c>
    </row>
    <row r="71" spans="1:34">
      <c r="A71" s="567" t="s">
        <v>96</v>
      </c>
      <c r="B71" s="568" t="s">
        <v>536</v>
      </c>
      <c r="C71" s="570">
        <v>0</v>
      </c>
      <c r="D71" s="570">
        <v>1</v>
      </c>
      <c r="E71" s="570">
        <v>1</v>
      </c>
      <c r="F71" s="570">
        <v>1</v>
      </c>
      <c r="G71" s="571">
        <v>0</v>
      </c>
      <c r="H71" s="571"/>
      <c r="I71" s="570">
        <v>0</v>
      </c>
      <c r="J71" s="570">
        <v>0</v>
      </c>
      <c r="K71" s="570">
        <v>0</v>
      </c>
      <c r="L71" s="570">
        <v>0</v>
      </c>
      <c r="M71" s="571">
        <v>0</v>
      </c>
      <c r="N71" s="571"/>
      <c r="O71" s="570">
        <v>1</v>
      </c>
      <c r="P71" s="570">
        <v>0</v>
      </c>
      <c r="Q71" s="570">
        <v>1</v>
      </c>
      <c r="R71" s="570">
        <v>0</v>
      </c>
      <c r="S71" s="571">
        <v>0</v>
      </c>
      <c r="T71" s="571"/>
      <c r="U71" s="570">
        <v>1</v>
      </c>
      <c r="V71" s="570">
        <v>1</v>
      </c>
      <c r="W71" s="570">
        <v>2</v>
      </c>
      <c r="X71" s="570">
        <v>2</v>
      </c>
      <c r="Y71" s="571">
        <v>1</v>
      </c>
    </row>
    <row r="72" spans="1:34">
      <c r="A72" s="573" t="s">
        <v>96</v>
      </c>
      <c r="B72" s="574" t="s">
        <v>537</v>
      </c>
      <c r="C72" s="575">
        <v>23</v>
      </c>
      <c r="D72" s="575">
        <v>25</v>
      </c>
      <c r="E72" s="575">
        <v>48</v>
      </c>
      <c r="F72" s="575">
        <v>31</v>
      </c>
      <c r="G72" s="576">
        <v>17</v>
      </c>
      <c r="H72" s="576"/>
      <c r="I72" s="575">
        <v>1</v>
      </c>
      <c r="J72" s="575">
        <v>3</v>
      </c>
      <c r="K72" s="575">
        <v>4</v>
      </c>
      <c r="L72" s="575">
        <v>3</v>
      </c>
      <c r="M72" s="576">
        <v>1</v>
      </c>
      <c r="N72" s="576"/>
      <c r="O72" s="575">
        <v>27</v>
      </c>
      <c r="P72" s="575">
        <v>43</v>
      </c>
      <c r="Q72" s="575">
        <v>70</v>
      </c>
      <c r="R72" s="575">
        <v>47</v>
      </c>
      <c r="S72" s="576">
        <v>10</v>
      </c>
      <c r="T72" s="576"/>
      <c r="U72" s="575">
        <v>10</v>
      </c>
      <c r="V72" s="575">
        <v>74</v>
      </c>
      <c r="W72" s="575">
        <v>84</v>
      </c>
      <c r="X72" s="575">
        <v>91</v>
      </c>
      <c r="Y72" s="576">
        <v>6</v>
      </c>
    </row>
    <row r="73" spans="1:34" s="579" customFormat="1">
      <c r="A73" s="687" t="s">
        <v>97</v>
      </c>
      <c r="B73" s="566" t="s">
        <v>0</v>
      </c>
      <c r="C73" s="571">
        <f>SUM(C74:C88)</f>
        <v>82</v>
      </c>
      <c r="D73" s="571">
        <f>SUM(D74:D88)</f>
        <v>56</v>
      </c>
      <c r="E73" s="571">
        <f>SUM(E74:E88)</f>
        <v>138</v>
      </c>
      <c r="F73" s="571">
        <f>SUM(F74:F88)</f>
        <v>70</v>
      </c>
      <c r="G73" s="571">
        <f>SUM(G74:G88)</f>
        <v>68</v>
      </c>
      <c r="H73" s="571"/>
      <c r="I73" s="571">
        <f>SUM(I74:I88)</f>
        <v>3</v>
      </c>
      <c r="J73" s="571">
        <f>SUM(J74:J88)</f>
        <v>0</v>
      </c>
      <c r="K73" s="571">
        <f>SUM(K74:K88)</f>
        <v>3</v>
      </c>
      <c r="L73" s="571">
        <f>SUM(L74:L88)</f>
        <v>3</v>
      </c>
      <c r="M73" s="571">
        <f>SUM(M74:M88)</f>
        <v>0</v>
      </c>
      <c r="N73" s="571"/>
      <c r="O73" s="571">
        <f>SUM(O74:O88)</f>
        <v>138</v>
      </c>
      <c r="P73" s="571">
        <f>SUM(P74:P88)</f>
        <v>153</v>
      </c>
      <c r="Q73" s="571">
        <f>SUM(Q74:Q88)</f>
        <v>291</v>
      </c>
      <c r="R73" s="571">
        <f>SUM(R74:R88)</f>
        <v>189</v>
      </c>
      <c r="S73" s="571">
        <f>SUM(S74:S88)</f>
        <v>46</v>
      </c>
      <c r="T73" s="571"/>
      <c r="U73" s="571">
        <f>SUM(U74:U88)</f>
        <v>54</v>
      </c>
      <c r="V73" s="571">
        <f>SUM(V74:V88)</f>
        <v>359</v>
      </c>
      <c r="W73" s="571">
        <f>SUM(W74:W88)</f>
        <v>413</v>
      </c>
      <c r="X73" s="571">
        <f>SUM(X74:X88)</f>
        <v>384</v>
      </c>
      <c r="Y73" s="571">
        <f>SUM(Y74:Y88)</f>
        <v>85</v>
      </c>
      <c r="AA73" s="559"/>
      <c r="AB73" s="559"/>
      <c r="AC73" s="559"/>
      <c r="AD73" s="559"/>
      <c r="AE73" s="559"/>
    </row>
    <row r="74" spans="1:34">
      <c r="A74" s="567" t="s">
        <v>97</v>
      </c>
      <c r="B74" s="568" t="s">
        <v>538</v>
      </c>
      <c r="C74" s="570">
        <v>11</v>
      </c>
      <c r="D74" s="570">
        <v>5</v>
      </c>
      <c r="E74" s="570">
        <v>16</v>
      </c>
      <c r="F74" s="570">
        <v>5</v>
      </c>
      <c r="G74" s="571">
        <v>11</v>
      </c>
      <c r="H74" s="571"/>
      <c r="I74" s="570">
        <v>0</v>
      </c>
      <c r="J74" s="570">
        <v>0</v>
      </c>
      <c r="K74" s="570">
        <v>0</v>
      </c>
      <c r="L74" s="570">
        <v>0</v>
      </c>
      <c r="M74" s="571">
        <v>0</v>
      </c>
      <c r="N74" s="571"/>
      <c r="O74" s="570">
        <v>27</v>
      </c>
      <c r="P74" s="570">
        <v>8</v>
      </c>
      <c r="Q74" s="570">
        <v>35</v>
      </c>
      <c r="R74" s="570">
        <v>11</v>
      </c>
      <c r="S74" s="571">
        <v>4</v>
      </c>
      <c r="T74" s="571"/>
      <c r="U74" s="570">
        <v>8</v>
      </c>
      <c r="V74" s="570">
        <v>34</v>
      </c>
      <c r="W74" s="570">
        <v>42</v>
      </c>
      <c r="X74" s="570">
        <v>45</v>
      </c>
      <c r="Y74" s="571">
        <v>17</v>
      </c>
    </row>
    <row r="75" spans="1:34">
      <c r="A75" s="567" t="s">
        <v>97</v>
      </c>
      <c r="B75" s="568" t="s">
        <v>539</v>
      </c>
      <c r="C75" s="570">
        <v>0</v>
      </c>
      <c r="D75" s="570">
        <v>0</v>
      </c>
      <c r="E75" s="570">
        <v>0</v>
      </c>
      <c r="F75" s="570">
        <v>0</v>
      </c>
      <c r="G75" s="571">
        <v>0</v>
      </c>
      <c r="H75" s="571"/>
      <c r="I75" s="570">
        <v>0</v>
      </c>
      <c r="J75" s="570">
        <v>0</v>
      </c>
      <c r="K75" s="570">
        <v>0</v>
      </c>
      <c r="L75" s="570">
        <v>0</v>
      </c>
      <c r="M75" s="571">
        <v>0</v>
      </c>
      <c r="N75" s="571"/>
      <c r="O75" s="570">
        <v>0</v>
      </c>
      <c r="P75" s="570">
        <v>1</v>
      </c>
      <c r="Q75" s="570">
        <v>1</v>
      </c>
      <c r="R75" s="570">
        <v>1</v>
      </c>
      <c r="S75" s="571">
        <v>0</v>
      </c>
      <c r="T75" s="571"/>
      <c r="U75" s="570">
        <v>1</v>
      </c>
      <c r="V75" s="570">
        <v>16</v>
      </c>
      <c r="W75" s="570">
        <v>17</v>
      </c>
      <c r="X75" s="570">
        <v>15</v>
      </c>
      <c r="Y75" s="571">
        <v>2</v>
      </c>
    </row>
    <row r="76" spans="1:34">
      <c r="A76" s="567" t="s">
        <v>97</v>
      </c>
      <c r="B76" s="568" t="s">
        <v>540</v>
      </c>
      <c r="C76" s="570">
        <v>2</v>
      </c>
      <c r="D76" s="570">
        <v>2</v>
      </c>
      <c r="E76" s="570">
        <v>4</v>
      </c>
      <c r="F76" s="570">
        <v>2</v>
      </c>
      <c r="G76" s="571">
        <v>2</v>
      </c>
      <c r="H76" s="571"/>
      <c r="I76" s="570">
        <v>0</v>
      </c>
      <c r="J76" s="570">
        <v>0</v>
      </c>
      <c r="K76" s="570">
        <v>0</v>
      </c>
      <c r="L76" s="570">
        <v>0</v>
      </c>
      <c r="M76" s="571">
        <v>0</v>
      </c>
      <c r="N76" s="571"/>
      <c r="O76" s="570">
        <v>7</v>
      </c>
      <c r="P76" s="570">
        <v>11</v>
      </c>
      <c r="Q76" s="570">
        <v>18</v>
      </c>
      <c r="R76" s="570">
        <v>15</v>
      </c>
      <c r="S76" s="571">
        <v>2</v>
      </c>
      <c r="T76" s="571"/>
      <c r="U76" s="570">
        <v>0</v>
      </c>
      <c r="V76" s="570">
        <v>28</v>
      </c>
      <c r="W76" s="570">
        <v>28</v>
      </c>
      <c r="X76" s="570">
        <v>20</v>
      </c>
      <c r="Y76" s="571">
        <v>9</v>
      </c>
    </row>
    <row r="77" spans="1:34">
      <c r="A77" s="567" t="s">
        <v>97</v>
      </c>
      <c r="B77" s="568" t="s">
        <v>541</v>
      </c>
      <c r="C77" s="570">
        <v>0</v>
      </c>
      <c r="D77" s="570">
        <v>2</v>
      </c>
      <c r="E77" s="570">
        <v>2</v>
      </c>
      <c r="F77" s="570">
        <v>0</v>
      </c>
      <c r="G77" s="571">
        <v>2</v>
      </c>
      <c r="H77" s="571"/>
      <c r="I77" s="570">
        <v>0</v>
      </c>
      <c r="J77" s="570">
        <v>0</v>
      </c>
      <c r="K77" s="570">
        <v>0</v>
      </c>
      <c r="L77" s="570">
        <v>0</v>
      </c>
      <c r="M77" s="571">
        <v>0</v>
      </c>
      <c r="N77" s="571"/>
      <c r="O77" s="570">
        <v>2</v>
      </c>
      <c r="P77" s="570">
        <v>4</v>
      </c>
      <c r="Q77" s="570">
        <v>6</v>
      </c>
      <c r="R77" s="570">
        <v>4</v>
      </c>
      <c r="S77" s="571">
        <v>1</v>
      </c>
      <c r="T77" s="571"/>
      <c r="U77" s="570">
        <v>0</v>
      </c>
      <c r="V77" s="570">
        <v>9</v>
      </c>
      <c r="W77" s="570">
        <v>9</v>
      </c>
      <c r="X77" s="570">
        <v>8</v>
      </c>
      <c r="Y77" s="571">
        <v>2</v>
      </c>
    </row>
    <row r="78" spans="1:34">
      <c r="A78" s="567" t="s">
        <v>97</v>
      </c>
      <c r="B78" s="568" t="s">
        <v>542</v>
      </c>
      <c r="C78" s="570">
        <v>7</v>
      </c>
      <c r="D78" s="570">
        <v>4</v>
      </c>
      <c r="E78" s="570">
        <v>11</v>
      </c>
      <c r="F78" s="570">
        <v>5</v>
      </c>
      <c r="G78" s="571">
        <v>6</v>
      </c>
      <c r="H78" s="571"/>
      <c r="I78" s="570">
        <v>0</v>
      </c>
      <c r="J78" s="570">
        <v>0</v>
      </c>
      <c r="K78" s="570">
        <v>0</v>
      </c>
      <c r="L78" s="570">
        <v>0</v>
      </c>
      <c r="M78" s="571">
        <v>0</v>
      </c>
      <c r="N78" s="571"/>
      <c r="O78" s="570">
        <v>1</v>
      </c>
      <c r="P78" s="570">
        <v>11</v>
      </c>
      <c r="Q78" s="570">
        <v>12</v>
      </c>
      <c r="R78" s="570">
        <v>8</v>
      </c>
      <c r="S78" s="571">
        <v>1</v>
      </c>
      <c r="T78" s="571"/>
      <c r="U78" s="570">
        <v>1</v>
      </c>
      <c r="V78" s="570">
        <v>22</v>
      </c>
      <c r="W78" s="570">
        <v>23</v>
      </c>
      <c r="X78" s="570">
        <v>25</v>
      </c>
      <c r="Y78" s="571">
        <v>1</v>
      </c>
    </row>
    <row r="79" spans="1:34">
      <c r="A79" s="567" t="s">
        <v>97</v>
      </c>
      <c r="B79" s="568" t="s">
        <v>543</v>
      </c>
      <c r="C79" s="570">
        <v>5</v>
      </c>
      <c r="D79" s="570">
        <v>5</v>
      </c>
      <c r="E79" s="570">
        <v>10</v>
      </c>
      <c r="F79" s="570">
        <v>5</v>
      </c>
      <c r="G79" s="571">
        <v>5</v>
      </c>
      <c r="H79" s="571"/>
      <c r="I79" s="570">
        <v>0</v>
      </c>
      <c r="J79" s="570">
        <v>0</v>
      </c>
      <c r="K79" s="570">
        <v>0</v>
      </c>
      <c r="L79" s="570">
        <v>0</v>
      </c>
      <c r="M79" s="571">
        <v>0</v>
      </c>
      <c r="N79" s="571"/>
      <c r="O79" s="570">
        <v>15</v>
      </c>
      <c r="P79" s="570">
        <v>16</v>
      </c>
      <c r="Q79" s="570">
        <v>31</v>
      </c>
      <c r="R79" s="570">
        <v>25</v>
      </c>
      <c r="S79" s="571">
        <v>6</v>
      </c>
      <c r="T79" s="571"/>
      <c r="U79" s="570">
        <v>11</v>
      </c>
      <c r="V79" s="570">
        <v>24</v>
      </c>
      <c r="W79" s="570">
        <v>35</v>
      </c>
      <c r="X79" s="570">
        <v>30</v>
      </c>
      <c r="Y79" s="571">
        <v>5</v>
      </c>
      <c r="AH79" s="245"/>
    </row>
    <row r="80" spans="1:34">
      <c r="A80" s="567" t="s">
        <v>97</v>
      </c>
      <c r="B80" s="568" t="s">
        <v>544</v>
      </c>
      <c r="C80" s="570">
        <v>22</v>
      </c>
      <c r="D80" s="570">
        <v>13</v>
      </c>
      <c r="E80" s="570">
        <v>35</v>
      </c>
      <c r="F80" s="570">
        <v>17</v>
      </c>
      <c r="G80" s="571">
        <v>18</v>
      </c>
      <c r="H80" s="571"/>
      <c r="I80" s="570">
        <v>0</v>
      </c>
      <c r="J80" s="570">
        <v>0</v>
      </c>
      <c r="K80" s="570">
        <v>0</v>
      </c>
      <c r="L80" s="570">
        <v>0</v>
      </c>
      <c r="M80" s="571">
        <v>0</v>
      </c>
      <c r="N80" s="571"/>
      <c r="O80" s="570">
        <v>14</v>
      </c>
      <c r="P80" s="570">
        <v>35</v>
      </c>
      <c r="Q80" s="570">
        <v>49</v>
      </c>
      <c r="R80" s="570">
        <v>36</v>
      </c>
      <c r="S80" s="571">
        <v>12</v>
      </c>
      <c r="T80" s="571"/>
      <c r="U80" s="570">
        <v>10</v>
      </c>
      <c r="V80" s="570">
        <v>78</v>
      </c>
      <c r="W80" s="570">
        <v>88</v>
      </c>
      <c r="X80" s="570">
        <v>83</v>
      </c>
      <c r="Y80" s="571">
        <v>6</v>
      </c>
      <c r="AH80" s="245"/>
    </row>
    <row r="81" spans="1:34">
      <c r="A81" s="567" t="s">
        <v>97</v>
      </c>
      <c r="B81" s="568" t="s">
        <v>545</v>
      </c>
      <c r="C81" s="570">
        <v>7</v>
      </c>
      <c r="D81" s="570">
        <v>2</v>
      </c>
      <c r="E81" s="570">
        <v>9</v>
      </c>
      <c r="F81" s="570">
        <v>8</v>
      </c>
      <c r="G81" s="571">
        <v>1</v>
      </c>
      <c r="H81" s="571"/>
      <c r="I81" s="570">
        <v>0</v>
      </c>
      <c r="J81" s="570">
        <v>0</v>
      </c>
      <c r="K81" s="570">
        <v>0</v>
      </c>
      <c r="L81" s="570">
        <v>0</v>
      </c>
      <c r="M81" s="571">
        <v>0</v>
      </c>
      <c r="N81" s="571"/>
      <c r="O81" s="570">
        <v>3</v>
      </c>
      <c r="P81" s="570">
        <v>6</v>
      </c>
      <c r="Q81" s="570">
        <v>9</v>
      </c>
      <c r="R81" s="570">
        <v>5</v>
      </c>
      <c r="S81" s="571">
        <v>3</v>
      </c>
      <c r="T81" s="571"/>
      <c r="U81" s="570">
        <v>3</v>
      </c>
      <c r="V81" s="570">
        <v>14</v>
      </c>
      <c r="W81" s="570">
        <v>17</v>
      </c>
      <c r="X81" s="570">
        <v>15</v>
      </c>
      <c r="Y81" s="571">
        <v>3</v>
      </c>
      <c r="AH81" s="245"/>
    </row>
    <row r="82" spans="1:34">
      <c r="A82" s="567" t="s">
        <v>97</v>
      </c>
      <c r="B82" s="568" t="s">
        <v>546</v>
      </c>
      <c r="C82" s="570">
        <v>2</v>
      </c>
      <c r="D82" s="570">
        <v>0</v>
      </c>
      <c r="E82" s="570">
        <v>2</v>
      </c>
      <c r="F82" s="570">
        <v>2</v>
      </c>
      <c r="G82" s="571">
        <v>0</v>
      </c>
      <c r="H82" s="571"/>
      <c r="I82" s="570">
        <v>0</v>
      </c>
      <c r="J82" s="570">
        <v>0</v>
      </c>
      <c r="K82" s="570">
        <v>0</v>
      </c>
      <c r="L82" s="570">
        <v>0</v>
      </c>
      <c r="M82" s="571">
        <v>0</v>
      </c>
      <c r="N82" s="571"/>
      <c r="O82" s="570">
        <v>5</v>
      </c>
      <c r="P82" s="570">
        <v>7</v>
      </c>
      <c r="Q82" s="570">
        <v>12</v>
      </c>
      <c r="R82" s="570">
        <v>8</v>
      </c>
      <c r="S82" s="571">
        <v>2</v>
      </c>
      <c r="T82" s="571"/>
      <c r="U82" s="570">
        <v>3</v>
      </c>
      <c r="V82" s="570">
        <v>17</v>
      </c>
      <c r="W82" s="570">
        <v>20</v>
      </c>
      <c r="X82" s="570">
        <v>18</v>
      </c>
      <c r="Y82" s="571">
        <v>4</v>
      </c>
      <c r="AH82" s="245"/>
    </row>
    <row r="83" spans="1:34">
      <c r="A83" s="567" t="s">
        <v>97</v>
      </c>
      <c r="B83" s="568" t="s">
        <v>547</v>
      </c>
      <c r="C83" s="570">
        <v>1</v>
      </c>
      <c r="D83" s="570">
        <v>1</v>
      </c>
      <c r="E83" s="570">
        <v>2</v>
      </c>
      <c r="F83" s="570">
        <v>2</v>
      </c>
      <c r="G83" s="571">
        <v>0</v>
      </c>
      <c r="H83" s="571"/>
      <c r="I83" s="570">
        <v>0</v>
      </c>
      <c r="J83" s="570">
        <v>0</v>
      </c>
      <c r="K83" s="570">
        <v>0</v>
      </c>
      <c r="L83" s="570">
        <v>0</v>
      </c>
      <c r="M83" s="571">
        <v>0</v>
      </c>
      <c r="N83" s="571"/>
      <c r="O83" s="570">
        <v>0</v>
      </c>
      <c r="P83" s="570">
        <v>15</v>
      </c>
      <c r="Q83" s="570">
        <v>15</v>
      </c>
      <c r="R83" s="570">
        <v>14</v>
      </c>
      <c r="S83" s="571">
        <v>1</v>
      </c>
      <c r="T83" s="571"/>
      <c r="U83" s="570">
        <v>0</v>
      </c>
      <c r="V83" s="570">
        <v>19</v>
      </c>
      <c r="W83" s="570">
        <v>19</v>
      </c>
      <c r="X83" s="570">
        <v>18</v>
      </c>
      <c r="Y83" s="571">
        <v>1</v>
      </c>
      <c r="AH83" s="245"/>
    </row>
    <row r="84" spans="1:34">
      <c r="A84" s="567" t="s">
        <v>97</v>
      </c>
      <c r="B84" s="568" t="s">
        <v>548</v>
      </c>
      <c r="C84" s="570">
        <v>17</v>
      </c>
      <c r="D84" s="570">
        <v>7</v>
      </c>
      <c r="E84" s="570">
        <v>24</v>
      </c>
      <c r="F84" s="570">
        <v>21</v>
      </c>
      <c r="G84" s="571">
        <v>3</v>
      </c>
      <c r="H84" s="571"/>
      <c r="I84" s="570">
        <v>2</v>
      </c>
      <c r="J84" s="570">
        <v>0</v>
      </c>
      <c r="K84" s="570">
        <v>2</v>
      </c>
      <c r="L84" s="570">
        <v>2</v>
      </c>
      <c r="M84" s="571">
        <v>0</v>
      </c>
      <c r="N84" s="571"/>
      <c r="O84" s="570">
        <v>20</v>
      </c>
      <c r="P84" s="570">
        <v>13</v>
      </c>
      <c r="Q84" s="570">
        <v>33</v>
      </c>
      <c r="R84" s="570">
        <v>21</v>
      </c>
      <c r="S84" s="571">
        <v>3</v>
      </c>
      <c r="T84" s="571"/>
      <c r="U84" s="570">
        <v>6</v>
      </c>
      <c r="V84" s="570">
        <v>35</v>
      </c>
      <c r="W84" s="570">
        <v>41</v>
      </c>
      <c r="X84" s="570">
        <v>40</v>
      </c>
      <c r="Y84" s="571">
        <v>10</v>
      </c>
      <c r="AH84" s="245"/>
    </row>
    <row r="85" spans="1:34">
      <c r="A85" s="567" t="s">
        <v>97</v>
      </c>
      <c r="B85" s="568" t="s">
        <v>549</v>
      </c>
      <c r="C85" s="570">
        <v>6</v>
      </c>
      <c r="D85" s="570">
        <v>8</v>
      </c>
      <c r="E85" s="570">
        <v>14</v>
      </c>
      <c r="F85" s="570">
        <v>0</v>
      </c>
      <c r="G85" s="571">
        <v>14</v>
      </c>
      <c r="H85" s="571"/>
      <c r="I85" s="570">
        <v>0</v>
      </c>
      <c r="J85" s="570">
        <v>0</v>
      </c>
      <c r="K85" s="570">
        <v>0</v>
      </c>
      <c r="L85" s="570">
        <v>0</v>
      </c>
      <c r="M85" s="571">
        <v>0</v>
      </c>
      <c r="N85" s="571"/>
      <c r="O85" s="570">
        <v>19</v>
      </c>
      <c r="P85" s="570">
        <v>14</v>
      </c>
      <c r="Q85" s="570">
        <v>33</v>
      </c>
      <c r="R85" s="570">
        <v>16</v>
      </c>
      <c r="S85" s="571">
        <v>9</v>
      </c>
      <c r="T85" s="571"/>
      <c r="U85" s="570">
        <v>9</v>
      </c>
      <c r="V85" s="570">
        <v>27</v>
      </c>
      <c r="W85" s="570">
        <v>36</v>
      </c>
      <c r="X85" s="570">
        <v>30</v>
      </c>
      <c r="Y85" s="571">
        <v>14</v>
      </c>
      <c r="AH85" s="245"/>
    </row>
    <row r="86" spans="1:34">
      <c r="A86" s="567" t="s">
        <v>97</v>
      </c>
      <c r="B86" s="568" t="s">
        <v>550</v>
      </c>
      <c r="C86" s="570">
        <v>0</v>
      </c>
      <c r="D86" s="570">
        <v>0</v>
      </c>
      <c r="E86" s="570">
        <v>0</v>
      </c>
      <c r="F86" s="570">
        <v>0</v>
      </c>
      <c r="G86" s="571">
        <v>0</v>
      </c>
      <c r="H86" s="571"/>
      <c r="I86" s="570">
        <v>0</v>
      </c>
      <c r="J86" s="570">
        <v>0</v>
      </c>
      <c r="K86" s="570">
        <v>0</v>
      </c>
      <c r="L86" s="570">
        <v>0</v>
      </c>
      <c r="M86" s="571">
        <v>0</v>
      </c>
      <c r="N86" s="571"/>
      <c r="O86" s="570">
        <v>15</v>
      </c>
      <c r="P86" s="570">
        <v>4</v>
      </c>
      <c r="Q86" s="570">
        <v>19</v>
      </c>
      <c r="R86" s="570">
        <v>15</v>
      </c>
      <c r="S86" s="571">
        <v>0</v>
      </c>
      <c r="T86" s="571"/>
      <c r="U86" s="570">
        <v>0</v>
      </c>
      <c r="V86" s="570">
        <v>1</v>
      </c>
      <c r="W86" s="570">
        <v>1</v>
      </c>
      <c r="X86" s="570">
        <v>5</v>
      </c>
      <c r="Y86" s="571">
        <v>0</v>
      </c>
      <c r="AH86" s="245"/>
    </row>
    <row r="87" spans="1:34">
      <c r="A87" s="567" t="s">
        <v>97</v>
      </c>
      <c r="B87" s="568" t="s">
        <v>551</v>
      </c>
      <c r="C87" s="570">
        <v>2</v>
      </c>
      <c r="D87" s="570">
        <v>6</v>
      </c>
      <c r="E87" s="570">
        <v>8</v>
      </c>
      <c r="F87" s="570">
        <v>2</v>
      </c>
      <c r="G87" s="571">
        <v>6</v>
      </c>
      <c r="H87" s="571"/>
      <c r="I87" s="570">
        <v>1</v>
      </c>
      <c r="J87" s="570">
        <v>0</v>
      </c>
      <c r="K87" s="570">
        <v>1</v>
      </c>
      <c r="L87" s="570">
        <v>1</v>
      </c>
      <c r="M87" s="571">
        <v>0</v>
      </c>
      <c r="N87" s="571"/>
      <c r="O87" s="570">
        <v>5</v>
      </c>
      <c r="P87" s="570">
        <v>5</v>
      </c>
      <c r="Q87" s="570">
        <v>10</v>
      </c>
      <c r="R87" s="570">
        <v>5</v>
      </c>
      <c r="S87" s="571">
        <v>2</v>
      </c>
      <c r="T87" s="571"/>
      <c r="U87" s="570">
        <v>2</v>
      </c>
      <c r="V87" s="570">
        <v>29</v>
      </c>
      <c r="W87" s="570">
        <v>31</v>
      </c>
      <c r="X87" s="570">
        <v>26</v>
      </c>
      <c r="Y87" s="571">
        <v>8</v>
      </c>
      <c r="AH87" s="245"/>
    </row>
    <row r="88" spans="1:34">
      <c r="A88" s="573" t="s">
        <v>97</v>
      </c>
      <c r="B88" s="574" t="s">
        <v>552</v>
      </c>
      <c r="C88" s="575">
        <v>0</v>
      </c>
      <c r="D88" s="575">
        <v>1</v>
      </c>
      <c r="E88" s="575">
        <v>1</v>
      </c>
      <c r="F88" s="575">
        <v>1</v>
      </c>
      <c r="G88" s="576">
        <v>0</v>
      </c>
      <c r="H88" s="576"/>
      <c r="I88" s="575">
        <v>0</v>
      </c>
      <c r="J88" s="575">
        <v>0</v>
      </c>
      <c r="K88" s="575">
        <v>0</v>
      </c>
      <c r="L88" s="575">
        <v>0</v>
      </c>
      <c r="M88" s="576">
        <v>0</v>
      </c>
      <c r="N88" s="576"/>
      <c r="O88" s="575">
        <v>5</v>
      </c>
      <c r="P88" s="575">
        <v>3</v>
      </c>
      <c r="Q88" s="575">
        <v>8</v>
      </c>
      <c r="R88" s="575">
        <v>5</v>
      </c>
      <c r="S88" s="576">
        <v>0</v>
      </c>
      <c r="T88" s="576"/>
      <c r="U88" s="575">
        <v>0</v>
      </c>
      <c r="V88" s="575">
        <v>6</v>
      </c>
      <c r="W88" s="575">
        <v>6</v>
      </c>
      <c r="X88" s="575">
        <v>6</v>
      </c>
      <c r="Y88" s="576">
        <v>3</v>
      </c>
      <c r="AH88" s="245"/>
    </row>
    <row r="89" spans="1:34" s="579" customFormat="1">
      <c r="A89" s="687" t="s">
        <v>98</v>
      </c>
      <c r="B89" s="566" t="s">
        <v>0</v>
      </c>
      <c r="C89" s="571">
        <f>SUM(C90:C102)</f>
        <v>22</v>
      </c>
      <c r="D89" s="571">
        <f>SUM(D90:D102)</f>
        <v>21</v>
      </c>
      <c r="E89" s="571">
        <f>SUM(E90:E102)</f>
        <v>43</v>
      </c>
      <c r="F89" s="571">
        <f>SUM(F90:F102)</f>
        <v>25</v>
      </c>
      <c r="G89" s="571">
        <f>SUM(G90:G102)</f>
        <v>18</v>
      </c>
      <c r="H89" s="571"/>
      <c r="I89" s="571">
        <f>SUM(I90:I102)</f>
        <v>2</v>
      </c>
      <c r="J89" s="571">
        <f>SUM(J90:J102)</f>
        <v>0</v>
      </c>
      <c r="K89" s="571">
        <f>SUM(K90:K102)</f>
        <v>2</v>
      </c>
      <c r="L89" s="571">
        <f>SUM(L90:L102)</f>
        <v>1</v>
      </c>
      <c r="M89" s="571">
        <f>SUM(M90:M102)</f>
        <v>1</v>
      </c>
      <c r="N89" s="571"/>
      <c r="O89" s="571">
        <f>SUM(O90:O102)</f>
        <v>68</v>
      </c>
      <c r="P89" s="571">
        <f>SUM(P90:P102)</f>
        <v>79</v>
      </c>
      <c r="Q89" s="571">
        <f>SUM(Q90:Q102)</f>
        <v>147</v>
      </c>
      <c r="R89" s="571">
        <f>SUM(R90:R102)</f>
        <v>92</v>
      </c>
      <c r="S89" s="571">
        <f>SUM(S90:S102)</f>
        <v>23</v>
      </c>
      <c r="T89" s="571"/>
      <c r="U89" s="571">
        <f>SUM(U90:U102)</f>
        <v>36</v>
      </c>
      <c r="V89" s="571">
        <f>SUM(V90:V102)</f>
        <v>175</v>
      </c>
      <c r="W89" s="571">
        <f>SUM(W90:W102)</f>
        <v>211</v>
      </c>
      <c r="X89" s="571">
        <f>SUM(X90:X102)</f>
        <v>220</v>
      </c>
      <c r="Y89" s="571">
        <f>SUM(Y90:Y102)</f>
        <v>23</v>
      </c>
      <c r="AA89" s="559"/>
      <c r="AB89" s="559"/>
      <c r="AC89" s="559"/>
      <c r="AD89" s="559"/>
      <c r="AE89" s="559"/>
      <c r="AH89" s="245"/>
    </row>
    <row r="90" spans="1:34">
      <c r="A90" s="567" t="s">
        <v>98</v>
      </c>
      <c r="B90" s="568" t="s">
        <v>553</v>
      </c>
      <c r="C90" s="570">
        <v>0</v>
      </c>
      <c r="D90" s="570">
        <v>1</v>
      </c>
      <c r="E90" s="570">
        <v>1</v>
      </c>
      <c r="F90" s="570">
        <v>0</v>
      </c>
      <c r="G90" s="571">
        <v>1</v>
      </c>
      <c r="H90" s="571"/>
      <c r="I90" s="570">
        <v>0</v>
      </c>
      <c r="J90" s="570">
        <v>0</v>
      </c>
      <c r="K90" s="570">
        <v>0</v>
      </c>
      <c r="L90" s="570">
        <v>0</v>
      </c>
      <c r="M90" s="571">
        <v>0</v>
      </c>
      <c r="N90" s="571"/>
      <c r="O90" s="570">
        <v>2</v>
      </c>
      <c r="P90" s="570">
        <v>2</v>
      </c>
      <c r="Q90" s="570">
        <v>4</v>
      </c>
      <c r="R90" s="570">
        <v>2</v>
      </c>
      <c r="S90" s="571">
        <v>1</v>
      </c>
      <c r="T90" s="571"/>
      <c r="U90" s="570">
        <v>1</v>
      </c>
      <c r="V90" s="570">
        <v>5</v>
      </c>
      <c r="W90" s="570">
        <v>6</v>
      </c>
      <c r="X90" s="570">
        <v>6</v>
      </c>
      <c r="Y90" s="571">
        <v>1</v>
      </c>
      <c r="AH90" s="245"/>
    </row>
    <row r="91" spans="1:34">
      <c r="A91" s="567" t="s">
        <v>98</v>
      </c>
      <c r="B91" s="568" t="s">
        <v>554</v>
      </c>
      <c r="C91" s="570">
        <v>1</v>
      </c>
      <c r="D91" s="570">
        <v>2</v>
      </c>
      <c r="E91" s="570">
        <v>3</v>
      </c>
      <c r="F91" s="570">
        <v>1</v>
      </c>
      <c r="G91" s="571">
        <v>2</v>
      </c>
      <c r="H91" s="571"/>
      <c r="I91" s="570">
        <v>0</v>
      </c>
      <c r="J91" s="570">
        <v>0</v>
      </c>
      <c r="K91" s="570">
        <v>0</v>
      </c>
      <c r="L91" s="570">
        <v>0</v>
      </c>
      <c r="M91" s="571">
        <v>0</v>
      </c>
      <c r="N91" s="571"/>
      <c r="O91" s="570">
        <v>4</v>
      </c>
      <c r="P91" s="570">
        <v>2</v>
      </c>
      <c r="Q91" s="570">
        <v>6</v>
      </c>
      <c r="R91" s="570">
        <v>4</v>
      </c>
      <c r="S91" s="571">
        <v>0</v>
      </c>
      <c r="T91" s="571"/>
      <c r="U91" s="570">
        <v>4</v>
      </c>
      <c r="V91" s="570">
        <v>20</v>
      </c>
      <c r="W91" s="570">
        <v>24</v>
      </c>
      <c r="X91" s="570">
        <v>24</v>
      </c>
      <c r="Y91" s="571">
        <v>2</v>
      </c>
      <c r="AH91" s="245"/>
    </row>
    <row r="92" spans="1:34">
      <c r="A92" s="567" t="s">
        <v>98</v>
      </c>
      <c r="B92" s="568" t="s">
        <v>555</v>
      </c>
      <c r="C92" s="570">
        <v>3</v>
      </c>
      <c r="D92" s="570">
        <v>2</v>
      </c>
      <c r="E92" s="570">
        <v>5</v>
      </c>
      <c r="F92" s="570">
        <v>3</v>
      </c>
      <c r="G92" s="571">
        <v>2</v>
      </c>
      <c r="H92" s="571"/>
      <c r="I92" s="570">
        <v>0</v>
      </c>
      <c r="J92" s="570">
        <v>0</v>
      </c>
      <c r="K92" s="570">
        <v>0</v>
      </c>
      <c r="L92" s="570">
        <v>0</v>
      </c>
      <c r="M92" s="571">
        <v>0</v>
      </c>
      <c r="N92" s="571"/>
      <c r="O92" s="570">
        <v>4</v>
      </c>
      <c r="P92" s="570">
        <v>7</v>
      </c>
      <c r="Q92" s="570">
        <v>11</v>
      </c>
      <c r="R92" s="570">
        <v>6</v>
      </c>
      <c r="S92" s="571">
        <v>2</v>
      </c>
      <c r="T92" s="571"/>
      <c r="U92" s="570">
        <v>2</v>
      </c>
      <c r="V92" s="570">
        <v>15</v>
      </c>
      <c r="W92" s="570">
        <v>17</v>
      </c>
      <c r="X92" s="570">
        <v>19</v>
      </c>
      <c r="Y92" s="571">
        <v>1</v>
      </c>
      <c r="AH92" s="245"/>
    </row>
    <row r="93" spans="1:34">
      <c r="A93" s="567" t="s">
        <v>98</v>
      </c>
      <c r="B93" s="568" t="s">
        <v>556</v>
      </c>
      <c r="C93" s="570">
        <v>0</v>
      </c>
      <c r="D93" s="570">
        <v>0</v>
      </c>
      <c r="E93" s="570">
        <v>0</v>
      </c>
      <c r="F93" s="570">
        <v>0</v>
      </c>
      <c r="G93" s="571">
        <v>0</v>
      </c>
      <c r="H93" s="571"/>
      <c r="I93" s="570">
        <v>0</v>
      </c>
      <c r="J93" s="570">
        <v>0</v>
      </c>
      <c r="K93" s="570">
        <v>0</v>
      </c>
      <c r="L93" s="570">
        <v>0</v>
      </c>
      <c r="M93" s="571">
        <v>0</v>
      </c>
      <c r="N93" s="571"/>
      <c r="O93" s="570">
        <v>0</v>
      </c>
      <c r="P93" s="570">
        <v>1</v>
      </c>
      <c r="Q93" s="570">
        <v>1</v>
      </c>
      <c r="R93" s="570">
        <v>0</v>
      </c>
      <c r="S93" s="571">
        <v>1</v>
      </c>
      <c r="T93" s="571"/>
      <c r="U93" s="570">
        <v>0</v>
      </c>
      <c r="V93" s="570">
        <v>2</v>
      </c>
      <c r="W93" s="570">
        <v>2</v>
      </c>
      <c r="X93" s="570">
        <v>2</v>
      </c>
      <c r="Y93" s="571">
        <v>0</v>
      </c>
      <c r="AH93" s="245"/>
    </row>
    <row r="94" spans="1:34">
      <c r="A94" s="567" t="s">
        <v>98</v>
      </c>
      <c r="B94" s="568" t="s">
        <v>557</v>
      </c>
      <c r="C94" s="570">
        <v>1</v>
      </c>
      <c r="D94" s="570">
        <v>0</v>
      </c>
      <c r="E94" s="570">
        <v>1</v>
      </c>
      <c r="F94" s="570">
        <v>1</v>
      </c>
      <c r="G94" s="571">
        <v>0</v>
      </c>
      <c r="H94" s="571"/>
      <c r="I94" s="570">
        <v>0</v>
      </c>
      <c r="J94" s="570">
        <v>0</v>
      </c>
      <c r="K94" s="570">
        <v>0</v>
      </c>
      <c r="L94" s="570">
        <v>0</v>
      </c>
      <c r="M94" s="571">
        <v>0</v>
      </c>
      <c r="N94" s="571"/>
      <c r="O94" s="570">
        <v>2</v>
      </c>
      <c r="P94" s="570">
        <v>3</v>
      </c>
      <c r="Q94" s="570">
        <v>5</v>
      </c>
      <c r="R94" s="570">
        <v>3</v>
      </c>
      <c r="S94" s="571">
        <v>1</v>
      </c>
      <c r="T94" s="571"/>
      <c r="U94" s="570">
        <v>0</v>
      </c>
      <c r="V94" s="570">
        <v>5</v>
      </c>
      <c r="W94" s="570">
        <v>5</v>
      </c>
      <c r="X94" s="570">
        <v>5</v>
      </c>
      <c r="Y94" s="571">
        <v>1</v>
      </c>
      <c r="AH94" s="245"/>
    </row>
    <row r="95" spans="1:34">
      <c r="A95" s="567" t="s">
        <v>98</v>
      </c>
      <c r="B95" s="568" t="s">
        <v>558</v>
      </c>
      <c r="C95" s="570">
        <v>4</v>
      </c>
      <c r="D95" s="570">
        <v>1</v>
      </c>
      <c r="E95" s="570">
        <v>5</v>
      </c>
      <c r="F95" s="570">
        <v>4</v>
      </c>
      <c r="G95" s="571">
        <v>1</v>
      </c>
      <c r="H95" s="571"/>
      <c r="I95" s="570">
        <v>0</v>
      </c>
      <c r="J95" s="570">
        <v>0</v>
      </c>
      <c r="K95" s="570">
        <v>0</v>
      </c>
      <c r="L95" s="570">
        <v>0</v>
      </c>
      <c r="M95" s="571">
        <v>0</v>
      </c>
      <c r="N95" s="571"/>
      <c r="O95" s="570">
        <v>5</v>
      </c>
      <c r="P95" s="570">
        <v>15</v>
      </c>
      <c r="Q95" s="570">
        <v>20</v>
      </c>
      <c r="R95" s="570">
        <v>13</v>
      </c>
      <c r="S95" s="571">
        <v>1</v>
      </c>
      <c r="T95" s="571"/>
      <c r="U95" s="570">
        <v>1</v>
      </c>
      <c r="V95" s="570">
        <v>31</v>
      </c>
      <c r="W95" s="570">
        <v>32</v>
      </c>
      <c r="X95" s="570">
        <v>35</v>
      </c>
      <c r="Y95" s="571">
        <v>3</v>
      </c>
      <c r="AH95" s="245"/>
    </row>
    <row r="96" spans="1:34">
      <c r="A96" s="567" t="s">
        <v>98</v>
      </c>
      <c r="B96" s="568" t="s">
        <v>559</v>
      </c>
      <c r="C96" s="570">
        <v>0</v>
      </c>
      <c r="D96" s="570">
        <v>1</v>
      </c>
      <c r="E96" s="570">
        <v>1</v>
      </c>
      <c r="F96" s="570">
        <v>0</v>
      </c>
      <c r="G96" s="571">
        <v>1</v>
      </c>
      <c r="H96" s="571"/>
      <c r="I96" s="570">
        <v>0</v>
      </c>
      <c r="J96" s="570">
        <v>0</v>
      </c>
      <c r="K96" s="570">
        <v>0</v>
      </c>
      <c r="L96" s="570">
        <v>0</v>
      </c>
      <c r="M96" s="571">
        <v>0</v>
      </c>
      <c r="N96" s="571"/>
      <c r="O96" s="570">
        <v>3</v>
      </c>
      <c r="P96" s="570">
        <v>2</v>
      </c>
      <c r="Q96" s="570">
        <v>5</v>
      </c>
      <c r="R96" s="570">
        <v>1</v>
      </c>
      <c r="S96" s="571">
        <v>0</v>
      </c>
      <c r="T96" s="571"/>
      <c r="U96" s="570">
        <v>3</v>
      </c>
      <c r="V96" s="570">
        <v>14</v>
      </c>
      <c r="W96" s="570">
        <v>17</v>
      </c>
      <c r="X96" s="570">
        <v>20</v>
      </c>
      <c r="Y96" s="571">
        <v>1</v>
      </c>
      <c r="AH96" s="245"/>
    </row>
    <row r="97" spans="1:34">
      <c r="A97" s="567" t="s">
        <v>98</v>
      </c>
      <c r="B97" s="568" t="s">
        <v>560</v>
      </c>
      <c r="C97" s="570">
        <v>4</v>
      </c>
      <c r="D97" s="570">
        <v>6</v>
      </c>
      <c r="E97" s="570">
        <v>10</v>
      </c>
      <c r="F97" s="570">
        <v>8</v>
      </c>
      <c r="G97" s="571">
        <v>2</v>
      </c>
      <c r="H97" s="571"/>
      <c r="I97" s="570">
        <v>0</v>
      </c>
      <c r="J97" s="570">
        <v>0</v>
      </c>
      <c r="K97" s="570">
        <v>0</v>
      </c>
      <c r="L97" s="570">
        <v>0</v>
      </c>
      <c r="M97" s="571">
        <v>0</v>
      </c>
      <c r="N97" s="571"/>
      <c r="O97" s="570">
        <v>7</v>
      </c>
      <c r="P97" s="570">
        <v>17</v>
      </c>
      <c r="Q97" s="570">
        <v>24</v>
      </c>
      <c r="R97" s="570">
        <v>17</v>
      </c>
      <c r="S97" s="571">
        <v>4</v>
      </c>
      <c r="T97" s="571"/>
      <c r="U97" s="570">
        <v>2</v>
      </c>
      <c r="V97" s="570">
        <v>31</v>
      </c>
      <c r="W97" s="570">
        <v>33</v>
      </c>
      <c r="X97" s="570">
        <v>34</v>
      </c>
      <c r="Y97" s="571">
        <v>2</v>
      </c>
      <c r="AH97" s="245"/>
    </row>
    <row r="98" spans="1:34">
      <c r="A98" s="567" t="s">
        <v>98</v>
      </c>
      <c r="B98" s="568" t="s">
        <v>561</v>
      </c>
      <c r="C98" s="570">
        <v>8</v>
      </c>
      <c r="D98" s="570">
        <v>4</v>
      </c>
      <c r="E98" s="570">
        <v>12</v>
      </c>
      <c r="F98" s="570">
        <v>5</v>
      </c>
      <c r="G98" s="571">
        <v>7</v>
      </c>
      <c r="H98" s="571"/>
      <c r="I98" s="570">
        <v>2</v>
      </c>
      <c r="J98" s="570">
        <v>0</v>
      </c>
      <c r="K98" s="570">
        <v>2</v>
      </c>
      <c r="L98" s="570">
        <v>1</v>
      </c>
      <c r="M98" s="571">
        <v>1</v>
      </c>
      <c r="N98" s="571"/>
      <c r="O98" s="570">
        <v>29</v>
      </c>
      <c r="P98" s="570">
        <v>14</v>
      </c>
      <c r="Q98" s="570">
        <v>43</v>
      </c>
      <c r="R98" s="570">
        <v>26</v>
      </c>
      <c r="S98" s="571">
        <v>8</v>
      </c>
      <c r="T98" s="571"/>
      <c r="U98" s="570">
        <v>19</v>
      </c>
      <c r="V98" s="570">
        <v>18</v>
      </c>
      <c r="W98" s="570">
        <v>37</v>
      </c>
      <c r="X98" s="570">
        <v>40</v>
      </c>
      <c r="Y98" s="571">
        <v>6</v>
      </c>
      <c r="AH98" s="245"/>
    </row>
    <row r="99" spans="1:34">
      <c r="A99" s="567" t="s">
        <v>98</v>
      </c>
      <c r="B99" s="568" t="s">
        <v>562</v>
      </c>
      <c r="C99" s="570">
        <v>1</v>
      </c>
      <c r="D99" s="570">
        <v>2</v>
      </c>
      <c r="E99" s="570">
        <v>3</v>
      </c>
      <c r="F99" s="570">
        <v>1</v>
      </c>
      <c r="G99" s="571">
        <v>2</v>
      </c>
      <c r="H99" s="571"/>
      <c r="I99" s="570">
        <v>0</v>
      </c>
      <c r="J99" s="570">
        <v>0</v>
      </c>
      <c r="K99" s="570">
        <v>0</v>
      </c>
      <c r="L99" s="570">
        <v>0</v>
      </c>
      <c r="M99" s="571">
        <v>0</v>
      </c>
      <c r="N99" s="571"/>
      <c r="O99" s="570">
        <v>4</v>
      </c>
      <c r="P99" s="570">
        <v>2</v>
      </c>
      <c r="Q99" s="570">
        <v>6</v>
      </c>
      <c r="R99" s="570">
        <v>6</v>
      </c>
      <c r="S99" s="571">
        <v>0</v>
      </c>
      <c r="T99" s="571"/>
      <c r="U99" s="570">
        <v>1</v>
      </c>
      <c r="V99" s="570">
        <v>19</v>
      </c>
      <c r="W99" s="570">
        <v>20</v>
      </c>
      <c r="X99" s="570">
        <v>19</v>
      </c>
      <c r="Y99" s="571">
        <v>1</v>
      </c>
    </row>
    <row r="100" spans="1:34">
      <c r="A100" s="567" t="s">
        <v>98</v>
      </c>
      <c r="B100" s="568" t="s">
        <v>563</v>
      </c>
      <c r="C100" s="570">
        <v>0</v>
      </c>
      <c r="D100" s="570">
        <v>0</v>
      </c>
      <c r="E100" s="570">
        <v>0</v>
      </c>
      <c r="F100" s="570">
        <v>0</v>
      </c>
      <c r="G100" s="571">
        <v>0</v>
      </c>
      <c r="H100" s="571"/>
      <c r="I100" s="570">
        <v>0</v>
      </c>
      <c r="J100" s="570">
        <v>0</v>
      </c>
      <c r="K100" s="570">
        <v>0</v>
      </c>
      <c r="L100" s="570">
        <v>0</v>
      </c>
      <c r="M100" s="571">
        <v>0</v>
      </c>
      <c r="N100" s="571"/>
      <c r="O100" s="570">
        <v>4</v>
      </c>
      <c r="P100" s="570">
        <v>8</v>
      </c>
      <c r="Q100" s="570">
        <v>12</v>
      </c>
      <c r="R100" s="570">
        <v>8</v>
      </c>
      <c r="S100" s="571">
        <v>3</v>
      </c>
      <c r="T100" s="571"/>
      <c r="U100" s="570">
        <v>1</v>
      </c>
      <c r="V100" s="570">
        <v>3</v>
      </c>
      <c r="W100" s="570">
        <v>4</v>
      </c>
      <c r="X100" s="570">
        <v>4</v>
      </c>
      <c r="Y100" s="571">
        <v>1</v>
      </c>
    </row>
    <row r="101" spans="1:34">
      <c r="A101" s="567" t="s">
        <v>98</v>
      </c>
      <c r="B101" s="568" t="s">
        <v>564</v>
      </c>
      <c r="C101" s="570">
        <v>0</v>
      </c>
      <c r="D101" s="570">
        <v>0</v>
      </c>
      <c r="E101" s="570">
        <v>0</v>
      </c>
      <c r="F101" s="570">
        <v>0</v>
      </c>
      <c r="G101" s="571">
        <v>0</v>
      </c>
      <c r="H101" s="571"/>
      <c r="I101" s="570">
        <v>0</v>
      </c>
      <c r="J101" s="570">
        <v>0</v>
      </c>
      <c r="K101" s="570">
        <v>0</v>
      </c>
      <c r="L101" s="570">
        <v>0</v>
      </c>
      <c r="M101" s="571">
        <v>0</v>
      </c>
      <c r="N101" s="571"/>
      <c r="O101" s="570">
        <v>3</v>
      </c>
      <c r="P101" s="570">
        <v>2</v>
      </c>
      <c r="Q101" s="570">
        <v>5</v>
      </c>
      <c r="R101" s="570">
        <v>2</v>
      </c>
      <c r="S101" s="571">
        <v>1</v>
      </c>
      <c r="T101" s="571"/>
      <c r="U101" s="570">
        <v>1</v>
      </c>
      <c r="V101" s="570">
        <v>6</v>
      </c>
      <c r="W101" s="570">
        <v>7</v>
      </c>
      <c r="X101" s="570">
        <v>5</v>
      </c>
      <c r="Y101" s="571">
        <v>4</v>
      </c>
    </row>
    <row r="102" spans="1:34">
      <c r="A102" s="573" t="s">
        <v>98</v>
      </c>
      <c r="B102" s="574" t="s">
        <v>565</v>
      </c>
      <c r="C102" s="575">
        <v>0</v>
      </c>
      <c r="D102" s="575">
        <v>2</v>
      </c>
      <c r="E102" s="575">
        <v>2</v>
      </c>
      <c r="F102" s="575">
        <v>2</v>
      </c>
      <c r="G102" s="576">
        <v>0</v>
      </c>
      <c r="H102" s="576"/>
      <c r="I102" s="575">
        <v>0</v>
      </c>
      <c r="J102" s="575">
        <v>0</v>
      </c>
      <c r="K102" s="575">
        <v>0</v>
      </c>
      <c r="L102" s="575">
        <v>0</v>
      </c>
      <c r="M102" s="576">
        <v>0</v>
      </c>
      <c r="N102" s="576"/>
      <c r="O102" s="575">
        <v>1</v>
      </c>
      <c r="P102" s="575">
        <v>4</v>
      </c>
      <c r="Q102" s="575">
        <v>5</v>
      </c>
      <c r="R102" s="575">
        <v>4</v>
      </c>
      <c r="S102" s="576">
        <v>1</v>
      </c>
      <c r="T102" s="576"/>
      <c r="U102" s="575">
        <v>1</v>
      </c>
      <c r="V102" s="575">
        <v>6</v>
      </c>
      <c r="W102" s="575">
        <v>7</v>
      </c>
      <c r="X102" s="575">
        <v>7</v>
      </c>
      <c r="Y102" s="576">
        <v>0</v>
      </c>
    </row>
    <row r="103" spans="1:34" s="579" customFormat="1">
      <c r="A103" s="687" t="s">
        <v>99</v>
      </c>
      <c r="B103" s="566" t="s">
        <v>0</v>
      </c>
      <c r="C103" s="571">
        <f>SUM(C104:C107)</f>
        <v>81</v>
      </c>
      <c r="D103" s="571">
        <f>SUM(D104:D107)</f>
        <v>32</v>
      </c>
      <c r="E103" s="571">
        <f>SUM(E104:E107)</f>
        <v>113</v>
      </c>
      <c r="F103" s="571">
        <f>SUM(F104:F107)</f>
        <v>111</v>
      </c>
      <c r="G103" s="571">
        <f>SUM(G104:G107)</f>
        <v>2</v>
      </c>
      <c r="H103" s="571"/>
      <c r="I103" s="571">
        <f>SUM(I104:I107)</f>
        <v>3</v>
      </c>
      <c r="J103" s="571">
        <f>SUM(J104:J107)</f>
        <v>4</v>
      </c>
      <c r="K103" s="571">
        <f>SUM(K104:K107)</f>
        <v>7</v>
      </c>
      <c r="L103" s="571">
        <f>SUM(L104:L107)</f>
        <v>7</v>
      </c>
      <c r="M103" s="571">
        <f>SUM(M104:M107)</f>
        <v>0</v>
      </c>
      <c r="N103" s="571"/>
      <c r="O103" s="571">
        <f>SUM(O104:O107)</f>
        <v>143</v>
      </c>
      <c r="P103" s="571">
        <f>SUM(P104:P107)</f>
        <v>111</v>
      </c>
      <c r="Q103" s="571">
        <f>SUM(Q104:Q107)</f>
        <v>254</v>
      </c>
      <c r="R103" s="571">
        <f>SUM(R104:R107)</f>
        <v>106</v>
      </c>
      <c r="S103" s="571">
        <f>SUM(S104:S107)</f>
        <v>80</v>
      </c>
      <c r="T103" s="571"/>
      <c r="U103" s="571">
        <f>SUM(U104:U107)</f>
        <v>64</v>
      </c>
      <c r="V103" s="571">
        <f>SUM(V104:V107)</f>
        <v>307</v>
      </c>
      <c r="W103" s="571">
        <f>SUM(W104:W107)</f>
        <v>371</v>
      </c>
      <c r="X103" s="571">
        <f>SUM(X104:X107)</f>
        <v>312</v>
      </c>
      <c r="Y103" s="571">
        <f>SUM(Y104:Y107)</f>
        <v>127</v>
      </c>
      <c r="AA103" s="559"/>
      <c r="AB103" s="559"/>
      <c r="AC103" s="559"/>
      <c r="AD103" s="559"/>
      <c r="AE103" s="559"/>
    </row>
    <row r="104" spans="1:34">
      <c r="A104" s="567" t="s">
        <v>99</v>
      </c>
      <c r="B104" s="568" t="s">
        <v>566</v>
      </c>
      <c r="C104" s="570">
        <v>0</v>
      </c>
      <c r="D104" s="570">
        <v>1</v>
      </c>
      <c r="E104" s="570">
        <v>1</v>
      </c>
      <c r="F104" s="570">
        <v>0</v>
      </c>
      <c r="G104" s="571">
        <v>1</v>
      </c>
      <c r="H104" s="571"/>
      <c r="I104" s="570">
        <v>0</v>
      </c>
      <c r="J104" s="570">
        <v>0</v>
      </c>
      <c r="K104" s="570">
        <v>0</v>
      </c>
      <c r="L104" s="570">
        <v>0</v>
      </c>
      <c r="M104" s="571">
        <v>0</v>
      </c>
      <c r="N104" s="571"/>
      <c r="O104" s="570">
        <v>7</v>
      </c>
      <c r="P104" s="570">
        <v>1</v>
      </c>
      <c r="Q104" s="570">
        <v>8</v>
      </c>
      <c r="R104" s="570">
        <v>4</v>
      </c>
      <c r="S104" s="571">
        <v>0</v>
      </c>
      <c r="T104" s="571"/>
      <c r="U104" s="570">
        <v>3</v>
      </c>
      <c r="V104" s="570">
        <v>21</v>
      </c>
      <c r="W104" s="570">
        <v>24</v>
      </c>
      <c r="X104" s="570">
        <v>13</v>
      </c>
      <c r="Y104" s="571">
        <v>15</v>
      </c>
    </row>
    <row r="105" spans="1:34">
      <c r="A105" s="567" t="s">
        <v>99</v>
      </c>
      <c r="B105" s="568" t="s">
        <v>567</v>
      </c>
      <c r="C105" s="570">
        <v>28</v>
      </c>
      <c r="D105" s="570">
        <v>15</v>
      </c>
      <c r="E105" s="570">
        <v>43</v>
      </c>
      <c r="F105" s="570">
        <v>43</v>
      </c>
      <c r="G105" s="571">
        <v>0</v>
      </c>
      <c r="H105" s="571"/>
      <c r="I105" s="570">
        <v>0</v>
      </c>
      <c r="J105" s="570">
        <v>1</v>
      </c>
      <c r="K105" s="570">
        <v>1</v>
      </c>
      <c r="L105" s="570">
        <v>1</v>
      </c>
      <c r="M105" s="571">
        <v>0</v>
      </c>
      <c r="N105" s="571"/>
      <c r="O105" s="570">
        <v>17</v>
      </c>
      <c r="P105" s="570">
        <v>20</v>
      </c>
      <c r="Q105" s="570">
        <v>37</v>
      </c>
      <c r="R105" s="570">
        <v>10</v>
      </c>
      <c r="S105" s="571">
        <v>14</v>
      </c>
      <c r="T105" s="571"/>
      <c r="U105" s="570">
        <v>20</v>
      </c>
      <c r="V105" s="570">
        <v>84</v>
      </c>
      <c r="W105" s="570">
        <v>104</v>
      </c>
      <c r="X105" s="570">
        <v>71</v>
      </c>
      <c r="Y105" s="571">
        <v>46</v>
      </c>
    </row>
    <row r="106" spans="1:34">
      <c r="A106" s="567" t="s">
        <v>99</v>
      </c>
      <c r="B106" s="568" t="s">
        <v>568</v>
      </c>
      <c r="C106" s="570">
        <v>15</v>
      </c>
      <c r="D106" s="570">
        <v>3</v>
      </c>
      <c r="E106" s="570">
        <v>18</v>
      </c>
      <c r="F106" s="570">
        <v>17</v>
      </c>
      <c r="G106" s="571">
        <v>1</v>
      </c>
      <c r="H106" s="571"/>
      <c r="I106" s="570">
        <v>0</v>
      </c>
      <c r="J106" s="570">
        <v>0</v>
      </c>
      <c r="K106" s="570">
        <v>0</v>
      </c>
      <c r="L106" s="570">
        <v>0</v>
      </c>
      <c r="M106" s="571">
        <v>0</v>
      </c>
      <c r="N106" s="571"/>
      <c r="O106" s="570">
        <v>18</v>
      </c>
      <c r="P106" s="570">
        <v>23</v>
      </c>
      <c r="Q106" s="570">
        <v>41</v>
      </c>
      <c r="R106" s="570">
        <v>22</v>
      </c>
      <c r="S106" s="571">
        <v>9</v>
      </c>
      <c r="T106" s="571"/>
      <c r="U106" s="570">
        <v>11</v>
      </c>
      <c r="V106" s="570">
        <v>44</v>
      </c>
      <c r="W106" s="570">
        <v>55</v>
      </c>
      <c r="X106" s="570">
        <v>59</v>
      </c>
      <c r="Y106" s="571">
        <v>6</v>
      </c>
    </row>
    <row r="107" spans="1:34">
      <c r="A107" s="573" t="s">
        <v>99</v>
      </c>
      <c r="B107" s="574" t="s">
        <v>569</v>
      </c>
      <c r="C107" s="575">
        <v>38</v>
      </c>
      <c r="D107" s="575">
        <v>13</v>
      </c>
      <c r="E107" s="575">
        <v>51</v>
      </c>
      <c r="F107" s="575">
        <v>51</v>
      </c>
      <c r="G107" s="576">
        <v>0</v>
      </c>
      <c r="H107" s="576"/>
      <c r="I107" s="575">
        <v>3</v>
      </c>
      <c r="J107" s="575">
        <v>3</v>
      </c>
      <c r="K107" s="575">
        <v>6</v>
      </c>
      <c r="L107" s="575">
        <v>6</v>
      </c>
      <c r="M107" s="576">
        <v>0</v>
      </c>
      <c r="N107" s="576"/>
      <c r="O107" s="575">
        <v>101</v>
      </c>
      <c r="P107" s="575">
        <v>67</v>
      </c>
      <c r="Q107" s="575">
        <v>168</v>
      </c>
      <c r="R107" s="575">
        <v>70</v>
      </c>
      <c r="S107" s="576">
        <v>57</v>
      </c>
      <c r="T107" s="576"/>
      <c r="U107" s="575">
        <v>30</v>
      </c>
      <c r="V107" s="575">
        <v>158</v>
      </c>
      <c r="W107" s="575">
        <v>188</v>
      </c>
      <c r="X107" s="575">
        <v>169</v>
      </c>
      <c r="Y107" s="576">
        <v>60</v>
      </c>
    </row>
    <row r="108" spans="1:34" s="579" customFormat="1">
      <c r="A108" s="687" t="s">
        <v>100</v>
      </c>
      <c r="B108" s="566" t="s">
        <v>0</v>
      </c>
      <c r="C108" s="571">
        <f>SUM(C109:C117)</f>
        <v>11</v>
      </c>
      <c r="D108" s="571">
        <f>SUM(D109:D117)</f>
        <v>61</v>
      </c>
      <c r="E108" s="571">
        <f>SUM(E109:E117)</f>
        <v>72</v>
      </c>
      <c r="F108" s="571">
        <f>SUM(F109:F117)</f>
        <v>21</v>
      </c>
      <c r="G108" s="571">
        <f>SUM(G109:G117)</f>
        <v>51</v>
      </c>
      <c r="H108" s="571"/>
      <c r="I108" s="571">
        <f>SUM(I109:I117)</f>
        <v>4</v>
      </c>
      <c r="J108" s="571">
        <f>SUM(J109:J117)</f>
        <v>1</v>
      </c>
      <c r="K108" s="571">
        <f>SUM(K109:K117)</f>
        <v>5</v>
      </c>
      <c r="L108" s="571">
        <f>SUM(L109:L117)</f>
        <v>0</v>
      </c>
      <c r="M108" s="571">
        <f>SUM(M109:M117)</f>
        <v>5</v>
      </c>
      <c r="N108" s="571"/>
      <c r="O108" s="571">
        <f>SUM(O109:O117)</f>
        <v>110</v>
      </c>
      <c r="P108" s="571">
        <f>SUM(P109:P117)</f>
        <v>102</v>
      </c>
      <c r="Q108" s="571">
        <f>SUM(Q109:Q117)</f>
        <v>212</v>
      </c>
      <c r="R108" s="571">
        <f>SUM(R109:R117)</f>
        <v>117</v>
      </c>
      <c r="S108" s="571">
        <f>SUM(S109:S117)</f>
        <v>41</v>
      </c>
      <c r="T108" s="571"/>
      <c r="U108" s="571">
        <f>SUM(U109:U117)</f>
        <v>67</v>
      </c>
      <c r="V108" s="571">
        <f>SUM(V109:V117)</f>
        <v>388</v>
      </c>
      <c r="W108" s="571">
        <f>SUM(W109:W117)</f>
        <v>455</v>
      </c>
      <c r="X108" s="571">
        <f>SUM(X109:X117)</f>
        <v>433</v>
      </c>
      <c r="Y108" s="571">
        <f>SUM(Y109:Y117)</f>
        <v>76</v>
      </c>
      <c r="AA108" s="559"/>
      <c r="AB108" s="559"/>
      <c r="AC108" s="559"/>
      <c r="AD108" s="559"/>
      <c r="AE108" s="559"/>
    </row>
    <row r="109" spans="1:34">
      <c r="A109" s="567" t="s">
        <v>100</v>
      </c>
      <c r="B109" s="568" t="s">
        <v>570</v>
      </c>
      <c r="C109" s="570">
        <v>4</v>
      </c>
      <c r="D109" s="570">
        <v>13</v>
      </c>
      <c r="E109" s="570">
        <v>17</v>
      </c>
      <c r="F109" s="570">
        <v>0</v>
      </c>
      <c r="G109" s="571">
        <v>17</v>
      </c>
      <c r="H109" s="571"/>
      <c r="I109" s="570">
        <v>3</v>
      </c>
      <c r="J109" s="570">
        <v>0</v>
      </c>
      <c r="K109" s="570">
        <v>3</v>
      </c>
      <c r="L109" s="570">
        <v>0</v>
      </c>
      <c r="M109" s="571">
        <v>3</v>
      </c>
      <c r="N109" s="571"/>
      <c r="O109" s="570">
        <v>19</v>
      </c>
      <c r="P109" s="570">
        <v>15</v>
      </c>
      <c r="Q109" s="570">
        <v>34</v>
      </c>
      <c r="R109" s="570">
        <v>14</v>
      </c>
      <c r="S109" s="571">
        <v>11</v>
      </c>
      <c r="T109" s="571"/>
      <c r="U109" s="570">
        <v>28</v>
      </c>
      <c r="V109" s="570">
        <v>71</v>
      </c>
      <c r="W109" s="570">
        <v>99</v>
      </c>
      <c r="X109" s="570">
        <v>82</v>
      </c>
      <c r="Y109" s="571">
        <v>26</v>
      </c>
    </row>
    <row r="110" spans="1:34">
      <c r="A110" s="567" t="s">
        <v>100</v>
      </c>
      <c r="B110" s="568" t="s">
        <v>571</v>
      </c>
      <c r="C110" s="570">
        <v>2</v>
      </c>
      <c r="D110" s="570">
        <v>0</v>
      </c>
      <c r="E110" s="570">
        <v>2</v>
      </c>
      <c r="F110" s="570">
        <v>2</v>
      </c>
      <c r="G110" s="571">
        <v>0</v>
      </c>
      <c r="H110" s="571"/>
      <c r="I110" s="570">
        <v>0</v>
      </c>
      <c r="J110" s="570">
        <v>0</v>
      </c>
      <c r="K110" s="570">
        <v>0</v>
      </c>
      <c r="L110" s="570">
        <v>0</v>
      </c>
      <c r="M110" s="571">
        <v>0</v>
      </c>
      <c r="N110" s="571"/>
      <c r="O110" s="570">
        <v>15</v>
      </c>
      <c r="P110" s="570">
        <v>1</v>
      </c>
      <c r="Q110" s="570">
        <v>16</v>
      </c>
      <c r="R110" s="570">
        <v>3</v>
      </c>
      <c r="S110" s="571">
        <v>5</v>
      </c>
      <c r="T110" s="571"/>
      <c r="U110" s="570">
        <v>4</v>
      </c>
      <c r="V110" s="570">
        <v>24</v>
      </c>
      <c r="W110" s="570">
        <v>28</v>
      </c>
      <c r="X110" s="570">
        <v>30</v>
      </c>
      <c r="Y110" s="571">
        <v>6</v>
      </c>
    </row>
    <row r="111" spans="1:34">
      <c r="A111" s="567" t="s">
        <v>100</v>
      </c>
      <c r="B111" s="568" t="s">
        <v>572</v>
      </c>
      <c r="C111" s="570">
        <v>0</v>
      </c>
      <c r="D111" s="570">
        <v>1</v>
      </c>
      <c r="E111" s="570">
        <v>1</v>
      </c>
      <c r="F111" s="570">
        <v>1</v>
      </c>
      <c r="G111" s="571">
        <v>0</v>
      </c>
      <c r="H111" s="571"/>
      <c r="I111" s="570">
        <v>0</v>
      </c>
      <c r="J111" s="570">
        <v>0</v>
      </c>
      <c r="K111" s="570">
        <v>0</v>
      </c>
      <c r="L111" s="570">
        <v>0</v>
      </c>
      <c r="M111" s="571">
        <v>0</v>
      </c>
      <c r="N111" s="571"/>
      <c r="O111" s="570">
        <v>28</v>
      </c>
      <c r="P111" s="570">
        <v>15</v>
      </c>
      <c r="Q111" s="570">
        <v>43</v>
      </c>
      <c r="R111" s="570">
        <v>24</v>
      </c>
      <c r="S111" s="571">
        <v>8</v>
      </c>
      <c r="T111" s="571"/>
      <c r="U111" s="570">
        <v>15</v>
      </c>
      <c r="V111" s="570">
        <v>48</v>
      </c>
      <c r="W111" s="570">
        <v>63</v>
      </c>
      <c r="X111" s="570">
        <v>61</v>
      </c>
      <c r="Y111" s="571">
        <v>13</v>
      </c>
    </row>
    <row r="112" spans="1:34">
      <c r="A112" s="567" t="s">
        <v>100</v>
      </c>
      <c r="B112" s="568" t="s">
        <v>573</v>
      </c>
      <c r="C112" s="570">
        <v>3</v>
      </c>
      <c r="D112" s="570">
        <v>2</v>
      </c>
      <c r="E112" s="570">
        <v>5</v>
      </c>
      <c r="F112" s="570">
        <v>1</v>
      </c>
      <c r="G112" s="571">
        <v>4</v>
      </c>
      <c r="H112" s="571"/>
      <c r="I112" s="570">
        <v>1</v>
      </c>
      <c r="J112" s="570">
        <v>0</v>
      </c>
      <c r="K112" s="570">
        <v>1</v>
      </c>
      <c r="L112" s="570">
        <v>0</v>
      </c>
      <c r="M112" s="571">
        <v>1</v>
      </c>
      <c r="N112" s="571"/>
      <c r="O112" s="570">
        <v>5</v>
      </c>
      <c r="P112" s="570">
        <v>7</v>
      </c>
      <c r="Q112" s="570">
        <v>12</v>
      </c>
      <c r="R112" s="570">
        <v>4</v>
      </c>
      <c r="S112" s="571">
        <v>2</v>
      </c>
      <c r="T112" s="571"/>
      <c r="U112" s="570">
        <v>6</v>
      </c>
      <c r="V112" s="570">
        <v>35</v>
      </c>
      <c r="W112" s="570">
        <v>41</v>
      </c>
      <c r="X112" s="570">
        <v>34</v>
      </c>
      <c r="Y112" s="571">
        <v>13</v>
      </c>
    </row>
    <row r="113" spans="1:31">
      <c r="A113" s="567" t="s">
        <v>100</v>
      </c>
      <c r="B113" s="568" t="s">
        <v>574</v>
      </c>
      <c r="C113" s="570">
        <v>0</v>
      </c>
      <c r="D113" s="570">
        <v>0</v>
      </c>
      <c r="E113" s="570">
        <v>0</v>
      </c>
      <c r="F113" s="570">
        <v>0</v>
      </c>
      <c r="G113" s="571">
        <v>0</v>
      </c>
      <c r="H113" s="571"/>
      <c r="I113" s="570">
        <v>0</v>
      </c>
      <c r="J113" s="570">
        <v>0</v>
      </c>
      <c r="K113" s="570">
        <v>0</v>
      </c>
      <c r="L113" s="570">
        <v>0</v>
      </c>
      <c r="M113" s="571">
        <v>0</v>
      </c>
      <c r="N113" s="571"/>
      <c r="O113" s="570">
        <v>11</v>
      </c>
      <c r="P113" s="570">
        <v>3</v>
      </c>
      <c r="Q113" s="570">
        <v>14</v>
      </c>
      <c r="R113" s="570">
        <v>4</v>
      </c>
      <c r="S113" s="571">
        <v>4</v>
      </c>
      <c r="T113" s="571"/>
      <c r="U113" s="570">
        <v>1</v>
      </c>
      <c r="V113" s="570">
        <v>15</v>
      </c>
      <c r="W113" s="570">
        <v>16</v>
      </c>
      <c r="X113" s="570">
        <v>19</v>
      </c>
      <c r="Y113" s="571">
        <v>3</v>
      </c>
    </row>
    <row r="114" spans="1:31">
      <c r="A114" s="567" t="s">
        <v>100</v>
      </c>
      <c r="B114" s="568" t="s">
        <v>575</v>
      </c>
      <c r="C114" s="570">
        <v>0</v>
      </c>
      <c r="D114" s="570">
        <v>20</v>
      </c>
      <c r="E114" s="570">
        <v>20</v>
      </c>
      <c r="F114" s="570">
        <v>0</v>
      </c>
      <c r="G114" s="571">
        <v>20</v>
      </c>
      <c r="H114" s="571"/>
      <c r="I114" s="570">
        <v>0</v>
      </c>
      <c r="J114" s="570">
        <v>0</v>
      </c>
      <c r="K114" s="570">
        <v>0</v>
      </c>
      <c r="L114" s="570">
        <v>0</v>
      </c>
      <c r="M114" s="571">
        <v>0</v>
      </c>
      <c r="N114" s="571"/>
      <c r="O114" s="570">
        <v>9</v>
      </c>
      <c r="P114" s="570">
        <v>4</v>
      </c>
      <c r="Q114" s="570">
        <v>13</v>
      </c>
      <c r="R114" s="570">
        <v>5</v>
      </c>
      <c r="S114" s="571">
        <v>3</v>
      </c>
      <c r="T114" s="571"/>
      <c r="U114" s="570">
        <v>6</v>
      </c>
      <c r="V114" s="570">
        <v>32</v>
      </c>
      <c r="W114" s="570">
        <v>38</v>
      </c>
      <c r="X114" s="570">
        <v>40</v>
      </c>
      <c r="Y114" s="571">
        <v>3</v>
      </c>
    </row>
    <row r="115" spans="1:31">
      <c r="A115" s="567" t="s">
        <v>100</v>
      </c>
      <c r="B115" s="568" t="s">
        <v>576</v>
      </c>
      <c r="C115" s="570">
        <v>1</v>
      </c>
      <c r="D115" s="570">
        <v>14</v>
      </c>
      <c r="E115" s="570">
        <v>15</v>
      </c>
      <c r="F115" s="570">
        <v>12</v>
      </c>
      <c r="G115" s="571">
        <v>3</v>
      </c>
      <c r="H115" s="571"/>
      <c r="I115" s="570">
        <v>0</v>
      </c>
      <c r="J115" s="570">
        <v>0</v>
      </c>
      <c r="K115" s="570">
        <v>0</v>
      </c>
      <c r="L115" s="570">
        <v>0</v>
      </c>
      <c r="M115" s="571">
        <v>0</v>
      </c>
      <c r="N115" s="571"/>
      <c r="O115" s="570">
        <v>4</v>
      </c>
      <c r="P115" s="570">
        <v>25</v>
      </c>
      <c r="Q115" s="570">
        <v>29</v>
      </c>
      <c r="R115" s="570">
        <v>26</v>
      </c>
      <c r="S115" s="571">
        <v>0</v>
      </c>
      <c r="T115" s="571"/>
      <c r="U115" s="570">
        <v>3</v>
      </c>
      <c r="V115" s="570">
        <v>82</v>
      </c>
      <c r="W115" s="570">
        <v>85</v>
      </c>
      <c r="X115" s="570">
        <v>86</v>
      </c>
      <c r="Y115" s="571">
        <v>2</v>
      </c>
    </row>
    <row r="116" spans="1:31">
      <c r="A116" s="567" t="s">
        <v>100</v>
      </c>
      <c r="B116" s="568" t="s">
        <v>577</v>
      </c>
      <c r="C116" s="570">
        <v>1</v>
      </c>
      <c r="D116" s="570">
        <v>9</v>
      </c>
      <c r="E116" s="570">
        <v>10</v>
      </c>
      <c r="F116" s="570">
        <v>5</v>
      </c>
      <c r="G116" s="571">
        <v>5</v>
      </c>
      <c r="H116" s="571"/>
      <c r="I116" s="570">
        <v>0</v>
      </c>
      <c r="J116" s="570">
        <v>1</v>
      </c>
      <c r="K116" s="570">
        <v>1</v>
      </c>
      <c r="L116" s="570">
        <v>0</v>
      </c>
      <c r="M116" s="571">
        <v>1</v>
      </c>
      <c r="N116" s="571"/>
      <c r="O116" s="570">
        <v>7</v>
      </c>
      <c r="P116" s="570">
        <v>20</v>
      </c>
      <c r="Q116" s="570">
        <v>27</v>
      </c>
      <c r="R116" s="570">
        <v>24</v>
      </c>
      <c r="S116" s="571">
        <v>1</v>
      </c>
      <c r="T116" s="571"/>
      <c r="U116" s="570">
        <v>1</v>
      </c>
      <c r="V116" s="570">
        <v>49</v>
      </c>
      <c r="W116" s="570">
        <v>50</v>
      </c>
      <c r="X116" s="570">
        <v>52</v>
      </c>
      <c r="Y116" s="571">
        <v>0</v>
      </c>
    </row>
    <row r="117" spans="1:31">
      <c r="A117" s="573" t="s">
        <v>100</v>
      </c>
      <c r="B117" s="574" t="s">
        <v>578</v>
      </c>
      <c r="C117" s="575">
        <v>0</v>
      </c>
      <c r="D117" s="575">
        <v>2</v>
      </c>
      <c r="E117" s="575">
        <v>2</v>
      </c>
      <c r="F117" s="575">
        <v>0</v>
      </c>
      <c r="G117" s="576">
        <v>2</v>
      </c>
      <c r="H117" s="576"/>
      <c r="I117" s="575">
        <v>0</v>
      </c>
      <c r="J117" s="575">
        <v>0</v>
      </c>
      <c r="K117" s="575">
        <v>0</v>
      </c>
      <c r="L117" s="575">
        <v>0</v>
      </c>
      <c r="M117" s="576">
        <v>0</v>
      </c>
      <c r="N117" s="576"/>
      <c r="O117" s="575">
        <v>12</v>
      </c>
      <c r="P117" s="575">
        <v>12</v>
      </c>
      <c r="Q117" s="575">
        <v>24</v>
      </c>
      <c r="R117" s="575">
        <v>13</v>
      </c>
      <c r="S117" s="576">
        <v>7</v>
      </c>
      <c r="T117" s="576"/>
      <c r="U117" s="575">
        <v>3</v>
      </c>
      <c r="V117" s="575">
        <v>32</v>
      </c>
      <c r="W117" s="575">
        <v>35</v>
      </c>
      <c r="X117" s="575">
        <v>29</v>
      </c>
      <c r="Y117" s="576">
        <v>10</v>
      </c>
    </row>
    <row r="118" spans="1:31" s="579" customFormat="1">
      <c r="A118" s="687" t="s">
        <v>101</v>
      </c>
      <c r="B118" s="566" t="s">
        <v>0</v>
      </c>
      <c r="C118" s="571">
        <f>SUM(C119:C126)</f>
        <v>19</v>
      </c>
      <c r="D118" s="571">
        <f>SUM(D119:D126)</f>
        <v>15</v>
      </c>
      <c r="E118" s="571">
        <f>SUM(E119:E126)</f>
        <v>34</v>
      </c>
      <c r="F118" s="571">
        <f>SUM(F119:F126)</f>
        <v>17</v>
      </c>
      <c r="G118" s="571">
        <f>SUM(G119:G126)</f>
        <v>17</v>
      </c>
      <c r="H118" s="571"/>
      <c r="I118" s="571">
        <f>SUM(I119:I126)</f>
        <v>0</v>
      </c>
      <c r="J118" s="571">
        <f>SUM(J119:J126)</f>
        <v>0</v>
      </c>
      <c r="K118" s="571">
        <f>SUM(K119:K126)</f>
        <v>0</v>
      </c>
      <c r="L118" s="571">
        <f>SUM(L119:L126)</f>
        <v>0</v>
      </c>
      <c r="M118" s="571">
        <f>SUM(M119:M126)</f>
        <v>0</v>
      </c>
      <c r="N118" s="571"/>
      <c r="O118" s="571">
        <f>SUM(O119:O126)</f>
        <v>39</v>
      </c>
      <c r="P118" s="571">
        <f>SUM(P119:P126)</f>
        <v>115</v>
      </c>
      <c r="Q118" s="571">
        <f>SUM(Q119:Q126)</f>
        <v>154</v>
      </c>
      <c r="R118" s="571">
        <f>SUM(R119:R126)</f>
        <v>110</v>
      </c>
      <c r="S118" s="571">
        <f>SUM(S119:S126)</f>
        <v>23</v>
      </c>
      <c r="T118" s="571"/>
      <c r="U118" s="571">
        <f>SUM(U119:U126)</f>
        <v>18</v>
      </c>
      <c r="V118" s="571">
        <f>SUM(V119:V126)</f>
        <v>234</v>
      </c>
      <c r="W118" s="571">
        <f>SUM(W119:W126)</f>
        <v>252</v>
      </c>
      <c r="X118" s="571">
        <f>SUM(X119:X126)</f>
        <v>248</v>
      </c>
      <c r="Y118" s="571">
        <f>SUM(Y119:Y126)</f>
        <v>25</v>
      </c>
      <c r="AA118" s="559"/>
      <c r="AB118" s="559"/>
      <c r="AC118" s="559"/>
      <c r="AD118" s="559"/>
      <c r="AE118" s="559"/>
    </row>
    <row r="119" spans="1:31">
      <c r="A119" s="567" t="s">
        <v>101</v>
      </c>
      <c r="B119" s="568" t="s">
        <v>579</v>
      </c>
      <c r="C119" s="570">
        <v>4</v>
      </c>
      <c r="D119" s="570">
        <v>0</v>
      </c>
      <c r="E119" s="570">
        <v>4</v>
      </c>
      <c r="F119" s="570">
        <v>1</v>
      </c>
      <c r="G119" s="571">
        <v>3</v>
      </c>
      <c r="H119" s="571"/>
      <c r="I119" s="570">
        <v>0</v>
      </c>
      <c r="J119" s="570">
        <v>0</v>
      </c>
      <c r="K119" s="570">
        <v>0</v>
      </c>
      <c r="L119" s="570">
        <v>0</v>
      </c>
      <c r="M119" s="571">
        <v>0</v>
      </c>
      <c r="N119" s="571"/>
      <c r="O119" s="570">
        <v>7</v>
      </c>
      <c r="P119" s="570">
        <v>16</v>
      </c>
      <c r="Q119" s="570">
        <v>23</v>
      </c>
      <c r="R119" s="570">
        <v>11</v>
      </c>
      <c r="S119" s="571">
        <v>4</v>
      </c>
      <c r="T119" s="571"/>
      <c r="U119" s="570">
        <v>6</v>
      </c>
      <c r="V119" s="570">
        <v>46</v>
      </c>
      <c r="W119" s="570">
        <v>52</v>
      </c>
      <c r="X119" s="570">
        <v>52</v>
      </c>
      <c r="Y119" s="571">
        <v>8</v>
      </c>
    </row>
    <row r="120" spans="1:31">
      <c r="A120" s="567" t="s">
        <v>101</v>
      </c>
      <c r="B120" s="568" t="s">
        <v>580</v>
      </c>
      <c r="C120" s="570">
        <v>12</v>
      </c>
      <c r="D120" s="570">
        <v>5</v>
      </c>
      <c r="E120" s="570">
        <v>17</v>
      </c>
      <c r="F120" s="570">
        <v>6</v>
      </c>
      <c r="G120" s="571">
        <v>11</v>
      </c>
      <c r="H120" s="571"/>
      <c r="I120" s="570">
        <v>0</v>
      </c>
      <c r="J120" s="570">
        <v>0</v>
      </c>
      <c r="K120" s="570">
        <v>0</v>
      </c>
      <c r="L120" s="570">
        <v>0</v>
      </c>
      <c r="M120" s="571">
        <v>0</v>
      </c>
      <c r="N120" s="571"/>
      <c r="O120" s="570">
        <v>10</v>
      </c>
      <c r="P120" s="570">
        <v>14</v>
      </c>
      <c r="Q120" s="570">
        <v>24</v>
      </c>
      <c r="R120" s="570">
        <v>10</v>
      </c>
      <c r="S120" s="571">
        <v>10</v>
      </c>
      <c r="T120" s="571"/>
      <c r="U120" s="570">
        <v>4</v>
      </c>
      <c r="V120" s="570">
        <v>34</v>
      </c>
      <c r="W120" s="570">
        <v>38</v>
      </c>
      <c r="X120" s="570">
        <v>40</v>
      </c>
      <c r="Y120" s="571">
        <v>2</v>
      </c>
    </row>
    <row r="121" spans="1:31">
      <c r="A121" s="567" t="s">
        <v>101</v>
      </c>
      <c r="B121" s="568" t="s">
        <v>581</v>
      </c>
      <c r="C121" s="570">
        <v>0</v>
      </c>
      <c r="D121" s="570">
        <v>1</v>
      </c>
      <c r="E121" s="570">
        <v>1</v>
      </c>
      <c r="F121" s="570">
        <v>1</v>
      </c>
      <c r="G121" s="571">
        <v>0</v>
      </c>
      <c r="H121" s="571"/>
      <c r="I121" s="570">
        <v>0</v>
      </c>
      <c r="J121" s="570">
        <v>0</v>
      </c>
      <c r="K121" s="570">
        <v>0</v>
      </c>
      <c r="L121" s="570">
        <v>0</v>
      </c>
      <c r="M121" s="571">
        <v>0</v>
      </c>
      <c r="N121" s="571"/>
      <c r="O121" s="570">
        <v>2</v>
      </c>
      <c r="P121" s="570">
        <v>24</v>
      </c>
      <c r="Q121" s="570">
        <v>26</v>
      </c>
      <c r="R121" s="570">
        <v>22</v>
      </c>
      <c r="S121" s="571">
        <v>3</v>
      </c>
      <c r="T121" s="571"/>
      <c r="U121" s="570">
        <v>3</v>
      </c>
      <c r="V121" s="570">
        <v>41</v>
      </c>
      <c r="W121" s="570">
        <v>44</v>
      </c>
      <c r="X121" s="570">
        <v>43</v>
      </c>
      <c r="Y121" s="571">
        <v>2</v>
      </c>
    </row>
    <row r="122" spans="1:31">
      <c r="A122" s="567" t="s">
        <v>101</v>
      </c>
      <c r="B122" s="568" t="s">
        <v>582</v>
      </c>
      <c r="C122" s="570">
        <v>2</v>
      </c>
      <c r="D122" s="570">
        <v>4</v>
      </c>
      <c r="E122" s="570">
        <v>6</v>
      </c>
      <c r="F122" s="570">
        <v>6</v>
      </c>
      <c r="G122" s="571">
        <v>0</v>
      </c>
      <c r="H122" s="571"/>
      <c r="I122" s="570">
        <v>0</v>
      </c>
      <c r="J122" s="570">
        <v>0</v>
      </c>
      <c r="K122" s="570">
        <v>0</v>
      </c>
      <c r="L122" s="570">
        <v>0</v>
      </c>
      <c r="M122" s="571">
        <v>0</v>
      </c>
      <c r="N122" s="571"/>
      <c r="O122" s="570">
        <v>7</v>
      </c>
      <c r="P122" s="570">
        <v>23</v>
      </c>
      <c r="Q122" s="570">
        <v>30</v>
      </c>
      <c r="R122" s="570">
        <v>27</v>
      </c>
      <c r="S122" s="571">
        <v>1</v>
      </c>
      <c r="T122" s="571"/>
      <c r="U122" s="570">
        <v>2</v>
      </c>
      <c r="V122" s="570">
        <v>28</v>
      </c>
      <c r="W122" s="570">
        <v>30</v>
      </c>
      <c r="X122" s="570">
        <v>31</v>
      </c>
      <c r="Y122" s="571">
        <v>1</v>
      </c>
    </row>
    <row r="123" spans="1:31">
      <c r="A123" s="567" t="s">
        <v>101</v>
      </c>
      <c r="B123" s="568" t="s">
        <v>583</v>
      </c>
      <c r="C123" s="570">
        <v>1</v>
      </c>
      <c r="D123" s="570">
        <v>0</v>
      </c>
      <c r="E123" s="570">
        <v>1</v>
      </c>
      <c r="F123" s="570">
        <v>1</v>
      </c>
      <c r="G123" s="571">
        <v>0</v>
      </c>
      <c r="H123" s="571"/>
      <c r="I123" s="570">
        <v>0</v>
      </c>
      <c r="J123" s="570">
        <v>0</v>
      </c>
      <c r="K123" s="570">
        <v>0</v>
      </c>
      <c r="L123" s="570">
        <v>0</v>
      </c>
      <c r="M123" s="571">
        <v>0</v>
      </c>
      <c r="N123" s="571"/>
      <c r="O123" s="570">
        <v>4</v>
      </c>
      <c r="P123" s="570">
        <v>4</v>
      </c>
      <c r="Q123" s="570">
        <v>8</v>
      </c>
      <c r="R123" s="570">
        <v>5</v>
      </c>
      <c r="S123" s="571">
        <v>3</v>
      </c>
      <c r="T123" s="571"/>
      <c r="U123" s="570">
        <v>2</v>
      </c>
      <c r="V123" s="570">
        <v>6</v>
      </c>
      <c r="W123" s="570">
        <v>8</v>
      </c>
      <c r="X123" s="570">
        <v>7</v>
      </c>
      <c r="Y123" s="571">
        <v>1</v>
      </c>
    </row>
    <row r="124" spans="1:31">
      <c r="A124" s="567" t="s">
        <v>101</v>
      </c>
      <c r="B124" s="568" t="s">
        <v>584</v>
      </c>
      <c r="C124" s="570">
        <v>0</v>
      </c>
      <c r="D124" s="570">
        <v>2</v>
      </c>
      <c r="E124" s="570">
        <v>2</v>
      </c>
      <c r="F124" s="570">
        <v>0</v>
      </c>
      <c r="G124" s="571">
        <v>2</v>
      </c>
      <c r="H124" s="571"/>
      <c r="I124" s="570">
        <v>0</v>
      </c>
      <c r="J124" s="570">
        <v>0</v>
      </c>
      <c r="K124" s="570">
        <v>0</v>
      </c>
      <c r="L124" s="570">
        <v>0</v>
      </c>
      <c r="M124" s="571">
        <v>0</v>
      </c>
      <c r="N124" s="571"/>
      <c r="O124" s="570">
        <v>5</v>
      </c>
      <c r="P124" s="570">
        <v>10</v>
      </c>
      <c r="Q124" s="570">
        <v>15</v>
      </c>
      <c r="R124" s="570">
        <v>12</v>
      </c>
      <c r="S124" s="571">
        <v>0</v>
      </c>
      <c r="T124" s="571"/>
      <c r="U124" s="570">
        <v>0</v>
      </c>
      <c r="V124" s="570">
        <v>25</v>
      </c>
      <c r="W124" s="570">
        <v>25</v>
      </c>
      <c r="X124" s="570">
        <v>22</v>
      </c>
      <c r="Y124" s="571">
        <v>6</v>
      </c>
    </row>
    <row r="125" spans="1:31">
      <c r="A125" s="567" t="s">
        <v>101</v>
      </c>
      <c r="B125" s="568" t="s">
        <v>585</v>
      </c>
      <c r="C125" s="570">
        <v>0</v>
      </c>
      <c r="D125" s="570">
        <v>1</v>
      </c>
      <c r="E125" s="570">
        <v>1</v>
      </c>
      <c r="F125" s="570">
        <v>0</v>
      </c>
      <c r="G125" s="571">
        <v>1</v>
      </c>
      <c r="H125" s="571"/>
      <c r="I125" s="570">
        <v>0</v>
      </c>
      <c r="J125" s="570">
        <v>0</v>
      </c>
      <c r="K125" s="570">
        <v>0</v>
      </c>
      <c r="L125" s="570">
        <v>0</v>
      </c>
      <c r="M125" s="571">
        <v>0</v>
      </c>
      <c r="N125" s="571"/>
      <c r="O125" s="570">
        <v>1</v>
      </c>
      <c r="P125" s="570">
        <v>15</v>
      </c>
      <c r="Q125" s="570">
        <v>16</v>
      </c>
      <c r="R125" s="570">
        <v>16</v>
      </c>
      <c r="S125" s="571">
        <v>0</v>
      </c>
      <c r="T125" s="571"/>
      <c r="U125" s="570">
        <v>0</v>
      </c>
      <c r="V125" s="570">
        <v>28</v>
      </c>
      <c r="W125" s="570">
        <v>28</v>
      </c>
      <c r="X125" s="570">
        <v>24</v>
      </c>
      <c r="Y125" s="571">
        <v>4</v>
      </c>
    </row>
    <row r="126" spans="1:31">
      <c r="A126" s="573" t="s">
        <v>101</v>
      </c>
      <c r="B126" s="574" t="s">
        <v>586</v>
      </c>
      <c r="C126" s="575">
        <v>0</v>
      </c>
      <c r="D126" s="575">
        <v>2</v>
      </c>
      <c r="E126" s="575">
        <v>2</v>
      </c>
      <c r="F126" s="575">
        <v>2</v>
      </c>
      <c r="G126" s="576">
        <v>0</v>
      </c>
      <c r="H126" s="576"/>
      <c r="I126" s="575">
        <v>0</v>
      </c>
      <c r="J126" s="575">
        <v>0</v>
      </c>
      <c r="K126" s="575">
        <v>0</v>
      </c>
      <c r="L126" s="575">
        <v>0</v>
      </c>
      <c r="M126" s="576">
        <v>0</v>
      </c>
      <c r="N126" s="576"/>
      <c r="O126" s="575">
        <v>3</v>
      </c>
      <c r="P126" s="575">
        <v>9</v>
      </c>
      <c r="Q126" s="575">
        <v>12</v>
      </c>
      <c r="R126" s="575">
        <v>7</v>
      </c>
      <c r="S126" s="576">
        <v>2</v>
      </c>
      <c r="T126" s="576"/>
      <c r="U126" s="575">
        <v>1</v>
      </c>
      <c r="V126" s="575">
        <v>26</v>
      </c>
      <c r="W126" s="575">
        <v>27</v>
      </c>
      <c r="X126" s="575">
        <v>29</v>
      </c>
      <c r="Y126" s="576">
        <v>1</v>
      </c>
    </row>
    <row r="127" spans="1:31" s="579" customFormat="1">
      <c r="A127" s="687" t="s">
        <v>102</v>
      </c>
      <c r="B127" s="566" t="s">
        <v>0</v>
      </c>
      <c r="C127" s="571">
        <f>SUM(C128:C137)</f>
        <v>12</v>
      </c>
      <c r="D127" s="571">
        <f>SUM(D128:D137)</f>
        <v>21</v>
      </c>
      <c r="E127" s="571">
        <f>SUM(E128:E137)</f>
        <v>33</v>
      </c>
      <c r="F127" s="571">
        <f>SUM(F128:F137)</f>
        <v>19</v>
      </c>
      <c r="G127" s="571">
        <f>SUM(G128:G137)</f>
        <v>14</v>
      </c>
      <c r="H127" s="571"/>
      <c r="I127" s="571">
        <f>SUM(I128:I137)</f>
        <v>3</v>
      </c>
      <c r="J127" s="571">
        <f>SUM(J128:J137)</f>
        <v>4</v>
      </c>
      <c r="K127" s="571">
        <f>SUM(K128:K137)</f>
        <v>7</v>
      </c>
      <c r="L127" s="571">
        <f>SUM(L128:L137)</f>
        <v>6</v>
      </c>
      <c r="M127" s="571">
        <f>SUM(M128:M137)</f>
        <v>1</v>
      </c>
      <c r="N127" s="571"/>
      <c r="O127" s="571">
        <f>SUM(O128:O137)</f>
        <v>96</v>
      </c>
      <c r="P127" s="571">
        <f>SUM(P128:P137)</f>
        <v>133</v>
      </c>
      <c r="Q127" s="571">
        <f>SUM(Q128:Q137)</f>
        <v>229</v>
      </c>
      <c r="R127" s="571">
        <f>SUM(R128:R137)</f>
        <v>150</v>
      </c>
      <c r="S127" s="571">
        <f>SUM(S128:S137)</f>
        <v>37</v>
      </c>
      <c r="T127" s="571"/>
      <c r="U127" s="571">
        <f>SUM(U128:U137)</f>
        <v>30</v>
      </c>
      <c r="V127" s="571">
        <f>SUM(V128:V137)</f>
        <v>284</v>
      </c>
      <c r="W127" s="571">
        <f>SUM(W128:W137)</f>
        <v>314</v>
      </c>
      <c r="X127" s="571">
        <f>SUM(X128:X137)</f>
        <v>281</v>
      </c>
      <c r="Y127" s="571">
        <f>SUM(Y128:Y137)</f>
        <v>75</v>
      </c>
      <c r="AA127" s="559"/>
      <c r="AB127" s="559"/>
      <c r="AC127" s="559"/>
      <c r="AD127" s="559"/>
      <c r="AE127" s="559"/>
    </row>
    <row r="128" spans="1:31">
      <c r="A128" s="688" t="s">
        <v>102</v>
      </c>
      <c r="B128" s="568" t="s">
        <v>587</v>
      </c>
      <c r="C128" s="570">
        <v>0</v>
      </c>
      <c r="D128" s="570">
        <v>0</v>
      </c>
      <c r="E128" s="570">
        <v>0</v>
      </c>
      <c r="F128" s="570">
        <v>0</v>
      </c>
      <c r="G128" s="571">
        <v>0</v>
      </c>
      <c r="H128" s="571"/>
      <c r="I128" s="570">
        <v>0</v>
      </c>
      <c r="J128" s="570">
        <v>0</v>
      </c>
      <c r="K128" s="570">
        <v>0</v>
      </c>
      <c r="L128" s="570">
        <v>0</v>
      </c>
      <c r="M128" s="571">
        <v>0</v>
      </c>
      <c r="N128" s="571"/>
      <c r="O128" s="570">
        <v>6</v>
      </c>
      <c r="P128" s="570">
        <v>4</v>
      </c>
      <c r="Q128" s="570">
        <v>10</v>
      </c>
      <c r="R128" s="570">
        <v>5</v>
      </c>
      <c r="S128" s="571">
        <v>1</v>
      </c>
      <c r="T128" s="571"/>
      <c r="U128" s="570">
        <v>2</v>
      </c>
      <c r="V128" s="570">
        <v>11</v>
      </c>
      <c r="W128" s="570">
        <v>13</v>
      </c>
      <c r="X128" s="570">
        <v>14</v>
      </c>
      <c r="Y128" s="571">
        <v>3</v>
      </c>
    </row>
    <row r="129" spans="1:31">
      <c r="A129" s="688" t="s">
        <v>102</v>
      </c>
      <c r="B129" s="568" t="s">
        <v>588</v>
      </c>
      <c r="C129" s="570">
        <v>0</v>
      </c>
      <c r="D129" s="570">
        <v>1</v>
      </c>
      <c r="E129" s="570">
        <v>1</v>
      </c>
      <c r="F129" s="570">
        <v>0</v>
      </c>
      <c r="G129" s="571">
        <v>1</v>
      </c>
      <c r="H129" s="571"/>
      <c r="I129" s="570">
        <v>0</v>
      </c>
      <c r="J129" s="570">
        <v>0</v>
      </c>
      <c r="K129" s="570">
        <v>0</v>
      </c>
      <c r="L129" s="570">
        <v>0</v>
      </c>
      <c r="M129" s="571">
        <v>0</v>
      </c>
      <c r="N129" s="571"/>
      <c r="O129" s="570">
        <v>4</v>
      </c>
      <c r="P129" s="570">
        <v>18</v>
      </c>
      <c r="Q129" s="570">
        <v>22</v>
      </c>
      <c r="R129" s="570">
        <v>16</v>
      </c>
      <c r="S129" s="571">
        <v>2</v>
      </c>
      <c r="T129" s="571"/>
      <c r="U129" s="570">
        <v>2</v>
      </c>
      <c r="V129" s="570">
        <v>16</v>
      </c>
      <c r="W129" s="570">
        <v>18</v>
      </c>
      <c r="X129" s="570">
        <v>17</v>
      </c>
      <c r="Y129" s="571">
        <v>5</v>
      </c>
    </row>
    <row r="130" spans="1:31">
      <c r="A130" s="688" t="s">
        <v>102</v>
      </c>
      <c r="B130" s="568" t="s">
        <v>589</v>
      </c>
      <c r="C130" s="570">
        <v>0</v>
      </c>
      <c r="D130" s="570">
        <v>0</v>
      </c>
      <c r="E130" s="570">
        <v>0</v>
      </c>
      <c r="F130" s="570">
        <v>0</v>
      </c>
      <c r="G130" s="571">
        <v>0</v>
      </c>
      <c r="H130" s="571"/>
      <c r="I130" s="570">
        <v>0</v>
      </c>
      <c r="J130" s="570">
        <v>0</v>
      </c>
      <c r="K130" s="570">
        <v>0</v>
      </c>
      <c r="L130" s="570">
        <v>0</v>
      </c>
      <c r="M130" s="571">
        <v>0</v>
      </c>
      <c r="N130" s="571"/>
      <c r="O130" s="570">
        <v>5</v>
      </c>
      <c r="P130" s="570">
        <v>8</v>
      </c>
      <c r="Q130" s="570">
        <v>13</v>
      </c>
      <c r="R130" s="570">
        <v>5</v>
      </c>
      <c r="S130" s="571">
        <v>5</v>
      </c>
      <c r="T130" s="571"/>
      <c r="U130" s="570">
        <v>3</v>
      </c>
      <c r="V130" s="570">
        <v>11</v>
      </c>
      <c r="W130" s="570">
        <v>14</v>
      </c>
      <c r="X130" s="570">
        <v>14</v>
      </c>
      <c r="Y130" s="571">
        <v>3</v>
      </c>
    </row>
    <row r="131" spans="1:31">
      <c r="A131" s="688" t="s">
        <v>102</v>
      </c>
      <c r="B131" s="568" t="s">
        <v>590</v>
      </c>
      <c r="C131" s="570">
        <v>3</v>
      </c>
      <c r="D131" s="570">
        <v>6</v>
      </c>
      <c r="E131" s="570">
        <v>9</v>
      </c>
      <c r="F131" s="570">
        <v>4</v>
      </c>
      <c r="G131" s="571">
        <v>5</v>
      </c>
      <c r="H131" s="571"/>
      <c r="I131" s="570">
        <v>0</v>
      </c>
      <c r="J131" s="570">
        <v>0</v>
      </c>
      <c r="K131" s="570">
        <v>0</v>
      </c>
      <c r="L131" s="570">
        <v>0</v>
      </c>
      <c r="M131" s="571">
        <v>0</v>
      </c>
      <c r="N131" s="571"/>
      <c r="O131" s="570">
        <v>28</v>
      </c>
      <c r="P131" s="570">
        <v>24</v>
      </c>
      <c r="Q131" s="570">
        <v>52</v>
      </c>
      <c r="R131" s="570">
        <v>28</v>
      </c>
      <c r="S131" s="571">
        <v>16</v>
      </c>
      <c r="T131" s="571"/>
      <c r="U131" s="570">
        <v>1</v>
      </c>
      <c r="V131" s="570">
        <v>46</v>
      </c>
      <c r="W131" s="570">
        <v>47</v>
      </c>
      <c r="X131" s="570">
        <v>37</v>
      </c>
      <c r="Y131" s="571">
        <v>18</v>
      </c>
    </row>
    <row r="132" spans="1:31">
      <c r="A132" s="688" t="s">
        <v>102</v>
      </c>
      <c r="B132" s="568" t="s">
        <v>591</v>
      </c>
      <c r="C132" s="570">
        <v>0</v>
      </c>
      <c r="D132" s="570">
        <v>0</v>
      </c>
      <c r="E132" s="570">
        <v>0</v>
      </c>
      <c r="F132" s="570">
        <v>0</v>
      </c>
      <c r="G132" s="571">
        <v>0</v>
      </c>
      <c r="H132" s="571"/>
      <c r="I132" s="570">
        <v>0</v>
      </c>
      <c r="J132" s="570">
        <v>0</v>
      </c>
      <c r="K132" s="570">
        <v>0</v>
      </c>
      <c r="L132" s="570">
        <v>0</v>
      </c>
      <c r="M132" s="571">
        <v>0</v>
      </c>
      <c r="N132" s="571"/>
      <c r="O132" s="570">
        <v>3</v>
      </c>
      <c r="P132" s="570">
        <v>6</v>
      </c>
      <c r="Q132" s="570">
        <v>9</v>
      </c>
      <c r="R132" s="570">
        <v>6</v>
      </c>
      <c r="S132" s="571">
        <v>1</v>
      </c>
      <c r="T132" s="571"/>
      <c r="U132" s="570">
        <v>2</v>
      </c>
      <c r="V132" s="570">
        <v>13</v>
      </c>
      <c r="W132" s="570">
        <v>15</v>
      </c>
      <c r="X132" s="570">
        <v>14</v>
      </c>
      <c r="Y132" s="571">
        <v>3</v>
      </c>
    </row>
    <row r="133" spans="1:31">
      <c r="A133" s="688" t="s">
        <v>102</v>
      </c>
      <c r="B133" s="568" t="s">
        <v>592</v>
      </c>
      <c r="C133" s="570">
        <v>1</v>
      </c>
      <c r="D133" s="570">
        <v>2</v>
      </c>
      <c r="E133" s="570">
        <v>3</v>
      </c>
      <c r="F133" s="570">
        <v>0</v>
      </c>
      <c r="G133" s="571">
        <v>3</v>
      </c>
      <c r="H133" s="571"/>
      <c r="I133" s="570">
        <v>0</v>
      </c>
      <c r="J133" s="570">
        <v>0</v>
      </c>
      <c r="K133" s="570">
        <v>0</v>
      </c>
      <c r="L133" s="570">
        <v>0</v>
      </c>
      <c r="M133" s="571">
        <v>0</v>
      </c>
      <c r="N133" s="571"/>
      <c r="O133" s="570">
        <v>13</v>
      </c>
      <c r="P133" s="570">
        <v>31</v>
      </c>
      <c r="Q133" s="570">
        <v>44</v>
      </c>
      <c r="R133" s="570">
        <v>33</v>
      </c>
      <c r="S133" s="571">
        <v>4</v>
      </c>
      <c r="T133" s="571"/>
      <c r="U133" s="570">
        <v>5</v>
      </c>
      <c r="V133" s="570">
        <v>37</v>
      </c>
      <c r="W133" s="570">
        <v>42</v>
      </c>
      <c r="X133" s="570">
        <v>41</v>
      </c>
      <c r="Y133" s="571">
        <v>8</v>
      </c>
    </row>
    <row r="134" spans="1:31">
      <c r="A134" s="688" t="s">
        <v>102</v>
      </c>
      <c r="B134" s="568" t="s">
        <v>593</v>
      </c>
      <c r="C134" s="570">
        <v>0</v>
      </c>
      <c r="D134" s="570">
        <v>0</v>
      </c>
      <c r="E134" s="570">
        <v>0</v>
      </c>
      <c r="F134" s="570">
        <v>0</v>
      </c>
      <c r="G134" s="571">
        <v>0</v>
      </c>
      <c r="H134" s="571"/>
      <c r="I134" s="570">
        <v>0</v>
      </c>
      <c r="J134" s="570">
        <v>0</v>
      </c>
      <c r="K134" s="570">
        <v>0</v>
      </c>
      <c r="L134" s="570">
        <v>0</v>
      </c>
      <c r="M134" s="571">
        <v>0</v>
      </c>
      <c r="N134" s="571"/>
      <c r="O134" s="570">
        <v>3</v>
      </c>
      <c r="P134" s="570">
        <v>14</v>
      </c>
      <c r="Q134" s="570">
        <v>17</v>
      </c>
      <c r="R134" s="570">
        <v>14</v>
      </c>
      <c r="S134" s="571">
        <v>2</v>
      </c>
      <c r="T134" s="571"/>
      <c r="U134" s="570">
        <v>5</v>
      </c>
      <c r="V134" s="570">
        <v>16</v>
      </c>
      <c r="W134" s="570">
        <v>21</v>
      </c>
      <c r="X134" s="570">
        <v>17</v>
      </c>
      <c r="Y134" s="571">
        <v>5</v>
      </c>
    </row>
    <row r="135" spans="1:31">
      <c r="A135" s="688" t="s">
        <v>102</v>
      </c>
      <c r="B135" s="568" t="s">
        <v>594</v>
      </c>
      <c r="C135" s="570">
        <v>0</v>
      </c>
      <c r="D135" s="570">
        <v>2</v>
      </c>
      <c r="E135" s="570">
        <v>2</v>
      </c>
      <c r="F135" s="570">
        <v>2</v>
      </c>
      <c r="G135" s="571">
        <v>0</v>
      </c>
      <c r="H135" s="571"/>
      <c r="I135" s="570">
        <v>0</v>
      </c>
      <c r="J135" s="570">
        <v>0</v>
      </c>
      <c r="K135" s="570">
        <v>0</v>
      </c>
      <c r="L135" s="570">
        <v>0</v>
      </c>
      <c r="M135" s="571">
        <v>0</v>
      </c>
      <c r="N135" s="571"/>
      <c r="O135" s="570">
        <v>9</v>
      </c>
      <c r="P135" s="570">
        <v>6</v>
      </c>
      <c r="Q135" s="570">
        <v>15</v>
      </c>
      <c r="R135" s="570">
        <v>10</v>
      </c>
      <c r="S135" s="571">
        <v>2</v>
      </c>
      <c r="T135" s="571"/>
      <c r="U135" s="570">
        <v>3</v>
      </c>
      <c r="V135" s="570">
        <v>33</v>
      </c>
      <c r="W135" s="570">
        <v>36</v>
      </c>
      <c r="X135" s="570">
        <v>29</v>
      </c>
      <c r="Y135" s="571">
        <v>10</v>
      </c>
    </row>
    <row r="136" spans="1:31">
      <c r="A136" s="688" t="s">
        <v>102</v>
      </c>
      <c r="B136" s="568" t="s">
        <v>595</v>
      </c>
      <c r="C136" s="570">
        <v>1</v>
      </c>
      <c r="D136" s="570">
        <v>0</v>
      </c>
      <c r="E136" s="570">
        <v>1</v>
      </c>
      <c r="F136" s="570">
        <v>0</v>
      </c>
      <c r="G136" s="571">
        <v>1</v>
      </c>
      <c r="H136" s="571"/>
      <c r="I136" s="570">
        <v>0</v>
      </c>
      <c r="J136" s="570">
        <v>0</v>
      </c>
      <c r="K136" s="570">
        <v>0</v>
      </c>
      <c r="L136" s="570">
        <v>0</v>
      </c>
      <c r="M136" s="571">
        <v>0</v>
      </c>
      <c r="N136" s="571"/>
      <c r="O136" s="570">
        <v>6</v>
      </c>
      <c r="P136" s="570">
        <v>3</v>
      </c>
      <c r="Q136" s="570">
        <v>9</v>
      </c>
      <c r="R136" s="570">
        <v>6</v>
      </c>
      <c r="S136" s="571">
        <v>2</v>
      </c>
      <c r="T136" s="571"/>
      <c r="U136" s="570">
        <v>0</v>
      </c>
      <c r="V136" s="570">
        <v>12</v>
      </c>
      <c r="W136" s="570">
        <v>12</v>
      </c>
      <c r="X136" s="570">
        <v>10</v>
      </c>
      <c r="Y136" s="571">
        <v>3</v>
      </c>
    </row>
    <row r="137" spans="1:31">
      <c r="A137" s="689" t="s">
        <v>102</v>
      </c>
      <c r="B137" s="574" t="s">
        <v>596</v>
      </c>
      <c r="C137" s="575">
        <v>7</v>
      </c>
      <c r="D137" s="575">
        <v>10</v>
      </c>
      <c r="E137" s="575">
        <v>17</v>
      </c>
      <c r="F137" s="575">
        <v>13</v>
      </c>
      <c r="G137" s="576">
        <v>4</v>
      </c>
      <c r="H137" s="576"/>
      <c r="I137" s="575">
        <v>3</v>
      </c>
      <c r="J137" s="575">
        <v>4</v>
      </c>
      <c r="K137" s="575">
        <v>7</v>
      </c>
      <c r="L137" s="575">
        <v>6</v>
      </c>
      <c r="M137" s="576">
        <v>1</v>
      </c>
      <c r="N137" s="576"/>
      <c r="O137" s="575">
        <v>19</v>
      </c>
      <c r="P137" s="575">
        <v>19</v>
      </c>
      <c r="Q137" s="575">
        <v>38</v>
      </c>
      <c r="R137" s="575">
        <v>27</v>
      </c>
      <c r="S137" s="576">
        <v>2</v>
      </c>
      <c r="T137" s="576"/>
      <c r="U137" s="575">
        <v>7</v>
      </c>
      <c r="V137" s="575">
        <v>89</v>
      </c>
      <c r="W137" s="575">
        <v>96</v>
      </c>
      <c r="X137" s="575">
        <v>88</v>
      </c>
      <c r="Y137" s="576">
        <v>17</v>
      </c>
    </row>
    <row r="138" spans="1:31" s="579" customFormat="1">
      <c r="A138" s="687" t="s">
        <v>103</v>
      </c>
      <c r="B138" s="566" t="s">
        <v>0</v>
      </c>
      <c r="C138" s="571">
        <f>SUM(C139:C143)</f>
        <v>0</v>
      </c>
      <c r="D138" s="571">
        <f>SUM(D139:D143)</f>
        <v>0</v>
      </c>
      <c r="E138" s="571">
        <f>SUM(E139:E143)</f>
        <v>0</v>
      </c>
      <c r="F138" s="571">
        <f>SUM(F139:F143)</f>
        <v>0</v>
      </c>
      <c r="G138" s="571">
        <f>SUM(G139:G143)</f>
        <v>0</v>
      </c>
      <c r="H138" s="571"/>
      <c r="I138" s="571">
        <f>SUM(I139:I143)</f>
        <v>0</v>
      </c>
      <c r="J138" s="571">
        <f>SUM(J139:J143)</f>
        <v>0</v>
      </c>
      <c r="K138" s="571">
        <f>SUM(K139:K143)</f>
        <v>0</v>
      </c>
      <c r="L138" s="571">
        <f>SUM(L139:L143)</f>
        <v>0</v>
      </c>
      <c r="M138" s="571">
        <f>SUM(M139:M143)</f>
        <v>0</v>
      </c>
      <c r="N138" s="571"/>
      <c r="O138" s="571">
        <f>SUM(O139:O143)</f>
        <v>7</v>
      </c>
      <c r="P138" s="571">
        <f>SUM(P139:P143)</f>
        <v>23</v>
      </c>
      <c r="Q138" s="571">
        <f>SUM(Q139:Q143)</f>
        <v>30</v>
      </c>
      <c r="R138" s="571">
        <f>SUM(R139:R143)</f>
        <v>24</v>
      </c>
      <c r="S138" s="571">
        <f>SUM(S139:S143)</f>
        <v>0</v>
      </c>
      <c r="T138" s="571"/>
      <c r="U138" s="571">
        <f>SUM(U139:U143)</f>
        <v>3</v>
      </c>
      <c r="V138" s="571">
        <f>SUM(V139:V143)</f>
        <v>47</v>
      </c>
      <c r="W138" s="571">
        <f>SUM(W139:W143)</f>
        <v>50</v>
      </c>
      <c r="X138" s="571">
        <f>SUM(X139:X143)</f>
        <v>43</v>
      </c>
      <c r="Y138" s="571">
        <f>SUM(Y139:Y143)</f>
        <v>13</v>
      </c>
      <c r="AA138" s="559"/>
      <c r="AB138" s="559"/>
      <c r="AC138" s="559"/>
      <c r="AD138" s="559"/>
      <c r="AE138" s="559"/>
    </row>
    <row r="139" spans="1:31">
      <c r="A139" s="567" t="s">
        <v>103</v>
      </c>
      <c r="B139" s="568" t="s">
        <v>597</v>
      </c>
      <c r="C139" s="570">
        <v>0</v>
      </c>
      <c r="D139" s="570">
        <v>0</v>
      </c>
      <c r="E139" s="570">
        <v>0</v>
      </c>
      <c r="F139" s="570">
        <v>0</v>
      </c>
      <c r="G139" s="571">
        <v>0</v>
      </c>
      <c r="H139" s="571"/>
      <c r="I139" s="570">
        <v>0</v>
      </c>
      <c r="J139" s="570">
        <v>0</v>
      </c>
      <c r="K139" s="570">
        <v>0</v>
      </c>
      <c r="L139" s="570">
        <v>0</v>
      </c>
      <c r="M139" s="571">
        <v>0</v>
      </c>
      <c r="N139" s="571"/>
      <c r="O139" s="570">
        <v>0</v>
      </c>
      <c r="P139" s="570">
        <v>4</v>
      </c>
      <c r="Q139" s="570">
        <v>4</v>
      </c>
      <c r="R139" s="570">
        <v>4</v>
      </c>
      <c r="S139" s="571">
        <v>0</v>
      </c>
      <c r="T139" s="571"/>
      <c r="U139" s="570">
        <v>1</v>
      </c>
      <c r="V139" s="570">
        <v>8</v>
      </c>
      <c r="W139" s="570">
        <v>9</v>
      </c>
      <c r="X139" s="570">
        <v>9</v>
      </c>
      <c r="Y139" s="571">
        <v>0</v>
      </c>
    </row>
    <row r="140" spans="1:31">
      <c r="A140" s="567" t="s">
        <v>103</v>
      </c>
      <c r="B140" s="568" t="s">
        <v>598</v>
      </c>
      <c r="C140" s="570">
        <v>0</v>
      </c>
      <c r="D140" s="570">
        <v>0</v>
      </c>
      <c r="E140" s="570">
        <v>0</v>
      </c>
      <c r="F140" s="570">
        <v>0</v>
      </c>
      <c r="G140" s="571">
        <v>0</v>
      </c>
      <c r="H140" s="571"/>
      <c r="I140" s="570">
        <v>0</v>
      </c>
      <c r="J140" s="570">
        <v>0</v>
      </c>
      <c r="K140" s="570">
        <v>0</v>
      </c>
      <c r="L140" s="570">
        <v>0</v>
      </c>
      <c r="M140" s="571">
        <v>0</v>
      </c>
      <c r="N140" s="571"/>
      <c r="O140" s="570">
        <v>1</v>
      </c>
      <c r="P140" s="570">
        <v>2</v>
      </c>
      <c r="Q140" s="570">
        <v>3</v>
      </c>
      <c r="R140" s="570">
        <v>3</v>
      </c>
      <c r="S140" s="571">
        <v>0</v>
      </c>
      <c r="T140" s="571"/>
      <c r="U140" s="570">
        <v>0</v>
      </c>
      <c r="V140" s="570">
        <v>0</v>
      </c>
      <c r="W140" s="570">
        <v>0</v>
      </c>
      <c r="X140" s="570">
        <v>0</v>
      </c>
      <c r="Y140" s="571">
        <v>0</v>
      </c>
    </row>
    <row r="141" spans="1:31">
      <c r="A141" s="567" t="s">
        <v>103</v>
      </c>
      <c r="B141" s="568" t="s">
        <v>599</v>
      </c>
      <c r="C141" s="570">
        <v>0</v>
      </c>
      <c r="D141" s="570">
        <v>0</v>
      </c>
      <c r="E141" s="570">
        <v>0</v>
      </c>
      <c r="F141" s="570">
        <v>0</v>
      </c>
      <c r="G141" s="571">
        <v>0</v>
      </c>
      <c r="H141" s="571"/>
      <c r="I141" s="570">
        <v>0</v>
      </c>
      <c r="J141" s="570">
        <v>0</v>
      </c>
      <c r="K141" s="570">
        <v>0</v>
      </c>
      <c r="L141" s="570">
        <v>0</v>
      </c>
      <c r="M141" s="571">
        <v>0</v>
      </c>
      <c r="N141" s="571"/>
      <c r="O141" s="570">
        <v>3</v>
      </c>
      <c r="P141" s="570">
        <v>3</v>
      </c>
      <c r="Q141" s="570">
        <v>6</v>
      </c>
      <c r="R141" s="570">
        <v>4</v>
      </c>
      <c r="S141" s="571">
        <v>0</v>
      </c>
      <c r="T141" s="571"/>
      <c r="U141" s="570">
        <v>0</v>
      </c>
      <c r="V141" s="570">
        <v>17</v>
      </c>
      <c r="W141" s="570">
        <v>17</v>
      </c>
      <c r="X141" s="570">
        <v>14</v>
      </c>
      <c r="Y141" s="571">
        <v>5</v>
      </c>
    </row>
    <row r="142" spans="1:31">
      <c r="A142" s="567" t="s">
        <v>103</v>
      </c>
      <c r="B142" s="568" t="s">
        <v>600</v>
      </c>
      <c r="C142" s="570">
        <v>0</v>
      </c>
      <c r="D142" s="570">
        <v>0</v>
      </c>
      <c r="E142" s="570">
        <v>0</v>
      </c>
      <c r="F142" s="570">
        <v>0</v>
      </c>
      <c r="G142" s="571">
        <v>0</v>
      </c>
      <c r="H142" s="571"/>
      <c r="I142" s="570">
        <v>0</v>
      </c>
      <c r="J142" s="570">
        <v>0</v>
      </c>
      <c r="K142" s="570">
        <v>0</v>
      </c>
      <c r="L142" s="570">
        <v>0</v>
      </c>
      <c r="M142" s="571">
        <v>0</v>
      </c>
      <c r="N142" s="571"/>
      <c r="O142" s="570">
        <v>3</v>
      </c>
      <c r="P142" s="570">
        <v>9</v>
      </c>
      <c r="Q142" s="570">
        <v>12</v>
      </c>
      <c r="R142" s="570">
        <v>8</v>
      </c>
      <c r="S142" s="571">
        <v>0</v>
      </c>
      <c r="T142" s="571"/>
      <c r="U142" s="570">
        <v>2</v>
      </c>
      <c r="V142" s="570">
        <v>13</v>
      </c>
      <c r="W142" s="570">
        <v>15</v>
      </c>
      <c r="X142" s="570">
        <v>18</v>
      </c>
      <c r="Y142" s="571">
        <v>1</v>
      </c>
    </row>
    <row r="143" spans="1:31">
      <c r="A143" s="573" t="s">
        <v>103</v>
      </c>
      <c r="B143" s="574" t="s">
        <v>601</v>
      </c>
      <c r="C143" s="575">
        <v>0</v>
      </c>
      <c r="D143" s="575">
        <v>0</v>
      </c>
      <c r="E143" s="575">
        <v>0</v>
      </c>
      <c r="F143" s="575">
        <v>0</v>
      </c>
      <c r="G143" s="576">
        <v>0</v>
      </c>
      <c r="H143" s="576"/>
      <c r="I143" s="575">
        <v>0</v>
      </c>
      <c r="J143" s="575">
        <v>0</v>
      </c>
      <c r="K143" s="575">
        <v>0</v>
      </c>
      <c r="L143" s="575">
        <v>0</v>
      </c>
      <c r="M143" s="576">
        <v>0</v>
      </c>
      <c r="N143" s="576"/>
      <c r="O143" s="575">
        <v>0</v>
      </c>
      <c r="P143" s="575">
        <v>5</v>
      </c>
      <c r="Q143" s="575">
        <v>5</v>
      </c>
      <c r="R143" s="575">
        <v>5</v>
      </c>
      <c r="S143" s="576">
        <v>0</v>
      </c>
      <c r="T143" s="576"/>
      <c r="U143" s="575">
        <v>0</v>
      </c>
      <c r="V143" s="575">
        <v>9</v>
      </c>
      <c r="W143" s="575">
        <v>9</v>
      </c>
      <c r="X143" s="575">
        <v>2</v>
      </c>
      <c r="Y143" s="576">
        <v>7</v>
      </c>
    </row>
    <row r="144" spans="1:31" s="579" customFormat="1">
      <c r="A144" s="687" t="s">
        <v>104</v>
      </c>
      <c r="B144" s="566" t="s">
        <v>0</v>
      </c>
      <c r="C144" s="571">
        <f>SUM(C145:C152)</f>
        <v>23</v>
      </c>
      <c r="D144" s="571">
        <f>SUM(D145:D152)</f>
        <v>5</v>
      </c>
      <c r="E144" s="571">
        <f>SUM(E145:E152)</f>
        <v>28</v>
      </c>
      <c r="F144" s="571">
        <f>SUM(F145:F152)</f>
        <v>20</v>
      </c>
      <c r="G144" s="571">
        <f>SUM(G145:G152)</f>
        <v>8</v>
      </c>
      <c r="H144" s="571"/>
      <c r="I144" s="571">
        <f>SUM(I145:I152)</f>
        <v>0</v>
      </c>
      <c r="J144" s="571">
        <f>SUM(J145:J152)</f>
        <v>0</v>
      </c>
      <c r="K144" s="571">
        <f>SUM(K145:K152)</f>
        <v>0</v>
      </c>
      <c r="L144" s="571">
        <f>SUM(L145:L152)</f>
        <v>0</v>
      </c>
      <c r="M144" s="571">
        <f>SUM(M145:M152)</f>
        <v>0</v>
      </c>
      <c r="N144" s="571"/>
      <c r="O144" s="571">
        <f>SUM(O145:O152)</f>
        <v>26</v>
      </c>
      <c r="P144" s="571">
        <f>SUM(P145:P152)</f>
        <v>52</v>
      </c>
      <c r="Q144" s="571">
        <f>SUM(Q145:Q152)</f>
        <v>78</v>
      </c>
      <c r="R144" s="571">
        <f>SUM(R145:R152)</f>
        <v>50</v>
      </c>
      <c r="S144" s="571">
        <f>SUM(S145:S152)</f>
        <v>16</v>
      </c>
      <c r="T144" s="571"/>
      <c r="U144" s="571">
        <f>SUM(U145:U152)</f>
        <v>16</v>
      </c>
      <c r="V144" s="571">
        <f>SUM(V145:V152)</f>
        <v>130</v>
      </c>
      <c r="W144" s="571">
        <f>SUM(W145:W152)</f>
        <v>146</v>
      </c>
      <c r="X144" s="571">
        <f>SUM(X145:X152)</f>
        <v>136</v>
      </c>
      <c r="Y144" s="571">
        <f>SUM(Y145:Y152)</f>
        <v>22</v>
      </c>
      <c r="AA144" s="559"/>
      <c r="AB144" s="559"/>
      <c r="AC144" s="559"/>
      <c r="AD144" s="559"/>
      <c r="AE144" s="559"/>
    </row>
    <row r="145" spans="1:31">
      <c r="A145" s="567" t="s">
        <v>104</v>
      </c>
      <c r="B145" s="568" t="s">
        <v>602</v>
      </c>
      <c r="C145" s="570">
        <v>0</v>
      </c>
      <c r="D145" s="570">
        <v>0</v>
      </c>
      <c r="E145" s="570">
        <v>0</v>
      </c>
      <c r="F145" s="570">
        <v>0</v>
      </c>
      <c r="G145" s="571">
        <v>0</v>
      </c>
      <c r="H145" s="571"/>
      <c r="I145" s="570">
        <v>0</v>
      </c>
      <c r="J145" s="570">
        <v>0</v>
      </c>
      <c r="K145" s="570">
        <v>0</v>
      </c>
      <c r="L145" s="570">
        <v>0</v>
      </c>
      <c r="M145" s="571">
        <v>0</v>
      </c>
      <c r="N145" s="571"/>
      <c r="O145" s="570">
        <v>0</v>
      </c>
      <c r="P145" s="570">
        <v>0</v>
      </c>
      <c r="Q145" s="570">
        <v>0</v>
      </c>
      <c r="R145" s="570">
        <v>0</v>
      </c>
      <c r="S145" s="571">
        <v>0</v>
      </c>
      <c r="T145" s="571"/>
      <c r="U145" s="570">
        <v>0</v>
      </c>
      <c r="V145" s="570">
        <v>2</v>
      </c>
      <c r="W145" s="570">
        <v>2</v>
      </c>
      <c r="X145" s="570">
        <v>2</v>
      </c>
      <c r="Y145" s="571">
        <v>0</v>
      </c>
    </row>
    <row r="146" spans="1:31">
      <c r="A146" s="567" t="s">
        <v>104</v>
      </c>
      <c r="B146" s="568" t="s">
        <v>603</v>
      </c>
      <c r="C146" s="570">
        <v>1</v>
      </c>
      <c r="D146" s="570">
        <v>0</v>
      </c>
      <c r="E146" s="570">
        <v>1</v>
      </c>
      <c r="F146" s="570">
        <v>1</v>
      </c>
      <c r="G146" s="571">
        <v>0</v>
      </c>
      <c r="H146" s="571"/>
      <c r="I146" s="570">
        <v>0</v>
      </c>
      <c r="J146" s="570">
        <v>0</v>
      </c>
      <c r="K146" s="570">
        <v>0</v>
      </c>
      <c r="L146" s="570">
        <v>0</v>
      </c>
      <c r="M146" s="571">
        <v>0</v>
      </c>
      <c r="N146" s="571"/>
      <c r="O146" s="570">
        <v>0</v>
      </c>
      <c r="P146" s="570">
        <v>2</v>
      </c>
      <c r="Q146" s="570">
        <v>2</v>
      </c>
      <c r="R146" s="570">
        <v>0</v>
      </c>
      <c r="S146" s="571">
        <v>1</v>
      </c>
      <c r="T146" s="571"/>
      <c r="U146" s="570">
        <v>0</v>
      </c>
      <c r="V146" s="570">
        <v>5</v>
      </c>
      <c r="W146" s="570">
        <v>5</v>
      </c>
      <c r="X146" s="570">
        <v>4</v>
      </c>
      <c r="Y146" s="571">
        <v>2</v>
      </c>
    </row>
    <row r="147" spans="1:31">
      <c r="A147" s="567" t="s">
        <v>104</v>
      </c>
      <c r="B147" s="568" t="s">
        <v>604</v>
      </c>
      <c r="C147" s="570">
        <v>10</v>
      </c>
      <c r="D147" s="570">
        <v>1</v>
      </c>
      <c r="E147" s="570">
        <v>11</v>
      </c>
      <c r="F147" s="570">
        <v>9</v>
      </c>
      <c r="G147" s="571">
        <v>2</v>
      </c>
      <c r="H147" s="571"/>
      <c r="I147" s="570">
        <v>0</v>
      </c>
      <c r="J147" s="570">
        <v>0</v>
      </c>
      <c r="K147" s="570">
        <v>0</v>
      </c>
      <c r="L147" s="570">
        <v>0</v>
      </c>
      <c r="M147" s="571">
        <v>0</v>
      </c>
      <c r="N147" s="571"/>
      <c r="O147" s="570">
        <v>6</v>
      </c>
      <c r="P147" s="570">
        <v>15</v>
      </c>
      <c r="Q147" s="570">
        <v>21</v>
      </c>
      <c r="R147" s="570">
        <v>15</v>
      </c>
      <c r="S147" s="571">
        <v>1</v>
      </c>
      <c r="T147" s="571"/>
      <c r="U147" s="570">
        <v>7</v>
      </c>
      <c r="V147" s="570">
        <v>41</v>
      </c>
      <c r="W147" s="570">
        <v>48</v>
      </c>
      <c r="X147" s="570">
        <v>51</v>
      </c>
      <c r="Y147" s="571">
        <v>2</v>
      </c>
    </row>
    <row r="148" spans="1:31">
      <c r="A148" s="567" t="s">
        <v>104</v>
      </c>
      <c r="B148" s="568" t="s">
        <v>605</v>
      </c>
      <c r="C148" s="570">
        <v>0</v>
      </c>
      <c r="D148" s="570">
        <v>0</v>
      </c>
      <c r="E148" s="570">
        <v>0</v>
      </c>
      <c r="F148" s="570">
        <v>0</v>
      </c>
      <c r="G148" s="571">
        <v>0</v>
      </c>
      <c r="H148" s="571"/>
      <c r="I148" s="570">
        <v>0</v>
      </c>
      <c r="J148" s="570">
        <v>0</v>
      </c>
      <c r="K148" s="570">
        <v>0</v>
      </c>
      <c r="L148" s="570">
        <v>0</v>
      </c>
      <c r="M148" s="571">
        <v>0</v>
      </c>
      <c r="N148" s="571"/>
      <c r="O148" s="570">
        <v>0</v>
      </c>
      <c r="P148" s="570">
        <v>1</v>
      </c>
      <c r="Q148" s="570">
        <v>1</v>
      </c>
      <c r="R148" s="570">
        <v>1</v>
      </c>
      <c r="S148" s="571">
        <v>0</v>
      </c>
      <c r="T148" s="571"/>
      <c r="U148" s="570">
        <v>0</v>
      </c>
      <c r="V148" s="570">
        <v>5</v>
      </c>
      <c r="W148" s="570">
        <v>5</v>
      </c>
      <c r="X148" s="570">
        <v>4</v>
      </c>
      <c r="Y148" s="571">
        <v>1</v>
      </c>
    </row>
    <row r="149" spans="1:31">
      <c r="A149" s="567" t="s">
        <v>104</v>
      </c>
      <c r="B149" s="568" t="s">
        <v>606</v>
      </c>
      <c r="C149" s="570">
        <v>4</v>
      </c>
      <c r="D149" s="570">
        <v>0</v>
      </c>
      <c r="E149" s="570">
        <v>4</v>
      </c>
      <c r="F149" s="570">
        <v>4</v>
      </c>
      <c r="G149" s="571">
        <v>0</v>
      </c>
      <c r="H149" s="571"/>
      <c r="I149" s="570">
        <v>0</v>
      </c>
      <c r="J149" s="570">
        <v>0</v>
      </c>
      <c r="K149" s="570">
        <v>0</v>
      </c>
      <c r="L149" s="570">
        <v>0</v>
      </c>
      <c r="M149" s="571">
        <v>0</v>
      </c>
      <c r="N149" s="571"/>
      <c r="O149" s="570">
        <v>6</v>
      </c>
      <c r="P149" s="570">
        <v>24</v>
      </c>
      <c r="Q149" s="570">
        <v>30</v>
      </c>
      <c r="R149" s="570">
        <v>17</v>
      </c>
      <c r="S149" s="571">
        <v>9</v>
      </c>
      <c r="T149" s="571"/>
      <c r="U149" s="570">
        <v>3</v>
      </c>
      <c r="V149" s="570">
        <v>36</v>
      </c>
      <c r="W149" s="570">
        <v>39</v>
      </c>
      <c r="X149" s="570">
        <v>35</v>
      </c>
      <c r="Y149" s="571">
        <v>8</v>
      </c>
    </row>
    <row r="150" spans="1:31">
      <c r="A150" s="567" t="s">
        <v>104</v>
      </c>
      <c r="B150" s="568" t="s">
        <v>607</v>
      </c>
      <c r="C150" s="570">
        <v>3</v>
      </c>
      <c r="D150" s="570">
        <v>0</v>
      </c>
      <c r="E150" s="570">
        <v>3</v>
      </c>
      <c r="F150" s="570">
        <v>2</v>
      </c>
      <c r="G150" s="571">
        <v>1</v>
      </c>
      <c r="H150" s="571"/>
      <c r="I150" s="570">
        <v>0</v>
      </c>
      <c r="J150" s="570">
        <v>0</v>
      </c>
      <c r="K150" s="570">
        <v>0</v>
      </c>
      <c r="L150" s="570">
        <v>0</v>
      </c>
      <c r="M150" s="571">
        <v>0</v>
      </c>
      <c r="N150" s="571"/>
      <c r="O150" s="570">
        <v>10</v>
      </c>
      <c r="P150" s="570">
        <v>0</v>
      </c>
      <c r="Q150" s="570">
        <v>10</v>
      </c>
      <c r="R150" s="570">
        <v>10</v>
      </c>
      <c r="S150" s="571">
        <v>0</v>
      </c>
      <c r="T150" s="571"/>
      <c r="U150" s="570">
        <v>2</v>
      </c>
      <c r="V150" s="570">
        <v>6</v>
      </c>
      <c r="W150" s="570">
        <v>8</v>
      </c>
      <c r="X150" s="570">
        <v>8</v>
      </c>
      <c r="Y150" s="571">
        <v>0</v>
      </c>
    </row>
    <row r="151" spans="1:31">
      <c r="A151" s="567" t="s">
        <v>104</v>
      </c>
      <c r="B151" s="568" t="s">
        <v>548</v>
      </c>
      <c r="C151" s="570">
        <v>0</v>
      </c>
      <c r="D151" s="570">
        <v>0</v>
      </c>
      <c r="E151" s="570">
        <v>0</v>
      </c>
      <c r="F151" s="570">
        <v>0</v>
      </c>
      <c r="G151" s="571">
        <v>0</v>
      </c>
      <c r="H151" s="571"/>
      <c r="I151" s="570">
        <v>0</v>
      </c>
      <c r="J151" s="570">
        <v>0</v>
      </c>
      <c r="K151" s="570">
        <v>0</v>
      </c>
      <c r="L151" s="570">
        <v>0</v>
      </c>
      <c r="M151" s="571">
        <v>0</v>
      </c>
      <c r="N151" s="571"/>
      <c r="O151" s="570">
        <v>1</v>
      </c>
      <c r="P151" s="570">
        <v>4</v>
      </c>
      <c r="Q151" s="570">
        <v>5</v>
      </c>
      <c r="R151" s="570">
        <v>2</v>
      </c>
      <c r="S151" s="571">
        <v>3</v>
      </c>
      <c r="T151" s="571"/>
      <c r="U151" s="570">
        <v>0</v>
      </c>
      <c r="V151" s="570">
        <v>8</v>
      </c>
      <c r="W151" s="570">
        <v>8</v>
      </c>
      <c r="X151" s="570">
        <v>6</v>
      </c>
      <c r="Y151" s="571">
        <v>2</v>
      </c>
    </row>
    <row r="152" spans="1:31">
      <c r="A152" s="573" t="s">
        <v>104</v>
      </c>
      <c r="B152" s="574" t="s">
        <v>608</v>
      </c>
      <c r="C152" s="575">
        <v>5</v>
      </c>
      <c r="D152" s="575">
        <v>4</v>
      </c>
      <c r="E152" s="575">
        <v>9</v>
      </c>
      <c r="F152" s="575">
        <v>4</v>
      </c>
      <c r="G152" s="576">
        <v>5</v>
      </c>
      <c r="H152" s="576"/>
      <c r="I152" s="575">
        <v>0</v>
      </c>
      <c r="J152" s="575">
        <v>0</v>
      </c>
      <c r="K152" s="575">
        <v>0</v>
      </c>
      <c r="L152" s="575">
        <v>0</v>
      </c>
      <c r="M152" s="576">
        <v>0</v>
      </c>
      <c r="N152" s="576"/>
      <c r="O152" s="575">
        <v>3</v>
      </c>
      <c r="P152" s="575">
        <v>6</v>
      </c>
      <c r="Q152" s="575">
        <v>9</v>
      </c>
      <c r="R152" s="575">
        <v>5</v>
      </c>
      <c r="S152" s="576">
        <v>2</v>
      </c>
      <c r="T152" s="576"/>
      <c r="U152" s="575">
        <v>4</v>
      </c>
      <c r="V152" s="575">
        <v>27</v>
      </c>
      <c r="W152" s="575">
        <v>31</v>
      </c>
      <c r="X152" s="575">
        <v>26</v>
      </c>
      <c r="Y152" s="576">
        <v>7</v>
      </c>
    </row>
    <row r="153" spans="1:31" s="579" customFormat="1">
      <c r="A153" s="687" t="s">
        <v>105</v>
      </c>
      <c r="B153" s="566" t="s">
        <v>0</v>
      </c>
      <c r="C153" s="571">
        <f>SUM(C154:C158)</f>
        <v>12</v>
      </c>
      <c r="D153" s="571">
        <f>SUM(D154:D158)</f>
        <v>4</v>
      </c>
      <c r="E153" s="571">
        <f>SUM(E154:E158)</f>
        <v>16</v>
      </c>
      <c r="F153" s="571">
        <f>SUM(F154:F158)</f>
        <v>11</v>
      </c>
      <c r="G153" s="571">
        <f>SUM(G154:G158)</f>
        <v>5</v>
      </c>
      <c r="H153" s="571"/>
      <c r="I153" s="571">
        <f>SUM(I154:I158)</f>
        <v>0</v>
      </c>
      <c r="J153" s="571">
        <f>SUM(J154:J158)</f>
        <v>0</v>
      </c>
      <c r="K153" s="571">
        <f>SUM(K154:K158)</f>
        <v>0</v>
      </c>
      <c r="L153" s="571">
        <f>SUM(L154:L158)</f>
        <v>0</v>
      </c>
      <c r="M153" s="571">
        <f>SUM(M154:M158)</f>
        <v>0</v>
      </c>
      <c r="N153" s="571"/>
      <c r="O153" s="571">
        <f>SUM(O154:O158)</f>
        <v>22</v>
      </c>
      <c r="P153" s="571">
        <f>SUM(P154:P158)</f>
        <v>53</v>
      </c>
      <c r="Q153" s="571">
        <f>SUM(Q154:Q158)</f>
        <v>75</v>
      </c>
      <c r="R153" s="571">
        <f>SUM(R154:R158)</f>
        <v>43</v>
      </c>
      <c r="S153" s="571">
        <f>SUM(S154:S158)</f>
        <v>22</v>
      </c>
      <c r="T153" s="571"/>
      <c r="U153" s="571">
        <f>SUM(U154:U158)</f>
        <v>16</v>
      </c>
      <c r="V153" s="571">
        <f>SUM(V154:V158)</f>
        <v>129</v>
      </c>
      <c r="W153" s="571">
        <f>SUM(W154:W158)</f>
        <v>145</v>
      </c>
      <c r="X153" s="571">
        <f>SUM(X154:X158)</f>
        <v>119</v>
      </c>
      <c r="Y153" s="571">
        <f>SUM(Y154:Y158)</f>
        <v>36</v>
      </c>
      <c r="AA153" s="559"/>
      <c r="AB153" s="559"/>
      <c r="AC153" s="559"/>
      <c r="AD153" s="559"/>
      <c r="AE153" s="559"/>
    </row>
    <row r="154" spans="1:31">
      <c r="A154" s="567" t="s">
        <v>105</v>
      </c>
      <c r="B154" s="568" t="s">
        <v>609</v>
      </c>
      <c r="C154" s="570">
        <v>5</v>
      </c>
      <c r="D154" s="570">
        <v>0</v>
      </c>
      <c r="E154" s="570">
        <v>5</v>
      </c>
      <c r="F154" s="570">
        <v>3</v>
      </c>
      <c r="G154" s="571">
        <v>2</v>
      </c>
      <c r="H154" s="571"/>
      <c r="I154" s="570">
        <v>0</v>
      </c>
      <c r="J154" s="570">
        <v>0</v>
      </c>
      <c r="K154" s="570">
        <v>0</v>
      </c>
      <c r="L154" s="570">
        <v>0</v>
      </c>
      <c r="M154" s="571">
        <v>0</v>
      </c>
      <c r="N154" s="571"/>
      <c r="O154" s="570">
        <v>4</v>
      </c>
      <c r="P154" s="570">
        <v>10</v>
      </c>
      <c r="Q154" s="570">
        <v>14</v>
      </c>
      <c r="R154" s="570">
        <v>7</v>
      </c>
      <c r="S154" s="571">
        <v>6</v>
      </c>
      <c r="T154" s="571"/>
      <c r="U154" s="570">
        <v>6</v>
      </c>
      <c r="V154" s="570">
        <v>37</v>
      </c>
      <c r="W154" s="570">
        <v>43</v>
      </c>
      <c r="X154" s="570">
        <v>33</v>
      </c>
      <c r="Y154" s="571">
        <v>11</v>
      </c>
    </row>
    <row r="155" spans="1:31">
      <c r="A155" s="567" t="s">
        <v>105</v>
      </c>
      <c r="B155" s="568" t="s">
        <v>610</v>
      </c>
      <c r="C155" s="570">
        <v>0</v>
      </c>
      <c r="D155" s="570">
        <v>2</v>
      </c>
      <c r="E155" s="570">
        <v>2</v>
      </c>
      <c r="F155" s="570">
        <v>1</v>
      </c>
      <c r="G155" s="571">
        <v>1</v>
      </c>
      <c r="H155" s="571"/>
      <c r="I155" s="570">
        <v>0</v>
      </c>
      <c r="J155" s="570">
        <v>0</v>
      </c>
      <c r="K155" s="570">
        <v>0</v>
      </c>
      <c r="L155" s="570">
        <v>0</v>
      </c>
      <c r="M155" s="571">
        <v>0</v>
      </c>
      <c r="N155" s="571"/>
      <c r="O155" s="570">
        <v>6</v>
      </c>
      <c r="P155" s="570">
        <v>13</v>
      </c>
      <c r="Q155" s="570">
        <v>19</v>
      </c>
      <c r="R155" s="570">
        <v>10</v>
      </c>
      <c r="S155" s="571">
        <v>5</v>
      </c>
      <c r="T155" s="571"/>
      <c r="U155" s="570">
        <v>1</v>
      </c>
      <c r="V155" s="570">
        <v>32</v>
      </c>
      <c r="W155" s="570">
        <v>33</v>
      </c>
      <c r="X155" s="570">
        <v>26</v>
      </c>
      <c r="Y155" s="571">
        <v>11</v>
      </c>
    </row>
    <row r="156" spans="1:31">
      <c r="A156" s="567" t="s">
        <v>105</v>
      </c>
      <c r="B156" s="568" t="s">
        <v>533</v>
      </c>
      <c r="C156" s="570">
        <v>0</v>
      </c>
      <c r="D156" s="570">
        <v>0</v>
      </c>
      <c r="E156" s="570">
        <v>0</v>
      </c>
      <c r="F156" s="570">
        <v>0</v>
      </c>
      <c r="G156" s="571">
        <v>0</v>
      </c>
      <c r="H156" s="571"/>
      <c r="I156" s="570">
        <v>0</v>
      </c>
      <c r="J156" s="570">
        <v>0</v>
      </c>
      <c r="K156" s="570">
        <v>0</v>
      </c>
      <c r="L156" s="570">
        <v>0</v>
      </c>
      <c r="M156" s="571">
        <v>0</v>
      </c>
      <c r="N156" s="571"/>
      <c r="O156" s="570">
        <v>5</v>
      </c>
      <c r="P156" s="570">
        <v>3</v>
      </c>
      <c r="Q156" s="570">
        <v>8</v>
      </c>
      <c r="R156" s="570">
        <v>4</v>
      </c>
      <c r="S156" s="571">
        <v>1</v>
      </c>
      <c r="T156" s="571"/>
      <c r="U156" s="570">
        <v>2</v>
      </c>
      <c r="V156" s="570">
        <v>5</v>
      </c>
      <c r="W156" s="570">
        <v>7</v>
      </c>
      <c r="X156" s="570">
        <v>7</v>
      </c>
      <c r="Y156" s="571">
        <v>3</v>
      </c>
    </row>
    <row r="157" spans="1:31">
      <c r="A157" s="567" t="s">
        <v>105</v>
      </c>
      <c r="B157" s="568" t="s">
        <v>611</v>
      </c>
      <c r="C157" s="570">
        <v>2</v>
      </c>
      <c r="D157" s="570">
        <v>2</v>
      </c>
      <c r="E157" s="570">
        <v>4</v>
      </c>
      <c r="F157" s="570">
        <v>2</v>
      </c>
      <c r="G157" s="571">
        <v>2</v>
      </c>
      <c r="H157" s="571"/>
      <c r="I157" s="570">
        <v>0</v>
      </c>
      <c r="J157" s="570">
        <v>0</v>
      </c>
      <c r="K157" s="570">
        <v>0</v>
      </c>
      <c r="L157" s="570">
        <v>0</v>
      </c>
      <c r="M157" s="571">
        <v>0</v>
      </c>
      <c r="N157" s="571"/>
      <c r="O157" s="570">
        <v>2</v>
      </c>
      <c r="P157" s="570">
        <v>0</v>
      </c>
      <c r="Q157" s="570">
        <v>2</v>
      </c>
      <c r="R157" s="570">
        <v>2</v>
      </c>
      <c r="S157" s="571">
        <v>0</v>
      </c>
      <c r="T157" s="571"/>
      <c r="U157" s="570">
        <v>3</v>
      </c>
      <c r="V157" s="570">
        <v>11</v>
      </c>
      <c r="W157" s="570">
        <v>14</v>
      </c>
      <c r="X157" s="570">
        <v>9</v>
      </c>
      <c r="Y157" s="571">
        <v>5</v>
      </c>
    </row>
    <row r="158" spans="1:31">
      <c r="A158" s="573" t="s">
        <v>105</v>
      </c>
      <c r="B158" s="574" t="s">
        <v>612</v>
      </c>
      <c r="C158" s="575">
        <v>5</v>
      </c>
      <c r="D158" s="575">
        <v>0</v>
      </c>
      <c r="E158" s="575">
        <v>5</v>
      </c>
      <c r="F158" s="575">
        <v>5</v>
      </c>
      <c r="G158" s="576">
        <v>0</v>
      </c>
      <c r="H158" s="576"/>
      <c r="I158" s="575">
        <v>0</v>
      </c>
      <c r="J158" s="575">
        <v>0</v>
      </c>
      <c r="K158" s="575">
        <v>0</v>
      </c>
      <c r="L158" s="575">
        <v>0</v>
      </c>
      <c r="M158" s="576">
        <v>0</v>
      </c>
      <c r="N158" s="576"/>
      <c r="O158" s="575">
        <v>5</v>
      </c>
      <c r="P158" s="575">
        <v>27</v>
      </c>
      <c r="Q158" s="575">
        <v>32</v>
      </c>
      <c r="R158" s="575">
        <v>20</v>
      </c>
      <c r="S158" s="576">
        <v>10</v>
      </c>
      <c r="T158" s="576"/>
      <c r="U158" s="575">
        <v>4</v>
      </c>
      <c r="V158" s="575">
        <v>44</v>
      </c>
      <c r="W158" s="575">
        <v>48</v>
      </c>
      <c r="X158" s="575">
        <v>44</v>
      </c>
      <c r="Y158" s="576">
        <v>6</v>
      </c>
    </row>
    <row r="159" spans="1:31" s="579" customFormat="1">
      <c r="A159" s="687" t="s">
        <v>106</v>
      </c>
      <c r="B159" s="566" t="s">
        <v>0</v>
      </c>
      <c r="C159" s="571">
        <f>SUM(C160:C165)</f>
        <v>4</v>
      </c>
      <c r="D159" s="571">
        <f>SUM(D160:D165)</f>
        <v>4</v>
      </c>
      <c r="E159" s="571">
        <f>SUM(E160:E165)</f>
        <v>8</v>
      </c>
      <c r="F159" s="571">
        <f>SUM(F160:F165)</f>
        <v>5</v>
      </c>
      <c r="G159" s="571">
        <f>SUM(G160:G165)</f>
        <v>3</v>
      </c>
      <c r="H159" s="571"/>
      <c r="I159" s="571">
        <f>SUM(I160:I165)</f>
        <v>0</v>
      </c>
      <c r="J159" s="571">
        <f>SUM(J160:J165)</f>
        <v>0</v>
      </c>
      <c r="K159" s="571">
        <f>SUM(K160:K165)</f>
        <v>0</v>
      </c>
      <c r="L159" s="571">
        <f>SUM(L160:L165)</f>
        <v>0</v>
      </c>
      <c r="M159" s="571">
        <f>SUM(M160:M165)</f>
        <v>0</v>
      </c>
      <c r="N159" s="571"/>
      <c r="O159" s="571">
        <f>SUM(O160:O165)</f>
        <v>27</v>
      </c>
      <c r="P159" s="571">
        <f>SUM(P160:P165)</f>
        <v>44</v>
      </c>
      <c r="Q159" s="571">
        <f>SUM(Q160:Q165)</f>
        <v>71</v>
      </c>
      <c r="R159" s="571">
        <f>SUM(R160:R165)</f>
        <v>38</v>
      </c>
      <c r="S159" s="571">
        <f>SUM(S160:S165)</f>
        <v>19</v>
      </c>
      <c r="T159" s="571"/>
      <c r="U159" s="571">
        <f>SUM(U160:U165)</f>
        <v>12</v>
      </c>
      <c r="V159" s="571">
        <f>SUM(V160:V165)</f>
        <v>145</v>
      </c>
      <c r="W159" s="571">
        <f>SUM(W160:W165)</f>
        <v>157</v>
      </c>
      <c r="X159" s="571">
        <f>SUM(X160:X165)</f>
        <v>137</v>
      </c>
      <c r="Y159" s="571">
        <f>SUM(Y160:Y165)</f>
        <v>34</v>
      </c>
      <c r="AA159" s="559"/>
      <c r="AB159" s="559"/>
      <c r="AC159" s="559"/>
      <c r="AD159" s="559"/>
      <c r="AE159" s="559"/>
    </row>
    <row r="160" spans="1:31">
      <c r="A160" s="567" t="s">
        <v>106</v>
      </c>
      <c r="B160" s="568" t="s">
        <v>613</v>
      </c>
      <c r="C160" s="570">
        <v>4</v>
      </c>
      <c r="D160" s="570">
        <v>1</v>
      </c>
      <c r="E160" s="570">
        <v>5</v>
      </c>
      <c r="F160" s="570">
        <v>4</v>
      </c>
      <c r="G160" s="571">
        <v>1</v>
      </c>
      <c r="H160" s="571"/>
      <c r="I160" s="570">
        <v>0</v>
      </c>
      <c r="J160" s="570">
        <v>0</v>
      </c>
      <c r="K160" s="570">
        <v>0</v>
      </c>
      <c r="L160" s="570">
        <v>0</v>
      </c>
      <c r="M160" s="571">
        <v>0</v>
      </c>
      <c r="N160" s="571"/>
      <c r="O160" s="570">
        <v>3</v>
      </c>
      <c r="P160" s="570">
        <v>11</v>
      </c>
      <c r="Q160" s="570">
        <v>14</v>
      </c>
      <c r="R160" s="570">
        <v>11</v>
      </c>
      <c r="S160" s="571">
        <v>1</v>
      </c>
      <c r="T160" s="571"/>
      <c r="U160" s="570">
        <v>3</v>
      </c>
      <c r="V160" s="570">
        <v>47</v>
      </c>
      <c r="W160" s="570">
        <v>50</v>
      </c>
      <c r="X160" s="570">
        <v>45</v>
      </c>
      <c r="Y160" s="571">
        <v>7</v>
      </c>
    </row>
    <row r="161" spans="1:31">
      <c r="A161" s="567" t="s">
        <v>106</v>
      </c>
      <c r="B161" s="568" t="s">
        <v>614</v>
      </c>
      <c r="C161" s="570">
        <v>0</v>
      </c>
      <c r="D161" s="570">
        <v>0</v>
      </c>
      <c r="E161" s="570">
        <v>0</v>
      </c>
      <c r="F161" s="570">
        <v>0</v>
      </c>
      <c r="G161" s="571">
        <v>0</v>
      </c>
      <c r="H161" s="571"/>
      <c r="I161" s="570">
        <v>0</v>
      </c>
      <c r="J161" s="570">
        <v>0</v>
      </c>
      <c r="K161" s="570">
        <v>0</v>
      </c>
      <c r="L161" s="570">
        <v>0</v>
      </c>
      <c r="M161" s="571">
        <v>0</v>
      </c>
      <c r="N161" s="571"/>
      <c r="O161" s="570">
        <v>6</v>
      </c>
      <c r="P161" s="570">
        <v>3</v>
      </c>
      <c r="Q161" s="570">
        <v>9</v>
      </c>
      <c r="R161" s="570">
        <v>5</v>
      </c>
      <c r="S161" s="571">
        <v>2</v>
      </c>
      <c r="T161" s="571"/>
      <c r="U161" s="570">
        <v>3</v>
      </c>
      <c r="V161" s="570">
        <v>23</v>
      </c>
      <c r="W161" s="570">
        <v>26</v>
      </c>
      <c r="X161" s="570">
        <v>22</v>
      </c>
      <c r="Y161" s="571">
        <v>6</v>
      </c>
    </row>
    <row r="162" spans="1:31">
      <c r="A162" s="567" t="s">
        <v>106</v>
      </c>
      <c r="B162" s="568" t="s">
        <v>615</v>
      </c>
      <c r="C162" s="570">
        <v>0</v>
      </c>
      <c r="D162" s="570">
        <v>0</v>
      </c>
      <c r="E162" s="570">
        <v>0</v>
      </c>
      <c r="F162" s="570">
        <v>0</v>
      </c>
      <c r="G162" s="571">
        <v>0</v>
      </c>
      <c r="H162" s="571"/>
      <c r="I162" s="570">
        <v>0</v>
      </c>
      <c r="J162" s="570">
        <v>0</v>
      </c>
      <c r="K162" s="570">
        <v>0</v>
      </c>
      <c r="L162" s="570">
        <v>0</v>
      </c>
      <c r="M162" s="571">
        <v>0</v>
      </c>
      <c r="N162" s="571"/>
      <c r="O162" s="570">
        <v>5</v>
      </c>
      <c r="P162" s="570">
        <v>10</v>
      </c>
      <c r="Q162" s="570">
        <v>15</v>
      </c>
      <c r="R162" s="570">
        <v>2</v>
      </c>
      <c r="S162" s="571">
        <v>9</v>
      </c>
      <c r="T162" s="571"/>
      <c r="U162" s="570">
        <v>1</v>
      </c>
      <c r="V162" s="570">
        <v>10</v>
      </c>
      <c r="W162" s="570">
        <v>11</v>
      </c>
      <c r="X162" s="570">
        <v>8</v>
      </c>
      <c r="Y162" s="571">
        <v>7</v>
      </c>
    </row>
    <row r="163" spans="1:31">
      <c r="A163" s="567" t="s">
        <v>106</v>
      </c>
      <c r="B163" s="568" t="s">
        <v>616</v>
      </c>
      <c r="C163" s="570">
        <v>0</v>
      </c>
      <c r="D163" s="570">
        <v>1</v>
      </c>
      <c r="E163" s="570">
        <v>1</v>
      </c>
      <c r="F163" s="570">
        <v>1</v>
      </c>
      <c r="G163" s="571">
        <v>0</v>
      </c>
      <c r="H163" s="571"/>
      <c r="I163" s="570">
        <v>0</v>
      </c>
      <c r="J163" s="570">
        <v>0</v>
      </c>
      <c r="K163" s="570">
        <v>0</v>
      </c>
      <c r="L163" s="570">
        <v>0</v>
      </c>
      <c r="M163" s="571">
        <v>0</v>
      </c>
      <c r="N163" s="571"/>
      <c r="O163" s="570">
        <v>4</v>
      </c>
      <c r="P163" s="570">
        <v>5</v>
      </c>
      <c r="Q163" s="570">
        <v>9</v>
      </c>
      <c r="R163" s="570">
        <v>2</v>
      </c>
      <c r="S163" s="571">
        <v>3</v>
      </c>
      <c r="T163" s="571"/>
      <c r="U163" s="570">
        <v>1</v>
      </c>
      <c r="V163" s="570">
        <v>20</v>
      </c>
      <c r="W163" s="570">
        <v>21</v>
      </c>
      <c r="X163" s="570">
        <v>19</v>
      </c>
      <c r="Y163" s="571">
        <v>6</v>
      </c>
    </row>
    <row r="164" spans="1:31">
      <c r="A164" s="567" t="s">
        <v>106</v>
      </c>
      <c r="B164" s="568" t="s">
        <v>617</v>
      </c>
      <c r="C164" s="570">
        <v>0</v>
      </c>
      <c r="D164" s="570">
        <v>2</v>
      </c>
      <c r="E164" s="570">
        <v>2</v>
      </c>
      <c r="F164" s="570">
        <v>0</v>
      </c>
      <c r="G164" s="571">
        <v>2</v>
      </c>
      <c r="H164" s="571"/>
      <c r="I164" s="570">
        <v>0</v>
      </c>
      <c r="J164" s="570">
        <v>0</v>
      </c>
      <c r="K164" s="570">
        <v>0</v>
      </c>
      <c r="L164" s="570">
        <v>0</v>
      </c>
      <c r="M164" s="571">
        <v>0</v>
      </c>
      <c r="N164" s="571"/>
      <c r="O164" s="570">
        <v>8</v>
      </c>
      <c r="P164" s="570">
        <v>11</v>
      </c>
      <c r="Q164" s="570">
        <v>19</v>
      </c>
      <c r="R164" s="570">
        <v>16</v>
      </c>
      <c r="S164" s="571">
        <v>2</v>
      </c>
      <c r="T164" s="571"/>
      <c r="U164" s="570">
        <v>1</v>
      </c>
      <c r="V164" s="570">
        <v>16</v>
      </c>
      <c r="W164" s="570">
        <v>17</v>
      </c>
      <c r="X164" s="570">
        <v>13</v>
      </c>
      <c r="Y164" s="571">
        <v>5</v>
      </c>
    </row>
    <row r="165" spans="1:31">
      <c r="A165" s="573" t="s">
        <v>106</v>
      </c>
      <c r="B165" s="574" t="s">
        <v>551</v>
      </c>
      <c r="C165" s="575">
        <v>0</v>
      </c>
      <c r="D165" s="575">
        <v>0</v>
      </c>
      <c r="E165" s="575">
        <v>0</v>
      </c>
      <c r="F165" s="575">
        <v>0</v>
      </c>
      <c r="G165" s="576">
        <v>0</v>
      </c>
      <c r="H165" s="576"/>
      <c r="I165" s="575">
        <v>0</v>
      </c>
      <c r="J165" s="575">
        <v>0</v>
      </c>
      <c r="K165" s="575">
        <v>0</v>
      </c>
      <c r="L165" s="575">
        <v>0</v>
      </c>
      <c r="M165" s="576">
        <v>0</v>
      </c>
      <c r="N165" s="576"/>
      <c r="O165" s="575">
        <v>1</v>
      </c>
      <c r="P165" s="575">
        <v>4</v>
      </c>
      <c r="Q165" s="575">
        <v>5</v>
      </c>
      <c r="R165" s="575">
        <v>2</v>
      </c>
      <c r="S165" s="576">
        <v>2</v>
      </c>
      <c r="T165" s="576"/>
      <c r="U165" s="575">
        <v>3</v>
      </c>
      <c r="V165" s="575">
        <v>29</v>
      </c>
      <c r="W165" s="575">
        <v>32</v>
      </c>
      <c r="X165" s="575">
        <v>30</v>
      </c>
      <c r="Y165" s="576">
        <v>3</v>
      </c>
    </row>
    <row r="166" spans="1:31" s="579" customFormat="1">
      <c r="A166" s="687" t="s">
        <v>107</v>
      </c>
      <c r="B166" s="566" t="s">
        <v>0</v>
      </c>
      <c r="C166" s="571">
        <f>SUM(C167:C179)</f>
        <v>96</v>
      </c>
      <c r="D166" s="571">
        <f>SUM(D167:D179)</f>
        <v>27</v>
      </c>
      <c r="E166" s="571">
        <f>SUM(E167:E179)</f>
        <v>123</v>
      </c>
      <c r="F166" s="571">
        <f>SUM(F167:F179)</f>
        <v>62</v>
      </c>
      <c r="G166" s="571">
        <f>SUM(G167:G179)</f>
        <v>61</v>
      </c>
      <c r="H166" s="571"/>
      <c r="I166" s="571">
        <f>SUM(I167:I179)</f>
        <v>4</v>
      </c>
      <c r="J166" s="571">
        <f>SUM(J167:J179)</f>
        <v>0</v>
      </c>
      <c r="K166" s="571">
        <f>SUM(K167:K179)</f>
        <v>4</v>
      </c>
      <c r="L166" s="571">
        <f>SUM(L167:L179)</f>
        <v>2</v>
      </c>
      <c r="M166" s="571">
        <f>SUM(M167:M179)</f>
        <v>2</v>
      </c>
      <c r="N166" s="571"/>
      <c r="O166" s="571">
        <f>SUM(O167:O179)</f>
        <v>106</v>
      </c>
      <c r="P166" s="571">
        <f>SUM(P167:P179)</f>
        <v>101</v>
      </c>
      <c r="Q166" s="571">
        <f>SUM(Q167:Q179)</f>
        <v>207</v>
      </c>
      <c r="R166" s="571">
        <f>SUM(R167:R179)</f>
        <v>106</v>
      </c>
      <c r="S166" s="571">
        <f>SUM(S167:S179)</f>
        <v>56</v>
      </c>
      <c r="T166" s="571"/>
      <c r="U166" s="571">
        <f>SUM(U167:U179)</f>
        <v>49</v>
      </c>
      <c r="V166" s="571">
        <f>SUM(V167:V179)</f>
        <v>277</v>
      </c>
      <c r="W166" s="571">
        <f>SUM(W167:W179)</f>
        <v>326</v>
      </c>
      <c r="X166" s="571">
        <f>SUM(X167:X179)</f>
        <v>270</v>
      </c>
      <c r="Y166" s="571">
        <f>SUM(Y167:Y179)</f>
        <v>101</v>
      </c>
      <c r="AA166" s="559"/>
      <c r="AB166" s="559"/>
      <c r="AC166" s="559"/>
      <c r="AD166" s="559"/>
      <c r="AE166" s="559"/>
    </row>
    <row r="167" spans="1:31">
      <c r="A167" s="567" t="s">
        <v>107</v>
      </c>
      <c r="B167" s="568" t="s">
        <v>618</v>
      </c>
      <c r="C167" s="570">
        <v>10</v>
      </c>
      <c r="D167" s="570">
        <v>1</v>
      </c>
      <c r="E167" s="570">
        <v>11</v>
      </c>
      <c r="F167" s="570">
        <v>4</v>
      </c>
      <c r="G167" s="571">
        <v>7</v>
      </c>
      <c r="H167" s="571"/>
      <c r="I167" s="570">
        <v>0</v>
      </c>
      <c r="J167" s="570">
        <v>0</v>
      </c>
      <c r="K167" s="570">
        <v>0</v>
      </c>
      <c r="L167" s="570">
        <v>0</v>
      </c>
      <c r="M167" s="571">
        <v>0</v>
      </c>
      <c r="N167" s="571"/>
      <c r="O167" s="570">
        <v>34</v>
      </c>
      <c r="P167" s="570">
        <v>12</v>
      </c>
      <c r="Q167" s="570">
        <v>46</v>
      </c>
      <c r="R167" s="570">
        <v>20</v>
      </c>
      <c r="S167" s="571">
        <v>18</v>
      </c>
      <c r="T167" s="571"/>
      <c r="U167" s="570">
        <v>3</v>
      </c>
      <c r="V167" s="570">
        <v>36</v>
      </c>
      <c r="W167" s="570">
        <v>39</v>
      </c>
      <c r="X167" s="570">
        <v>34</v>
      </c>
      <c r="Y167" s="571">
        <v>13</v>
      </c>
    </row>
    <row r="168" spans="1:31">
      <c r="A168" s="567" t="s">
        <v>107</v>
      </c>
      <c r="B168" s="568" t="s">
        <v>619</v>
      </c>
      <c r="C168" s="570">
        <v>0</v>
      </c>
      <c r="D168" s="570">
        <v>1</v>
      </c>
      <c r="E168" s="570">
        <v>1</v>
      </c>
      <c r="F168" s="570">
        <v>1</v>
      </c>
      <c r="G168" s="571">
        <v>0</v>
      </c>
      <c r="H168" s="571"/>
      <c r="I168" s="570">
        <v>0</v>
      </c>
      <c r="J168" s="570">
        <v>0</v>
      </c>
      <c r="K168" s="570">
        <v>0</v>
      </c>
      <c r="L168" s="570">
        <v>0</v>
      </c>
      <c r="M168" s="571">
        <v>0</v>
      </c>
      <c r="N168" s="571"/>
      <c r="O168" s="570">
        <v>2</v>
      </c>
      <c r="P168" s="570">
        <v>6</v>
      </c>
      <c r="Q168" s="570">
        <v>8</v>
      </c>
      <c r="R168" s="570">
        <v>4</v>
      </c>
      <c r="S168" s="571">
        <v>3</v>
      </c>
      <c r="T168" s="571"/>
      <c r="U168" s="570">
        <v>1</v>
      </c>
      <c r="V168" s="570">
        <v>11</v>
      </c>
      <c r="W168" s="570">
        <v>12</v>
      </c>
      <c r="X168" s="570">
        <v>10</v>
      </c>
      <c r="Y168" s="571">
        <v>3</v>
      </c>
    </row>
    <row r="169" spans="1:31">
      <c r="A169" s="567" t="s">
        <v>107</v>
      </c>
      <c r="B169" s="568" t="s">
        <v>620</v>
      </c>
      <c r="C169" s="570">
        <v>9</v>
      </c>
      <c r="D169" s="570">
        <v>2</v>
      </c>
      <c r="E169" s="570">
        <v>11</v>
      </c>
      <c r="F169" s="570">
        <v>7</v>
      </c>
      <c r="G169" s="571">
        <v>4</v>
      </c>
      <c r="H169" s="571"/>
      <c r="I169" s="570">
        <v>0</v>
      </c>
      <c r="J169" s="570">
        <v>0</v>
      </c>
      <c r="K169" s="570">
        <v>0</v>
      </c>
      <c r="L169" s="570">
        <v>0</v>
      </c>
      <c r="M169" s="571">
        <v>0</v>
      </c>
      <c r="N169" s="571"/>
      <c r="O169" s="570">
        <v>4</v>
      </c>
      <c r="P169" s="570">
        <v>7</v>
      </c>
      <c r="Q169" s="570">
        <v>11</v>
      </c>
      <c r="R169" s="570">
        <v>6</v>
      </c>
      <c r="S169" s="571">
        <v>5</v>
      </c>
      <c r="T169" s="571"/>
      <c r="U169" s="570">
        <v>6</v>
      </c>
      <c r="V169" s="570">
        <v>24</v>
      </c>
      <c r="W169" s="570">
        <v>30</v>
      </c>
      <c r="X169" s="570">
        <v>21</v>
      </c>
      <c r="Y169" s="571">
        <v>9</v>
      </c>
    </row>
    <row r="170" spans="1:31">
      <c r="A170" s="567" t="s">
        <v>107</v>
      </c>
      <c r="B170" s="568" t="s">
        <v>621</v>
      </c>
      <c r="C170" s="570">
        <v>21</v>
      </c>
      <c r="D170" s="570">
        <v>2</v>
      </c>
      <c r="E170" s="570">
        <v>23</v>
      </c>
      <c r="F170" s="570">
        <v>18</v>
      </c>
      <c r="G170" s="571">
        <v>5</v>
      </c>
      <c r="H170" s="571"/>
      <c r="I170" s="570">
        <v>0</v>
      </c>
      <c r="J170" s="570">
        <v>0</v>
      </c>
      <c r="K170" s="570">
        <v>0</v>
      </c>
      <c r="L170" s="570">
        <v>0</v>
      </c>
      <c r="M170" s="571">
        <v>0</v>
      </c>
      <c r="N170" s="571"/>
      <c r="O170" s="570">
        <v>10</v>
      </c>
      <c r="P170" s="570">
        <v>5</v>
      </c>
      <c r="Q170" s="570">
        <v>15</v>
      </c>
      <c r="R170" s="570">
        <v>8</v>
      </c>
      <c r="S170" s="571">
        <v>3</v>
      </c>
      <c r="T170" s="571"/>
      <c r="U170" s="570">
        <v>8</v>
      </c>
      <c r="V170" s="570">
        <v>29</v>
      </c>
      <c r="W170" s="570">
        <v>37</v>
      </c>
      <c r="X170" s="570">
        <v>35</v>
      </c>
      <c r="Y170" s="571">
        <v>6</v>
      </c>
    </row>
    <row r="171" spans="1:31">
      <c r="A171" s="567" t="s">
        <v>107</v>
      </c>
      <c r="B171" s="568" t="s">
        <v>622</v>
      </c>
      <c r="C171" s="570">
        <v>9</v>
      </c>
      <c r="D171" s="570">
        <v>3</v>
      </c>
      <c r="E171" s="570">
        <v>12</v>
      </c>
      <c r="F171" s="570">
        <v>9</v>
      </c>
      <c r="G171" s="571">
        <v>3</v>
      </c>
      <c r="H171" s="571"/>
      <c r="I171" s="570">
        <v>2</v>
      </c>
      <c r="J171" s="570">
        <v>0</v>
      </c>
      <c r="K171" s="570">
        <v>2</v>
      </c>
      <c r="L171" s="570">
        <v>0</v>
      </c>
      <c r="M171" s="571">
        <v>2</v>
      </c>
      <c r="N171" s="571"/>
      <c r="O171" s="570">
        <v>4</v>
      </c>
      <c r="P171" s="570">
        <v>0</v>
      </c>
      <c r="Q171" s="570">
        <v>4</v>
      </c>
      <c r="R171" s="570">
        <v>2</v>
      </c>
      <c r="S171" s="571">
        <v>0</v>
      </c>
      <c r="T171" s="571"/>
      <c r="U171" s="570">
        <v>3</v>
      </c>
      <c r="V171" s="570">
        <v>22</v>
      </c>
      <c r="W171" s="570">
        <v>25</v>
      </c>
      <c r="X171" s="570">
        <v>18</v>
      </c>
      <c r="Y171" s="571">
        <v>9</v>
      </c>
    </row>
    <row r="172" spans="1:31">
      <c r="A172" s="567" t="s">
        <v>107</v>
      </c>
      <c r="B172" s="568" t="s">
        <v>577</v>
      </c>
      <c r="C172" s="570">
        <v>14</v>
      </c>
      <c r="D172" s="570">
        <v>2</v>
      </c>
      <c r="E172" s="570">
        <v>16</v>
      </c>
      <c r="F172" s="570">
        <v>9</v>
      </c>
      <c r="G172" s="571">
        <v>7</v>
      </c>
      <c r="H172" s="571"/>
      <c r="I172" s="570">
        <v>2</v>
      </c>
      <c r="J172" s="570">
        <v>0</v>
      </c>
      <c r="K172" s="570">
        <v>2</v>
      </c>
      <c r="L172" s="570">
        <v>2</v>
      </c>
      <c r="M172" s="571">
        <v>0</v>
      </c>
      <c r="N172" s="571"/>
      <c r="O172" s="570">
        <v>3</v>
      </c>
      <c r="P172" s="570">
        <v>3</v>
      </c>
      <c r="Q172" s="570">
        <v>6</v>
      </c>
      <c r="R172" s="570">
        <v>1</v>
      </c>
      <c r="S172" s="571">
        <v>4</v>
      </c>
      <c r="T172" s="571"/>
      <c r="U172" s="570">
        <v>3</v>
      </c>
      <c r="V172" s="570">
        <v>28</v>
      </c>
      <c r="W172" s="570">
        <v>31</v>
      </c>
      <c r="X172" s="570">
        <v>27</v>
      </c>
      <c r="Y172" s="571">
        <v>5</v>
      </c>
    </row>
    <row r="173" spans="1:31">
      <c r="A173" s="567" t="s">
        <v>107</v>
      </c>
      <c r="B173" s="568" t="s">
        <v>623</v>
      </c>
      <c r="C173" s="570">
        <v>0</v>
      </c>
      <c r="D173" s="570">
        <v>0</v>
      </c>
      <c r="E173" s="570">
        <v>0</v>
      </c>
      <c r="F173" s="570">
        <v>0</v>
      </c>
      <c r="G173" s="571">
        <v>0</v>
      </c>
      <c r="H173" s="571"/>
      <c r="I173" s="570">
        <v>0</v>
      </c>
      <c r="J173" s="570">
        <v>0</v>
      </c>
      <c r="K173" s="570">
        <v>0</v>
      </c>
      <c r="L173" s="570">
        <v>0</v>
      </c>
      <c r="M173" s="571">
        <v>0</v>
      </c>
      <c r="N173" s="571"/>
      <c r="O173" s="570">
        <v>0</v>
      </c>
      <c r="P173" s="570">
        <v>10</v>
      </c>
      <c r="Q173" s="570">
        <v>10</v>
      </c>
      <c r="R173" s="570">
        <v>6</v>
      </c>
      <c r="S173" s="571">
        <v>4</v>
      </c>
      <c r="T173" s="571"/>
      <c r="U173" s="570">
        <v>0</v>
      </c>
      <c r="V173" s="570">
        <v>4</v>
      </c>
      <c r="W173" s="570">
        <v>4</v>
      </c>
      <c r="X173" s="570">
        <v>3</v>
      </c>
      <c r="Y173" s="571">
        <v>1</v>
      </c>
    </row>
    <row r="174" spans="1:31">
      <c r="A174" s="567" t="s">
        <v>107</v>
      </c>
      <c r="B174" s="568" t="s">
        <v>624</v>
      </c>
      <c r="C174" s="570">
        <v>0</v>
      </c>
      <c r="D174" s="570">
        <v>0</v>
      </c>
      <c r="E174" s="570">
        <v>0</v>
      </c>
      <c r="F174" s="570">
        <v>0</v>
      </c>
      <c r="G174" s="571">
        <v>0</v>
      </c>
      <c r="H174" s="571"/>
      <c r="I174" s="570">
        <v>0</v>
      </c>
      <c r="J174" s="570">
        <v>0</v>
      </c>
      <c r="K174" s="570">
        <v>0</v>
      </c>
      <c r="L174" s="570">
        <v>0</v>
      </c>
      <c r="M174" s="571">
        <v>0</v>
      </c>
      <c r="N174" s="571"/>
      <c r="O174" s="570">
        <v>0</v>
      </c>
      <c r="P174" s="570">
        <v>1</v>
      </c>
      <c r="Q174" s="570">
        <v>1</v>
      </c>
      <c r="R174" s="570">
        <v>0</v>
      </c>
      <c r="S174" s="571">
        <v>1</v>
      </c>
      <c r="T174" s="571"/>
      <c r="U174" s="570">
        <v>1</v>
      </c>
      <c r="V174" s="570">
        <v>7</v>
      </c>
      <c r="W174" s="570">
        <v>8</v>
      </c>
      <c r="X174" s="570">
        <v>8</v>
      </c>
      <c r="Y174" s="571">
        <v>0</v>
      </c>
    </row>
    <row r="175" spans="1:31">
      <c r="A175" s="567" t="s">
        <v>107</v>
      </c>
      <c r="B175" s="568" t="s">
        <v>625</v>
      </c>
      <c r="C175" s="570">
        <v>0</v>
      </c>
      <c r="D175" s="570">
        <v>3</v>
      </c>
      <c r="E175" s="570">
        <v>3</v>
      </c>
      <c r="F175" s="570">
        <v>2</v>
      </c>
      <c r="G175" s="571">
        <v>1</v>
      </c>
      <c r="H175" s="571"/>
      <c r="I175" s="570">
        <v>0</v>
      </c>
      <c r="J175" s="570">
        <v>0</v>
      </c>
      <c r="K175" s="570">
        <v>0</v>
      </c>
      <c r="L175" s="570">
        <v>0</v>
      </c>
      <c r="M175" s="571">
        <v>0</v>
      </c>
      <c r="N175" s="571"/>
      <c r="O175" s="570">
        <v>8</v>
      </c>
      <c r="P175" s="570">
        <v>17</v>
      </c>
      <c r="Q175" s="570">
        <v>25</v>
      </c>
      <c r="R175" s="570">
        <v>21</v>
      </c>
      <c r="S175" s="571">
        <v>0</v>
      </c>
      <c r="T175" s="571"/>
      <c r="U175" s="570">
        <v>2</v>
      </c>
      <c r="V175" s="570">
        <v>32</v>
      </c>
      <c r="W175" s="570">
        <v>34</v>
      </c>
      <c r="X175" s="570">
        <v>36</v>
      </c>
      <c r="Y175" s="571">
        <v>2</v>
      </c>
    </row>
    <row r="176" spans="1:31">
      <c r="A176" s="567" t="s">
        <v>107</v>
      </c>
      <c r="B176" s="568" t="s">
        <v>626</v>
      </c>
      <c r="C176" s="570">
        <v>0</v>
      </c>
      <c r="D176" s="570">
        <v>0</v>
      </c>
      <c r="E176" s="570">
        <v>0</v>
      </c>
      <c r="F176" s="570">
        <v>0</v>
      </c>
      <c r="G176" s="571">
        <v>0</v>
      </c>
      <c r="H176" s="571"/>
      <c r="I176" s="570">
        <v>0</v>
      </c>
      <c r="J176" s="570">
        <v>0</v>
      </c>
      <c r="K176" s="570">
        <v>0</v>
      </c>
      <c r="L176" s="570">
        <v>0</v>
      </c>
      <c r="M176" s="571">
        <v>0</v>
      </c>
      <c r="N176" s="571"/>
      <c r="O176" s="570">
        <v>6</v>
      </c>
      <c r="P176" s="570">
        <v>2</v>
      </c>
      <c r="Q176" s="570">
        <v>8</v>
      </c>
      <c r="R176" s="570">
        <v>4</v>
      </c>
      <c r="S176" s="571">
        <v>2</v>
      </c>
      <c r="T176" s="571"/>
      <c r="U176" s="570">
        <v>2</v>
      </c>
      <c r="V176" s="570">
        <v>11</v>
      </c>
      <c r="W176" s="570">
        <v>13</v>
      </c>
      <c r="X176" s="570">
        <v>10</v>
      </c>
      <c r="Y176" s="571">
        <v>5</v>
      </c>
    </row>
    <row r="177" spans="1:31">
      <c r="A177" s="567" t="s">
        <v>107</v>
      </c>
      <c r="B177" s="568" t="s">
        <v>627</v>
      </c>
      <c r="C177" s="570">
        <v>15</v>
      </c>
      <c r="D177" s="570">
        <v>8</v>
      </c>
      <c r="E177" s="570">
        <v>23</v>
      </c>
      <c r="F177" s="570">
        <v>9</v>
      </c>
      <c r="G177" s="571">
        <v>14</v>
      </c>
      <c r="H177" s="571"/>
      <c r="I177" s="570">
        <v>0</v>
      </c>
      <c r="J177" s="570">
        <v>0</v>
      </c>
      <c r="K177" s="570">
        <v>0</v>
      </c>
      <c r="L177" s="570">
        <v>0</v>
      </c>
      <c r="M177" s="571">
        <v>0</v>
      </c>
      <c r="N177" s="571"/>
      <c r="O177" s="570">
        <v>22</v>
      </c>
      <c r="P177" s="570">
        <v>34</v>
      </c>
      <c r="Q177" s="570">
        <v>56</v>
      </c>
      <c r="R177" s="570">
        <v>29</v>
      </c>
      <c r="S177" s="571">
        <v>15</v>
      </c>
      <c r="T177" s="571"/>
      <c r="U177" s="570">
        <v>10</v>
      </c>
      <c r="V177" s="570">
        <v>48</v>
      </c>
      <c r="W177" s="570">
        <v>58</v>
      </c>
      <c r="X177" s="570">
        <v>43</v>
      </c>
      <c r="Y177" s="571">
        <v>27</v>
      </c>
    </row>
    <row r="178" spans="1:31">
      <c r="A178" s="567" t="s">
        <v>107</v>
      </c>
      <c r="B178" s="568" t="s">
        <v>628</v>
      </c>
      <c r="C178" s="570">
        <v>16</v>
      </c>
      <c r="D178" s="570">
        <v>5</v>
      </c>
      <c r="E178" s="570">
        <v>21</v>
      </c>
      <c r="F178" s="570">
        <v>2</v>
      </c>
      <c r="G178" s="571">
        <v>19</v>
      </c>
      <c r="H178" s="571"/>
      <c r="I178" s="570">
        <v>0</v>
      </c>
      <c r="J178" s="570">
        <v>0</v>
      </c>
      <c r="K178" s="570">
        <v>0</v>
      </c>
      <c r="L178" s="570">
        <v>0</v>
      </c>
      <c r="M178" s="571">
        <v>0</v>
      </c>
      <c r="N178" s="571"/>
      <c r="O178" s="570">
        <v>9</v>
      </c>
      <c r="P178" s="570">
        <v>2</v>
      </c>
      <c r="Q178" s="570">
        <v>11</v>
      </c>
      <c r="R178" s="570">
        <v>3</v>
      </c>
      <c r="S178" s="571">
        <v>0</v>
      </c>
      <c r="T178" s="571"/>
      <c r="U178" s="570">
        <v>8</v>
      </c>
      <c r="V178" s="570">
        <v>13</v>
      </c>
      <c r="W178" s="570">
        <v>21</v>
      </c>
      <c r="X178" s="570">
        <v>16</v>
      </c>
      <c r="Y178" s="571">
        <v>13</v>
      </c>
    </row>
    <row r="179" spans="1:31">
      <c r="A179" s="573" t="s">
        <v>107</v>
      </c>
      <c r="B179" s="574" t="s">
        <v>588</v>
      </c>
      <c r="C179" s="575">
        <v>2</v>
      </c>
      <c r="D179" s="575">
        <v>0</v>
      </c>
      <c r="E179" s="575">
        <v>2</v>
      </c>
      <c r="F179" s="575">
        <v>1</v>
      </c>
      <c r="G179" s="576">
        <v>1</v>
      </c>
      <c r="H179" s="576"/>
      <c r="I179" s="575">
        <v>0</v>
      </c>
      <c r="J179" s="575">
        <v>0</v>
      </c>
      <c r="K179" s="575">
        <v>0</v>
      </c>
      <c r="L179" s="575">
        <v>0</v>
      </c>
      <c r="M179" s="576">
        <v>0</v>
      </c>
      <c r="N179" s="576"/>
      <c r="O179" s="575">
        <v>4</v>
      </c>
      <c r="P179" s="575">
        <v>2</v>
      </c>
      <c r="Q179" s="575">
        <v>6</v>
      </c>
      <c r="R179" s="575">
        <v>2</v>
      </c>
      <c r="S179" s="576">
        <v>1</v>
      </c>
      <c r="T179" s="576"/>
      <c r="U179" s="575">
        <v>2</v>
      </c>
      <c r="V179" s="575">
        <v>12</v>
      </c>
      <c r="W179" s="575">
        <v>14</v>
      </c>
      <c r="X179" s="575">
        <v>9</v>
      </c>
      <c r="Y179" s="576">
        <v>8</v>
      </c>
    </row>
    <row r="180" spans="1:31" s="579" customFormat="1">
      <c r="A180" s="687" t="s">
        <v>108</v>
      </c>
      <c r="B180" s="566" t="s">
        <v>0</v>
      </c>
      <c r="C180" s="571">
        <f>SUM(C181:C194)</f>
        <v>148</v>
      </c>
      <c r="D180" s="571">
        <f>SUM(D181:D194)</f>
        <v>113</v>
      </c>
      <c r="E180" s="571">
        <f>SUM(E181:E194)</f>
        <v>261</v>
      </c>
      <c r="F180" s="571">
        <f>SUM(F181:F194)</f>
        <v>252</v>
      </c>
      <c r="G180" s="571">
        <f>SUM(G181:G194)</f>
        <v>9</v>
      </c>
      <c r="H180" s="571"/>
      <c r="I180" s="571">
        <f>SUM(I181:I194)</f>
        <v>11</v>
      </c>
      <c r="J180" s="571">
        <f>SUM(J181:J194)</f>
        <v>3</v>
      </c>
      <c r="K180" s="571">
        <f>SUM(K181:K194)</f>
        <v>14</v>
      </c>
      <c r="L180" s="571">
        <f>SUM(L181:L194)</f>
        <v>14</v>
      </c>
      <c r="M180" s="571">
        <f>SUM(M181:M194)</f>
        <v>0</v>
      </c>
      <c r="N180" s="571"/>
      <c r="O180" s="571">
        <f>SUM(O181:O194)</f>
        <v>216</v>
      </c>
      <c r="P180" s="571">
        <f>SUM(P181:P194)</f>
        <v>224</v>
      </c>
      <c r="Q180" s="571">
        <f>SUM(Q181:Q194)</f>
        <v>440</v>
      </c>
      <c r="R180" s="571">
        <f>SUM(R181:R194)</f>
        <v>293</v>
      </c>
      <c r="S180" s="571">
        <f>SUM(S181:S194)</f>
        <v>71</v>
      </c>
      <c r="T180" s="571"/>
      <c r="U180" s="571">
        <f>SUM(U181:U194)</f>
        <v>100</v>
      </c>
      <c r="V180" s="571">
        <f>SUM(V181:V194)</f>
        <v>633</v>
      </c>
      <c r="W180" s="571">
        <f>SUM(W181:W194)</f>
        <v>733</v>
      </c>
      <c r="X180" s="571">
        <f>SUM(X181:X194)</f>
        <v>659</v>
      </c>
      <c r="Y180" s="571">
        <f>SUM(Y181:Y194)</f>
        <v>150</v>
      </c>
      <c r="AA180" s="559"/>
      <c r="AB180" s="559"/>
      <c r="AC180" s="559"/>
      <c r="AD180" s="559"/>
      <c r="AE180" s="559"/>
    </row>
    <row r="181" spans="1:31">
      <c r="A181" s="567" t="s">
        <v>108</v>
      </c>
      <c r="B181" s="568" t="s">
        <v>629</v>
      </c>
      <c r="C181" s="570">
        <v>7</v>
      </c>
      <c r="D181" s="570">
        <v>2</v>
      </c>
      <c r="E181" s="570">
        <v>9</v>
      </c>
      <c r="F181" s="570">
        <v>8</v>
      </c>
      <c r="G181" s="571">
        <v>1</v>
      </c>
      <c r="H181" s="571"/>
      <c r="I181" s="570">
        <v>0</v>
      </c>
      <c r="J181" s="570">
        <v>0</v>
      </c>
      <c r="K181" s="570">
        <v>0</v>
      </c>
      <c r="L181" s="570">
        <v>0</v>
      </c>
      <c r="M181" s="571">
        <v>0</v>
      </c>
      <c r="N181" s="571"/>
      <c r="O181" s="570">
        <v>40</v>
      </c>
      <c r="P181" s="570">
        <v>34</v>
      </c>
      <c r="Q181" s="570">
        <v>74</v>
      </c>
      <c r="R181" s="570">
        <v>64</v>
      </c>
      <c r="S181" s="571">
        <v>4</v>
      </c>
      <c r="T181" s="571"/>
      <c r="U181" s="570">
        <v>12</v>
      </c>
      <c r="V181" s="570">
        <v>44</v>
      </c>
      <c r="W181" s="570">
        <v>56</v>
      </c>
      <c r="X181" s="570">
        <v>62</v>
      </c>
      <c r="Y181" s="571">
        <v>0</v>
      </c>
    </row>
    <row r="182" spans="1:31">
      <c r="A182" s="567" t="s">
        <v>108</v>
      </c>
      <c r="B182" s="568" t="s">
        <v>630</v>
      </c>
      <c r="C182" s="570">
        <v>2</v>
      </c>
      <c r="D182" s="570">
        <v>4</v>
      </c>
      <c r="E182" s="570">
        <v>6</v>
      </c>
      <c r="F182" s="570">
        <v>5</v>
      </c>
      <c r="G182" s="571">
        <v>1</v>
      </c>
      <c r="H182" s="571"/>
      <c r="I182" s="570">
        <v>0</v>
      </c>
      <c r="J182" s="570">
        <v>0</v>
      </c>
      <c r="K182" s="570">
        <v>0</v>
      </c>
      <c r="L182" s="570">
        <v>0</v>
      </c>
      <c r="M182" s="571">
        <v>0</v>
      </c>
      <c r="N182" s="571"/>
      <c r="O182" s="570">
        <v>13</v>
      </c>
      <c r="P182" s="570">
        <v>45</v>
      </c>
      <c r="Q182" s="570">
        <v>58</v>
      </c>
      <c r="R182" s="570">
        <v>51</v>
      </c>
      <c r="S182" s="571">
        <v>5</v>
      </c>
      <c r="T182" s="571"/>
      <c r="U182" s="570">
        <v>9</v>
      </c>
      <c r="V182" s="570">
        <v>76</v>
      </c>
      <c r="W182" s="570">
        <v>85</v>
      </c>
      <c r="X182" s="570">
        <v>76</v>
      </c>
      <c r="Y182" s="571">
        <v>11</v>
      </c>
    </row>
    <row r="183" spans="1:31">
      <c r="A183" s="567" t="s">
        <v>108</v>
      </c>
      <c r="B183" s="568" t="s">
        <v>631</v>
      </c>
      <c r="C183" s="570">
        <v>8</v>
      </c>
      <c r="D183" s="570">
        <v>2</v>
      </c>
      <c r="E183" s="570">
        <v>10</v>
      </c>
      <c r="F183" s="570">
        <v>10</v>
      </c>
      <c r="G183" s="571">
        <v>0</v>
      </c>
      <c r="H183" s="571"/>
      <c r="I183" s="570">
        <v>0</v>
      </c>
      <c r="J183" s="570">
        <v>0</v>
      </c>
      <c r="K183" s="570">
        <v>0</v>
      </c>
      <c r="L183" s="570">
        <v>0</v>
      </c>
      <c r="M183" s="571">
        <v>0</v>
      </c>
      <c r="N183" s="571"/>
      <c r="O183" s="570">
        <v>21</v>
      </c>
      <c r="P183" s="570">
        <v>14</v>
      </c>
      <c r="Q183" s="570">
        <v>35</v>
      </c>
      <c r="R183" s="570">
        <v>12</v>
      </c>
      <c r="S183" s="571">
        <v>11</v>
      </c>
      <c r="T183" s="571"/>
      <c r="U183" s="570">
        <v>3</v>
      </c>
      <c r="V183" s="570">
        <v>26</v>
      </c>
      <c r="W183" s="570">
        <v>29</v>
      </c>
      <c r="X183" s="570">
        <v>24</v>
      </c>
      <c r="Y183" s="571">
        <v>17</v>
      </c>
    </row>
    <row r="184" spans="1:31">
      <c r="A184" s="567" t="s">
        <v>108</v>
      </c>
      <c r="B184" s="568" t="s">
        <v>632</v>
      </c>
      <c r="C184" s="570">
        <v>17</v>
      </c>
      <c r="D184" s="570">
        <v>2</v>
      </c>
      <c r="E184" s="570">
        <v>19</v>
      </c>
      <c r="F184" s="570">
        <v>19</v>
      </c>
      <c r="G184" s="571">
        <v>0</v>
      </c>
      <c r="H184" s="571"/>
      <c r="I184" s="570">
        <v>3</v>
      </c>
      <c r="J184" s="570">
        <v>0</v>
      </c>
      <c r="K184" s="570">
        <v>3</v>
      </c>
      <c r="L184" s="570">
        <v>3</v>
      </c>
      <c r="M184" s="571">
        <v>0</v>
      </c>
      <c r="N184" s="571"/>
      <c r="O184" s="570">
        <v>31</v>
      </c>
      <c r="P184" s="570">
        <v>22</v>
      </c>
      <c r="Q184" s="570">
        <v>53</v>
      </c>
      <c r="R184" s="570">
        <v>28</v>
      </c>
      <c r="S184" s="571">
        <v>14</v>
      </c>
      <c r="T184" s="571"/>
      <c r="U184" s="570">
        <v>19</v>
      </c>
      <c r="V184" s="570">
        <v>44</v>
      </c>
      <c r="W184" s="570">
        <v>63</v>
      </c>
      <c r="X184" s="570">
        <v>51</v>
      </c>
      <c r="Y184" s="571">
        <v>23</v>
      </c>
    </row>
    <row r="185" spans="1:31">
      <c r="A185" s="567" t="s">
        <v>108</v>
      </c>
      <c r="B185" s="568" t="s">
        <v>633</v>
      </c>
      <c r="C185" s="570">
        <v>0</v>
      </c>
      <c r="D185" s="570">
        <v>0</v>
      </c>
      <c r="E185" s="570">
        <v>0</v>
      </c>
      <c r="F185" s="570">
        <v>0</v>
      </c>
      <c r="G185" s="571">
        <v>0</v>
      </c>
      <c r="H185" s="571"/>
      <c r="I185" s="570">
        <v>0</v>
      </c>
      <c r="J185" s="570">
        <v>0</v>
      </c>
      <c r="K185" s="570">
        <v>0</v>
      </c>
      <c r="L185" s="570">
        <v>0</v>
      </c>
      <c r="M185" s="571">
        <v>0</v>
      </c>
      <c r="N185" s="571"/>
      <c r="O185" s="570">
        <v>11</v>
      </c>
      <c r="P185" s="570">
        <v>13</v>
      </c>
      <c r="Q185" s="570">
        <v>24</v>
      </c>
      <c r="R185" s="570">
        <v>14</v>
      </c>
      <c r="S185" s="571">
        <v>0</v>
      </c>
      <c r="T185" s="571"/>
      <c r="U185" s="570">
        <v>2</v>
      </c>
      <c r="V185" s="570">
        <v>42</v>
      </c>
      <c r="W185" s="570">
        <v>44</v>
      </c>
      <c r="X185" s="570">
        <v>31</v>
      </c>
      <c r="Y185" s="571">
        <v>23</v>
      </c>
    </row>
    <row r="186" spans="1:31">
      <c r="A186" s="567" t="s">
        <v>108</v>
      </c>
      <c r="B186" s="568" t="s">
        <v>634</v>
      </c>
      <c r="C186" s="570">
        <v>24</v>
      </c>
      <c r="D186" s="570">
        <v>9</v>
      </c>
      <c r="E186" s="570">
        <v>33</v>
      </c>
      <c r="F186" s="570">
        <v>33</v>
      </c>
      <c r="G186" s="571">
        <v>0</v>
      </c>
      <c r="H186" s="571"/>
      <c r="I186" s="570">
        <v>2</v>
      </c>
      <c r="J186" s="570">
        <v>0</v>
      </c>
      <c r="K186" s="570">
        <v>2</v>
      </c>
      <c r="L186" s="570">
        <v>2</v>
      </c>
      <c r="M186" s="571">
        <v>0</v>
      </c>
      <c r="N186" s="571"/>
      <c r="O186" s="570">
        <v>46</v>
      </c>
      <c r="P186" s="570">
        <v>19</v>
      </c>
      <c r="Q186" s="570">
        <v>65</v>
      </c>
      <c r="R186" s="570">
        <v>25</v>
      </c>
      <c r="S186" s="571">
        <v>13</v>
      </c>
      <c r="T186" s="571"/>
      <c r="U186" s="570">
        <v>16</v>
      </c>
      <c r="V186" s="570">
        <v>82</v>
      </c>
      <c r="W186" s="570">
        <v>98</v>
      </c>
      <c r="X186" s="570">
        <v>95</v>
      </c>
      <c r="Y186" s="571">
        <v>30</v>
      </c>
    </row>
    <row r="187" spans="1:31">
      <c r="A187" s="567" t="s">
        <v>108</v>
      </c>
      <c r="B187" s="568" t="s">
        <v>635</v>
      </c>
      <c r="C187" s="570">
        <v>2</v>
      </c>
      <c r="D187" s="570">
        <v>2</v>
      </c>
      <c r="E187" s="570">
        <v>4</v>
      </c>
      <c r="F187" s="570">
        <v>4</v>
      </c>
      <c r="G187" s="571">
        <v>0</v>
      </c>
      <c r="H187" s="571"/>
      <c r="I187" s="570">
        <v>0</v>
      </c>
      <c r="J187" s="570">
        <v>0</v>
      </c>
      <c r="K187" s="570">
        <v>0</v>
      </c>
      <c r="L187" s="570">
        <v>0</v>
      </c>
      <c r="M187" s="571">
        <v>0</v>
      </c>
      <c r="N187" s="571"/>
      <c r="O187" s="570">
        <v>3</v>
      </c>
      <c r="P187" s="570">
        <v>5</v>
      </c>
      <c r="Q187" s="570">
        <v>8</v>
      </c>
      <c r="R187" s="570">
        <v>6</v>
      </c>
      <c r="S187" s="571">
        <v>1</v>
      </c>
      <c r="T187" s="571"/>
      <c r="U187" s="570">
        <v>1</v>
      </c>
      <c r="V187" s="570">
        <v>44</v>
      </c>
      <c r="W187" s="570">
        <v>45</v>
      </c>
      <c r="X187" s="570">
        <v>41</v>
      </c>
      <c r="Y187" s="571">
        <v>5</v>
      </c>
    </row>
    <row r="188" spans="1:31">
      <c r="A188" s="567" t="s">
        <v>108</v>
      </c>
      <c r="B188" s="568" t="s">
        <v>636</v>
      </c>
      <c r="C188" s="570">
        <v>3</v>
      </c>
      <c r="D188" s="570">
        <v>5</v>
      </c>
      <c r="E188" s="570">
        <v>8</v>
      </c>
      <c r="F188" s="570">
        <v>8</v>
      </c>
      <c r="G188" s="571">
        <v>0</v>
      </c>
      <c r="H188" s="571"/>
      <c r="I188" s="570">
        <v>1</v>
      </c>
      <c r="J188" s="570">
        <v>1</v>
      </c>
      <c r="K188" s="570">
        <v>2</v>
      </c>
      <c r="L188" s="570">
        <v>2</v>
      </c>
      <c r="M188" s="571">
        <v>0</v>
      </c>
      <c r="N188" s="571"/>
      <c r="O188" s="570">
        <v>7</v>
      </c>
      <c r="P188" s="570">
        <v>8</v>
      </c>
      <c r="Q188" s="570">
        <v>15</v>
      </c>
      <c r="R188" s="570">
        <v>10</v>
      </c>
      <c r="S188" s="571">
        <v>4</v>
      </c>
      <c r="T188" s="571"/>
      <c r="U188" s="570">
        <v>1</v>
      </c>
      <c r="V188" s="570">
        <v>36</v>
      </c>
      <c r="W188" s="570">
        <v>37</v>
      </c>
      <c r="X188" s="570">
        <v>36</v>
      </c>
      <c r="Y188" s="571">
        <v>2</v>
      </c>
    </row>
    <row r="189" spans="1:31">
      <c r="A189" s="567" t="s">
        <v>108</v>
      </c>
      <c r="B189" s="568" t="s">
        <v>637</v>
      </c>
      <c r="C189" s="570">
        <v>1</v>
      </c>
      <c r="D189" s="570">
        <v>0</v>
      </c>
      <c r="E189" s="570">
        <v>1</v>
      </c>
      <c r="F189" s="570">
        <v>1</v>
      </c>
      <c r="G189" s="571">
        <v>0</v>
      </c>
      <c r="H189" s="571"/>
      <c r="I189" s="570">
        <v>0</v>
      </c>
      <c r="J189" s="570">
        <v>0</v>
      </c>
      <c r="K189" s="570">
        <v>0</v>
      </c>
      <c r="L189" s="570">
        <v>0</v>
      </c>
      <c r="M189" s="571">
        <v>0</v>
      </c>
      <c r="N189" s="571"/>
      <c r="O189" s="570">
        <v>3</v>
      </c>
      <c r="P189" s="570">
        <v>1</v>
      </c>
      <c r="Q189" s="570">
        <v>4</v>
      </c>
      <c r="R189" s="570">
        <v>2</v>
      </c>
      <c r="S189" s="571">
        <v>2</v>
      </c>
      <c r="T189" s="571"/>
      <c r="U189" s="570">
        <v>5</v>
      </c>
      <c r="V189" s="570">
        <v>16</v>
      </c>
      <c r="W189" s="570">
        <v>21</v>
      </c>
      <c r="X189" s="570">
        <v>16</v>
      </c>
      <c r="Y189" s="571">
        <v>5</v>
      </c>
    </row>
    <row r="190" spans="1:31">
      <c r="A190" s="567" t="s">
        <v>108</v>
      </c>
      <c r="B190" s="568" t="s">
        <v>638</v>
      </c>
      <c r="C190" s="570">
        <v>5</v>
      </c>
      <c r="D190" s="570">
        <v>4</v>
      </c>
      <c r="E190" s="570">
        <v>9</v>
      </c>
      <c r="F190" s="570">
        <v>9</v>
      </c>
      <c r="G190" s="571">
        <v>0</v>
      </c>
      <c r="H190" s="571"/>
      <c r="I190" s="570">
        <v>0</v>
      </c>
      <c r="J190" s="570">
        <v>0</v>
      </c>
      <c r="K190" s="570">
        <v>0</v>
      </c>
      <c r="L190" s="570">
        <v>0</v>
      </c>
      <c r="M190" s="571">
        <v>0</v>
      </c>
      <c r="N190" s="571"/>
      <c r="O190" s="570">
        <v>4</v>
      </c>
      <c r="P190" s="570">
        <v>11</v>
      </c>
      <c r="Q190" s="570">
        <v>15</v>
      </c>
      <c r="R190" s="570">
        <v>11</v>
      </c>
      <c r="S190" s="571">
        <v>3</v>
      </c>
      <c r="T190" s="571"/>
      <c r="U190" s="570">
        <v>5</v>
      </c>
      <c r="V190" s="570">
        <v>34</v>
      </c>
      <c r="W190" s="570">
        <v>39</v>
      </c>
      <c r="X190" s="570">
        <v>31</v>
      </c>
      <c r="Y190" s="571">
        <v>9</v>
      </c>
    </row>
    <row r="191" spans="1:31" ht="25.5">
      <c r="A191" s="567" t="s">
        <v>108</v>
      </c>
      <c r="B191" s="568" t="s">
        <v>639</v>
      </c>
      <c r="C191" s="570">
        <v>2</v>
      </c>
      <c r="D191" s="570">
        <v>3</v>
      </c>
      <c r="E191" s="570">
        <v>5</v>
      </c>
      <c r="F191" s="570">
        <v>5</v>
      </c>
      <c r="G191" s="571">
        <v>0</v>
      </c>
      <c r="H191" s="571"/>
      <c r="I191" s="570">
        <v>0</v>
      </c>
      <c r="J191" s="570">
        <v>0</v>
      </c>
      <c r="K191" s="570">
        <v>0</v>
      </c>
      <c r="L191" s="570">
        <v>0</v>
      </c>
      <c r="M191" s="571">
        <v>0</v>
      </c>
      <c r="N191" s="571"/>
      <c r="O191" s="570">
        <v>4</v>
      </c>
      <c r="P191" s="570">
        <v>1</v>
      </c>
      <c r="Q191" s="570">
        <v>5</v>
      </c>
      <c r="R191" s="570">
        <v>3</v>
      </c>
      <c r="S191" s="571">
        <v>0</v>
      </c>
      <c r="T191" s="571"/>
      <c r="U191" s="570">
        <v>0</v>
      </c>
      <c r="V191" s="570">
        <v>32</v>
      </c>
      <c r="W191" s="570">
        <v>32</v>
      </c>
      <c r="X191" s="570">
        <v>31</v>
      </c>
      <c r="Y191" s="571">
        <v>3</v>
      </c>
    </row>
    <row r="192" spans="1:31" ht="25.5">
      <c r="A192" s="567" t="s">
        <v>108</v>
      </c>
      <c r="B192" s="568" t="s">
        <v>640</v>
      </c>
      <c r="C192" s="570">
        <v>5</v>
      </c>
      <c r="D192" s="570">
        <v>78</v>
      </c>
      <c r="E192" s="570">
        <v>83</v>
      </c>
      <c r="F192" s="570">
        <v>76</v>
      </c>
      <c r="G192" s="571">
        <v>7</v>
      </c>
      <c r="H192" s="571"/>
      <c r="I192" s="570">
        <v>1</v>
      </c>
      <c r="J192" s="570">
        <v>2</v>
      </c>
      <c r="K192" s="570">
        <v>3</v>
      </c>
      <c r="L192" s="570">
        <v>3</v>
      </c>
      <c r="M192" s="571">
        <v>0</v>
      </c>
      <c r="N192" s="571"/>
      <c r="O192" s="570">
        <v>3</v>
      </c>
      <c r="P192" s="570">
        <v>38</v>
      </c>
      <c r="Q192" s="570">
        <v>41</v>
      </c>
      <c r="R192" s="570">
        <v>26</v>
      </c>
      <c r="S192" s="571">
        <v>14</v>
      </c>
      <c r="T192" s="571"/>
      <c r="U192" s="570">
        <v>2</v>
      </c>
      <c r="V192" s="570">
        <v>119</v>
      </c>
      <c r="W192" s="570">
        <v>121</v>
      </c>
      <c r="X192" s="570">
        <v>100</v>
      </c>
      <c r="Y192" s="571">
        <v>22</v>
      </c>
    </row>
    <row r="193" spans="1:31" ht="25.5">
      <c r="A193" s="567" t="s">
        <v>108</v>
      </c>
      <c r="B193" s="568" t="s">
        <v>641</v>
      </c>
      <c r="C193" s="570">
        <v>66</v>
      </c>
      <c r="D193" s="570">
        <v>1</v>
      </c>
      <c r="E193" s="570">
        <v>67</v>
      </c>
      <c r="F193" s="570">
        <v>67</v>
      </c>
      <c r="G193" s="571">
        <v>0</v>
      </c>
      <c r="H193" s="571"/>
      <c r="I193" s="570">
        <v>2</v>
      </c>
      <c r="J193" s="570">
        <v>0</v>
      </c>
      <c r="K193" s="570">
        <v>2</v>
      </c>
      <c r="L193" s="570">
        <v>2</v>
      </c>
      <c r="M193" s="571">
        <v>0</v>
      </c>
      <c r="N193" s="571"/>
      <c r="O193" s="570">
        <v>23</v>
      </c>
      <c r="P193" s="570">
        <v>10</v>
      </c>
      <c r="Q193" s="570">
        <v>33</v>
      </c>
      <c r="R193" s="570">
        <v>32</v>
      </c>
      <c r="S193" s="571">
        <v>0</v>
      </c>
      <c r="T193" s="571"/>
      <c r="U193" s="570">
        <v>21</v>
      </c>
      <c r="V193" s="570">
        <v>32</v>
      </c>
      <c r="W193" s="570">
        <v>53</v>
      </c>
      <c r="X193" s="570">
        <v>54</v>
      </c>
      <c r="Y193" s="571">
        <v>0</v>
      </c>
    </row>
    <row r="194" spans="1:31" ht="25.5">
      <c r="A194" s="573" t="s">
        <v>108</v>
      </c>
      <c r="B194" s="574" t="s">
        <v>642</v>
      </c>
      <c r="C194" s="575">
        <v>6</v>
      </c>
      <c r="D194" s="575">
        <v>1</v>
      </c>
      <c r="E194" s="575">
        <v>7</v>
      </c>
      <c r="F194" s="575">
        <v>7</v>
      </c>
      <c r="G194" s="576">
        <v>0</v>
      </c>
      <c r="H194" s="576"/>
      <c r="I194" s="575">
        <v>2</v>
      </c>
      <c r="J194" s="575">
        <v>0</v>
      </c>
      <c r="K194" s="575">
        <v>2</v>
      </c>
      <c r="L194" s="575">
        <v>2</v>
      </c>
      <c r="M194" s="576">
        <v>0</v>
      </c>
      <c r="N194" s="576"/>
      <c r="O194" s="575">
        <v>7</v>
      </c>
      <c r="P194" s="575">
        <v>3</v>
      </c>
      <c r="Q194" s="575">
        <v>10</v>
      </c>
      <c r="R194" s="575">
        <v>9</v>
      </c>
      <c r="S194" s="576">
        <v>0</v>
      </c>
      <c r="T194" s="576"/>
      <c r="U194" s="575">
        <v>4</v>
      </c>
      <c r="V194" s="575">
        <v>6</v>
      </c>
      <c r="W194" s="575">
        <v>10</v>
      </c>
      <c r="X194" s="575">
        <v>11</v>
      </c>
      <c r="Y194" s="576">
        <v>0</v>
      </c>
    </row>
    <row r="195" spans="1:31" s="579" customFormat="1">
      <c r="A195" s="687" t="s">
        <v>109</v>
      </c>
      <c r="B195" s="566" t="s">
        <v>0</v>
      </c>
      <c r="C195" s="571">
        <f>SUM(C196:C204)</f>
        <v>32</v>
      </c>
      <c r="D195" s="571">
        <f>SUM(D196:D204)</f>
        <v>94</v>
      </c>
      <c r="E195" s="571">
        <f>SUM(E196:E204)</f>
        <v>126</v>
      </c>
      <c r="F195" s="571">
        <f>SUM(F196:F204)</f>
        <v>62</v>
      </c>
      <c r="G195" s="571">
        <f>SUM(G196:G204)</f>
        <v>64</v>
      </c>
      <c r="H195" s="571"/>
      <c r="I195" s="571">
        <f>SUM(I196:I204)</f>
        <v>2</v>
      </c>
      <c r="J195" s="571">
        <f>SUM(J196:J204)</f>
        <v>3</v>
      </c>
      <c r="K195" s="571">
        <f>SUM(K196:K204)</f>
        <v>5</v>
      </c>
      <c r="L195" s="571">
        <f>SUM(L196:L204)</f>
        <v>4</v>
      </c>
      <c r="M195" s="571">
        <f>SUM(M196:M204)</f>
        <v>1</v>
      </c>
      <c r="N195" s="571"/>
      <c r="O195" s="571">
        <f>SUM(O196:O204)</f>
        <v>145</v>
      </c>
      <c r="P195" s="571">
        <f>SUM(P196:P204)</f>
        <v>412</v>
      </c>
      <c r="Q195" s="571">
        <f>SUM(Q196:Q204)</f>
        <v>557</v>
      </c>
      <c r="R195" s="571">
        <f>SUM(R196:R204)</f>
        <v>399</v>
      </c>
      <c r="S195" s="571">
        <f>SUM(S196:S204)</f>
        <v>113</v>
      </c>
      <c r="T195" s="571"/>
      <c r="U195" s="571">
        <f>SUM(U196:U204)</f>
        <v>38</v>
      </c>
      <c r="V195" s="571">
        <f>SUM(V196:V204)</f>
        <v>372</v>
      </c>
      <c r="W195" s="571">
        <f>SUM(W196:W204)</f>
        <v>410</v>
      </c>
      <c r="X195" s="571">
        <f>SUM(X196:X204)</f>
        <v>381</v>
      </c>
      <c r="Y195" s="571">
        <f>SUM(Y196:Y204)</f>
        <v>74</v>
      </c>
      <c r="AA195" s="559"/>
      <c r="AB195" s="559"/>
      <c r="AC195" s="559"/>
      <c r="AD195" s="559"/>
      <c r="AE195" s="559"/>
    </row>
    <row r="196" spans="1:31">
      <c r="A196" s="567" t="s">
        <v>109</v>
      </c>
      <c r="B196" s="568" t="s">
        <v>643</v>
      </c>
      <c r="C196" s="570">
        <v>11</v>
      </c>
      <c r="D196" s="570">
        <v>46</v>
      </c>
      <c r="E196" s="570">
        <v>57</v>
      </c>
      <c r="F196" s="570">
        <v>28</v>
      </c>
      <c r="G196" s="571">
        <v>29</v>
      </c>
      <c r="H196" s="571"/>
      <c r="I196" s="570">
        <v>0</v>
      </c>
      <c r="J196" s="570">
        <v>2</v>
      </c>
      <c r="K196" s="570">
        <v>2</v>
      </c>
      <c r="L196" s="570">
        <v>2</v>
      </c>
      <c r="M196" s="571">
        <v>0</v>
      </c>
      <c r="N196" s="571"/>
      <c r="O196" s="570">
        <v>36</v>
      </c>
      <c r="P196" s="570">
        <v>96</v>
      </c>
      <c r="Q196" s="570">
        <v>132</v>
      </c>
      <c r="R196" s="570">
        <v>85</v>
      </c>
      <c r="S196" s="571">
        <v>37</v>
      </c>
      <c r="T196" s="571"/>
      <c r="U196" s="570">
        <v>14</v>
      </c>
      <c r="V196" s="570">
        <v>122</v>
      </c>
      <c r="W196" s="570">
        <v>136</v>
      </c>
      <c r="X196" s="570">
        <v>130</v>
      </c>
      <c r="Y196" s="571">
        <v>16</v>
      </c>
    </row>
    <row r="197" spans="1:31">
      <c r="A197" s="567" t="s">
        <v>109</v>
      </c>
      <c r="B197" s="568" t="s">
        <v>632</v>
      </c>
      <c r="C197" s="570">
        <v>0</v>
      </c>
      <c r="D197" s="570">
        <v>8</v>
      </c>
      <c r="E197" s="570">
        <v>8</v>
      </c>
      <c r="F197" s="570">
        <v>0</v>
      </c>
      <c r="G197" s="571">
        <v>8</v>
      </c>
      <c r="H197" s="571"/>
      <c r="I197" s="570">
        <v>0</v>
      </c>
      <c r="J197" s="570">
        <v>0</v>
      </c>
      <c r="K197" s="570">
        <v>0</v>
      </c>
      <c r="L197" s="570">
        <v>0</v>
      </c>
      <c r="M197" s="571">
        <v>0</v>
      </c>
      <c r="N197" s="571"/>
      <c r="O197" s="570">
        <v>12</v>
      </c>
      <c r="P197" s="570">
        <v>37</v>
      </c>
      <c r="Q197" s="570">
        <v>49</v>
      </c>
      <c r="R197" s="570">
        <v>26</v>
      </c>
      <c r="S197" s="571">
        <v>18</v>
      </c>
      <c r="T197" s="571"/>
      <c r="U197" s="570">
        <v>2</v>
      </c>
      <c r="V197" s="570">
        <v>72</v>
      </c>
      <c r="W197" s="570">
        <v>74</v>
      </c>
      <c r="X197" s="570">
        <v>59</v>
      </c>
      <c r="Y197" s="571">
        <v>20</v>
      </c>
    </row>
    <row r="198" spans="1:31">
      <c r="A198" s="567" t="s">
        <v>109</v>
      </c>
      <c r="B198" s="568" t="s">
        <v>612</v>
      </c>
      <c r="C198" s="570">
        <v>0</v>
      </c>
      <c r="D198" s="570">
        <v>2</v>
      </c>
      <c r="E198" s="570">
        <v>2</v>
      </c>
      <c r="F198" s="570">
        <v>1</v>
      </c>
      <c r="G198" s="571">
        <v>1</v>
      </c>
      <c r="H198" s="571"/>
      <c r="I198" s="570">
        <v>0</v>
      </c>
      <c r="J198" s="570">
        <v>0</v>
      </c>
      <c r="K198" s="570">
        <v>0</v>
      </c>
      <c r="L198" s="570">
        <v>0</v>
      </c>
      <c r="M198" s="571">
        <v>0</v>
      </c>
      <c r="N198" s="571"/>
      <c r="O198" s="570">
        <v>4</v>
      </c>
      <c r="P198" s="570">
        <v>23</v>
      </c>
      <c r="Q198" s="570">
        <v>27</v>
      </c>
      <c r="R198" s="570">
        <v>21</v>
      </c>
      <c r="S198" s="571">
        <v>3</v>
      </c>
      <c r="T198" s="571"/>
      <c r="U198" s="570">
        <v>1</v>
      </c>
      <c r="V198" s="570">
        <v>36</v>
      </c>
      <c r="W198" s="570">
        <v>37</v>
      </c>
      <c r="X198" s="570">
        <v>37</v>
      </c>
      <c r="Y198" s="571">
        <v>3</v>
      </c>
    </row>
    <row r="199" spans="1:31">
      <c r="A199" s="567" t="s">
        <v>109</v>
      </c>
      <c r="B199" s="568" t="s">
        <v>644</v>
      </c>
      <c r="C199" s="570">
        <v>5</v>
      </c>
      <c r="D199" s="570">
        <v>11</v>
      </c>
      <c r="E199" s="570">
        <v>16</v>
      </c>
      <c r="F199" s="570">
        <v>7</v>
      </c>
      <c r="G199" s="571">
        <v>9</v>
      </c>
      <c r="H199" s="571"/>
      <c r="I199" s="570">
        <v>1</v>
      </c>
      <c r="J199" s="570">
        <v>0</v>
      </c>
      <c r="K199" s="570">
        <v>1</v>
      </c>
      <c r="L199" s="570">
        <v>1</v>
      </c>
      <c r="M199" s="571">
        <v>0</v>
      </c>
      <c r="N199" s="571"/>
      <c r="O199" s="570">
        <v>32</v>
      </c>
      <c r="P199" s="570">
        <v>164</v>
      </c>
      <c r="Q199" s="570">
        <v>196</v>
      </c>
      <c r="R199" s="570">
        <v>176</v>
      </c>
      <c r="S199" s="571">
        <v>16</v>
      </c>
      <c r="T199" s="571"/>
      <c r="U199" s="570">
        <v>4</v>
      </c>
      <c r="V199" s="570">
        <v>33</v>
      </c>
      <c r="W199" s="570">
        <v>37</v>
      </c>
      <c r="X199" s="570">
        <v>34</v>
      </c>
      <c r="Y199" s="571">
        <v>7</v>
      </c>
    </row>
    <row r="200" spans="1:31">
      <c r="A200" s="567" t="s">
        <v>109</v>
      </c>
      <c r="B200" s="568" t="s">
        <v>645</v>
      </c>
      <c r="C200" s="570">
        <v>1</v>
      </c>
      <c r="D200" s="570">
        <v>3</v>
      </c>
      <c r="E200" s="570">
        <v>4</v>
      </c>
      <c r="F200" s="570">
        <v>1</v>
      </c>
      <c r="G200" s="571">
        <v>3</v>
      </c>
      <c r="H200" s="571"/>
      <c r="I200" s="570">
        <v>0</v>
      </c>
      <c r="J200" s="570">
        <v>0</v>
      </c>
      <c r="K200" s="570">
        <v>0</v>
      </c>
      <c r="L200" s="570">
        <v>0</v>
      </c>
      <c r="M200" s="571">
        <v>0</v>
      </c>
      <c r="N200" s="571"/>
      <c r="O200" s="570">
        <v>11</v>
      </c>
      <c r="P200" s="570">
        <v>9</v>
      </c>
      <c r="Q200" s="570">
        <v>20</v>
      </c>
      <c r="R200" s="570">
        <v>8</v>
      </c>
      <c r="S200" s="571">
        <v>2</v>
      </c>
      <c r="T200" s="571"/>
      <c r="U200" s="570">
        <v>4</v>
      </c>
      <c r="V200" s="570">
        <v>20</v>
      </c>
      <c r="W200" s="570">
        <v>24</v>
      </c>
      <c r="X200" s="570">
        <v>25</v>
      </c>
      <c r="Y200" s="571">
        <v>9</v>
      </c>
    </row>
    <row r="201" spans="1:31">
      <c r="A201" s="567" t="s">
        <v>109</v>
      </c>
      <c r="B201" s="568" t="s">
        <v>646</v>
      </c>
      <c r="C201" s="570">
        <v>2</v>
      </c>
      <c r="D201" s="570">
        <v>4</v>
      </c>
      <c r="E201" s="570">
        <v>6</v>
      </c>
      <c r="F201" s="570">
        <v>5</v>
      </c>
      <c r="G201" s="571">
        <v>1</v>
      </c>
      <c r="H201" s="571"/>
      <c r="I201" s="570">
        <v>1</v>
      </c>
      <c r="J201" s="570">
        <v>0</v>
      </c>
      <c r="K201" s="570">
        <v>1</v>
      </c>
      <c r="L201" s="570">
        <v>0</v>
      </c>
      <c r="M201" s="571">
        <v>1</v>
      </c>
      <c r="N201" s="571"/>
      <c r="O201" s="570">
        <v>10</v>
      </c>
      <c r="P201" s="570">
        <v>7</v>
      </c>
      <c r="Q201" s="570">
        <v>17</v>
      </c>
      <c r="R201" s="570">
        <v>7</v>
      </c>
      <c r="S201" s="571">
        <v>6</v>
      </c>
      <c r="T201" s="571"/>
      <c r="U201" s="570">
        <v>0</v>
      </c>
      <c r="V201" s="570">
        <v>14</v>
      </c>
      <c r="W201" s="570">
        <v>14</v>
      </c>
      <c r="X201" s="570">
        <v>14</v>
      </c>
      <c r="Y201" s="571">
        <v>4</v>
      </c>
    </row>
    <row r="202" spans="1:31">
      <c r="A202" s="567" t="s">
        <v>109</v>
      </c>
      <c r="B202" s="568" t="s">
        <v>647</v>
      </c>
      <c r="C202" s="570">
        <v>1</v>
      </c>
      <c r="D202" s="570">
        <v>7</v>
      </c>
      <c r="E202" s="570">
        <v>8</v>
      </c>
      <c r="F202" s="570">
        <v>6</v>
      </c>
      <c r="G202" s="571">
        <v>2</v>
      </c>
      <c r="H202" s="571"/>
      <c r="I202" s="570">
        <v>0</v>
      </c>
      <c r="J202" s="570">
        <v>1</v>
      </c>
      <c r="K202" s="570">
        <v>1</v>
      </c>
      <c r="L202" s="570">
        <v>1</v>
      </c>
      <c r="M202" s="571">
        <v>0</v>
      </c>
      <c r="N202" s="571"/>
      <c r="O202" s="570">
        <v>12</v>
      </c>
      <c r="P202" s="570">
        <v>32</v>
      </c>
      <c r="Q202" s="570">
        <v>44</v>
      </c>
      <c r="R202" s="570">
        <v>39</v>
      </c>
      <c r="S202" s="571">
        <v>3</v>
      </c>
      <c r="T202" s="571"/>
      <c r="U202" s="570">
        <v>4</v>
      </c>
      <c r="V202" s="570">
        <v>43</v>
      </c>
      <c r="W202" s="570">
        <v>47</v>
      </c>
      <c r="X202" s="570">
        <v>47</v>
      </c>
      <c r="Y202" s="571">
        <v>2</v>
      </c>
    </row>
    <row r="203" spans="1:31">
      <c r="A203" s="567" t="s">
        <v>109</v>
      </c>
      <c r="B203" s="568" t="s">
        <v>648</v>
      </c>
      <c r="C203" s="570">
        <v>10</v>
      </c>
      <c r="D203" s="570">
        <v>13</v>
      </c>
      <c r="E203" s="570">
        <v>23</v>
      </c>
      <c r="F203" s="570">
        <v>13</v>
      </c>
      <c r="G203" s="571">
        <v>10</v>
      </c>
      <c r="H203" s="571"/>
      <c r="I203" s="570">
        <v>0</v>
      </c>
      <c r="J203" s="570">
        <v>0</v>
      </c>
      <c r="K203" s="570">
        <v>0</v>
      </c>
      <c r="L203" s="570">
        <v>0</v>
      </c>
      <c r="M203" s="571">
        <v>0</v>
      </c>
      <c r="N203" s="571"/>
      <c r="O203" s="570">
        <v>7</v>
      </c>
      <c r="P203" s="570">
        <v>10</v>
      </c>
      <c r="Q203" s="570">
        <v>17</v>
      </c>
      <c r="R203" s="570">
        <v>13</v>
      </c>
      <c r="S203" s="571">
        <v>4</v>
      </c>
      <c r="T203" s="571"/>
      <c r="U203" s="570">
        <v>3</v>
      </c>
      <c r="V203" s="570">
        <v>21</v>
      </c>
      <c r="W203" s="570">
        <v>24</v>
      </c>
      <c r="X203" s="570">
        <v>21</v>
      </c>
      <c r="Y203" s="571">
        <v>3</v>
      </c>
    </row>
    <row r="204" spans="1:31">
      <c r="A204" s="573" t="s">
        <v>109</v>
      </c>
      <c r="B204" s="574" t="s">
        <v>649</v>
      </c>
      <c r="C204" s="575">
        <v>2</v>
      </c>
      <c r="D204" s="575">
        <v>0</v>
      </c>
      <c r="E204" s="575">
        <v>2</v>
      </c>
      <c r="F204" s="575">
        <v>1</v>
      </c>
      <c r="G204" s="576">
        <v>1</v>
      </c>
      <c r="H204" s="576"/>
      <c r="I204" s="575">
        <v>0</v>
      </c>
      <c r="J204" s="575">
        <v>0</v>
      </c>
      <c r="K204" s="575">
        <v>0</v>
      </c>
      <c r="L204" s="575">
        <v>0</v>
      </c>
      <c r="M204" s="576">
        <v>0</v>
      </c>
      <c r="N204" s="576"/>
      <c r="O204" s="575">
        <v>21</v>
      </c>
      <c r="P204" s="575">
        <v>34</v>
      </c>
      <c r="Q204" s="575">
        <v>55</v>
      </c>
      <c r="R204" s="575">
        <v>24</v>
      </c>
      <c r="S204" s="576">
        <v>24</v>
      </c>
      <c r="T204" s="576"/>
      <c r="U204" s="575">
        <v>6</v>
      </c>
      <c r="V204" s="575">
        <v>11</v>
      </c>
      <c r="W204" s="575">
        <v>17</v>
      </c>
      <c r="X204" s="575">
        <v>14</v>
      </c>
      <c r="Y204" s="576">
        <v>10</v>
      </c>
    </row>
    <row r="205" spans="1:31" s="579" customFormat="1">
      <c r="A205" s="687" t="s">
        <v>110</v>
      </c>
      <c r="B205" s="566" t="s">
        <v>0</v>
      </c>
      <c r="C205" s="571">
        <f>SUM(C206:C214)</f>
        <v>74</v>
      </c>
      <c r="D205" s="571">
        <f>SUM(D206:D214)</f>
        <v>79</v>
      </c>
      <c r="E205" s="571">
        <f>SUM(E206:E214)</f>
        <v>153</v>
      </c>
      <c r="F205" s="571">
        <f>SUM(F206:F214)</f>
        <v>102</v>
      </c>
      <c r="G205" s="571">
        <f>SUM(G206:G214)</f>
        <v>51</v>
      </c>
      <c r="H205" s="571"/>
      <c r="I205" s="571">
        <f>SUM(I206:I214)</f>
        <v>1</v>
      </c>
      <c r="J205" s="571">
        <f>SUM(J206:J214)</f>
        <v>2</v>
      </c>
      <c r="K205" s="571">
        <f>SUM(K206:K214)</f>
        <v>3</v>
      </c>
      <c r="L205" s="571">
        <f>SUM(L206:L214)</f>
        <v>2</v>
      </c>
      <c r="M205" s="571">
        <f>SUM(M206:M214)</f>
        <v>1</v>
      </c>
      <c r="N205" s="571"/>
      <c r="O205" s="571">
        <f>SUM(O206:O214)</f>
        <v>139</v>
      </c>
      <c r="P205" s="571">
        <f>SUM(P206:P214)</f>
        <v>180</v>
      </c>
      <c r="Q205" s="571">
        <f>SUM(Q206:Q214)</f>
        <v>319</v>
      </c>
      <c r="R205" s="571">
        <f>SUM(R206:R214)</f>
        <v>226</v>
      </c>
      <c r="S205" s="571">
        <f>SUM(S206:S214)</f>
        <v>38</v>
      </c>
      <c r="T205" s="571"/>
      <c r="U205" s="571">
        <f>SUM(U206:U214)</f>
        <v>71</v>
      </c>
      <c r="V205" s="571">
        <f>SUM(V206:V214)</f>
        <v>505</v>
      </c>
      <c r="W205" s="571">
        <f>SUM(W206:W214)</f>
        <v>576</v>
      </c>
      <c r="X205" s="571">
        <f>SUM(X206:X214)</f>
        <v>553</v>
      </c>
      <c r="Y205" s="571">
        <f>SUM(Y206:Y214)</f>
        <v>78</v>
      </c>
      <c r="AA205" s="559"/>
      <c r="AB205" s="559"/>
      <c r="AC205" s="559"/>
      <c r="AD205" s="559"/>
      <c r="AE205" s="559"/>
    </row>
    <row r="206" spans="1:31">
      <c r="A206" s="567" t="s">
        <v>110</v>
      </c>
      <c r="B206" s="568" t="s">
        <v>598</v>
      </c>
      <c r="C206" s="570">
        <v>21</v>
      </c>
      <c r="D206" s="570">
        <v>32</v>
      </c>
      <c r="E206" s="570">
        <v>53</v>
      </c>
      <c r="F206" s="570">
        <v>44</v>
      </c>
      <c r="G206" s="571">
        <v>9</v>
      </c>
      <c r="H206" s="571"/>
      <c r="I206" s="570">
        <v>0</v>
      </c>
      <c r="J206" s="570">
        <v>1</v>
      </c>
      <c r="K206" s="570">
        <v>1</v>
      </c>
      <c r="L206" s="570">
        <v>1</v>
      </c>
      <c r="M206" s="571">
        <v>0</v>
      </c>
      <c r="N206" s="571"/>
      <c r="O206" s="570">
        <v>58</v>
      </c>
      <c r="P206" s="570">
        <v>82</v>
      </c>
      <c r="Q206" s="570">
        <v>140</v>
      </c>
      <c r="R206" s="570">
        <v>112</v>
      </c>
      <c r="S206" s="571">
        <v>9</v>
      </c>
      <c r="T206" s="571"/>
      <c r="U206" s="570">
        <v>32</v>
      </c>
      <c r="V206" s="570">
        <v>228</v>
      </c>
      <c r="W206" s="570">
        <v>260</v>
      </c>
      <c r="X206" s="570">
        <v>269</v>
      </c>
      <c r="Y206" s="571">
        <v>10</v>
      </c>
    </row>
    <row r="207" spans="1:31">
      <c r="A207" s="567" t="s">
        <v>110</v>
      </c>
      <c r="B207" s="568" t="s">
        <v>650</v>
      </c>
      <c r="C207" s="570">
        <v>0</v>
      </c>
      <c r="D207" s="570">
        <v>5</v>
      </c>
      <c r="E207" s="570">
        <v>5</v>
      </c>
      <c r="F207" s="570">
        <v>5</v>
      </c>
      <c r="G207" s="571">
        <v>0</v>
      </c>
      <c r="H207" s="571"/>
      <c r="I207" s="570">
        <v>0</v>
      </c>
      <c r="J207" s="570">
        <v>0</v>
      </c>
      <c r="K207" s="570">
        <v>0</v>
      </c>
      <c r="L207" s="570">
        <v>0</v>
      </c>
      <c r="M207" s="571">
        <v>0</v>
      </c>
      <c r="N207" s="571"/>
      <c r="O207" s="570">
        <v>7</v>
      </c>
      <c r="P207" s="570">
        <v>12</v>
      </c>
      <c r="Q207" s="570">
        <v>19</v>
      </c>
      <c r="R207" s="570">
        <v>12</v>
      </c>
      <c r="S207" s="571">
        <v>2</v>
      </c>
      <c r="T207" s="571"/>
      <c r="U207" s="570">
        <v>3</v>
      </c>
      <c r="V207" s="570">
        <v>28</v>
      </c>
      <c r="W207" s="570">
        <v>31</v>
      </c>
      <c r="X207" s="570">
        <v>32</v>
      </c>
      <c r="Y207" s="571">
        <v>4</v>
      </c>
    </row>
    <row r="208" spans="1:31">
      <c r="A208" s="567" t="s">
        <v>110</v>
      </c>
      <c r="B208" s="568" t="s">
        <v>651</v>
      </c>
      <c r="C208" s="570">
        <v>3</v>
      </c>
      <c r="D208" s="570">
        <v>1</v>
      </c>
      <c r="E208" s="570">
        <v>4</v>
      </c>
      <c r="F208" s="570">
        <v>4</v>
      </c>
      <c r="G208" s="571">
        <v>0</v>
      </c>
      <c r="H208" s="571"/>
      <c r="I208" s="570">
        <v>0</v>
      </c>
      <c r="J208" s="570">
        <v>0</v>
      </c>
      <c r="K208" s="570">
        <v>0</v>
      </c>
      <c r="L208" s="570">
        <v>0</v>
      </c>
      <c r="M208" s="571">
        <v>0</v>
      </c>
      <c r="N208" s="571"/>
      <c r="O208" s="570">
        <v>9</v>
      </c>
      <c r="P208" s="570">
        <v>16</v>
      </c>
      <c r="Q208" s="570">
        <v>25</v>
      </c>
      <c r="R208" s="570">
        <v>18</v>
      </c>
      <c r="S208" s="571">
        <v>3</v>
      </c>
      <c r="T208" s="571"/>
      <c r="U208" s="570">
        <v>2</v>
      </c>
      <c r="V208" s="570">
        <v>35</v>
      </c>
      <c r="W208" s="570">
        <v>37</v>
      </c>
      <c r="X208" s="570">
        <v>39</v>
      </c>
      <c r="Y208" s="571">
        <v>2</v>
      </c>
    </row>
    <row r="209" spans="1:31">
      <c r="A209" s="567" t="s">
        <v>110</v>
      </c>
      <c r="B209" s="568" t="s">
        <v>652</v>
      </c>
      <c r="C209" s="570">
        <v>1</v>
      </c>
      <c r="D209" s="570">
        <v>1</v>
      </c>
      <c r="E209" s="570">
        <v>2</v>
      </c>
      <c r="F209" s="570">
        <v>1</v>
      </c>
      <c r="G209" s="571">
        <v>1</v>
      </c>
      <c r="H209" s="571"/>
      <c r="I209" s="570">
        <v>0</v>
      </c>
      <c r="J209" s="570">
        <v>0</v>
      </c>
      <c r="K209" s="570">
        <v>0</v>
      </c>
      <c r="L209" s="570">
        <v>0</v>
      </c>
      <c r="M209" s="571">
        <v>0</v>
      </c>
      <c r="N209" s="571"/>
      <c r="O209" s="570">
        <v>8</v>
      </c>
      <c r="P209" s="570">
        <v>5</v>
      </c>
      <c r="Q209" s="570">
        <v>13</v>
      </c>
      <c r="R209" s="570">
        <v>8</v>
      </c>
      <c r="S209" s="571">
        <v>5</v>
      </c>
      <c r="T209" s="571"/>
      <c r="U209" s="570">
        <v>6</v>
      </c>
      <c r="V209" s="570">
        <v>22</v>
      </c>
      <c r="W209" s="570">
        <v>28</v>
      </c>
      <c r="X209" s="570">
        <v>23</v>
      </c>
      <c r="Y209" s="571">
        <v>5</v>
      </c>
    </row>
    <row r="210" spans="1:31">
      <c r="A210" s="567" t="s">
        <v>110</v>
      </c>
      <c r="B210" s="568" t="s">
        <v>653</v>
      </c>
      <c r="C210" s="570">
        <v>3</v>
      </c>
      <c r="D210" s="570">
        <v>5</v>
      </c>
      <c r="E210" s="570">
        <v>8</v>
      </c>
      <c r="F210" s="570">
        <v>5</v>
      </c>
      <c r="G210" s="571">
        <v>3</v>
      </c>
      <c r="H210" s="571"/>
      <c r="I210" s="570">
        <v>0</v>
      </c>
      <c r="J210" s="570">
        <v>0</v>
      </c>
      <c r="K210" s="570">
        <v>0</v>
      </c>
      <c r="L210" s="570">
        <v>0</v>
      </c>
      <c r="M210" s="571">
        <v>0</v>
      </c>
      <c r="N210" s="571"/>
      <c r="O210" s="570">
        <v>11</v>
      </c>
      <c r="P210" s="570">
        <v>24</v>
      </c>
      <c r="Q210" s="570">
        <v>35</v>
      </c>
      <c r="R210" s="570">
        <v>24</v>
      </c>
      <c r="S210" s="571">
        <v>7</v>
      </c>
      <c r="T210" s="571"/>
      <c r="U210" s="570">
        <v>6</v>
      </c>
      <c r="V210" s="570">
        <v>29</v>
      </c>
      <c r="W210" s="570">
        <v>35</v>
      </c>
      <c r="X210" s="570">
        <v>27</v>
      </c>
      <c r="Y210" s="571">
        <v>12</v>
      </c>
    </row>
    <row r="211" spans="1:31">
      <c r="A211" s="567" t="s">
        <v>110</v>
      </c>
      <c r="B211" s="568" t="s">
        <v>654</v>
      </c>
      <c r="C211" s="570">
        <v>3</v>
      </c>
      <c r="D211" s="570">
        <v>2</v>
      </c>
      <c r="E211" s="570">
        <v>5</v>
      </c>
      <c r="F211" s="570">
        <v>1</v>
      </c>
      <c r="G211" s="571">
        <v>4</v>
      </c>
      <c r="H211" s="571"/>
      <c r="I211" s="570">
        <v>0</v>
      </c>
      <c r="J211" s="570">
        <v>0</v>
      </c>
      <c r="K211" s="570">
        <v>0</v>
      </c>
      <c r="L211" s="570">
        <v>0</v>
      </c>
      <c r="M211" s="571">
        <v>0</v>
      </c>
      <c r="N211" s="571"/>
      <c r="O211" s="570">
        <v>6</v>
      </c>
      <c r="P211" s="570">
        <v>3</v>
      </c>
      <c r="Q211" s="570">
        <v>9</v>
      </c>
      <c r="R211" s="570">
        <v>4</v>
      </c>
      <c r="S211" s="571">
        <v>3</v>
      </c>
      <c r="T211" s="571"/>
      <c r="U211" s="570">
        <v>2</v>
      </c>
      <c r="V211" s="570">
        <v>32</v>
      </c>
      <c r="W211" s="570">
        <v>34</v>
      </c>
      <c r="X211" s="570">
        <v>29</v>
      </c>
      <c r="Y211" s="571">
        <v>7</v>
      </c>
    </row>
    <row r="212" spans="1:31">
      <c r="A212" s="567" t="s">
        <v>110</v>
      </c>
      <c r="B212" s="568" t="s">
        <v>655</v>
      </c>
      <c r="C212" s="570">
        <v>10</v>
      </c>
      <c r="D212" s="570">
        <v>5</v>
      </c>
      <c r="E212" s="570">
        <v>15</v>
      </c>
      <c r="F212" s="570">
        <v>7</v>
      </c>
      <c r="G212" s="571">
        <v>8</v>
      </c>
      <c r="H212" s="571"/>
      <c r="I212" s="570">
        <v>1</v>
      </c>
      <c r="J212" s="570">
        <v>0</v>
      </c>
      <c r="K212" s="570">
        <v>1</v>
      </c>
      <c r="L212" s="570">
        <v>1</v>
      </c>
      <c r="M212" s="571">
        <v>0</v>
      </c>
      <c r="N212" s="571"/>
      <c r="O212" s="570">
        <v>11</v>
      </c>
      <c r="P212" s="570">
        <v>10</v>
      </c>
      <c r="Q212" s="570">
        <v>21</v>
      </c>
      <c r="R212" s="570">
        <v>15</v>
      </c>
      <c r="S212" s="571">
        <v>2</v>
      </c>
      <c r="T212" s="571"/>
      <c r="U212" s="570">
        <v>10</v>
      </c>
      <c r="V212" s="570">
        <v>45</v>
      </c>
      <c r="W212" s="570">
        <v>55</v>
      </c>
      <c r="X212" s="570">
        <v>46</v>
      </c>
      <c r="Y212" s="571">
        <v>13</v>
      </c>
    </row>
    <row r="213" spans="1:31">
      <c r="A213" s="567" t="s">
        <v>110</v>
      </c>
      <c r="B213" s="568" t="s">
        <v>656</v>
      </c>
      <c r="C213" s="570">
        <v>3</v>
      </c>
      <c r="D213" s="570">
        <v>10</v>
      </c>
      <c r="E213" s="570">
        <v>13</v>
      </c>
      <c r="F213" s="570">
        <v>5</v>
      </c>
      <c r="G213" s="571">
        <v>8</v>
      </c>
      <c r="H213" s="571"/>
      <c r="I213" s="570">
        <v>0</v>
      </c>
      <c r="J213" s="570">
        <v>1</v>
      </c>
      <c r="K213" s="570">
        <v>1</v>
      </c>
      <c r="L213" s="570">
        <v>0</v>
      </c>
      <c r="M213" s="571">
        <v>1</v>
      </c>
      <c r="N213" s="571"/>
      <c r="O213" s="570">
        <v>6</v>
      </c>
      <c r="P213" s="570">
        <v>3</v>
      </c>
      <c r="Q213" s="570">
        <v>9</v>
      </c>
      <c r="R213" s="570">
        <v>4</v>
      </c>
      <c r="S213" s="571">
        <v>0</v>
      </c>
      <c r="T213" s="571"/>
      <c r="U213" s="570">
        <v>1</v>
      </c>
      <c r="V213" s="570">
        <v>29</v>
      </c>
      <c r="W213" s="570">
        <v>30</v>
      </c>
      <c r="X213" s="570">
        <v>22</v>
      </c>
      <c r="Y213" s="571">
        <v>13</v>
      </c>
    </row>
    <row r="214" spans="1:31">
      <c r="A214" s="573" t="s">
        <v>110</v>
      </c>
      <c r="B214" s="574" t="s">
        <v>657</v>
      </c>
      <c r="C214" s="575">
        <v>30</v>
      </c>
      <c r="D214" s="575">
        <v>18</v>
      </c>
      <c r="E214" s="575">
        <v>48</v>
      </c>
      <c r="F214" s="575">
        <v>30</v>
      </c>
      <c r="G214" s="576">
        <v>18</v>
      </c>
      <c r="H214" s="576"/>
      <c r="I214" s="575">
        <v>0</v>
      </c>
      <c r="J214" s="575">
        <v>0</v>
      </c>
      <c r="K214" s="575">
        <v>0</v>
      </c>
      <c r="L214" s="575">
        <v>0</v>
      </c>
      <c r="M214" s="576">
        <v>0</v>
      </c>
      <c r="N214" s="576"/>
      <c r="O214" s="575">
        <v>23</v>
      </c>
      <c r="P214" s="575">
        <v>25</v>
      </c>
      <c r="Q214" s="575">
        <v>48</v>
      </c>
      <c r="R214" s="575">
        <v>29</v>
      </c>
      <c r="S214" s="576">
        <v>7</v>
      </c>
      <c r="T214" s="576"/>
      <c r="U214" s="575">
        <v>9</v>
      </c>
      <c r="V214" s="575">
        <v>57</v>
      </c>
      <c r="W214" s="575">
        <v>66</v>
      </c>
      <c r="X214" s="575">
        <v>66</v>
      </c>
      <c r="Y214" s="576">
        <v>12</v>
      </c>
    </row>
    <row r="215" spans="1:31" s="579" customFormat="1">
      <c r="A215" s="687" t="s">
        <v>111</v>
      </c>
      <c r="B215" s="566" t="s">
        <v>0</v>
      </c>
      <c r="C215" s="571">
        <f>C216</f>
        <v>166</v>
      </c>
      <c r="D215" s="571">
        <f>D216</f>
        <v>134</v>
      </c>
      <c r="E215" s="571">
        <f>E216</f>
        <v>300</v>
      </c>
      <c r="F215" s="571">
        <f>F216</f>
        <v>162</v>
      </c>
      <c r="G215" s="571">
        <f>G216</f>
        <v>138</v>
      </c>
      <c r="H215" s="571"/>
      <c r="I215" s="571">
        <f>I216</f>
        <v>20</v>
      </c>
      <c r="J215" s="571">
        <f>J216</f>
        <v>4</v>
      </c>
      <c r="K215" s="571">
        <f>K216</f>
        <v>24</v>
      </c>
      <c r="L215" s="571">
        <f>L216</f>
        <v>10</v>
      </c>
      <c r="M215" s="571">
        <f>M216</f>
        <v>14</v>
      </c>
      <c r="N215" s="571"/>
      <c r="O215" s="571">
        <f>O216</f>
        <v>172</v>
      </c>
      <c r="P215" s="571">
        <f>P216</f>
        <v>212</v>
      </c>
      <c r="Q215" s="571">
        <f>Q216</f>
        <v>384</v>
      </c>
      <c r="R215" s="571">
        <f>R216</f>
        <v>251</v>
      </c>
      <c r="S215" s="571">
        <f>S216</f>
        <v>84</v>
      </c>
      <c r="T215" s="571"/>
      <c r="U215" s="571">
        <f>U216</f>
        <v>76</v>
      </c>
      <c r="V215" s="571">
        <f>V216</f>
        <v>356</v>
      </c>
      <c r="W215" s="571">
        <f>W216</f>
        <v>432</v>
      </c>
      <c r="X215" s="571">
        <f>X216</f>
        <v>383</v>
      </c>
      <c r="Y215" s="571">
        <f>Y216</f>
        <v>98</v>
      </c>
      <c r="AA215" s="559"/>
      <c r="AB215" s="559"/>
      <c r="AC215" s="559"/>
      <c r="AD215" s="559"/>
      <c r="AE215" s="559"/>
    </row>
    <row r="216" spans="1:31">
      <c r="A216" s="573" t="s">
        <v>111</v>
      </c>
      <c r="B216" s="574" t="s">
        <v>658</v>
      </c>
      <c r="C216" s="575">
        <v>166</v>
      </c>
      <c r="D216" s="575">
        <v>134</v>
      </c>
      <c r="E216" s="575">
        <v>300</v>
      </c>
      <c r="F216" s="575">
        <v>162</v>
      </c>
      <c r="G216" s="576">
        <v>138</v>
      </c>
      <c r="H216" s="576"/>
      <c r="I216" s="575">
        <v>20</v>
      </c>
      <c r="J216" s="575">
        <v>4</v>
      </c>
      <c r="K216" s="575">
        <v>24</v>
      </c>
      <c r="L216" s="575">
        <v>10</v>
      </c>
      <c r="M216" s="576">
        <v>14</v>
      </c>
      <c r="N216" s="576"/>
      <c r="O216" s="575">
        <v>172</v>
      </c>
      <c r="P216" s="575">
        <v>212</v>
      </c>
      <c r="Q216" s="575">
        <v>384</v>
      </c>
      <c r="R216" s="575">
        <v>251</v>
      </c>
      <c r="S216" s="576">
        <v>84</v>
      </c>
      <c r="T216" s="576"/>
      <c r="U216" s="575">
        <v>76</v>
      </c>
      <c r="V216" s="575">
        <v>356</v>
      </c>
      <c r="W216" s="575">
        <v>432</v>
      </c>
      <c r="X216" s="575">
        <v>383</v>
      </c>
      <c r="Y216" s="576">
        <v>98</v>
      </c>
    </row>
    <row r="217" spans="1:31" s="580" customFormat="1">
      <c r="A217" s="687" t="s">
        <v>112</v>
      </c>
      <c r="B217" s="566" t="s">
        <v>0</v>
      </c>
      <c r="C217" s="571">
        <f>SUM(C218:C223)</f>
        <v>101</v>
      </c>
      <c r="D217" s="571">
        <f>SUM(D218:D223)</f>
        <v>246</v>
      </c>
      <c r="E217" s="571">
        <f>SUM(E218:E223)</f>
        <v>347</v>
      </c>
      <c r="F217" s="571">
        <f>SUM(F218:F223)</f>
        <v>251</v>
      </c>
      <c r="G217" s="571">
        <f>SUM(G218:G223)</f>
        <v>96</v>
      </c>
      <c r="H217" s="571"/>
      <c r="I217" s="571">
        <f>SUM(I218:I223)</f>
        <v>7</v>
      </c>
      <c r="J217" s="571">
        <f>SUM(J218:J223)</f>
        <v>4</v>
      </c>
      <c r="K217" s="571">
        <f>SUM(K218:K223)</f>
        <v>11</v>
      </c>
      <c r="L217" s="571">
        <f>SUM(L218:L223)</f>
        <v>10</v>
      </c>
      <c r="M217" s="571">
        <f>SUM(M218:M223)</f>
        <v>1</v>
      </c>
      <c r="N217" s="571"/>
      <c r="O217" s="571">
        <f>SUM(O218:O223)</f>
        <v>246</v>
      </c>
      <c r="P217" s="571">
        <f>SUM(P218:P223)</f>
        <v>362</v>
      </c>
      <c r="Q217" s="571">
        <f>SUM(Q218:Q223)</f>
        <v>608</v>
      </c>
      <c r="R217" s="571">
        <f>SUM(R218:R223)</f>
        <v>435</v>
      </c>
      <c r="S217" s="571">
        <f>SUM(S218:S223)</f>
        <v>49</v>
      </c>
      <c r="T217" s="571"/>
      <c r="U217" s="571">
        <f>SUM(U218:U223)</f>
        <v>73</v>
      </c>
      <c r="V217" s="571">
        <f>SUM(V218:V223)</f>
        <v>750</v>
      </c>
      <c r="W217" s="571">
        <f>SUM(W218:W223)</f>
        <v>823</v>
      </c>
      <c r="X217" s="571">
        <f>SUM(X218:X223)</f>
        <v>801</v>
      </c>
      <c r="Y217" s="571">
        <f>SUM(Y218:Y223)</f>
        <v>146</v>
      </c>
      <c r="AA217" s="559"/>
      <c r="AB217" s="559"/>
      <c r="AC217" s="559"/>
      <c r="AD217" s="559"/>
      <c r="AE217" s="559"/>
    </row>
    <row r="218" spans="1:31">
      <c r="A218" s="567" t="s">
        <v>112</v>
      </c>
      <c r="B218" s="568" t="s">
        <v>629</v>
      </c>
      <c r="C218" s="570">
        <v>37</v>
      </c>
      <c r="D218" s="570">
        <v>134</v>
      </c>
      <c r="E218" s="570">
        <v>171</v>
      </c>
      <c r="F218" s="570">
        <v>143</v>
      </c>
      <c r="G218" s="571">
        <v>28</v>
      </c>
      <c r="H218" s="571"/>
      <c r="I218" s="570">
        <v>4</v>
      </c>
      <c r="J218" s="570">
        <v>4</v>
      </c>
      <c r="K218" s="570">
        <v>8</v>
      </c>
      <c r="L218" s="570">
        <v>8</v>
      </c>
      <c r="M218" s="571">
        <v>0</v>
      </c>
      <c r="N218" s="571"/>
      <c r="O218" s="570">
        <v>53</v>
      </c>
      <c r="P218" s="570">
        <v>205</v>
      </c>
      <c r="Q218" s="570">
        <v>258</v>
      </c>
      <c r="R218" s="570">
        <v>225</v>
      </c>
      <c r="S218" s="571">
        <v>12</v>
      </c>
      <c r="T218" s="571"/>
      <c r="U218" s="570">
        <v>25</v>
      </c>
      <c r="V218" s="570">
        <v>328</v>
      </c>
      <c r="W218" s="570">
        <v>353</v>
      </c>
      <c r="X218" s="570">
        <v>351</v>
      </c>
      <c r="Y218" s="571">
        <v>23</v>
      </c>
    </row>
    <row r="219" spans="1:31">
      <c r="A219" s="567" t="s">
        <v>112</v>
      </c>
      <c r="B219" s="568" t="s">
        <v>659</v>
      </c>
      <c r="C219" s="570">
        <v>8</v>
      </c>
      <c r="D219" s="570">
        <v>35</v>
      </c>
      <c r="E219" s="570">
        <v>43</v>
      </c>
      <c r="F219" s="570">
        <v>30</v>
      </c>
      <c r="G219" s="571">
        <v>13</v>
      </c>
      <c r="H219" s="571"/>
      <c r="I219" s="570">
        <v>0</v>
      </c>
      <c r="J219" s="570">
        <v>0</v>
      </c>
      <c r="K219" s="570">
        <v>0</v>
      </c>
      <c r="L219" s="570">
        <v>0</v>
      </c>
      <c r="M219" s="571">
        <v>0</v>
      </c>
      <c r="N219" s="571"/>
      <c r="O219" s="570">
        <v>18</v>
      </c>
      <c r="P219" s="570">
        <v>37</v>
      </c>
      <c r="Q219" s="570">
        <v>55</v>
      </c>
      <c r="R219" s="570">
        <v>39</v>
      </c>
      <c r="S219" s="571">
        <v>7</v>
      </c>
      <c r="T219" s="571"/>
      <c r="U219" s="570">
        <v>6</v>
      </c>
      <c r="V219" s="570">
        <v>103</v>
      </c>
      <c r="W219" s="570">
        <v>109</v>
      </c>
      <c r="X219" s="570">
        <v>103</v>
      </c>
      <c r="Y219" s="571">
        <v>15</v>
      </c>
    </row>
    <row r="220" spans="1:31">
      <c r="A220" s="567" t="s">
        <v>112</v>
      </c>
      <c r="B220" s="568" t="s">
        <v>660</v>
      </c>
      <c r="C220" s="570">
        <v>7</v>
      </c>
      <c r="D220" s="570">
        <v>4</v>
      </c>
      <c r="E220" s="570">
        <v>11</v>
      </c>
      <c r="F220" s="570">
        <v>6</v>
      </c>
      <c r="G220" s="571">
        <v>5</v>
      </c>
      <c r="H220" s="571"/>
      <c r="I220" s="570">
        <v>0</v>
      </c>
      <c r="J220" s="570">
        <v>0</v>
      </c>
      <c r="K220" s="570">
        <v>0</v>
      </c>
      <c r="L220" s="570">
        <v>0</v>
      </c>
      <c r="M220" s="571">
        <v>0</v>
      </c>
      <c r="N220" s="571"/>
      <c r="O220" s="570">
        <v>18</v>
      </c>
      <c r="P220" s="570">
        <v>24</v>
      </c>
      <c r="Q220" s="570">
        <v>42</v>
      </c>
      <c r="R220" s="570">
        <v>28</v>
      </c>
      <c r="S220" s="571">
        <v>5</v>
      </c>
      <c r="T220" s="571"/>
      <c r="U220" s="570">
        <v>0</v>
      </c>
      <c r="V220" s="570">
        <v>65</v>
      </c>
      <c r="W220" s="570">
        <v>65</v>
      </c>
      <c r="X220" s="570">
        <v>50</v>
      </c>
      <c r="Y220" s="571">
        <v>24</v>
      </c>
    </row>
    <row r="221" spans="1:31">
      <c r="A221" s="567" t="s">
        <v>112</v>
      </c>
      <c r="B221" s="568" t="s">
        <v>551</v>
      </c>
      <c r="C221" s="570">
        <v>11</v>
      </c>
      <c r="D221" s="570">
        <v>25</v>
      </c>
      <c r="E221" s="570">
        <v>36</v>
      </c>
      <c r="F221" s="570">
        <v>13</v>
      </c>
      <c r="G221" s="571">
        <v>23</v>
      </c>
      <c r="H221" s="571"/>
      <c r="I221" s="570">
        <v>0</v>
      </c>
      <c r="J221" s="570">
        <v>0</v>
      </c>
      <c r="K221" s="570">
        <v>0</v>
      </c>
      <c r="L221" s="570">
        <v>0</v>
      </c>
      <c r="M221" s="571">
        <v>0</v>
      </c>
      <c r="N221" s="571"/>
      <c r="O221" s="570">
        <v>30</v>
      </c>
      <c r="P221" s="570">
        <v>40</v>
      </c>
      <c r="Q221" s="570">
        <v>70</v>
      </c>
      <c r="R221" s="570">
        <v>42</v>
      </c>
      <c r="S221" s="571">
        <v>13</v>
      </c>
      <c r="T221" s="571"/>
      <c r="U221" s="570">
        <v>15</v>
      </c>
      <c r="V221" s="570">
        <v>70</v>
      </c>
      <c r="W221" s="570">
        <v>85</v>
      </c>
      <c r="X221" s="570">
        <v>77</v>
      </c>
      <c r="Y221" s="571">
        <v>23</v>
      </c>
    </row>
    <row r="222" spans="1:31">
      <c r="A222" s="567" t="s">
        <v>112</v>
      </c>
      <c r="B222" s="568" t="s">
        <v>661</v>
      </c>
      <c r="C222" s="570">
        <v>23</v>
      </c>
      <c r="D222" s="570">
        <v>28</v>
      </c>
      <c r="E222" s="570">
        <v>51</v>
      </c>
      <c r="F222" s="570">
        <v>35</v>
      </c>
      <c r="G222" s="571">
        <v>16</v>
      </c>
      <c r="H222" s="571"/>
      <c r="I222" s="570">
        <v>3</v>
      </c>
      <c r="J222" s="570">
        <v>0</v>
      </c>
      <c r="K222" s="570">
        <v>3</v>
      </c>
      <c r="L222" s="570">
        <v>2</v>
      </c>
      <c r="M222" s="571">
        <v>1</v>
      </c>
      <c r="N222" s="571"/>
      <c r="O222" s="570">
        <v>109</v>
      </c>
      <c r="P222" s="570">
        <v>40</v>
      </c>
      <c r="Q222" s="570">
        <v>149</v>
      </c>
      <c r="R222" s="570">
        <v>78</v>
      </c>
      <c r="S222" s="571">
        <v>9</v>
      </c>
      <c r="T222" s="571"/>
      <c r="U222" s="570">
        <v>18</v>
      </c>
      <c r="V222" s="570">
        <v>149</v>
      </c>
      <c r="W222" s="570">
        <v>167</v>
      </c>
      <c r="X222" s="570">
        <v>184</v>
      </c>
      <c r="Y222" s="571">
        <v>45</v>
      </c>
    </row>
    <row r="223" spans="1:31">
      <c r="A223" s="337" t="s">
        <v>112</v>
      </c>
      <c r="B223" s="690" t="s">
        <v>662</v>
      </c>
      <c r="C223" s="692">
        <v>15</v>
      </c>
      <c r="D223" s="692">
        <v>20</v>
      </c>
      <c r="E223" s="692">
        <v>35</v>
      </c>
      <c r="F223" s="692">
        <v>24</v>
      </c>
      <c r="G223" s="693">
        <v>11</v>
      </c>
      <c r="H223" s="693"/>
      <c r="I223" s="692">
        <v>0</v>
      </c>
      <c r="J223" s="692">
        <v>0</v>
      </c>
      <c r="K223" s="692">
        <v>0</v>
      </c>
      <c r="L223" s="692">
        <v>0</v>
      </c>
      <c r="M223" s="693">
        <v>0</v>
      </c>
      <c r="N223" s="693"/>
      <c r="O223" s="692">
        <v>18</v>
      </c>
      <c r="P223" s="692">
        <v>16</v>
      </c>
      <c r="Q223" s="692">
        <v>34</v>
      </c>
      <c r="R223" s="692">
        <v>23</v>
      </c>
      <c r="S223" s="693">
        <v>3</v>
      </c>
      <c r="T223" s="693"/>
      <c r="U223" s="692">
        <v>9</v>
      </c>
      <c r="V223" s="692">
        <v>35</v>
      </c>
      <c r="W223" s="692">
        <v>44</v>
      </c>
      <c r="X223" s="692">
        <v>36</v>
      </c>
      <c r="Y223" s="693">
        <v>16</v>
      </c>
    </row>
    <row r="224" spans="1:31">
      <c r="A224" s="578" t="s">
        <v>2</v>
      </c>
      <c r="Y224" s="691" t="s">
        <v>150</v>
      </c>
    </row>
    <row r="229" spans="1:33">
      <c r="AD229" s="560"/>
    </row>
    <row r="230" spans="1:33">
      <c r="AD230" s="560"/>
      <c r="AE230" s="566" t="s">
        <v>113</v>
      </c>
      <c r="AF230" s="566" t="s">
        <v>153</v>
      </c>
      <c r="AG230" s="566" t="s">
        <v>114</v>
      </c>
    </row>
    <row r="231" spans="1:33">
      <c r="AD231" s="566" t="s">
        <v>154</v>
      </c>
      <c r="AE231" s="585">
        <f>E5+K5</f>
        <v>4700</v>
      </c>
      <c r="AF231" s="585">
        <f>Q5</f>
        <v>9117</v>
      </c>
      <c r="AG231" s="585">
        <f>W5</f>
        <v>10865</v>
      </c>
    </row>
    <row r="232" spans="1:33">
      <c r="AD232" s="566" t="s">
        <v>155</v>
      </c>
      <c r="AE232" s="585">
        <f>E6+K6</f>
        <v>2069</v>
      </c>
      <c r="AF232" s="585">
        <f>Q6</f>
        <v>4147</v>
      </c>
      <c r="AG232" s="585">
        <f>W6</f>
        <v>3487</v>
      </c>
    </row>
    <row r="233" spans="1:33">
      <c r="AD233" s="566" t="s">
        <v>156</v>
      </c>
      <c r="AE233" s="585">
        <f>E13+K13</f>
        <v>2631</v>
      </c>
      <c r="AF233" s="585">
        <f>Q13</f>
        <v>4970</v>
      </c>
      <c r="AG233" s="585">
        <f>W13</f>
        <v>7378</v>
      </c>
    </row>
    <row r="240" spans="1:33">
      <c r="A240" s="559"/>
      <c r="AE240" s="560" t="s">
        <v>152</v>
      </c>
    </row>
    <row r="241" spans="1:33">
      <c r="A241" s="559"/>
      <c r="AD241" s="560"/>
      <c r="AE241" s="566" t="s">
        <v>113</v>
      </c>
      <c r="AF241" s="566" t="s">
        <v>153</v>
      </c>
      <c r="AG241" s="566" t="s">
        <v>114</v>
      </c>
    </row>
    <row r="242" spans="1:33">
      <c r="A242" s="559"/>
      <c r="AD242" s="566" t="s">
        <v>154</v>
      </c>
      <c r="AE242" s="585">
        <f>AE256/AE231*100</f>
        <v>56.042553191489361</v>
      </c>
      <c r="AF242" s="585">
        <f>AF256/AF231*100</f>
        <v>63.134803115059782</v>
      </c>
      <c r="AG242" s="585">
        <f t="shared" ref="AG242" si="1">AG256/AG231*100</f>
        <v>89.37873907040958</v>
      </c>
    </row>
    <row r="243" spans="1:33">
      <c r="A243" s="559"/>
      <c r="AD243" s="566" t="s">
        <v>155</v>
      </c>
      <c r="AE243" s="585">
        <f t="shared" ref="AE243:AG244" si="2">AE257/AE232*100</f>
        <v>55.437409376510395</v>
      </c>
      <c r="AF243" s="585">
        <f t="shared" si="2"/>
        <v>65.131420303834091</v>
      </c>
      <c r="AG243" s="585">
        <f t="shared" si="2"/>
        <v>83.854316030972186</v>
      </c>
    </row>
    <row r="244" spans="1:33">
      <c r="A244" s="559"/>
      <c r="AD244" s="566" t="s">
        <v>156</v>
      </c>
      <c r="AE244" s="585">
        <f t="shared" si="2"/>
        <v>56.518434055492207</v>
      </c>
      <c r="AF244" s="585">
        <f t="shared" si="2"/>
        <v>61.468812877263581</v>
      </c>
      <c r="AG244" s="585">
        <f t="shared" si="2"/>
        <v>91.989699105448636</v>
      </c>
    </row>
    <row r="245" spans="1:33">
      <c r="A245" s="559"/>
      <c r="AD245" s="560"/>
    </row>
    <row r="246" spans="1:33">
      <c r="A246" s="559"/>
      <c r="AD246" s="560"/>
      <c r="AE246" s="559" t="s">
        <v>159</v>
      </c>
    </row>
    <row r="247" spans="1:33">
      <c r="A247" s="559"/>
      <c r="AD247" s="560"/>
      <c r="AE247" s="566" t="s">
        <v>113</v>
      </c>
      <c r="AF247" s="566" t="s">
        <v>153</v>
      </c>
      <c r="AG247" s="566" t="s">
        <v>114</v>
      </c>
    </row>
    <row r="248" spans="1:33">
      <c r="A248" s="559"/>
      <c r="AD248" s="566" t="s">
        <v>154</v>
      </c>
      <c r="AE248" s="563">
        <f>G5+M5</f>
        <v>2066</v>
      </c>
      <c r="AF248" s="563">
        <f>S5</f>
        <v>2210</v>
      </c>
      <c r="AG248" s="563">
        <f>Y5</f>
        <v>2168</v>
      </c>
    </row>
    <row r="249" spans="1:33">
      <c r="A249" s="559"/>
      <c r="AD249" s="566" t="s">
        <v>155</v>
      </c>
      <c r="AE249" s="563">
        <f>G6+M6</f>
        <v>922</v>
      </c>
      <c r="AF249" s="563">
        <f>S6</f>
        <v>1304</v>
      </c>
      <c r="AG249" s="563">
        <f>Y6</f>
        <v>568</v>
      </c>
    </row>
    <row r="250" spans="1:33">
      <c r="A250" s="559"/>
      <c r="AD250" s="566" t="s">
        <v>156</v>
      </c>
      <c r="AE250" s="563">
        <f>G13+M13</f>
        <v>1144</v>
      </c>
      <c r="AF250" s="563">
        <f>S13</f>
        <v>906</v>
      </c>
      <c r="AG250" s="563">
        <f>Y13</f>
        <v>1600</v>
      </c>
    </row>
    <row r="251" spans="1:33">
      <c r="A251" s="559"/>
      <c r="AD251" s="566"/>
      <c r="AE251" s="563"/>
      <c r="AF251" s="563"/>
      <c r="AG251" s="563"/>
    </row>
    <row r="252" spans="1:33">
      <c r="A252" s="559"/>
      <c r="AD252" s="560"/>
    </row>
    <row r="253" spans="1:33">
      <c r="A253" s="559"/>
      <c r="AD253" s="560"/>
    </row>
    <row r="254" spans="1:33">
      <c r="A254" s="559"/>
      <c r="AD254" s="560"/>
      <c r="AE254" s="559" t="s">
        <v>160</v>
      </c>
    </row>
    <row r="255" spans="1:33">
      <c r="A255" s="559"/>
      <c r="AD255" s="560"/>
      <c r="AE255" s="566" t="s">
        <v>113</v>
      </c>
      <c r="AF255" s="566" t="s">
        <v>153</v>
      </c>
      <c r="AG255" s="566" t="s">
        <v>114</v>
      </c>
    </row>
    <row r="256" spans="1:33">
      <c r="A256" s="559"/>
      <c r="AD256" s="566" t="s">
        <v>154</v>
      </c>
      <c r="AE256" s="563">
        <f>F5+L5</f>
        <v>2634</v>
      </c>
      <c r="AF256" s="563">
        <f>R5</f>
        <v>5756</v>
      </c>
      <c r="AG256" s="563">
        <f>X5</f>
        <v>9711</v>
      </c>
    </row>
    <row r="257" spans="1:33">
      <c r="A257" s="559"/>
      <c r="AD257" s="566" t="s">
        <v>155</v>
      </c>
      <c r="AE257" s="563">
        <f>F6+L6</f>
        <v>1147</v>
      </c>
      <c r="AF257" s="563">
        <f>R6</f>
        <v>2701</v>
      </c>
      <c r="AG257" s="563">
        <f>X6</f>
        <v>2924</v>
      </c>
    </row>
    <row r="258" spans="1:33">
      <c r="AD258" s="566" t="s">
        <v>156</v>
      </c>
      <c r="AE258" s="563">
        <f>F13+L13</f>
        <v>1487</v>
      </c>
      <c r="AF258" s="563">
        <f>R13</f>
        <v>3055</v>
      </c>
      <c r="AG258" s="563">
        <f>X13</f>
        <v>6787</v>
      </c>
    </row>
    <row r="259" spans="1:33">
      <c r="AD259" s="560"/>
    </row>
    <row r="260" spans="1:33">
      <c r="AD260" s="560" t="s">
        <v>0</v>
      </c>
    </row>
    <row r="261" spans="1:33">
      <c r="AD261" s="560"/>
      <c r="AE261" s="559" t="s">
        <v>126</v>
      </c>
      <c r="AF261" s="559" t="s">
        <v>87</v>
      </c>
      <c r="AG261" s="559" t="s">
        <v>124</v>
      </c>
    </row>
    <row r="262" spans="1:33">
      <c r="AD262" s="559" t="s">
        <v>161</v>
      </c>
      <c r="AE262" s="563">
        <f>C5+I5+O5+U5</f>
        <v>7882</v>
      </c>
      <c r="AF262" s="563">
        <f>C6+I6+O6+U6</f>
        <v>3261</v>
      </c>
      <c r="AG262" s="563">
        <f>C13+I13+O13+U13</f>
        <v>4621</v>
      </c>
    </row>
    <row r="263" spans="1:33">
      <c r="A263" s="559"/>
      <c r="L263" s="1002"/>
      <c r="M263" s="1003"/>
      <c r="N263" s="1003"/>
      <c r="O263" s="1003"/>
      <c r="P263" s="1003"/>
      <c r="Q263" s="1003"/>
      <c r="R263" s="1004"/>
      <c r="AD263" s="559" t="s">
        <v>162</v>
      </c>
      <c r="AE263" s="563">
        <f>D5+J5+P5+V5</f>
        <v>16800</v>
      </c>
      <c r="AF263" s="563">
        <f>D6+J6+P6+V6</f>
        <v>6442</v>
      </c>
      <c r="AG263" s="563">
        <f>D13+J13+P13+V13</f>
        <v>10358</v>
      </c>
    </row>
    <row r="264" spans="1:33">
      <c r="A264" s="559"/>
      <c r="L264" s="1005"/>
      <c r="M264" s="1006"/>
      <c r="N264" s="1006"/>
      <c r="O264" s="1006"/>
      <c r="P264" s="1006"/>
      <c r="Q264" s="1006"/>
      <c r="R264" s="1007"/>
      <c r="AD264" s="559" t="s">
        <v>160</v>
      </c>
      <c r="AE264" s="563">
        <f>F5+L5+R5+X5</f>
        <v>18101</v>
      </c>
      <c r="AF264" s="563">
        <f>F6+L6+R6+X6</f>
        <v>6772</v>
      </c>
      <c r="AG264" s="563">
        <f>F13+L13+R13+X13</f>
        <v>11329</v>
      </c>
    </row>
    <row r="265" spans="1:33">
      <c r="A265" s="559"/>
      <c r="L265" s="1005"/>
      <c r="M265" s="1006"/>
      <c r="N265" s="1006"/>
      <c r="O265" s="1006"/>
      <c r="P265" s="1006"/>
      <c r="Q265" s="1006"/>
      <c r="R265" s="1007"/>
      <c r="AD265" s="559" t="s">
        <v>159</v>
      </c>
      <c r="AE265" s="563">
        <f>G5+M5+S5+Y5</f>
        <v>6444</v>
      </c>
      <c r="AF265" s="563">
        <f>G6+M6+S6+Y6</f>
        <v>2794</v>
      </c>
      <c r="AG265" s="563">
        <f>G13+M13+S13+Y13</f>
        <v>3650</v>
      </c>
    </row>
    <row r="266" spans="1:33">
      <c r="A266" s="559"/>
      <c r="L266" s="1005"/>
      <c r="M266" s="1006"/>
      <c r="N266" s="1006"/>
      <c r="O266" s="1006"/>
      <c r="P266" s="1006"/>
      <c r="Q266" s="1006"/>
      <c r="R266" s="1007"/>
      <c r="AD266" s="560"/>
      <c r="AE266" s="566"/>
      <c r="AF266" s="566"/>
      <c r="AG266" s="566"/>
    </row>
    <row r="267" spans="1:33">
      <c r="A267" s="559"/>
      <c r="L267" s="1005"/>
      <c r="M267" s="1006"/>
      <c r="N267" s="1006"/>
      <c r="O267" s="1006"/>
      <c r="P267" s="1006"/>
      <c r="Q267" s="1006"/>
      <c r="R267" s="1007"/>
    </row>
    <row r="268" spans="1:33">
      <c r="A268" s="559"/>
      <c r="L268" s="1005"/>
      <c r="M268" s="1006"/>
      <c r="N268" s="1006"/>
      <c r="O268" s="1006"/>
      <c r="P268" s="1006"/>
      <c r="Q268" s="1006"/>
      <c r="R268" s="1007"/>
    </row>
    <row r="269" spans="1:33">
      <c r="A269" s="559"/>
      <c r="L269" s="1005"/>
      <c r="M269" s="1006"/>
      <c r="N269" s="1006"/>
      <c r="O269" s="1006"/>
      <c r="P269" s="1006"/>
      <c r="Q269" s="1006"/>
      <c r="R269" s="1007"/>
    </row>
    <row r="270" spans="1:33">
      <c r="A270" s="559"/>
      <c r="L270" s="1008"/>
      <c r="M270" s="1009"/>
      <c r="N270" s="1009"/>
      <c r="O270" s="1009"/>
      <c r="P270" s="1009"/>
      <c r="Q270" s="1009"/>
      <c r="R270" s="1010"/>
    </row>
    <row r="271" spans="1:33">
      <c r="AD271" s="583"/>
      <c r="AE271" s="583" t="s">
        <v>85</v>
      </c>
      <c r="AF271" s="583" t="s">
        <v>167</v>
      </c>
    </row>
    <row r="272" spans="1:33">
      <c r="AD272" s="687" t="s">
        <v>93</v>
      </c>
      <c r="AE272" s="583">
        <v>83</v>
      </c>
      <c r="AF272" s="583">
        <v>81</v>
      </c>
    </row>
    <row r="273" spans="24:32">
      <c r="AD273" s="687" t="s">
        <v>94</v>
      </c>
      <c r="AE273" s="583">
        <v>60</v>
      </c>
      <c r="AF273" s="583">
        <v>297</v>
      </c>
    </row>
    <row r="274" spans="24:32">
      <c r="AD274" s="687" t="s">
        <v>95</v>
      </c>
      <c r="AE274" s="583">
        <v>28</v>
      </c>
      <c r="AF274" s="583">
        <v>15</v>
      </c>
    </row>
    <row r="275" spans="24:32">
      <c r="AD275" s="687" t="s">
        <v>96</v>
      </c>
      <c r="AE275" s="583">
        <v>57</v>
      </c>
      <c r="AF275" s="583">
        <v>99</v>
      </c>
    </row>
    <row r="276" spans="24:32">
      <c r="AD276" s="687" t="s">
        <v>97</v>
      </c>
      <c r="AE276" s="583">
        <v>70</v>
      </c>
      <c r="AF276" s="583">
        <v>68</v>
      </c>
    </row>
    <row r="277" spans="24:32">
      <c r="AD277" s="687" t="s">
        <v>98</v>
      </c>
      <c r="AE277" s="583">
        <v>25</v>
      </c>
      <c r="AF277" s="583">
        <v>18</v>
      </c>
    </row>
    <row r="278" spans="24:32">
      <c r="X278" s="559">
        <f>55*6</f>
        <v>330</v>
      </c>
      <c r="AD278" s="687" t="s">
        <v>99</v>
      </c>
      <c r="AE278" s="583">
        <v>111</v>
      </c>
      <c r="AF278" s="583">
        <v>2</v>
      </c>
    </row>
    <row r="279" spans="24:32">
      <c r="AD279" s="687" t="s">
        <v>100</v>
      </c>
      <c r="AE279" s="583">
        <v>21</v>
      </c>
      <c r="AF279" s="583">
        <v>51</v>
      </c>
    </row>
    <row r="280" spans="24:32">
      <c r="AD280" s="687" t="s">
        <v>101</v>
      </c>
      <c r="AE280" s="583">
        <v>17</v>
      </c>
      <c r="AF280" s="583">
        <v>17</v>
      </c>
    </row>
    <row r="281" spans="24:32">
      <c r="AD281" s="687" t="s">
        <v>102</v>
      </c>
      <c r="AE281" s="583">
        <v>19</v>
      </c>
      <c r="AF281" s="583">
        <v>14</v>
      </c>
    </row>
    <row r="282" spans="24:32">
      <c r="AD282" s="687" t="s">
        <v>103</v>
      </c>
      <c r="AE282" s="583">
        <v>0</v>
      </c>
      <c r="AF282" s="583">
        <v>0</v>
      </c>
    </row>
    <row r="283" spans="24:32">
      <c r="AD283" s="687" t="s">
        <v>104</v>
      </c>
      <c r="AE283" s="583">
        <v>20</v>
      </c>
      <c r="AF283" s="583">
        <v>8</v>
      </c>
    </row>
    <row r="284" spans="24:32">
      <c r="AD284" s="687" t="s">
        <v>105</v>
      </c>
      <c r="AE284" s="583">
        <v>11</v>
      </c>
      <c r="AF284" s="583">
        <v>5</v>
      </c>
    </row>
    <row r="285" spans="24:32">
      <c r="AD285" s="687" t="s">
        <v>106</v>
      </c>
      <c r="AE285" s="583">
        <v>5</v>
      </c>
      <c r="AF285" s="583">
        <v>3</v>
      </c>
    </row>
    <row r="286" spans="24:32">
      <c r="AD286" s="687" t="s">
        <v>107</v>
      </c>
      <c r="AE286" s="583">
        <v>62</v>
      </c>
      <c r="AF286" s="583">
        <v>61</v>
      </c>
    </row>
    <row r="287" spans="24:32">
      <c r="AD287" s="687" t="s">
        <v>108</v>
      </c>
      <c r="AE287" s="583">
        <v>252</v>
      </c>
      <c r="AF287" s="583">
        <v>9</v>
      </c>
    </row>
    <row r="288" spans="24:32">
      <c r="AD288" s="687" t="s">
        <v>109</v>
      </c>
      <c r="AE288" s="583">
        <v>62</v>
      </c>
      <c r="AF288" s="583">
        <v>64</v>
      </c>
    </row>
    <row r="289" spans="30:32">
      <c r="AD289" s="687" t="s">
        <v>110</v>
      </c>
      <c r="AE289" s="583">
        <v>102</v>
      </c>
      <c r="AF289" s="583">
        <v>51</v>
      </c>
    </row>
    <row r="290" spans="30:32">
      <c r="AD290" s="687" t="s">
        <v>111</v>
      </c>
      <c r="AE290" s="583">
        <v>162</v>
      </c>
      <c r="AF290" s="583">
        <v>138</v>
      </c>
    </row>
    <row r="291" spans="30:32">
      <c r="AD291" s="687" t="s">
        <v>112</v>
      </c>
      <c r="AE291" s="583">
        <v>251</v>
      </c>
      <c r="AF291" s="583">
        <v>96</v>
      </c>
    </row>
    <row r="296" spans="30:32">
      <c r="AE296" s="687" t="s">
        <v>93</v>
      </c>
      <c r="AF296" s="325">
        <v>50.609756097560975</v>
      </c>
    </row>
    <row r="297" spans="30:32">
      <c r="AE297" s="687" t="s">
        <v>94</v>
      </c>
      <c r="AF297" s="325">
        <v>16.806722689075631</v>
      </c>
    </row>
    <row r="298" spans="30:32">
      <c r="AE298" s="687" t="s">
        <v>95</v>
      </c>
      <c r="AF298" s="325">
        <v>65.116279069767444</v>
      </c>
    </row>
    <row r="299" spans="30:32">
      <c r="AE299" s="687" t="s">
        <v>96</v>
      </c>
      <c r="AF299" s="325">
        <v>36.538461538461533</v>
      </c>
    </row>
    <row r="300" spans="30:32">
      <c r="AE300" s="687" t="s">
        <v>97</v>
      </c>
      <c r="AF300" s="325">
        <v>50.724637681159422</v>
      </c>
    </row>
    <row r="301" spans="30:32">
      <c r="AE301" s="687" t="s">
        <v>98</v>
      </c>
      <c r="AF301" s="325">
        <v>58.139534883720934</v>
      </c>
    </row>
    <row r="302" spans="30:32">
      <c r="AE302" s="687" t="s">
        <v>99</v>
      </c>
      <c r="AF302" s="325">
        <v>98.230088495575217</v>
      </c>
    </row>
    <row r="303" spans="30:32">
      <c r="AE303" s="687" t="s">
        <v>100</v>
      </c>
      <c r="AF303" s="325">
        <v>29.166666666666668</v>
      </c>
    </row>
    <row r="304" spans="30:32">
      <c r="AE304" s="687" t="s">
        <v>101</v>
      </c>
      <c r="AF304" s="325">
        <v>50</v>
      </c>
    </row>
    <row r="305" spans="31:32">
      <c r="AE305" s="687" t="s">
        <v>102</v>
      </c>
      <c r="AF305" s="325">
        <v>57.575757575757578</v>
      </c>
    </row>
    <row r="306" spans="31:32">
      <c r="AE306" s="687" t="s">
        <v>103</v>
      </c>
      <c r="AF306" s="325">
        <v>0</v>
      </c>
    </row>
    <row r="307" spans="31:32">
      <c r="AE307" s="687" t="s">
        <v>104</v>
      </c>
      <c r="AF307" s="325">
        <v>71.428571428571431</v>
      </c>
    </row>
    <row r="308" spans="31:32">
      <c r="AE308" s="687" t="s">
        <v>105</v>
      </c>
      <c r="AF308" s="325">
        <v>68.75</v>
      </c>
    </row>
    <row r="309" spans="31:32">
      <c r="AE309" s="687" t="s">
        <v>106</v>
      </c>
      <c r="AF309" s="325">
        <v>62.5</v>
      </c>
    </row>
    <row r="310" spans="31:32">
      <c r="AE310" s="687" t="s">
        <v>107</v>
      </c>
      <c r="AF310" s="325">
        <v>50.40650406504065</v>
      </c>
    </row>
    <row r="311" spans="31:32">
      <c r="AE311" s="687" t="s">
        <v>108</v>
      </c>
      <c r="AF311" s="325">
        <v>96.551724137931032</v>
      </c>
    </row>
    <row r="312" spans="31:32">
      <c r="AE312" s="687" t="s">
        <v>109</v>
      </c>
      <c r="AF312" s="325">
        <v>49.206349206349202</v>
      </c>
    </row>
    <row r="313" spans="31:32">
      <c r="AE313" s="687" t="s">
        <v>110</v>
      </c>
      <c r="AF313" s="325">
        <v>66.666666666666657</v>
      </c>
    </row>
    <row r="314" spans="31:32">
      <c r="AE314" s="687" t="s">
        <v>111</v>
      </c>
      <c r="AF314" s="325">
        <v>54</v>
      </c>
    </row>
    <row r="315" spans="31:32">
      <c r="AE315" s="687" t="s">
        <v>112</v>
      </c>
      <c r="AF315" s="325">
        <v>72.334293948126799</v>
      </c>
    </row>
  </sheetData>
  <mergeCells count="16">
    <mergeCell ref="L263:R270"/>
    <mergeCell ref="A6:A7"/>
    <mergeCell ref="A1:Y1"/>
    <mergeCell ref="A2:Y2"/>
    <mergeCell ref="A3:A4"/>
    <mergeCell ref="B3:B4"/>
    <mergeCell ref="C3:G3"/>
    <mergeCell ref="I3:M3"/>
    <mergeCell ref="O3:S3"/>
    <mergeCell ref="U3:Y3"/>
    <mergeCell ref="BK12:BO12"/>
    <mergeCell ref="AQ12:AQ13"/>
    <mergeCell ref="AR12:AR13"/>
    <mergeCell ref="AS12:AW12"/>
    <mergeCell ref="AY12:BC12"/>
    <mergeCell ref="BE12:BI12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T76"/>
  <sheetViews>
    <sheetView view="pageBreakPreview" zoomScaleNormal="100" zoomScaleSheetLayoutView="100" workbookViewId="0">
      <selection activeCell="AJ21" sqref="AJ21"/>
    </sheetView>
  </sheetViews>
  <sheetFormatPr defaultColWidth="9.140625" defaultRowHeight="18.75"/>
  <cols>
    <col min="1" max="1" width="19.7109375" style="745" customWidth="1"/>
    <col min="2" max="2" width="13.7109375" style="746" hidden="1" customWidth="1"/>
    <col min="3" max="3" width="12.5703125" style="746" hidden="1" customWidth="1"/>
    <col min="4" max="4" width="13.28515625" style="746" hidden="1" customWidth="1"/>
    <col min="5" max="5" width="12.140625" style="746" hidden="1" customWidth="1"/>
    <col min="6" max="6" width="9.5703125" style="746" hidden="1" customWidth="1"/>
    <col min="7" max="7" width="1.140625" style="746" hidden="1" customWidth="1"/>
    <col min="8" max="8" width="13.28515625" style="746" hidden="1" customWidth="1"/>
    <col min="9" max="9" width="14.42578125" style="746" hidden="1" customWidth="1"/>
    <col min="10" max="10" width="14.28515625" style="746" hidden="1" customWidth="1"/>
    <col min="11" max="12" width="11.28515625" style="746" hidden="1" customWidth="1"/>
    <col min="13" max="13" width="13.28515625" style="746" hidden="1" customWidth="1"/>
    <col min="14" max="14" width="14.42578125" style="746" hidden="1" customWidth="1"/>
    <col min="15" max="15" width="14.28515625" style="746" hidden="1" customWidth="1"/>
    <col min="16" max="17" width="11.28515625" style="746" hidden="1" customWidth="1"/>
    <col min="18" max="18" width="13.28515625" style="746" customWidth="1"/>
    <col min="19" max="19" width="14.42578125" style="746" customWidth="1"/>
    <col min="20" max="20" width="14.28515625" style="746" customWidth="1"/>
    <col min="21" max="22" width="11.28515625" style="746" customWidth="1"/>
    <col min="23" max="23" width="13.28515625" style="746" customWidth="1"/>
    <col min="24" max="24" width="14.42578125" style="746" customWidth="1"/>
    <col min="25" max="25" width="14.28515625" style="746" customWidth="1"/>
    <col min="26" max="27" width="11.28515625" style="746" customWidth="1"/>
    <col min="28" max="28" width="17.5703125" style="747" customWidth="1"/>
    <col min="29" max="29" width="4.85546875" style="745" customWidth="1"/>
    <col min="30" max="16384" width="9.140625" style="745"/>
  </cols>
  <sheetData>
    <row r="1" spans="1:45" s="330" customFormat="1">
      <c r="A1" s="1015" t="s">
        <v>805</v>
      </c>
      <c r="B1" s="1015"/>
      <c r="C1" s="1015"/>
      <c r="D1" s="1015"/>
      <c r="E1" s="1015"/>
      <c r="F1" s="1015"/>
      <c r="G1" s="1015"/>
      <c r="H1" s="1015"/>
      <c r="I1" s="1015"/>
      <c r="J1" s="1015"/>
      <c r="K1" s="1015"/>
      <c r="L1" s="1015"/>
      <c r="M1" s="1015"/>
      <c r="N1" s="1015"/>
      <c r="O1" s="1015"/>
      <c r="P1" s="1015"/>
      <c r="Q1" s="1015"/>
      <c r="R1" s="1015"/>
      <c r="S1" s="1015"/>
      <c r="T1" s="1015"/>
      <c r="U1" s="1015"/>
      <c r="V1" s="1015"/>
      <c r="W1" s="1015"/>
      <c r="X1" s="1015"/>
      <c r="Y1" s="1015"/>
      <c r="Z1" s="1015"/>
      <c r="AA1" s="1015"/>
      <c r="AB1" s="1015"/>
    </row>
    <row r="2" spans="1:45" s="694" customFormat="1" ht="18.75" customHeight="1">
      <c r="A2" s="1016" t="s">
        <v>806</v>
      </c>
      <c r="B2" s="1017"/>
      <c r="C2" s="1017"/>
      <c r="D2" s="1017"/>
      <c r="E2" s="1017"/>
      <c r="F2" s="1017"/>
      <c r="G2" s="1017"/>
      <c r="H2" s="1017"/>
      <c r="I2" s="1017"/>
      <c r="J2" s="1017"/>
      <c r="K2" s="1017"/>
      <c r="L2" s="1017"/>
      <c r="M2" s="1017"/>
      <c r="N2" s="1017"/>
      <c r="O2" s="1017"/>
      <c r="P2" s="1017"/>
      <c r="Q2" s="1017"/>
      <c r="R2" s="1017"/>
      <c r="S2" s="1017"/>
      <c r="T2" s="1017"/>
      <c r="U2" s="1017"/>
      <c r="V2" s="1017"/>
      <c r="W2" s="1017"/>
      <c r="X2" s="1017"/>
      <c r="Y2" s="1017"/>
      <c r="Z2" s="1017"/>
      <c r="AA2" s="1017"/>
      <c r="AB2" s="1017"/>
    </row>
    <row r="3" spans="1:45" s="697" customFormat="1" ht="18.75" customHeight="1">
      <c r="A3" s="1018" t="s">
        <v>124</v>
      </c>
      <c r="B3" s="1021">
        <v>2011</v>
      </c>
      <c r="C3" s="1022"/>
      <c r="D3" s="1022"/>
      <c r="E3" s="1022"/>
      <c r="F3" s="1022"/>
      <c r="G3" s="695"/>
      <c r="H3" s="1023">
        <v>2012</v>
      </c>
      <c r="I3" s="1022"/>
      <c r="J3" s="1022"/>
      <c r="K3" s="1022"/>
      <c r="L3" s="1024"/>
      <c r="M3" s="1022">
        <v>2013</v>
      </c>
      <c r="N3" s="1022"/>
      <c r="O3" s="1022"/>
      <c r="P3" s="1022"/>
      <c r="Q3" s="1022"/>
      <c r="R3" s="1023">
        <v>2014</v>
      </c>
      <c r="S3" s="1022"/>
      <c r="T3" s="1022"/>
      <c r="U3" s="1022"/>
      <c r="V3" s="1024"/>
      <c r="W3" s="1022">
        <v>2015</v>
      </c>
      <c r="X3" s="1022"/>
      <c r="Y3" s="1022"/>
      <c r="Z3" s="1022"/>
      <c r="AA3" s="1022"/>
      <c r="AB3" s="1025" t="s">
        <v>663</v>
      </c>
      <c r="AC3" s="696"/>
    </row>
    <row r="4" spans="1:45" s="705" customFormat="1" ht="18.75" customHeight="1">
      <c r="A4" s="1019"/>
      <c r="B4" s="698" t="s">
        <v>113</v>
      </c>
      <c r="C4" s="698" t="s">
        <v>81</v>
      </c>
      <c r="D4" s="698" t="s">
        <v>114</v>
      </c>
      <c r="E4" s="698" t="s">
        <v>664</v>
      </c>
      <c r="F4" s="698" t="s">
        <v>665</v>
      </c>
      <c r="G4" s="699"/>
      <c r="H4" s="700" t="s">
        <v>113</v>
      </c>
      <c r="I4" s="698" t="s">
        <v>81</v>
      </c>
      <c r="J4" s="698" t="s">
        <v>114</v>
      </c>
      <c r="K4" s="698" t="s">
        <v>664</v>
      </c>
      <c r="L4" s="701" t="s">
        <v>665</v>
      </c>
      <c r="M4" s="702" t="s">
        <v>113</v>
      </c>
      <c r="N4" s="698" t="s">
        <v>81</v>
      </c>
      <c r="O4" s="698" t="s">
        <v>114</v>
      </c>
      <c r="P4" s="698" t="s">
        <v>664</v>
      </c>
      <c r="Q4" s="703" t="s">
        <v>665</v>
      </c>
      <c r="R4" s="700" t="s">
        <v>113</v>
      </c>
      <c r="S4" s="698" t="s">
        <v>81</v>
      </c>
      <c r="T4" s="698" t="s">
        <v>114</v>
      </c>
      <c r="U4" s="698" t="s">
        <v>664</v>
      </c>
      <c r="V4" s="701" t="s">
        <v>665</v>
      </c>
      <c r="W4" s="702" t="s">
        <v>113</v>
      </c>
      <c r="X4" s="698" t="s">
        <v>81</v>
      </c>
      <c r="Y4" s="698" t="s">
        <v>114</v>
      </c>
      <c r="Z4" s="698" t="s">
        <v>664</v>
      </c>
      <c r="AA4" s="698" t="s">
        <v>665</v>
      </c>
      <c r="AB4" s="1026"/>
      <c r="AC4" s="704"/>
    </row>
    <row r="5" spans="1:45" s="712" customFormat="1">
      <c r="A5" s="1020"/>
      <c r="B5" s="706" t="s">
        <v>666</v>
      </c>
      <c r="C5" s="706" t="s">
        <v>667</v>
      </c>
      <c r="D5" s="706" t="s">
        <v>668</v>
      </c>
      <c r="E5" s="707" t="s">
        <v>669</v>
      </c>
      <c r="F5" s="711" t="s">
        <v>670</v>
      </c>
      <c r="G5" s="708"/>
      <c r="H5" s="709" t="s">
        <v>666</v>
      </c>
      <c r="I5" s="706" t="s">
        <v>667</v>
      </c>
      <c r="J5" s="706" t="s">
        <v>668</v>
      </c>
      <c r="K5" s="707" t="s">
        <v>669</v>
      </c>
      <c r="L5" s="708" t="s">
        <v>670</v>
      </c>
      <c r="M5" s="710" t="s">
        <v>666</v>
      </c>
      <c r="N5" s="706" t="s">
        <v>667</v>
      </c>
      <c r="O5" s="706" t="s">
        <v>668</v>
      </c>
      <c r="P5" s="707" t="s">
        <v>669</v>
      </c>
      <c r="Q5" s="711" t="s">
        <v>670</v>
      </c>
      <c r="R5" s="709" t="s">
        <v>803</v>
      </c>
      <c r="S5" s="706" t="s">
        <v>804</v>
      </c>
      <c r="T5" s="706" t="s">
        <v>668</v>
      </c>
      <c r="U5" s="707" t="s">
        <v>669</v>
      </c>
      <c r="V5" s="708" t="s">
        <v>670</v>
      </c>
      <c r="W5" s="710" t="s">
        <v>803</v>
      </c>
      <c r="X5" s="706" t="s">
        <v>804</v>
      </c>
      <c r="Y5" s="706" t="s">
        <v>668</v>
      </c>
      <c r="Z5" s="707" t="s">
        <v>669</v>
      </c>
      <c r="AA5" s="711" t="s">
        <v>670</v>
      </c>
      <c r="AB5" s="1027"/>
      <c r="AO5" s="698"/>
      <c r="AP5" s="1013" t="s">
        <v>671</v>
      </c>
      <c r="AQ5" s="1014"/>
      <c r="AR5" s="713" t="s">
        <v>672</v>
      </c>
      <c r="AS5" s="714"/>
    </row>
    <row r="6" spans="1:45" s="721" customFormat="1">
      <c r="A6" s="715" t="s">
        <v>673</v>
      </c>
      <c r="B6" s="716">
        <f>B7+B13</f>
        <v>2766</v>
      </c>
      <c r="C6" s="716">
        <f>C7+C13</f>
        <v>7012</v>
      </c>
      <c r="D6" s="716">
        <f>D7+D13</f>
        <v>6309</v>
      </c>
      <c r="E6" s="716">
        <f>E7+E13</f>
        <v>6015</v>
      </c>
      <c r="F6" s="716">
        <f>F7+F13</f>
        <v>3013</v>
      </c>
      <c r="G6" s="717"/>
      <c r="H6" s="718">
        <f t="shared" ref="H6:AA6" si="0">H7+H13</f>
        <v>2381</v>
      </c>
      <c r="I6" s="716">
        <f t="shared" si="0"/>
        <v>6873</v>
      </c>
      <c r="J6" s="716">
        <f t="shared" si="0"/>
        <v>6097</v>
      </c>
      <c r="K6" s="716">
        <f t="shared" si="0"/>
        <v>5699</v>
      </c>
      <c r="L6" s="717">
        <f t="shared" si="0"/>
        <v>3011</v>
      </c>
      <c r="M6" s="716">
        <f t="shared" si="0"/>
        <v>5640</v>
      </c>
      <c r="N6" s="716">
        <f t="shared" si="0"/>
        <v>4177</v>
      </c>
      <c r="O6" s="716">
        <f t="shared" si="0"/>
        <v>6678</v>
      </c>
      <c r="P6" s="716">
        <f t="shared" si="0"/>
        <v>5628</v>
      </c>
      <c r="Q6" s="719">
        <f t="shared" si="0"/>
        <v>3331</v>
      </c>
      <c r="R6" s="718">
        <f t="shared" si="0"/>
        <v>2262</v>
      </c>
      <c r="S6" s="716">
        <f t="shared" si="0"/>
        <v>7414</v>
      </c>
      <c r="T6" s="716">
        <f t="shared" si="0"/>
        <v>8157</v>
      </c>
      <c r="U6" s="716">
        <f t="shared" si="0"/>
        <v>5587</v>
      </c>
      <c r="V6" s="717">
        <f t="shared" si="0"/>
        <v>3414</v>
      </c>
      <c r="W6" s="716">
        <f t="shared" si="0"/>
        <v>2033</v>
      </c>
      <c r="X6" s="716">
        <f t="shared" si="0"/>
        <v>5290</v>
      </c>
      <c r="Y6" s="716">
        <f t="shared" si="0"/>
        <v>9477</v>
      </c>
      <c r="Z6" s="716">
        <f t="shared" si="0"/>
        <v>5763</v>
      </c>
      <c r="AA6" s="716">
        <f t="shared" si="0"/>
        <v>3358</v>
      </c>
      <c r="AB6" s="720" t="s">
        <v>63</v>
      </c>
      <c r="AO6" s="722"/>
      <c r="AP6" s="698">
        <v>2011</v>
      </c>
      <c r="AQ6" s="698">
        <v>2012</v>
      </c>
      <c r="AR6" s="698">
        <v>2011</v>
      </c>
      <c r="AS6" s="698">
        <v>2012</v>
      </c>
    </row>
    <row r="7" spans="1:45" s="728" customFormat="1">
      <c r="A7" s="715" t="s">
        <v>674</v>
      </c>
      <c r="B7" s="723">
        <f>SUM(B8:B12)</f>
        <v>1572</v>
      </c>
      <c r="C7" s="723">
        <f>SUM(C8:C12)</f>
        <v>2743</v>
      </c>
      <c r="D7" s="723">
        <f>SUM(D8:D12)</f>
        <v>2083</v>
      </c>
      <c r="E7" s="723">
        <f>SUM(E8:E12)</f>
        <v>2366</v>
      </c>
      <c r="F7" s="723">
        <f>SUM(F8:F12)</f>
        <v>1209</v>
      </c>
      <c r="G7" s="724"/>
      <c r="H7" s="725">
        <f t="shared" ref="H7:AA7" si="1">SUM(H8:H12)</f>
        <v>1246</v>
      </c>
      <c r="I7" s="723">
        <f t="shared" si="1"/>
        <v>2725</v>
      </c>
      <c r="J7" s="723">
        <f t="shared" si="1"/>
        <v>2367</v>
      </c>
      <c r="K7" s="723">
        <f t="shared" si="1"/>
        <v>2404</v>
      </c>
      <c r="L7" s="724">
        <f t="shared" si="1"/>
        <v>1320</v>
      </c>
      <c r="M7" s="723">
        <f t="shared" si="1"/>
        <v>1655</v>
      </c>
      <c r="N7" s="723">
        <f t="shared" si="1"/>
        <v>2861</v>
      </c>
      <c r="O7" s="723">
        <f t="shared" si="1"/>
        <v>2668</v>
      </c>
      <c r="P7" s="723">
        <f t="shared" si="1"/>
        <v>2463</v>
      </c>
      <c r="Q7" s="726">
        <f t="shared" si="1"/>
        <v>1508</v>
      </c>
      <c r="R7" s="725">
        <f t="shared" si="1"/>
        <v>985</v>
      </c>
      <c r="S7" s="723">
        <f t="shared" si="1"/>
        <v>2854</v>
      </c>
      <c r="T7" s="723">
        <f t="shared" si="1"/>
        <v>2855</v>
      </c>
      <c r="U7" s="723">
        <f t="shared" si="1"/>
        <v>2482</v>
      </c>
      <c r="V7" s="724">
        <f t="shared" si="1"/>
        <v>1524</v>
      </c>
      <c r="W7" s="723">
        <f t="shared" si="1"/>
        <v>855</v>
      </c>
      <c r="X7" s="723">
        <f t="shared" si="1"/>
        <v>2543</v>
      </c>
      <c r="Y7" s="723">
        <f t="shared" si="1"/>
        <v>3044</v>
      </c>
      <c r="Z7" s="723">
        <f t="shared" si="1"/>
        <v>2610</v>
      </c>
      <c r="AA7" s="723">
        <f t="shared" si="1"/>
        <v>1455</v>
      </c>
      <c r="AB7" s="727" t="s">
        <v>115</v>
      </c>
      <c r="AF7" s="721"/>
      <c r="AG7" s="721"/>
      <c r="AH7" s="721"/>
      <c r="AI7" s="721"/>
      <c r="AJ7" s="721"/>
      <c r="AK7" s="721"/>
      <c r="AL7" s="721"/>
      <c r="AM7" s="721"/>
      <c r="AO7" s="722" t="s">
        <v>126</v>
      </c>
      <c r="AP7" s="716">
        <v>6015</v>
      </c>
      <c r="AQ7" s="716">
        <v>5701</v>
      </c>
      <c r="AR7" s="716">
        <v>3013</v>
      </c>
      <c r="AS7" s="716">
        <v>3011</v>
      </c>
    </row>
    <row r="8" spans="1:45" s="728" customFormat="1">
      <c r="A8" s="729" t="s">
        <v>460</v>
      </c>
      <c r="B8" s="730">
        <v>108</v>
      </c>
      <c r="C8" s="730">
        <v>0</v>
      </c>
      <c r="D8" s="730">
        <v>0</v>
      </c>
      <c r="E8" s="730">
        <v>0</v>
      </c>
      <c r="F8" s="730">
        <v>0</v>
      </c>
      <c r="G8" s="731"/>
      <c r="H8" s="732">
        <v>83</v>
      </c>
      <c r="I8" s="730">
        <v>0</v>
      </c>
      <c r="J8" s="730">
        <v>0</v>
      </c>
      <c r="K8" s="730">
        <v>0</v>
      </c>
      <c r="L8" s="731">
        <v>0</v>
      </c>
      <c r="M8" s="733">
        <v>103</v>
      </c>
      <c r="N8" s="730">
        <v>0</v>
      </c>
      <c r="O8" s="730">
        <v>0</v>
      </c>
      <c r="P8" s="730">
        <v>0</v>
      </c>
      <c r="Q8" s="734">
        <v>0</v>
      </c>
      <c r="R8" s="732">
        <v>64</v>
      </c>
      <c r="S8" s="730">
        <v>0</v>
      </c>
      <c r="T8" s="730">
        <v>0</v>
      </c>
      <c r="U8" s="730">
        <v>0</v>
      </c>
      <c r="V8" s="731">
        <v>0</v>
      </c>
      <c r="W8" s="733">
        <v>25</v>
      </c>
      <c r="X8" s="730">
        <v>0</v>
      </c>
      <c r="Y8" s="730">
        <v>0</v>
      </c>
      <c r="Z8" s="730">
        <v>0</v>
      </c>
      <c r="AA8" s="730">
        <v>0</v>
      </c>
      <c r="AB8" s="832" t="s">
        <v>675</v>
      </c>
      <c r="AF8" s="721"/>
      <c r="AG8" s="721"/>
      <c r="AH8" s="721"/>
      <c r="AI8" s="721"/>
      <c r="AJ8" s="721"/>
      <c r="AK8" s="721"/>
      <c r="AL8" s="721"/>
      <c r="AM8" s="721"/>
      <c r="AO8" s="722" t="s">
        <v>674</v>
      </c>
      <c r="AP8" s="723">
        <v>2366</v>
      </c>
      <c r="AQ8" s="723">
        <v>2404</v>
      </c>
      <c r="AR8" s="723">
        <v>1209</v>
      </c>
      <c r="AS8" s="723">
        <v>1320</v>
      </c>
    </row>
    <row r="9" spans="1:45" s="728" customFormat="1">
      <c r="A9" s="729" t="s">
        <v>462</v>
      </c>
      <c r="B9" s="730">
        <v>0</v>
      </c>
      <c r="C9" s="730">
        <v>0</v>
      </c>
      <c r="D9" s="730">
        <v>2038</v>
      </c>
      <c r="E9" s="730">
        <v>2311</v>
      </c>
      <c r="F9" s="730">
        <v>1181</v>
      </c>
      <c r="G9" s="731"/>
      <c r="H9" s="732">
        <v>0</v>
      </c>
      <c r="I9" s="730">
        <v>0</v>
      </c>
      <c r="J9" s="730">
        <v>2251</v>
      </c>
      <c r="K9" s="730">
        <v>2305</v>
      </c>
      <c r="L9" s="731">
        <v>1254</v>
      </c>
      <c r="M9" s="733">
        <v>0</v>
      </c>
      <c r="N9" s="730">
        <v>0</v>
      </c>
      <c r="O9" s="730">
        <v>2502</v>
      </c>
      <c r="P9" s="730">
        <v>2362</v>
      </c>
      <c r="Q9" s="734">
        <v>1411</v>
      </c>
      <c r="R9" s="732">
        <v>0</v>
      </c>
      <c r="S9" s="730">
        <v>0</v>
      </c>
      <c r="T9" s="730">
        <v>2603</v>
      </c>
      <c r="U9" s="730">
        <v>2357</v>
      </c>
      <c r="V9" s="731">
        <v>1426</v>
      </c>
      <c r="W9" s="733">
        <v>0</v>
      </c>
      <c r="X9" s="730">
        <v>0</v>
      </c>
      <c r="Y9" s="730">
        <v>2706</v>
      </c>
      <c r="Z9" s="730">
        <v>2417</v>
      </c>
      <c r="AA9" s="730">
        <v>1288</v>
      </c>
      <c r="AB9" s="832" t="s">
        <v>807</v>
      </c>
      <c r="AF9" s="721"/>
      <c r="AG9" s="721"/>
      <c r="AH9" s="721"/>
      <c r="AI9" s="721"/>
      <c r="AJ9" s="721"/>
      <c r="AK9" s="721"/>
      <c r="AL9" s="721"/>
      <c r="AM9" s="721"/>
      <c r="AO9" s="735" t="s">
        <v>676</v>
      </c>
      <c r="AP9" s="723">
        <v>3649</v>
      </c>
      <c r="AQ9" s="723">
        <v>3297</v>
      </c>
      <c r="AR9" s="723">
        <v>1804</v>
      </c>
      <c r="AS9" s="723">
        <v>1691</v>
      </c>
    </row>
    <row r="10" spans="1:45" s="728" customFormat="1">
      <c r="A10" s="729" t="s">
        <v>464</v>
      </c>
      <c r="B10" s="730">
        <v>1462</v>
      </c>
      <c r="C10" s="730">
        <v>0</v>
      </c>
      <c r="D10" s="730">
        <v>0</v>
      </c>
      <c r="E10" s="730">
        <v>0</v>
      </c>
      <c r="F10" s="730">
        <v>0</v>
      </c>
      <c r="G10" s="731"/>
      <c r="H10" s="732">
        <v>1158</v>
      </c>
      <c r="I10" s="730">
        <v>0</v>
      </c>
      <c r="J10" s="730">
        <v>0</v>
      </c>
      <c r="K10" s="730">
        <v>0</v>
      </c>
      <c r="L10" s="731">
        <v>0</v>
      </c>
      <c r="M10" s="733">
        <v>1546</v>
      </c>
      <c r="N10" s="730">
        <v>0</v>
      </c>
      <c r="O10" s="730">
        <v>0</v>
      </c>
      <c r="P10" s="730">
        <v>0</v>
      </c>
      <c r="Q10" s="734">
        <v>0</v>
      </c>
      <c r="R10" s="732">
        <v>874</v>
      </c>
      <c r="S10" s="730">
        <v>0</v>
      </c>
      <c r="T10" s="730">
        <v>0</v>
      </c>
      <c r="U10" s="730">
        <v>0</v>
      </c>
      <c r="V10" s="731">
        <v>0</v>
      </c>
      <c r="W10" s="733">
        <v>806</v>
      </c>
      <c r="X10" s="730">
        <v>0</v>
      </c>
      <c r="Y10" s="730">
        <v>0</v>
      </c>
      <c r="Z10" s="730">
        <v>0</v>
      </c>
      <c r="AA10" s="730">
        <v>0</v>
      </c>
      <c r="AB10" s="832" t="s">
        <v>677</v>
      </c>
      <c r="AF10" s="721"/>
      <c r="AG10" s="721"/>
      <c r="AH10" s="721"/>
      <c r="AI10" s="721"/>
      <c r="AJ10" s="721"/>
      <c r="AK10" s="721"/>
      <c r="AL10" s="721"/>
      <c r="AM10" s="721"/>
    </row>
    <row r="11" spans="1:45" s="728" customFormat="1">
      <c r="A11" s="729" t="s">
        <v>466</v>
      </c>
      <c r="B11" s="730">
        <v>0</v>
      </c>
      <c r="C11" s="730">
        <v>2558</v>
      </c>
      <c r="D11" s="730">
        <v>0</v>
      </c>
      <c r="E11" s="730">
        <v>0</v>
      </c>
      <c r="F11" s="730">
        <v>0</v>
      </c>
      <c r="G11" s="731"/>
      <c r="H11" s="732">
        <v>0</v>
      </c>
      <c r="I11" s="730">
        <v>2277</v>
      </c>
      <c r="J11" s="730">
        <v>0</v>
      </c>
      <c r="K11" s="730">
        <v>0</v>
      </c>
      <c r="L11" s="731">
        <v>0</v>
      </c>
      <c r="M11" s="733">
        <v>0</v>
      </c>
      <c r="N11" s="730">
        <v>2453</v>
      </c>
      <c r="O11" s="730">
        <v>0</v>
      </c>
      <c r="P11" s="730">
        <v>0</v>
      </c>
      <c r="Q11" s="734">
        <v>0</v>
      </c>
      <c r="R11" s="732">
        <v>0</v>
      </c>
      <c r="S11" s="730">
        <v>2589</v>
      </c>
      <c r="T11" s="730">
        <v>0</v>
      </c>
      <c r="U11" s="730">
        <v>0</v>
      </c>
      <c r="V11" s="731">
        <v>0</v>
      </c>
      <c r="W11" s="733">
        <v>0</v>
      </c>
      <c r="X11" s="730">
        <v>2377</v>
      </c>
      <c r="Y11" s="730">
        <v>0</v>
      </c>
      <c r="Z11" s="730">
        <v>0</v>
      </c>
      <c r="AA11" s="730">
        <v>0</v>
      </c>
      <c r="AB11" s="832" t="s">
        <v>678</v>
      </c>
      <c r="AF11" s="721"/>
      <c r="AG11" s="721"/>
      <c r="AH11" s="721"/>
      <c r="AI11" s="721"/>
      <c r="AJ11" s="721"/>
      <c r="AK11" s="721"/>
      <c r="AL11" s="721"/>
      <c r="AM11" s="721"/>
    </row>
    <row r="12" spans="1:45" s="728" customFormat="1">
      <c r="A12" s="729" t="s">
        <v>92</v>
      </c>
      <c r="B12" s="730">
        <v>2</v>
      </c>
      <c r="C12" s="730">
        <v>185</v>
      </c>
      <c r="D12" s="730">
        <v>45</v>
      </c>
      <c r="E12" s="730">
        <v>55</v>
      </c>
      <c r="F12" s="730">
        <v>28</v>
      </c>
      <c r="G12" s="731"/>
      <c r="H12" s="732">
        <v>5</v>
      </c>
      <c r="I12" s="730">
        <v>448</v>
      </c>
      <c r="J12" s="730">
        <v>116</v>
      </c>
      <c r="K12" s="730">
        <v>99</v>
      </c>
      <c r="L12" s="731">
        <v>66</v>
      </c>
      <c r="M12" s="733">
        <v>6</v>
      </c>
      <c r="N12" s="730">
        <v>408</v>
      </c>
      <c r="O12" s="730">
        <v>166</v>
      </c>
      <c r="P12" s="730">
        <v>101</v>
      </c>
      <c r="Q12" s="734">
        <v>97</v>
      </c>
      <c r="R12" s="732">
        <v>47</v>
      </c>
      <c r="S12" s="730">
        <v>265</v>
      </c>
      <c r="T12" s="730">
        <v>252</v>
      </c>
      <c r="U12" s="730">
        <v>125</v>
      </c>
      <c r="V12" s="731">
        <v>98</v>
      </c>
      <c r="W12" s="733">
        <v>24</v>
      </c>
      <c r="X12" s="730">
        <v>166</v>
      </c>
      <c r="Y12" s="730">
        <v>338</v>
      </c>
      <c r="Z12" s="730">
        <v>193</v>
      </c>
      <c r="AA12" s="730">
        <v>167</v>
      </c>
      <c r="AB12" s="832" t="s">
        <v>679</v>
      </c>
      <c r="AF12" s="721"/>
      <c r="AG12" s="721"/>
      <c r="AH12" s="721"/>
      <c r="AI12" s="721"/>
      <c r="AJ12" s="721"/>
      <c r="AK12" s="721"/>
      <c r="AL12" s="721"/>
      <c r="AM12" s="721"/>
    </row>
    <row r="13" spans="1:45" s="728" customFormat="1">
      <c r="A13" s="736" t="s">
        <v>124</v>
      </c>
      <c r="B13" s="723">
        <f>SUM(B14:B33)</f>
        <v>1194</v>
      </c>
      <c r="C13" s="723">
        <f>SUM(C14:C33)</f>
        <v>4269</v>
      </c>
      <c r="D13" s="723">
        <f>SUM(D14:D33)</f>
        <v>4226</v>
      </c>
      <c r="E13" s="723">
        <f>SUM(E14:E33)</f>
        <v>3649</v>
      </c>
      <c r="F13" s="723">
        <f>SUM(F14:F33)</f>
        <v>1804</v>
      </c>
      <c r="G13" s="724"/>
      <c r="H13" s="725">
        <f t="shared" ref="H13:AA13" si="2">SUM(H14:H33)</f>
        <v>1135</v>
      </c>
      <c r="I13" s="723">
        <f t="shared" si="2"/>
        <v>4148</v>
      </c>
      <c r="J13" s="723">
        <f t="shared" si="2"/>
        <v>3730</v>
      </c>
      <c r="K13" s="723">
        <f t="shared" si="2"/>
        <v>3295</v>
      </c>
      <c r="L13" s="724">
        <f t="shared" si="2"/>
        <v>1691</v>
      </c>
      <c r="M13" s="723">
        <f t="shared" si="2"/>
        <v>3985</v>
      </c>
      <c r="N13" s="723">
        <f t="shared" si="2"/>
        <v>1316</v>
      </c>
      <c r="O13" s="723">
        <f t="shared" si="2"/>
        <v>4010</v>
      </c>
      <c r="P13" s="723">
        <f t="shared" si="2"/>
        <v>3165</v>
      </c>
      <c r="Q13" s="726">
        <f t="shared" si="2"/>
        <v>1823</v>
      </c>
      <c r="R13" s="725">
        <f t="shared" si="2"/>
        <v>1277</v>
      </c>
      <c r="S13" s="723">
        <f t="shared" si="2"/>
        <v>4560</v>
      </c>
      <c r="T13" s="723">
        <f t="shared" si="2"/>
        <v>5302</v>
      </c>
      <c r="U13" s="723">
        <f t="shared" si="2"/>
        <v>3105</v>
      </c>
      <c r="V13" s="724">
        <f t="shared" si="2"/>
        <v>1890</v>
      </c>
      <c r="W13" s="723">
        <f t="shared" si="2"/>
        <v>1178</v>
      </c>
      <c r="X13" s="723">
        <f t="shared" si="2"/>
        <v>2747</v>
      </c>
      <c r="Y13" s="723">
        <f t="shared" si="2"/>
        <v>6433</v>
      </c>
      <c r="Z13" s="723">
        <f t="shared" si="2"/>
        <v>3153</v>
      </c>
      <c r="AA13" s="723">
        <f t="shared" si="2"/>
        <v>1903</v>
      </c>
      <c r="AB13" s="727" t="s">
        <v>663</v>
      </c>
      <c r="AF13" s="721"/>
      <c r="AG13" s="721"/>
      <c r="AH13" s="721"/>
      <c r="AI13" s="721"/>
      <c r="AJ13" s="721"/>
      <c r="AK13" s="721"/>
      <c r="AL13" s="721"/>
      <c r="AM13" s="721"/>
    </row>
    <row r="14" spans="1:45" s="728" customFormat="1" ht="15.75" customHeight="1">
      <c r="A14" s="729" t="s">
        <v>93</v>
      </c>
      <c r="B14" s="730">
        <v>59</v>
      </c>
      <c r="C14" s="730">
        <v>193</v>
      </c>
      <c r="D14" s="730">
        <v>176</v>
      </c>
      <c r="E14" s="730">
        <v>219</v>
      </c>
      <c r="F14" s="730">
        <v>67</v>
      </c>
      <c r="G14" s="731"/>
      <c r="H14" s="732">
        <v>28</v>
      </c>
      <c r="I14" s="730">
        <v>181</v>
      </c>
      <c r="J14" s="730">
        <v>169</v>
      </c>
      <c r="K14" s="730">
        <v>236</v>
      </c>
      <c r="L14" s="731">
        <v>87</v>
      </c>
      <c r="M14" s="733">
        <v>196</v>
      </c>
      <c r="N14" s="730">
        <v>75</v>
      </c>
      <c r="O14" s="730">
        <v>176</v>
      </c>
      <c r="P14" s="730">
        <v>206</v>
      </c>
      <c r="Q14" s="734">
        <v>86</v>
      </c>
      <c r="R14" s="732">
        <v>61</v>
      </c>
      <c r="S14" s="730">
        <v>177</v>
      </c>
      <c r="T14" s="730">
        <v>204</v>
      </c>
      <c r="U14" s="730">
        <v>177</v>
      </c>
      <c r="V14" s="731">
        <v>89</v>
      </c>
      <c r="W14" s="733">
        <v>42</v>
      </c>
      <c r="X14" s="730">
        <v>79</v>
      </c>
      <c r="Y14" s="730">
        <v>257</v>
      </c>
      <c r="Z14" s="730">
        <v>169</v>
      </c>
      <c r="AA14" s="730">
        <v>91</v>
      </c>
      <c r="AB14" s="833" t="s">
        <v>680</v>
      </c>
      <c r="AF14" s="721"/>
      <c r="AG14" s="721"/>
      <c r="AH14" s="721"/>
      <c r="AI14" s="721"/>
      <c r="AJ14" s="721"/>
      <c r="AK14" s="721"/>
      <c r="AL14" s="721"/>
      <c r="AM14" s="721"/>
    </row>
    <row r="15" spans="1:45" s="728" customFormat="1" ht="15.75" customHeight="1">
      <c r="A15" s="729" t="s">
        <v>94</v>
      </c>
      <c r="B15" s="730">
        <v>112</v>
      </c>
      <c r="C15" s="730">
        <v>177</v>
      </c>
      <c r="D15" s="730">
        <v>277</v>
      </c>
      <c r="E15" s="730">
        <v>339</v>
      </c>
      <c r="F15" s="730">
        <v>153</v>
      </c>
      <c r="G15" s="731"/>
      <c r="H15" s="732">
        <v>73</v>
      </c>
      <c r="I15" s="730">
        <v>178</v>
      </c>
      <c r="J15" s="730">
        <v>233</v>
      </c>
      <c r="K15" s="730">
        <v>287</v>
      </c>
      <c r="L15" s="731">
        <v>120</v>
      </c>
      <c r="M15" s="733">
        <v>135</v>
      </c>
      <c r="N15" s="730">
        <v>232</v>
      </c>
      <c r="O15" s="730">
        <v>273</v>
      </c>
      <c r="P15" s="730">
        <v>279</v>
      </c>
      <c r="Q15" s="734">
        <v>149</v>
      </c>
      <c r="R15" s="732">
        <v>183</v>
      </c>
      <c r="S15" s="730">
        <v>205</v>
      </c>
      <c r="T15" s="730">
        <v>339</v>
      </c>
      <c r="U15" s="730">
        <v>279</v>
      </c>
      <c r="V15" s="731">
        <v>126</v>
      </c>
      <c r="W15" s="733">
        <v>66</v>
      </c>
      <c r="X15" s="730">
        <v>112</v>
      </c>
      <c r="Y15" s="730">
        <v>440</v>
      </c>
      <c r="Z15" s="730">
        <v>274</v>
      </c>
      <c r="AA15" s="730">
        <v>170</v>
      </c>
      <c r="AB15" s="833" t="s">
        <v>681</v>
      </c>
      <c r="AF15" s="721"/>
      <c r="AG15" s="721"/>
      <c r="AH15" s="721"/>
      <c r="AI15" s="721"/>
      <c r="AJ15" s="721"/>
      <c r="AK15" s="721"/>
      <c r="AL15" s="721"/>
      <c r="AM15" s="721"/>
      <c r="AR15" s="728" t="s">
        <v>664</v>
      </c>
      <c r="AS15" s="728" t="s">
        <v>665</v>
      </c>
    </row>
    <row r="16" spans="1:45" s="728" customFormat="1" ht="15.75" customHeight="1">
      <c r="A16" s="729" t="s">
        <v>95</v>
      </c>
      <c r="B16" s="730">
        <v>57</v>
      </c>
      <c r="C16" s="730">
        <v>182</v>
      </c>
      <c r="D16" s="730">
        <v>151</v>
      </c>
      <c r="E16" s="730">
        <v>193</v>
      </c>
      <c r="F16" s="730">
        <v>73</v>
      </c>
      <c r="G16" s="731"/>
      <c r="H16" s="732">
        <v>24</v>
      </c>
      <c r="I16" s="730">
        <v>145</v>
      </c>
      <c r="J16" s="730">
        <v>162</v>
      </c>
      <c r="K16" s="730">
        <v>199</v>
      </c>
      <c r="L16" s="731">
        <v>88</v>
      </c>
      <c r="M16" s="733">
        <v>148</v>
      </c>
      <c r="N16" s="730">
        <v>30</v>
      </c>
      <c r="O16" s="730">
        <v>164</v>
      </c>
      <c r="P16" s="730">
        <v>188</v>
      </c>
      <c r="Q16" s="734">
        <v>75</v>
      </c>
      <c r="R16" s="732">
        <v>23</v>
      </c>
      <c r="S16" s="730">
        <v>138</v>
      </c>
      <c r="T16" s="730">
        <v>195</v>
      </c>
      <c r="U16" s="730">
        <v>148</v>
      </c>
      <c r="V16" s="731">
        <v>95</v>
      </c>
      <c r="W16" s="733">
        <v>36</v>
      </c>
      <c r="X16" s="730">
        <v>67</v>
      </c>
      <c r="Y16" s="730">
        <v>262</v>
      </c>
      <c r="Z16" s="730">
        <v>166</v>
      </c>
      <c r="AA16" s="730">
        <v>82</v>
      </c>
      <c r="AB16" s="833" t="s">
        <v>682</v>
      </c>
      <c r="AF16" s="721"/>
      <c r="AG16" s="721"/>
      <c r="AH16" s="721"/>
      <c r="AI16" s="721"/>
      <c r="AJ16" s="721"/>
      <c r="AK16" s="721"/>
      <c r="AL16" s="721"/>
      <c r="AM16" s="721"/>
      <c r="AQ16" s="728" t="s">
        <v>126</v>
      </c>
      <c r="AR16" s="728">
        <v>5763</v>
      </c>
      <c r="AS16" s="728">
        <v>3358</v>
      </c>
    </row>
    <row r="17" spans="1:46" s="728" customFormat="1">
      <c r="A17" s="729" t="s">
        <v>96</v>
      </c>
      <c r="B17" s="730">
        <v>54</v>
      </c>
      <c r="C17" s="730">
        <v>194</v>
      </c>
      <c r="D17" s="730">
        <v>236</v>
      </c>
      <c r="E17" s="730">
        <v>195</v>
      </c>
      <c r="F17" s="730">
        <v>107</v>
      </c>
      <c r="G17" s="731"/>
      <c r="H17" s="732">
        <v>62</v>
      </c>
      <c r="I17" s="730">
        <v>186</v>
      </c>
      <c r="J17" s="730">
        <v>215</v>
      </c>
      <c r="K17" s="730">
        <v>193</v>
      </c>
      <c r="L17" s="731">
        <v>95</v>
      </c>
      <c r="M17" s="733">
        <v>175</v>
      </c>
      <c r="N17" s="730">
        <v>52</v>
      </c>
      <c r="O17" s="730">
        <v>213</v>
      </c>
      <c r="P17" s="730">
        <v>187</v>
      </c>
      <c r="Q17" s="734">
        <v>101</v>
      </c>
      <c r="R17" s="732">
        <v>97</v>
      </c>
      <c r="S17" s="730">
        <v>219</v>
      </c>
      <c r="T17" s="730">
        <v>290</v>
      </c>
      <c r="U17" s="730">
        <v>167</v>
      </c>
      <c r="V17" s="731">
        <v>104</v>
      </c>
      <c r="W17" s="733">
        <v>97</v>
      </c>
      <c r="X17" s="730">
        <v>133</v>
      </c>
      <c r="Y17" s="730">
        <v>383</v>
      </c>
      <c r="Z17" s="730">
        <v>171</v>
      </c>
      <c r="AA17" s="730">
        <v>103</v>
      </c>
      <c r="AB17" s="833" t="s">
        <v>683</v>
      </c>
      <c r="AF17" s="721"/>
      <c r="AG17" s="721"/>
      <c r="AH17" s="721"/>
      <c r="AI17" s="721"/>
      <c r="AJ17" s="721"/>
      <c r="AK17" s="721"/>
      <c r="AL17" s="721"/>
      <c r="AM17" s="721"/>
      <c r="AQ17" s="728" t="s">
        <v>674</v>
      </c>
      <c r="AR17" s="728">
        <v>2610</v>
      </c>
      <c r="AS17" s="728">
        <v>1455</v>
      </c>
    </row>
    <row r="18" spans="1:46" s="728" customFormat="1">
      <c r="A18" s="729" t="s">
        <v>97</v>
      </c>
      <c r="B18" s="730">
        <v>128</v>
      </c>
      <c r="C18" s="730">
        <v>191</v>
      </c>
      <c r="D18" s="730">
        <v>231</v>
      </c>
      <c r="E18" s="730">
        <v>270</v>
      </c>
      <c r="F18" s="730">
        <v>100</v>
      </c>
      <c r="G18" s="731"/>
      <c r="H18" s="732">
        <v>84</v>
      </c>
      <c r="I18" s="730">
        <v>202</v>
      </c>
      <c r="J18" s="730">
        <v>231</v>
      </c>
      <c r="K18" s="730">
        <v>259</v>
      </c>
      <c r="L18" s="731">
        <v>118</v>
      </c>
      <c r="M18" s="733">
        <v>201</v>
      </c>
      <c r="N18" s="730">
        <v>67</v>
      </c>
      <c r="O18" s="730">
        <v>219</v>
      </c>
      <c r="P18" s="730">
        <v>233</v>
      </c>
      <c r="Q18" s="734">
        <v>117</v>
      </c>
      <c r="R18" s="732">
        <v>99</v>
      </c>
      <c r="S18" s="730">
        <v>225</v>
      </c>
      <c r="T18" s="730">
        <v>326</v>
      </c>
      <c r="U18" s="730">
        <v>254</v>
      </c>
      <c r="V18" s="731">
        <v>113</v>
      </c>
      <c r="W18" s="733">
        <v>56</v>
      </c>
      <c r="X18" s="730">
        <v>153</v>
      </c>
      <c r="Y18" s="730">
        <v>359</v>
      </c>
      <c r="Z18" s="730">
        <v>255</v>
      </c>
      <c r="AA18" s="730">
        <v>103</v>
      </c>
      <c r="AB18" s="833" t="s">
        <v>684</v>
      </c>
      <c r="AF18" s="721"/>
      <c r="AG18" s="721"/>
      <c r="AH18" s="721"/>
      <c r="AI18" s="721"/>
      <c r="AJ18" s="721"/>
      <c r="AK18" s="721"/>
      <c r="AL18" s="721"/>
      <c r="AM18" s="721"/>
      <c r="AQ18" s="728" t="s">
        <v>676</v>
      </c>
      <c r="AR18" s="728">
        <v>3153</v>
      </c>
      <c r="AS18" s="728">
        <v>1903</v>
      </c>
    </row>
    <row r="19" spans="1:46" s="728" customFormat="1">
      <c r="A19" s="729" t="s">
        <v>98</v>
      </c>
      <c r="B19" s="730">
        <v>29</v>
      </c>
      <c r="C19" s="730">
        <v>97</v>
      </c>
      <c r="D19" s="730">
        <v>137</v>
      </c>
      <c r="E19" s="730">
        <v>158</v>
      </c>
      <c r="F19" s="730">
        <v>63</v>
      </c>
      <c r="G19" s="731"/>
      <c r="H19" s="732">
        <v>26</v>
      </c>
      <c r="I19" s="730">
        <v>183</v>
      </c>
      <c r="J19" s="730">
        <v>135</v>
      </c>
      <c r="K19" s="730">
        <v>151</v>
      </c>
      <c r="L19" s="731">
        <v>57</v>
      </c>
      <c r="M19" s="733">
        <v>133</v>
      </c>
      <c r="N19" s="730">
        <v>27</v>
      </c>
      <c r="O19" s="730">
        <v>136</v>
      </c>
      <c r="P19" s="730">
        <v>125</v>
      </c>
      <c r="Q19" s="734">
        <v>63</v>
      </c>
      <c r="R19" s="732">
        <v>43</v>
      </c>
      <c r="S19" s="730">
        <v>119</v>
      </c>
      <c r="T19" s="730">
        <v>171</v>
      </c>
      <c r="U19" s="730">
        <v>124</v>
      </c>
      <c r="V19" s="731">
        <v>64</v>
      </c>
      <c r="W19" s="733">
        <v>21</v>
      </c>
      <c r="X19" s="730">
        <v>79</v>
      </c>
      <c r="Y19" s="730">
        <v>175</v>
      </c>
      <c r="Z19" s="730">
        <v>111</v>
      </c>
      <c r="AA19" s="730">
        <v>62</v>
      </c>
      <c r="AB19" s="833" t="s">
        <v>685</v>
      </c>
      <c r="AF19" s="721"/>
      <c r="AG19" s="721"/>
      <c r="AH19" s="721"/>
      <c r="AI19" s="721"/>
      <c r="AJ19" s="721"/>
      <c r="AK19" s="721"/>
      <c r="AL19" s="721"/>
      <c r="AM19" s="721"/>
    </row>
    <row r="20" spans="1:46" s="728" customFormat="1">
      <c r="A20" s="729" t="s">
        <v>99</v>
      </c>
      <c r="B20" s="730">
        <v>71</v>
      </c>
      <c r="C20" s="730">
        <v>99</v>
      </c>
      <c r="D20" s="730">
        <v>165</v>
      </c>
      <c r="E20" s="730">
        <v>168</v>
      </c>
      <c r="F20" s="730">
        <v>72</v>
      </c>
      <c r="G20" s="731"/>
      <c r="H20" s="732">
        <v>61</v>
      </c>
      <c r="I20" s="730">
        <v>124</v>
      </c>
      <c r="J20" s="730">
        <v>178</v>
      </c>
      <c r="K20" s="730">
        <v>160</v>
      </c>
      <c r="L20" s="731">
        <v>93</v>
      </c>
      <c r="M20" s="733">
        <v>201</v>
      </c>
      <c r="N20" s="730">
        <v>68</v>
      </c>
      <c r="O20" s="730">
        <v>180</v>
      </c>
      <c r="P20" s="730">
        <v>141</v>
      </c>
      <c r="Q20" s="734">
        <v>85</v>
      </c>
      <c r="R20" s="732">
        <v>60</v>
      </c>
      <c r="S20" s="730">
        <v>171</v>
      </c>
      <c r="T20" s="730">
        <v>244</v>
      </c>
      <c r="U20" s="730">
        <v>127</v>
      </c>
      <c r="V20" s="731">
        <v>82</v>
      </c>
      <c r="W20" s="733">
        <v>36</v>
      </c>
      <c r="X20" s="730">
        <v>111</v>
      </c>
      <c r="Y20" s="730">
        <v>307</v>
      </c>
      <c r="Z20" s="730">
        <v>129</v>
      </c>
      <c r="AA20" s="730">
        <v>96</v>
      </c>
      <c r="AB20" s="833" t="s">
        <v>686</v>
      </c>
      <c r="AF20" s="721"/>
      <c r="AG20" s="721"/>
      <c r="AH20" s="721"/>
      <c r="AI20" s="721"/>
      <c r="AJ20" s="721"/>
      <c r="AK20" s="721"/>
      <c r="AL20" s="721"/>
      <c r="AM20" s="721"/>
    </row>
    <row r="21" spans="1:46" s="728" customFormat="1">
      <c r="A21" s="729" t="s">
        <v>100</v>
      </c>
      <c r="B21" s="730">
        <v>52</v>
      </c>
      <c r="C21" s="730">
        <v>183</v>
      </c>
      <c r="D21" s="730">
        <v>258</v>
      </c>
      <c r="E21" s="730">
        <v>226</v>
      </c>
      <c r="F21" s="730">
        <v>133</v>
      </c>
      <c r="G21" s="731"/>
      <c r="H21" s="732">
        <v>41</v>
      </c>
      <c r="I21" s="730">
        <v>145</v>
      </c>
      <c r="J21" s="730">
        <v>218</v>
      </c>
      <c r="K21" s="730">
        <v>213</v>
      </c>
      <c r="L21" s="731">
        <v>112</v>
      </c>
      <c r="M21" s="733">
        <v>207</v>
      </c>
      <c r="N21" s="730">
        <v>42</v>
      </c>
      <c r="O21" s="730">
        <v>259</v>
      </c>
      <c r="P21" s="730">
        <v>201</v>
      </c>
      <c r="Q21" s="734">
        <v>129</v>
      </c>
      <c r="R21" s="732">
        <v>26</v>
      </c>
      <c r="S21" s="730">
        <v>263</v>
      </c>
      <c r="T21" s="730">
        <v>300</v>
      </c>
      <c r="U21" s="730">
        <v>247</v>
      </c>
      <c r="V21" s="731">
        <v>126</v>
      </c>
      <c r="W21" s="733">
        <v>62</v>
      </c>
      <c r="X21" s="730">
        <v>102</v>
      </c>
      <c r="Y21" s="730">
        <v>388</v>
      </c>
      <c r="Z21" s="730">
        <v>222</v>
      </c>
      <c r="AA21" s="730">
        <v>151</v>
      </c>
      <c r="AB21" s="833" t="s">
        <v>687</v>
      </c>
      <c r="AF21" s="721"/>
      <c r="AG21" s="721"/>
      <c r="AH21" s="721"/>
      <c r="AI21" s="721"/>
      <c r="AJ21" s="721"/>
      <c r="AK21" s="721"/>
      <c r="AL21" s="721"/>
      <c r="AM21" s="721"/>
      <c r="AQ21" s="728" t="s">
        <v>664</v>
      </c>
      <c r="AS21" s="728" t="s">
        <v>665</v>
      </c>
    </row>
    <row r="22" spans="1:46" s="728" customFormat="1">
      <c r="A22" s="729" t="s">
        <v>101</v>
      </c>
      <c r="B22" s="730">
        <v>32</v>
      </c>
      <c r="C22" s="730">
        <v>110</v>
      </c>
      <c r="D22" s="730">
        <v>127</v>
      </c>
      <c r="E22" s="730">
        <v>116</v>
      </c>
      <c r="F22" s="730">
        <v>69</v>
      </c>
      <c r="G22" s="731"/>
      <c r="H22" s="732">
        <v>13</v>
      </c>
      <c r="I22" s="730">
        <v>123</v>
      </c>
      <c r="J22" s="730">
        <v>123</v>
      </c>
      <c r="K22" s="730">
        <v>99</v>
      </c>
      <c r="L22" s="731">
        <v>68</v>
      </c>
      <c r="M22" s="733">
        <v>140</v>
      </c>
      <c r="N22" s="730">
        <v>7</v>
      </c>
      <c r="O22" s="730">
        <v>142</v>
      </c>
      <c r="P22" s="730">
        <v>102</v>
      </c>
      <c r="Q22" s="734">
        <v>71</v>
      </c>
      <c r="R22" s="732">
        <v>18</v>
      </c>
      <c r="S22" s="730">
        <v>120</v>
      </c>
      <c r="T22" s="730">
        <v>155</v>
      </c>
      <c r="U22" s="730">
        <v>86</v>
      </c>
      <c r="V22" s="731">
        <v>65</v>
      </c>
      <c r="W22" s="733">
        <v>15</v>
      </c>
      <c r="X22" s="730">
        <v>115</v>
      </c>
      <c r="Y22" s="730">
        <v>234</v>
      </c>
      <c r="Z22" s="730">
        <v>102</v>
      </c>
      <c r="AA22" s="730">
        <v>70</v>
      </c>
      <c r="AB22" s="833" t="s">
        <v>688</v>
      </c>
      <c r="AF22" s="721"/>
      <c r="AG22" s="721"/>
      <c r="AH22" s="721"/>
      <c r="AI22" s="721"/>
      <c r="AJ22" s="721"/>
      <c r="AK22" s="721"/>
      <c r="AL22" s="721"/>
      <c r="AM22" s="721"/>
      <c r="AQ22" s="728">
        <v>2014</v>
      </c>
      <c r="AR22" s="728">
        <v>2015</v>
      </c>
      <c r="AS22" s="728">
        <v>2014</v>
      </c>
      <c r="AT22" s="728">
        <v>2015</v>
      </c>
    </row>
    <row r="23" spans="1:46" s="728" customFormat="1">
      <c r="A23" s="729" t="s">
        <v>102</v>
      </c>
      <c r="B23" s="730">
        <v>20</v>
      </c>
      <c r="C23" s="730">
        <v>104</v>
      </c>
      <c r="D23" s="730">
        <v>166</v>
      </c>
      <c r="E23" s="730">
        <v>169</v>
      </c>
      <c r="F23" s="730">
        <v>85</v>
      </c>
      <c r="G23" s="731"/>
      <c r="H23" s="732">
        <v>18</v>
      </c>
      <c r="I23" s="730">
        <v>145</v>
      </c>
      <c r="J23" s="730">
        <v>141</v>
      </c>
      <c r="K23" s="730">
        <v>152</v>
      </c>
      <c r="L23" s="731">
        <v>74</v>
      </c>
      <c r="M23" s="733">
        <v>142</v>
      </c>
      <c r="N23" s="730">
        <v>20</v>
      </c>
      <c r="O23" s="730">
        <v>189</v>
      </c>
      <c r="P23" s="730">
        <v>148</v>
      </c>
      <c r="Q23" s="734">
        <v>110</v>
      </c>
      <c r="R23" s="732">
        <v>16</v>
      </c>
      <c r="S23" s="730">
        <v>253</v>
      </c>
      <c r="T23" s="730">
        <v>189</v>
      </c>
      <c r="U23" s="730">
        <v>139</v>
      </c>
      <c r="V23" s="731">
        <v>76</v>
      </c>
      <c r="W23" s="733">
        <v>25</v>
      </c>
      <c r="X23" s="730">
        <v>133</v>
      </c>
      <c r="Y23" s="730">
        <v>284</v>
      </c>
      <c r="Z23" s="730">
        <v>121</v>
      </c>
      <c r="AA23" s="730">
        <v>84</v>
      </c>
      <c r="AB23" s="833" t="s">
        <v>689</v>
      </c>
      <c r="AF23" s="721"/>
      <c r="AG23" s="721"/>
      <c r="AH23" s="721"/>
      <c r="AI23" s="721"/>
      <c r="AJ23" s="721"/>
      <c r="AK23" s="721"/>
      <c r="AL23" s="721"/>
      <c r="AM23" s="721"/>
      <c r="AP23" s="728" t="s">
        <v>126</v>
      </c>
      <c r="AQ23" s="728">
        <v>5587</v>
      </c>
      <c r="AR23" s="728">
        <v>5763</v>
      </c>
      <c r="AS23" s="728">
        <v>3414</v>
      </c>
      <c r="AT23" s="728">
        <v>3358</v>
      </c>
    </row>
    <row r="24" spans="1:46" s="728" customFormat="1">
      <c r="A24" s="729" t="s">
        <v>103</v>
      </c>
      <c r="B24" s="730">
        <v>1</v>
      </c>
      <c r="C24" s="730">
        <v>21</v>
      </c>
      <c r="D24" s="730">
        <v>29</v>
      </c>
      <c r="E24" s="730">
        <v>14</v>
      </c>
      <c r="F24" s="730">
        <v>17</v>
      </c>
      <c r="G24" s="731"/>
      <c r="H24" s="732">
        <v>1</v>
      </c>
      <c r="I24" s="730">
        <v>33</v>
      </c>
      <c r="J24" s="730">
        <v>19</v>
      </c>
      <c r="K24" s="730">
        <v>13</v>
      </c>
      <c r="L24" s="731">
        <v>12</v>
      </c>
      <c r="M24" s="733">
        <v>60</v>
      </c>
      <c r="N24" s="730">
        <v>9</v>
      </c>
      <c r="O24" s="730">
        <v>24</v>
      </c>
      <c r="P24" s="730">
        <v>24</v>
      </c>
      <c r="Q24" s="734">
        <v>16</v>
      </c>
      <c r="R24" s="732">
        <v>1</v>
      </c>
      <c r="S24" s="730">
        <v>55</v>
      </c>
      <c r="T24" s="730">
        <v>28</v>
      </c>
      <c r="U24" s="730">
        <v>18</v>
      </c>
      <c r="V24" s="731">
        <v>11</v>
      </c>
      <c r="W24" s="733">
        <v>0</v>
      </c>
      <c r="X24" s="730">
        <v>23</v>
      </c>
      <c r="Y24" s="730">
        <v>47</v>
      </c>
      <c r="Z24" s="730">
        <v>20</v>
      </c>
      <c r="AA24" s="730">
        <v>18</v>
      </c>
      <c r="AB24" s="833" t="s">
        <v>690</v>
      </c>
      <c r="AF24" s="721"/>
      <c r="AG24" s="721"/>
      <c r="AH24" s="721"/>
      <c r="AI24" s="721"/>
      <c r="AJ24" s="721"/>
      <c r="AK24" s="721"/>
      <c r="AL24" s="721"/>
      <c r="AM24" s="721"/>
      <c r="AP24" s="728" t="s">
        <v>674</v>
      </c>
      <c r="AQ24" s="728">
        <v>2482</v>
      </c>
      <c r="AR24" s="728">
        <v>2610</v>
      </c>
    </row>
    <row r="25" spans="1:46" s="728" customFormat="1">
      <c r="A25" s="729" t="s">
        <v>104</v>
      </c>
      <c r="B25" s="730">
        <v>15</v>
      </c>
      <c r="C25" s="730">
        <v>136</v>
      </c>
      <c r="D25" s="730">
        <v>84</v>
      </c>
      <c r="E25" s="730">
        <v>82</v>
      </c>
      <c r="F25" s="730">
        <v>34</v>
      </c>
      <c r="G25" s="731"/>
      <c r="H25" s="732">
        <v>4</v>
      </c>
      <c r="I25" s="730">
        <v>62</v>
      </c>
      <c r="J25" s="730">
        <v>72</v>
      </c>
      <c r="K25" s="730">
        <v>70</v>
      </c>
      <c r="L25" s="731">
        <v>32</v>
      </c>
      <c r="M25" s="733">
        <v>99</v>
      </c>
      <c r="N25" s="730">
        <v>24</v>
      </c>
      <c r="O25" s="730">
        <v>65</v>
      </c>
      <c r="P25" s="730">
        <v>69</v>
      </c>
      <c r="Q25" s="734">
        <v>30</v>
      </c>
      <c r="R25" s="732">
        <v>23</v>
      </c>
      <c r="S25" s="730">
        <v>75</v>
      </c>
      <c r="T25" s="730">
        <v>88</v>
      </c>
      <c r="U25" s="730">
        <v>66</v>
      </c>
      <c r="V25" s="731">
        <v>40</v>
      </c>
      <c r="W25" s="733">
        <v>5</v>
      </c>
      <c r="X25" s="730">
        <v>52</v>
      </c>
      <c r="Y25" s="730">
        <v>130</v>
      </c>
      <c r="Z25" s="730">
        <v>71</v>
      </c>
      <c r="AA25" s="730">
        <v>42</v>
      </c>
      <c r="AB25" s="833" t="s">
        <v>691</v>
      </c>
      <c r="AF25" s="721"/>
      <c r="AG25" s="721"/>
      <c r="AH25" s="721"/>
      <c r="AI25" s="721"/>
      <c r="AJ25" s="721"/>
      <c r="AK25" s="721"/>
      <c r="AL25" s="721"/>
      <c r="AM25" s="721"/>
      <c r="AP25" s="728" t="s">
        <v>676</v>
      </c>
      <c r="AQ25" s="728">
        <v>3105</v>
      </c>
      <c r="AR25" s="728">
        <v>3153</v>
      </c>
    </row>
    <row r="26" spans="1:46" s="728" customFormat="1">
      <c r="A26" s="729" t="s">
        <v>105</v>
      </c>
      <c r="B26" s="730">
        <v>15</v>
      </c>
      <c r="C26" s="730">
        <v>86</v>
      </c>
      <c r="D26" s="730">
        <v>84</v>
      </c>
      <c r="E26" s="730">
        <v>94</v>
      </c>
      <c r="F26" s="730">
        <v>50</v>
      </c>
      <c r="G26" s="731"/>
      <c r="H26" s="732">
        <v>14</v>
      </c>
      <c r="I26" s="730">
        <v>83</v>
      </c>
      <c r="J26" s="730">
        <v>70</v>
      </c>
      <c r="K26" s="730">
        <v>76</v>
      </c>
      <c r="L26" s="731">
        <v>33</v>
      </c>
      <c r="M26" s="733">
        <v>106</v>
      </c>
      <c r="N26" s="730">
        <v>12</v>
      </c>
      <c r="O26" s="730">
        <v>87</v>
      </c>
      <c r="P26" s="730">
        <v>87</v>
      </c>
      <c r="Q26" s="734">
        <v>39</v>
      </c>
      <c r="R26" s="732">
        <v>21</v>
      </c>
      <c r="S26" s="730">
        <v>74</v>
      </c>
      <c r="T26" s="730">
        <v>106</v>
      </c>
      <c r="U26" s="730">
        <v>62</v>
      </c>
      <c r="V26" s="731">
        <v>32</v>
      </c>
      <c r="W26" s="733">
        <v>4</v>
      </c>
      <c r="X26" s="730">
        <v>53</v>
      </c>
      <c r="Y26" s="730">
        <v>129</v>
      </c>
      <c r="Z26" s="730">
        <v>68</v>
      </c>
      <c r="AA26" s="730">
        <v>33</v>
      </c>
      <c r="AB26" s="833" t="s">
        <v>692</v>
      </c>
      <c r="AF26" s="721"/>
      <c r="AG26" s="721"/>
      <c r="AH26" s="721"/>
      <c r="AI26" s="721"/>
      <c r="AJ26" s="721"/>
      <c r="AK26" s="721"/>
      <c r="AL26" s="721"/>
      <c r="AM26" s="721"/>
    </row>
    <row r="27" spans="1:46" s="728" customFormat="1">
      <c r="A27" s="729" t="s">
        <v>106</v>
      </c>
      <c r="B27" s="730">
        <v>12</v>
      </c>
      <c r="C27" s="730">
        <v>134</v>
      </c>
      <c r="D27" s="730">
        <v>87</v>
      </c>
      <c r="E27" s="730">
        <v>92</v>
      </c>
      <c r="F27" s="730">
        <v>40</v>
      </c>
      <c r="G27" s="731"/>
      <c r="H27" s="732">
        <v>4</v>
      </c>
      <c r="I27" s="730">
        <v>89</v>
      </c>
      <c r="J27" s="730">
        <v>85</v>
      </c>
      <c r="K27" s="730">
        <v>64</v>
      </c>
      <c r="L27" s="731">
        <v>44</v>
      </c>
      <c r="M27" s="733">
        <v>65</v>
      </c>
      <c r="N27" s="730">
        <v>20</v>
      </c>
      <c r="O27" s="730">
        <v>86</v>
      </c>
      <c r="P27" s="730">
        <v>80</v>
      </c>
      <c r="Q27" s="734">
        <v>33</v>
      </c>
      <c r="R27" s="732">
        <v>8</v>
      </c>
      <c r="S27" s="730">
        <v>80</v>
      </c>
      <c r="T27" s="730">
        <v>130</v>
      </c>
      <c r="U27" s="730">
        <v>71</v>
      </c>
      <c r="V27" s="731">
        <v>40</v>
      </c>
      <c r="W27" s="733">
        <v>4</v>
      </c>
      <c r="X27" s="730">
        <v>44</v>
      </c>
      <c r="Y27" s="730">
        <v>145</v>
      </c>
      <c r="Z27" s="730">
        <v>66</v>
      </c>
      <c r="AA27" s="730">
        <v>27</v>
      </c>
      <c r="AB27" s="833" t="s">
        <v>693</v>
      </c>
      <c r="AF27" s="721"/>
      <c r="AG27" s="721"/>
      <c r="AH27" s="721"/>
      <c r="AI27" s="721"/>
      <c r="AJ27" s="721"/>
      <c r="AK27" s="721"/>
      <c r="AL27" s="721"/>
      <c r="AM27" s="721"/>
      <c r="AQ27" s="728" t="s">
        <v>665</v>
      </c>
    </row>
    <row r="28" spans="1:46" s="728" customFormat="1">
      <c r="A28" s="729" t="s">
        <v>107</v>
      </c>
      <c r="B28" s="730">
        <v>34</v>
      </c>
      <c r="C28" s="730">
        <v>211</v>
      </c>
      <c r="D28" s="730">
        <v>155</v>
      </c>
      <c r="E28" s="730">
        <v>166</v>
      </c>
      <c r="F28" s="730">
        <v>80</v>
      </c>
      <c r="G28" s="731"/>
      <c r="H28" s="732">
        <v>76</v>
      </c>
      <c r="I28" s="730">
        <v>177</v>
      </c>
      <c r="J28" s="730">
        <v>171</v>
      </c>
      <c r="K28" s="730">
        <v>146</v>
      </c>
      <c r="L28" s="731">
        <v>85</v>
      </c>
      <c r="M28" s="733">
        <v>184</v>
      </c>
      <c r="N28" s="730">
        <v>56</v>
      </c>
      <c r="O28" s="730">
        <v>152</v>
      </c>
      <c r="P28" s="730">
        <v>118</v>
      </c>
      <c r="Q28" s="734">
        <v>71</v>
      </c>
      <c r="R28" s="732">
        <v>66</v>
      </c>
      <c r="S28" s="730">
        <v>164</v>
      </c>
      <c r="T28" s="730">
        <v>213</v>
      </c>
      <c r="U28" s="730">
        <v>126</v>
      </c>
      <c r="V28" s="731">
        <v>97</v>
      </c>
      <c r="W28" s="733">
        <v>27</v>
      </c>
      <c r="X28" s="730">
        <v>101</v>
      </c>
      <c r="Y28" s="730">
        <v>277</v>
      </c>
      <c r="Z28" s="730">
        <v>135</v>
      </c>
      <c r="AA28" s="730">
        <v>102</v>
      </c>
      <c r="AB28" s="833" t="s">
        <v>694</v>
      </c>
      <c r="AF28" s="721"/>
      <c r="AG28" s="721"/>
      <c r="AH28" s="721"/>
      <c r="AI28" s="721"/>
      <c r="AJ28" s="721"/>
      <c r="AK28" s="721"/>
      <c r="AL28" s="721"/>
      <c r="AM28" s="721"/>
      <c r="AQ28" s="728">
        <v>2014</v>
      </c>
      <c r="AR28" s="728">
        <v>2015</v>
      </c>
    </row>
    <row r="29" spans="1:46" s="728" customFormat="1">
      <c r="A29" s="729" t="s">
        <v>108</v>
      </c>
      <c r="B29" s="730">
        <v>75</v>
      </c>
      <c r="C29" s="730">
        <v>515</v>
      </c>
      <c r="D29" s="730">
        <v>331</v>
      </c>
      <c r="E29" s="730">
        <v>250</v>
      </c>
      <c r="F29" s="730">
        <v>142</v>
      </c>
      <c r="G29" s="731"/>
      <c r="H29" s="732">
        <v>108</v>
      </c>
      <c r="I29" s="730">
        <v>374</v>
      </c>
      <c r="J29" s="730">
        <v>291</v>
      </c>
      <c r="K29" s="730">
        <v>242</v>
      </c>
      <c r="L29" s="731">
        <v>117</v>
      </c>
      <c r="M29" s="733">
        <v>289</v>
      </c>
      <c r="N29" s="730">
        <v>139</v>
      </c>
      <c r="O29" s="730">
        <v>347</v>
      </c>
      <c r="P29" s="730">
        <v>230</v>
      </c>
      <c r="Q29" s="734">
        <v>149</v>
      </c>
      <c r="R29" s="732">
        <v>113</v>
      </c>
      <c r="S29" s="730">
        <v>350</v>
      </c>
      <c r="T29" s="730">
        <v>502</v>
      </c>
      <c r="U29" s="730">
        <v>230</v>
      </c>
      <c r="V29" s="731">
        <v>152</v>
      </c>
      <c r="W29" s="733">
        <v>116</v>
      </c>
      <c r="X29" s="730">
        <v>224</v>
      </c>
      <c r="Y29" s="730">
        <v>633</v>
      </c>
      <c r="Z29" s="730">
        <v>256</v>
      </c>
      <c r="AA29" s="730">
        <v>173</v>
      </c>
      <c r="AB29" s="833" t="s">
        <v>695</v>
      </c>
      <c r="AF29" s="721"/>
      <c r="AG29" s="721"/>
      <c r="AH29" s="721"/>
      <c r="AI29" s="721"/>
      <c r="AJ29" s="721"/>
      <c r="AK29" s="721"/>
      <c r="AL29" s="721"/>
      <c r="AM29" s="721"/>
      <c r="AP29" s="728" t="s">
        <v>126</v>
      </c>
      <c r="AQ29" s="728">
        <f>V6</f>
        <v>3414</v>
      </c>
      <c r="AR29" s="728">
        <v>3358</v>
      </c>
    </row>
    <row r="30" spans="1:46" s="728" customFormat="1">
      <c r="A30" s="729" t="s">
        <v>109</v>
      </c>
      <c r="B30" s="730">
        <v>43</v>
      </c>
      <c r="C30" s="730">
        <v>470</v>
      </c>
      <c r="D30" s="730">
        <v>313</v>
      </c>
      <c r="E30" s="730">
        <v>149</v>
      </c>
      <c r="F30" s="730">
        <v>92</v>
      </c>
      <c r="G30" s="731"/>
      <c r="H30" s="732">
        <v>48</v>
      </c>
      <c r="I30" s="730">
        <v>652</v>
      </c>
      <c r="J30" s="730">
        <v>238</v>
      </c>
      <c r="K30" s="730">
        <v>114</v>
      </c>
      <c r="L30" s="731">
        <v>74</v>
      </c>
      <c r="M30" s="733">
        <v>403</v>
      </c>
      <c r="N30" s="730">
        <v>90</v>
      </c>
      <c r="O30" s="730">
        <v>228</v>
      </c>
      <c r="P30" s="730">
        <v>135</v>
      </c>
      <c r="Q30" s="734">
        <v>73</v>
      </c>
      <c r="R30" s="732">
        <v>84</v>
      </c>
      <c r="S30" s="730">
        <v>587</v>
      </c>
      <c r="T30" s="730">
        <v>282</v>
      </c>
      <c r="U30" s="730">
        <v>130</v>
      </c>
      <c r="V30" s="731">
        <v>96</v>
      </c>
      <c r="W30" s="733">
        <v>97</v>
      </c>
      <c r="X30" s="730">
        <v>412</v>
      </c>
      <c r="Y30" s="730">
        <v>372</v>
      </c>
      <c r="Z30" s="730">
        <v>178</v>
      </c>
      <c r="AA30" s="730">
        <v>87</v>
      </c>
      <c r="AB30" s="833" t="s">
        <v>696</v>
      </c>
      <c r="AF30" s="721"/>
      <c r="AG30" s="721"/>
      <c r="AH30" s="721"/>
      <c r="AI30" s="721"/>
      <c r="AJ30" s="721"/>
      <c r="AK30" s="721"/>
      <c r="AL30" s="721"/>
      <c r="AM30" s="721"/>
      <c r="AP30" s="728" t="s">
        <v>674</v>
      </c>
      <c r="AQ30" s="728">
        <f>V7</f>
        <v>1524</v>
      </c>
      <c r="AR30" s="728">
        <v>1455</v>
      </c>
    </row>
    <row r="31" spans="1:46" s="728" customFormat="1">
      <c r="A31" s="729" t="s">
        <v>110</v>
      </c>
      <c r="B31" s="730">
        <v>33</v>
      </c>
      <c r="C31" s="730">
        <v>352</v>
      </c>
      <c r="D31" s="730">
        <v>370</v>
      </c>
      <c r="E31" s="730">
        <v>213</v>
      </c>
      <c r="F31" s="730">
        <v>141</v>
      </c>
      <c r="G31" s="731"/>
      <c r="H31" s="732">
        <v>57</v>
      </c>
      <c r="I31" s="730">
        <v>381</v>
      </c>
      <c r="J31" s="730">
        <v>309</v>
      </c>
      <c r="K31" s="730">
        <v>192</v>
      </c>
      <c r="L31" s="731">
        <v>122</v>
      </c>
      <c r="M31" s="733">
        <v>325</v>
      </c>
      <c r="N31" s="730">
        <v>47</v>
      </c>
      <c r="O31" s="730">
        <v>358</v>
      </c>
      <c r="P31" s="730">
        <v>209</v>
      </c>
      <c r="Q31" s="734">
        <v>142</v>
      </c>
      <c r="R31" s="732">
        <v>92</v>
      </c>
      <c r="S31" s="730">
        <v>348</v>
      </c>
      <c r="T31" s="730">
        <v>477</v>
      </c>
      <c r="U31" s="730">
        <v>203</v>
      </c>
      <c r="V31" s="731">
        <v>135</v>
      </c>
      <c r="W31" s="733">
        <v>81</v>
      </c>
      <c r="X31" s="730">
        <v>180</v>
      </c>
      <c r="Y31" s="730">
        <v>505</v>
      </c>
      <c r="Z31" s="730">
        <v>182</v>
      </c>
      <c r="AA31" s="730">
        <v>116</v>
      </c>
      <c r="AB31" s="833" t="s">
        <v>697</v>
      </c>
      <c r="AF31" s="721"/>
      <c r="AG31" s="721"/>
      <c r="AH31" s="721"/>
      <c r="AI31" s="721"/>
      <c r="AJ31" s="721"/>
      <c r="AK31" s="721"/>
      <c r="AL31" s="721"/>
      <c r="AM31" s="721"/>
      <c r="AP31" s="728" t="s">
        <v>676</v>
      </c>
      <c r="AQ31" s="728">
        <f>V13</f>
        <v>1890</v>
      </c>
      <c r="AR31" s="728">
        <v>1903</v>
      </c>
    </row>
    <row r="32" spans="1:46" s="728" customFormat="1">
      <c r="A32" s="729" t="s">
        <v>111</v>
      </c>
      <c r="B32" s="730">
        <v>138</v>
      </c>
      <c r="C32" s="730">
        <v>287</v>
      </c>
      <c r="D32" s="730">
        <v>278</v>
      </c>
      <c r="E32" s="730">
        <v>147</v>
      </c>
      <c r="F32" s="730">
        <v>92</v>
      </c>
      <c r="G32" s="731"/>
      <c r="H32" s="732">
        <v>149</v>
      </c>
      <c r="I32" s="730">
        <v>295</v>
      </c>
      <c r="J32" s="730">
        <v>242</v>
      </c>
      <c r="K32" s="730">
        <v>146</v>
      </c>
      <c r="L32" s="731">
        <v>82</v>
      </c>
      <c r="M32" s="733">
        <v>279</v>
      </c>
      <c r="N32" s="730">
        <v>114</v>
      </c>
      <c r="O32" s="730">
        <v>213</v>
      </c>
      <c r="P32" s="730">
        <v>117</v>
      </c>
      <c r="Q32" s="734">
        <v>83</v>
      </c>
      <c r="R32" s="732">
        <v>105</v>
      </c>
      <c r="S32" s="730">
        <v>377</v>
      </c>
      <c r="T32" s="730">
        <v>348</v>
      </c>
      <c r="U32" s="730">
        <v>119</v>
      </c>
      <c r="V32" s="731">
        <v>115</v>
      </c>
      <c r="W32" s="733">
        <v>138</v>
      </c>
      <c r="X32" s="730">
        <v>212</v>
      </c>
      <c r="Y32" s="730">
        <v>356</v>
      </c>
      <c r="Z32" s="730">
        <v>160</v>
      </c>
      <c r="AA32" s="730">
        <v>87</v>
      </c>
      <c r="AB32" s="833" t="s">
        <v>698</v>
      </c>
      <c r="AF32" s="721"/>
      <c r="AG32" s="721"/>
      <c r="AH32" s="721"/>
      <c r="AI32" s="721"/>
      <c r="AJ32" s="721"/>
      <c r="AK32" s="721"/>
      <c r="AL32" s="721"/>
      <c r="AM32" s="721"/>
    </row>
    <row r="33" spans="1:44" s="728" customFormat="1">
      <c r="A33" s="737" t="s">
        <v>112</v>
      </c>
      <c r="B33" s="738">
        <v>214</v>
      </c>
      <c r="C33" s="738">
        <v>527</v>
      </c>
      <c r="D33" s="738">
        <v>571</v>
      </c>
      <c r="E33" s="738">
        <v>389</v>
      </c>
      <c r="F33" s="738">
        <v>194</v>
      </c>
      <c r="G33" s="739"/>
      <c r="H33" s="740">
        <v>244</v>
      </c>
      <c r="I33" s="738">
        <v>390</v>
      </c>
      <c r="J33" s="738">
        <v>428</v>
      </c>
      <c r="K33" s="738">
        <v>283</v>
      </c>
      <c r="L33" s="739">
        <v>178</v>
      </c>
      <c r="M33" s="741">
        <v>497</v>
      </c>
      <c r="N33" s="738">
        <v>185</v>
      </c>
      <c r="O33" s="738">
        <v>499</v>
      </c>
      <c r="P33" s="738">
        <v>286</v>
      </c>
      <c r="Q33" s="742">
        <v>201</v>
      </c>
      <c r="R33" s="740">
        <v>138</v>
      </c>
      <c r="S33" s="738">
        <v>560</v>
      </c>
      <c r="T33" s="738">
        <v>715</v>
      </c>
      <c r="U33" s="738">
        <v>332</v>
      </c>
      <c r="V33" s="739">
        <v>232</v>
      </c>
      <c r="W33" s="741">
        <v>250</v>
      </c>
      <c r="X33" s="738">
        <v>362</v>
      </c>
      <c r="Y33" s="738">
        <v>750</v>
      </c>
      <c r="Z33" s="738">
        <v>297</v>
      </c>
      <c r="AA33" s="738">
        <v>206</v>
      </c>
      <c r="AB33" s="834" t="s">
        <v>699</v>
      </c>
      <c r="AF33" s="721"/>
      <c r="AG33" s="721"/>
      <c r="AH33" s="721"/>
      <c r="AI33" s="721"/>
      <c r="AJ33" s="721"/>
      <c r="AK33" s="721"/>
      <c r="AL33" s="721"/>
      <c r="AM33" s="721"/>
    </row>
    <row r="34" spans="1:44" ht="15">
      <c r="A34" s="743" t="s">
        <v>2</v>
      </c>
      <c r="B34" s="744"/>
      <c r="C34" s="744"/>
      <c r="D34" s="744"/>
      <c r="E34" s="744"/>
      <c r="F34" s="744"/>
      <c r="G34" s="744"/>
      <c r="H34" s="744"/>
      <c r="I34" s="744"/>
      <c r="J34" s="744"/>
      <c r="K34" s="744"/>
      <c r="L34" s="744"/>
      <c r="M34" s="744"/>
      <c r="N34" s="744"/>
      <c r="O34" s="744"/>
      <c r="P34" s="744"/>
      <c r="Q34" s="744"/>
      <c r="R34" s="744"/>
      <c r="S34" s="744"/>
      <c r="T34" s="744"/>
      <c r="U34" s="744"/>
      <c r="V34" s="744"/>
      <c r="W34" s="744"/>
      <c r="X34" s="744"/>
      <c r="Y34" s="744"/>
      <c r="Z34" s="744"/>
      <c r="AA34" s="744"/>
      <c r="AB34" s="564" t="s">
        <v>150</v>
      </c>
    </row>
    <row r="36" spans="1:44">
      <c r="AO36" s="748"/>
      <c r="AP36" s="702"/>
      <c r="AQ36" s="698"/>
      <c r="AR36" s="698"/>
    </row>
    <row r="37" spans="1:44">
      <c r="AO37" s="748"/>
      <c r="AP37" s="733"/>
      <c r="AQ37" s="730"/>
      <c r="AR37" s="730"/>
    </row>
    <row r="38" spans="1:44">
      <c r="AO38" s="748"/>
      <c r="AP38" s="733"/>
      <c r="AQ38" s="730"/>
      <c r="AR38" s="730"/>
    </row>
    <row r="39" spans="1:44">
      <c r="AO39" s="748"/>
      <c r="AP39" s="733"/>
      <c r="AQ39" s="730"/>
      <c r="AR39" s="730"/>
    </row>
    <row r="40" spans="1:44">
      <c r="AO40" s="748"/>
      <c r="AP40" s="733"/>
      <c r="AQ40" s="730"/>
      <c r="AR40" s="730"/>
    </row>
    <row r="41" spans="1:44">
      <c r="AO41" s="748"/>
      <c r="AP41" s="733"/>
      <c r="AQ41" s="730"/>
      <c r="AR41" s="730"/>
    </row>
    <row r="42" spans="1:44">
      <c r="AO42" s="748"/>
      <c r="AP42" s="733"/>
      <c r="AQ42" s="730"/>
      <c r="AR42" s="730"/>
    </row>
    <row r="43" spans="1:44">
      <c r="AO43" s="748"/>
      <c r="AP43" s="733"/>
      <c r="AQ43" s="730"/>
      <c r="AR43" s="730"/>
    </row>
    <row r="44" spans="1:44">
      <c r="AO44" s="748"/>
      <c r="AP44" s="733"/>
      <c r="AQ44" s="730"/>
      <c r="AR44" s="730"/>
    </row>
    <row r="45" spans="1:44">
      <c r="AO45" s="748"/>
      <c r="AP45" s="733"/>
      <c r="AQ45" s="730"/>
      <c r="AR45" s="730"/>
    </row>
    <row r="46" spans="1:44">
      <c r="AO46" s="748"/>
      <c r="AP46" s="733"/>
      <c r="AQ46" s="730"/>
      <c r="AR46" s="730"/>
    </row>
    <row r="47" spans="1:44">
      <c r="AO47" s="748"/>
      <c r="AP47" s="733"/>
      <c r="AQ47" s="730"/>
      <c r="AR47" s="730"/>
    </row>
    <row r="48" spans="1:44">
      <c r="AO48" s="748"/>
      <c r="AP48" s="733"/>
      <c r="AQ48" s="730"/>
      <c r="AR48" s="730"/>
    </row>
    <row r="49" spans="2:44" ht="12.75">
      <c r="B49" s="745"/>
      <c r="C49" s="745"/>
      <c r="D49" s="745"/>
      <c r="E49" s="745"/>
      <c r="F49" s="745"/>
      <c r="G49" s="745"/>
      <c r="H49" s="745"/>
      <c r="I49" s="745"/>
      <c r="J49" s="745"/>
      <c r="K49" s="745"/>
      <c r="L49" s="745"/>
      <c r="M49" s="745"/>
      <c r="N49" s="745"/>
      <c r="O49" s="745"/>
      <c r="P49" s="745"/>
      <c r="Q49" s="745"/>
      <c r="R49" s="745"/>
      <c r="S49" s="745"/>
      <c r="T49" s="745"/>
      <c r="U49" s="745"/>
      <c r="V49" s="745"/>
      <c r="W49" s="745"/>
      <c r="X49" s="745"/>
      <c r="Y49" s="745"/>
      <c r="Z49" s="745"/>
      <c r="AA49" s="745"/>
      <c r="AB49" s="745"/>
      <c r="AO49" s="748"/>
      <c r="AP49" s="733"/>
      <c r="AQ49" s="730"/>
      <c r="AR49" s="730"/>
    </row>
    <row r="50" spans="2:44" ht="12.75">
      <c r="B50" s="745"/>
      <c r="C50" s="745"/>
      <c r="D50" s="745"/>
      <c r="E50" s="745"/>
      <c r="F50" s="745"/>
      <c r="G50" s="745"/>
      <c r="H50" s="745"/>
      <c r="I50" s="745"/>
      <c r="J50" s="745"/>
      <c r="K50" s="745"/>
      <c r="L50" s="745"/>
      <c r="M50" s="745"/>
      <c r="N50" s="745"/>
      <c r="O50" s="745"/>
      <c r="P50" s="745"/>
      <c r="Q50" s="745"/>
      <c r="R50" s="745"/>
      <c r="S50" s="745"/>
      <c r="T50" s="745"/>
      <c r="U50" s="745"/>
      <c r="V50" s="745"/>
      <c r="W50" s="745"/>
      <c r="X50" s="745"/>
      <c r="Y50" s="745"/>
      <c r="Z50" s="745"/>
      <c r="AA50" s="745"/>
      <c r="AB50" s="745"/>
      <c r="AO50" s="748"/>
      <c r="AP50" s="733"/>
      <c r="AQ50" s="730"/>
      <c r="AR50" s="730"/>
    </row>
    <row r="51" spans="2:44" ht="12.75">
      <c r="B51" s="745"/>
      <c r="C51" s="745"/>
      <c r="D51" s="745"/>
      <c r="E51" s="745"/>
      <c r="F51" s="745"/>
      <c r="G51" s="745"/>
      <c r="H51" s="745"/>
      <c r="I51" s="745"/>
      <c r="J51" s="745"/>
      <c r="K51" s="745"/>
      <c r="L51" s="745"/>
      <c r="M51" s="745"/>
      <c r="N51" s="745"/>
      <c r="O51" s="745"/>
      <c r="P51" s="745"/>
      <c r="Q51" s="745"/>
      <c r="R51" s="745"/>
      <c r="S51" s="745"/>
      <c r="T51" s="745"/>
      <c r="U51" s="745"/>
      <c r="V51" s="745"/>
      <c r="W51" s="745"/>
      <c r="X51" s="745"/>
      <c r="Y51" s="745"/>
      <c r="Z51" s="745"/>
      <c r="AA51" s="745"/>
      <c r="AB51" s="745"/>
      <c r="AO51" s="748"/>
      <c r="AP51" s="733"/>
      <c r="AQ51" s="730"/>
      <c r="AR51" s="730"/>
    </row>
    <row r="52" spans="2:44" ht="12.75">
      <c r="B52" s="745"/>
      <c r="C52" s="745"/>
      <c r="D52" s="745"/>
      <c r="E52" s="745"/>
      <c r="F52" s="745"/>
      <c r="G52" s="745"/>
      <c r="H52" s="745"/>
      <c r="I52" s="745"/>
      <c r="J52" s="745"/>
      <c r="K52" s="745"/>
      <c r="L52" s="745"/>
      <c r="M52" s="745"/>
      <c r="N52" s="745"/>
      <c r="O52" s="745"/>
      <c r="P52" s="745"/>
      <c r="Q52" s="745"/>
      <c r="R52" s="745"/>
      <c r="S52" s="745"/>
      <c r="T52" s="745"/>
      <c r="U52" s="745"/>
      <c r="V52" s="745"/>
      <c r="W52" s="745"/>
      <c r="X52" s="745"/>
      <c r="Y52" s="745"/>
      <c r="Z52" s="745"/>
      <c r="AA52" s="745"/>
      <c r="AB52" s="745"/>
      <c r="AO52" s="748"/>
      <c r="AP52" s="733"/>
      <c r="AQ52" s="730"/>
      <c r="AR52" s="730"/>
    </row>
    <row r="53" spans="2:44" ht="12.75">
      <c r="B53" s="745"/>
      <c r="C53" s="745"/>
      <c r="D53" s="745"/>
      <c r="E53" s="745"/>
      <c r="F53" s="745"/>
      <c r="G53" s="745"/>
      <c r="H53" s="745"/>
      <c r="I53" s="745"/>
      <c r="J53" s="745"/>
      <c r="K53" s="745"/>
      <c r="L53" s="745"/>
      <c r="M53" s="745"/>
      <c r="N53" s="745"/>
      <c r="O53" s="745"/>
      <c r="P53" s="745"/>
      <c r="Q53" s="745"/>
      <c r="R53" s="745"/>
      <c r="S53" s="745"/>
      <c r="T53" s="745"/>
      <c r="U53" s="745"/>
      <c r="V53" s="745"/>
      <c r="W53" s="745"/>
      <c r="X53" s="745"/>
      <c r="Y53" s="745"/>
      <c r="Z53" s="745"/>
      <c r="AA53" s="745"/>
      <c r="AB53" s="745"/>
      <c r="AO53" s="748"/>
      <c r="AP53" s="733"/>
      <c r="AQ53" s="730"/>
      <c r="AR53" s="730"/>
    </row>
    <row r="54" spans="2:44" ht="12.75">
      <c r="B54" s="745"/>
      <c r="C54" s="745"/>
      <c r="D54" s="745"/>
      <c r="E54" s="745"/>
      <c r="F54" s="745"/>
      <c r="G54" s="745"/>
      <c r="H54" s="745"/>
      <c r="I54" s="745"/>
      <c r="J54" s="745"/>
      <c r="K54" s="745"/>
      <c r="L54" s="745"/>
      <c r="M54" s="745"/>
      <c r="N54" s="745"/>
      <c r="O54" s="745"/>
      <c r="P54" s="745"/>
      <c r="Q54" s="745"/>
      <c r="R54" s="745"/>
      <c r="S54" s="745"/>
      <c r="T54" s="745"/>
      <c r="U54" s="745"/>
      <c r="V54" s="745"/>
      <c r="W54" s="745"/>
      <c r="X54" s="745"/>
      <c r="Y54" s="745"/>
      <c r="Z54" s="745"/>
      <c r="AA54" s="745"/>
      <c r="AB54" s="745"/>
      <c r="AO54" s="748"/>
      <c r="AP54" s="733"/>
      <c r="AQ54" s="730"/>
      <c r="AR54" s="730"/>
    </row>
    <row r="55" spans="2:44" ht="12.75">
      <c r="B55" s="745"/>
      <c r="C55" s="745"/>
      <c r="D55" s="745"/>
      <c r="E55" s="745"/>
      <c r="F55" s="745"/>
      <c r="G55" s="745"/>
      <c r="H55" s="745"/>
      <c r="I55" s="745"/>
      <c r="J55" s="745"/>
      <c r="K55" s="745"/>
      <c r="L55" s="745"/>
      <c r="M55" s="745"/>
      <c r="N55" s="745"/>
      <c r="O55" s="745"/>
      <c r="P55" s="745"/>
      <c r="Q55" s="745"/>
      <c r="R55" s="745"/>
      <c r="S55" s="745"/>
      <c r="T55" s="745"/>
      <c r="U55" s="745"/>
      <c r="V55" s="745"/>
      <c r="W55" s="745"/>
      <c r="X55" s="745"/>
      <c r="Y55" s="745"/>
      <c r="Z55" s="745"/>
      <c r="AA55" s="745"/>
      <c r="AB55" s="745"/>
      <c r="AO55" s="748"/>
      <c r="AP55" s="733"/>
      <c r="AQ55" s="730"/>
      <c r="AR55" s="730"/>
    </row>
    <row r="56" spans="2:44" ht="12.75">
      <c r="B56" s="745"/>
      <c r="C56" s="745"/>
      <c r="D56" s="745"/>
      <c r="E56" s="745"/>
      <c r="F56" s="745"/>
      <c r="G56" s="745"/>
      <c r="H56" s="745"/>
      <c r="I56" s="745"/>
      <c r="J56" s="745"/>
      <c r="K56" s="745"/>
      <c r="L56" s="745"/>
      <c r="M56" s="745"/>
      <c r="N56" s="745"/>
      <c r="O56" s="745"/>
      <c r="P56" s="745"/>
      <c r="Q56" s="745"/>
      <c r="R56" s="745"/>
      <c r="S56" s="745"/>
      <c r="T56" s="745"/>
      <c r="U56" s="745"/>
      <c r="V56" s="745"/>
      <c r="W56" s="745"/>
      <c r="X56" s="745"/>
      <c r="Y56" s="745"/>
      <c r="Z56" s="745"/>
      <c r="AA56" s="745"/>
      <c r="AB56" s="745"/>
      <c r="AO56" s="749"/>
      <c r="AP56" s="741"/>
      <c r="AQ56" s="738"/>
      <c r="AR56" s="738"/>
    </row>
    <row r="57" spans="2:44" ht="12.75">
      <c r="B57" s="745"/>
      <c r="C57" s="745"/>
      <c r="D57" s="745"/>
      <c r="E57" s="745"/>
      <c r="F57" s="745"/>
      <c r="G57" s="745"/>
      <c r="H57" s="745"/>
      <c r="I57" s="745"/>
      <c r="J57" s="745"/>
      <c r="K57" s="745"/>
      <c r="L57" s="745"/>
      <c r="M57" s="745"/>
      <c r="N57" s="745"/>
      <c r="O57" s="745"/>
      <c r="P57" s="745"/>
      <c r="Q57" s="745"/>
      <c r="R57" s="745"/>
      <c r="S57" s="745"/>
      <c r="T57" s="745"/>
      <c r="U57" s="745"/>
      <c r="V57" s="745"/>
      <c r="W57" s="745"/>
      <c r="X57" s="745"/>
      <c r="Y57" s="745"/>
      <c r="Z57" s="745"/>
      <c r="AA57" s="745"/>
      <c r="AB57" s="745"/>
      <c r="AO57" s="735"/>
      <c r="AP57" s="723"/>
      <c r="AQ57" s="723"/>
      <c r="AR57" s="723"/>
    </row>
    <row r="69" spans="2:30" ht="61.5">
      <c r="B69" s="745"/>
      <c r="C69" s="745"/>
      <c r="D69" s="745"/>
      <c r="E69" s="745"/>
      <c r="F69" s="745"/>
      <c r="G69" s="745"/>
      <c r="H69" s="745"/>
      <c r="I69" s="745"/>
      <c r="J69" s="745"/>
      <c r="K69" s="745"/>
      <c r="L69" s="745"/>
      <c r="M69" s="745"/>
      <c r="N69" s="750"/>
      <c r="O69" s="751"/>
      <c r="P69" s="751"/>
      <c r="Q69" s="751"/>
      <c r="R69" s="751"/>
      <c r="S69" s="751"/>
      <c r="T69" s="751"/>
      <c r="U69" s="751"/>
      <c r="V69" s="751"/>
      <c r="W69" s="751"/>
      <c r="X69" s="751"/>
      <c r="Y69" s="751"/>
      <c r="Z69" s="751"/>
      <c r="AA69" s="751"/>
      <c r="AB69" s="751"/>
      <c r="AC69" s="751"/>
      <c r="AD69" s="752"/>
    </row>
    <row r="70" spans="2:30" ht="39" customHeight="1">
      <c r="B70" s="745"/>
      <c r="C70" s="745"/>
      <c r="D70" s="745"/>
      <c r="E70" s="745"/>
      <c r="F70" s="745"/>
      <c r="G70" s="745"/>
      <c r="H70" s="745"/>
      <c r="I70" s="745"/>
      <c r="J70" s="745"/>
      <c r="K70" s="745"/>
      <c r="L70" s="745"/>
      <c r="M70" s="745"/>
      <c r="N70" s="753"/>
      <c r="O70" s="754"/>
      <c r="P70" s="754"/>
      <c r="Q70" s="754"/>
      <c r="R70" s="754"/>
      <c r="S70" s="754"/>
      <c r="T70" s="754"/>
      <c r="U70" s="754"/>
      <c r="V70" s="754"/>
      <c r="W70" s="754"/>
      <c r="X70" s="754"/>
      <c r="Y70" s="754"/>
      <c r="Z70" s="754"/>
      <c r="AA70" s="754"/>
      <c r="AB70" s="754"/>
      <c r="AC70" s="754"/>
      <c r="AD70" s="755"/>
    </row>
    <row r="71" spans="2:30" ht="61.5">
      <c r="B71" s="745"/>
      <c r="C71" s="745"/>
      <c r="D71" s="745"/>
      <c r="E71" s="745"/>
      <c r="F71" s="745"/>
      <c r="G71" s="745"/>
      <c r="H71" s="745"/>
      <c r="I71" s="745"/>
      <c r="J71" s="745"/>
      <c r="K71" s="745"/>
      <c r="L71" s="745"/>
      <c r="M71" s="745"/>
      <c r="N71" s="753"/>
      <c r="O71" s="754"/>
      <c r="P71" s="754"/>
      <c r="Q71" s="754"/>
      <c r="R71" s="754"/>
      <c r="S71" s="754"/>
      <c r="T71" s="754"/>
      <c r="U71" s="754"/>
      <c r="V71" s="754"/>
      <c r="W71" s="754"/>
      <c r="X71" s="754"/>
      <c r="Y71" s="754"/>
      <c r="Z71" s="754"/>
      <c r="AA71" s="754"/>
      <c r="AB71" s="754"/>
      <c r="AC71" s="754"/>
      <c r="AD71" s="755"/>
    </row>
    <row r="72" spans="2:30" ht="61.5">
      <c r="B72" s="745"/>
      <c r="C72" s="745"/>
      <c r="D72" s="745"/>
      <c r="E72" s="745"/>
      <c r="F72" s="745"/>
      <c r="G72" s="745"/>
      <c r="H72" s="745"/>
      <c r="I72" s="745"/>
      <c r="J72" s="745"/>
      <c r="K72" s="745"/>
      <c r="L72" s="745"/>
      <c r="M72" s="745"/>
      <c r="N72" s="753"/>
      <c r="O72" s="754"/>
      <c r="P72" s="754"/>
      <c r="Q72" s="754"/>
      <c r="R72" s="754"/>
      <c r="S72" s="754"/>
      <c r="T72" s="754"/>
      <c r="U72" s="754"/>
      <c r="V72" s="754"/>
      <c r="W72" s="754"/>
      <c r="X72" s="754"/>
      <c r="Y72" s="754"/>
      <c r="Z72" s="754"/>
      <c r="AA72" s="754"/>
      <c r="AB72" s="754"/>
      <c r="AC72" s="754"/>
      <c r="AD72" s="755"/>
    </row>
    <row r="73" spans="2:30" ht="61.5">
      <c r="B73" s="745"/>
      <c r="C73" s="745"/>
      <c r="D73" s="745"/>
      <c r="E73" s="745"/>
      <c r="F73" s="745"/>
      <c r="G73" s="745"/>
      <c r="H73" s="745"/>
      <c r="I73" s="745"/>
      <c r="J73" s="745"/>
      <c r="K73" s="745"/>
      <c r="L73" s="745"/>
      <c r="M73" s="745"/>
      <c r="N73" s="753"/>
      <c r="O73" s="754"/>
      <c r="P73" s="754"/>
      <c r="Q73" s="754"/>
      <c r="R73" s="754"/>
      <c r="S73" s="754"/>
      <c r="T73" s="754"/>
      <c r="U73" s="754"/>
      <c r="V73" s="754"/>
      <c r="W73" s="754"/>
      <c r="X73" s="754"/>
      <c r="Y73" s="754"/>
      <c r="Z73" s="754"/>
      <c r="AA73" s="754"/>
      <c r="AB73" s="754"/>
      <c r="AC73" s="754"/>
      <c r="AD73" s="755"/>
    </row>
    <row r="74" spans="2:30" ht="61.5">
      <c r="B74" s="745"/>
      <c r="C74" s="745"/>
      <c r="D74" s="745"/>
      <c r="E74" s="745"/>
      <c r="F74" s="745"/>
      <c r="G74" s="745"/>
      <c r="H74" s="745"/>
      <c r="I74" s="745"/>
      <c r="J74" s="745"/>
      <c r="K74" s="745"/>
      <c r="L74" s="745"/>
      <c r="M74" s="745"/>
      <c r="N74" s="753"/>
      <c r="O74" s="754"/>
      <c r="P74" s="754"/>
      <c r="Q74" s="754"/>
      <c r="R74" s="754"/>
      <c r="S74" s="754"/>
      <c r="T74" s="754"/>
      <c r="U74" s="754"/>
      <c r="V74" s="754"/>
      <c r="W74" s="754"/>
      <c r="X74" s="754"/>
      <c r="Y74" s="754"/>
      <c r="Z74" s="754"/>
      <c r="AA74" s="754"/>
      <c r="AB74" s="754"/>
      <c r="AC74" s="754"/>
      <c r="AD74" s="755"/>
    </row>
    <row r="75" spans="2:30" ht="61.5">
      <c r="B75" s="745"/>
      <c r="C75" s="745"/>
      <c r="D75" s="745"/>
      <c r="E75" s="745"/>
      <c r="F75" s="745"/>
      <c r="G75" s="745"/>
      <c r="H75" s="745"/>
      <c r="I75" s="745"/>
      <c r="J75" s="745"/>
      <c r="K75" s="745"/>
      <c r="L75" s="745"/>
      <c r="M75" s="745"/>
      <c r="N75" s="753"/>
      <c r="O75" s="754"/>
      <c r="P75" s="754"/>
      <c r="Q75" s="754"/>
      <c r="R75" s="754"/>
      <c r="S75" s="754"/>
      <c r="T75" s="754"/>
      <c r="U75" s="754"/>
      <c r="V75" s="754"/>
      <c r="W75" s="754"/>
      <c r="X75" s="754"/>
      <c r="Y75" s="754"/>
      <c r="Z75" s="754"/>
      <c r="AA75" s="754"/>
      <c r="AB75" s="754"/>
      <c r="AC75" s="754"/>
      <c r="AD75" s="755"/>
    </row>
    <row r="76" spans="2:30" ht="61.5">
      <c r="B76" s="745"/>
      <c r="C76" s="745"/>
      <c r="D76" s="745"/>
      <c r="E76" s="745"/>
      <c r="F76" s="745"/>
      <c r="G76" s="745"/>
      <c r="H76" s="745"/>
      <c r="I76" s="745"/>
      <c r="J76" s="745"/>
      <c r="K76" s="745"/>
      <c r="L76" s="745"/>
      <c r="M76" s="745"/>
      <c r="N76" s="756"/>
      <c r="O76" s="757"/>
      <c r="P76" s="757"/>
      <c r="Q76" s="757"/>
      <c r="R76" s="757"/>
      <c r="S76" s="757"/>
      <c r="T76" s="757"/>
      <c r="U76" s="757"/>
      <c r="V76" s="757"/>
      <c r="W76" s="757"/>
      <c r="X76" s="757"/>
      <c r="Y76" s="757"/>
      <c r="Z76" s="757"/>
      <c r="AA76" s="757"/>
      <c r="AB76" s="757"/>
      <c r="AC76" s="757"/>
      <c r="AD76" s="758"/>
    </row>
  </sheetData>
  <mergeCells count="10">
    <mergeCell ref="AP5:AQ5"/>
    <mergeCell ref="A1:AB1"/>
    <mergeCell ref="A2:AB2"/>
    <mergeCell ref="A3:A5"/>
    <mergeCell ref="B3:F3"/>
    <mergeCell ref="H3:L3"/>
    <mergeCell ref="M3:Q3"/>
    <mergeCell ref="R3:V3"/>
    <mergeCell ref="W3:AA3"/>
    <mergeCell ref="AB3:AB5"/>
  </mergeCells>
  <pageMargins left="0.7" right="0.7" top="0.75" bottom="0.75" header="0.3" footer="0.3"/>
  <pageSetup paperSize="9" scale="71" orientation="landscape" r:id="rId1"/>
  <rowBreaks count="2" manualBreakCount="2">
    <brk id="34" max="28" man="1"/>
    <brk id="70" max="28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8"/>
  <sheetViews>
    <sheetView view="pageBreakPreview" zoomScale="115" zoomScaleNormal="100" zoomScaleSheetLayoutView="115" workbookViewId="0">
      <selection activeCell="K34" sqref="K34"/>
    </sheetView>
  </sheetViews>
  <sheetFormatPr defaultColWidth="21.5703125" defaultRowHeight="15"/>
  <cols>
    <col min="1" max="1" width="21.5703125" style="12"/>
    <col min="2" max="10" width="10.5703125" style="113" customWidth="1"/>
    <col min="11" max="16384" width="21.5703125" style="12"/>
  </cols>
  <sheetData>
    <row r="1" spans="1:11" s="759" customFormat="1" ht="21">
      <c r="A1" s="1028" t="s">
        <v>700</v>
      </c>
      <c r="B1" s="1029"/>
      <c r="C1" s="1029"/>
      <c r="D1" s="1029"/>
      <c r="E1" s="1029"/>
      <c r="F1" s="1029"/>
      <c r="G1" s="1029"/>
      <c r="H1" s="1029"/>
      <c r="I1" s="1029"/>
      <c r="J1" s="1029"/>
      <c r="K1" s="1030"/>
    </row>
    <row r="2" spans="1:11" s="760" customFormat="1">
      <c r="A2" s="1031" t="s">
        <v>701</v>
      </c>
      <c r="B2" s="1032"/>
      <c r="C2" s="1032"/>
      <c r="D2" s="1032"/>
      <c r="E2" s="1032"/>
      <c r="F2" s="1032"/>
      <c r="G2" s="1032"/>
      <c r="H2" s="1032"/>
      <c r="I2" s="1032"/>
      <c r="J2" s="1032"/>
      <c r="K2" s="1033"/>
    </row>
    <row r="3" spans="1:11" s="764" customFormat="1" ht="17.25">
      <c r="A3" s="761" t="s">
        <v>702</v>
      </c>
      <c r="B3" s="762">
        <v>2007</v>
      </c>
      <c r="C3" s="762">
        <v>2008</v>
      </c>
      <c r="D3" s="762">
        <v>2009</v>
      </c>
      <c r="E3" s="762">
        <v>2010</v>
      </c>
      <c r="F3" s="762">
        <v>2011</v>
      </c>
      <c r="G3" s="762">
        <v>2012</v>
      </c>
      <c r="H3" s="762">
        <v>2013</v>
      </c>
      <c r="I3" s="762">
        <v>2014</v>
      </c>
      <c r="J3" s="762">
        <v>2015</v>
      </c>
      <c r="K3" s="763" t="s">
        <v>151</v>
      </c>
    </row>
    <row r="4" spans="1:11" s="764" customFormat="1" ht="17.25">
      <c r="A4" s="765" t="s">
        <v>0</v>
      </c>
      <c r="B4" s="766">
        <f t="shared" ref="B4:J4" si="0">SUM(B5:B14)</f>
        <v>2910</v>
      </c>
      <c r="C4" s="766">
        <f t="shared" si="0"/>
        <v>2430</v>
      </c>
      <c r="D4" s="766">
        <f t="shared" si="0"/>
        <v>4094</v>
      </c>
      <c r="E4" s="766">
        <f t="shared" si="0"/>
        <v>3057</v>
      </c>
      <c r="F4" s="766">
        <f t="shared" si="0"/>
        <v>2766</v>
      </c>
      <c r="G4" s="766">
        <f t="shared" si="0"/>
        <v>2381</v>
      </c>
      <c r="H4" s="766">
        <f t="shared" si="0"/>
        <v>2971</v>
      </c>
      <c r="I4" s="766">
        <f t="shared" si="0"/>
        <v>2262</v>
      </c>
      <c r="J4" s="766">
        <f t="shared" si="0"/>
        <v>2033</v>
      </c>
      <c r="K4" s="767" t="s">
        <v>63</v>
      </c>
    </row>
    <row r="5" spans="1:11" s="764" customFormat="1" ht="17.25">
      <c r="A5" s="768" t="s">
        <v>703</v>
      </c>
      <c r="B5" s="769">
        <v>657</v>
      </c>
      <c r="C5" s="769">
        <v>484</v>
      </c>
      <c r="D5" s="769">
        <v>769</v>
      </c>
      <c r="E5" s="769">
        <v>412</v>
      </c>
      <c r="F5" s="769">
        <v>376</v>
      </c>
      <c r="G5" s="769">
        <v>297</v>
      </c>
      <c r="H5" s="769">
        <v>303</v>
      </c>
      <c r="I5" s="769">
        <v>246</v>
      </c>
      <c r="J5" s="769">
        <v>134</v>
      </c>
      <c r="K5" s="770" t="s">
        <v>704</v>
      </c>
    </row>
    <row r="6" spans="1:11" s="764" customFormat="1" ht="17.25">
      <c r="A6" s="768" t="s">
        <v>705</v>
      </c>
      <c r="B6" s="769">
        <v>301</v>
      </c>
      <c r="C6" s="769">
        <v>339</v>
      </c>
      <c r="D6" s="769">
        <v>313</v>
      </c>
      <c r="E6" s="769">
        <v>39</v>
      </c>
      <c r="F6" s="769">
        <v>19</v>
      </c>
      <c r="G6" s="769">
        <v>5</v>
      </c>
      <c r="H6" s="771">
        <v>0</v>
      </c>
      <c r="I6" s="771">
        <v>0</v>
      </c>
      <c r="J6" s="771">
        <v>0</v>
      </c>
      <c r="K6" s="770" t="s">
        <v>706</v>
      </c>
    </row>
    <row r="7" spans="1:11" s="764" customFormat="1" ht="17.25">
      <c r="A7" s="768" t="s">
        <v>707</v>
      </c>
      <c r="B7" s="769">
        <v>62</v>
      </c>
      <c r="C7" s="769">
        <v>38</v>
      </c>
      <c r="D7" s="769">
        <v>116</v>
      </c>
      <c r="E7" s="769">
        <v>90</v>
      </c>
      <c r="F7" s="769">
        <v>65</v>
      </c>
      <c r="G7" s="769">
        <v>42</v>
      </c>
      <c r="H7" s="769">
        <v>45</v>
      </c>
      <c r="I7" s="769">
        <v>49</v>
      </c>
      <c r="J7" s="769">
        <v>31</v>
      </c>
      <c r="K7" s="770" t="s">
        <v>708</v>
      </c>
    </row>
    <row r="8" spans="1:11" s="764" customFormat="1" ht="17.25">
      <c r="A8" s="768" t="s">
        <v>709</v>
      </c>
      <c r="B8" s="769">
        <v>101</v>
      </c>
      <c r="C8" s="769">
        <v>119</v>
      </c>
      <c r="D8" s="769">
        <v>127</v>
      </c>
      <c r="E8" s="769">
        <v>184</v>
      </c>
      <c r="F8" s="769">
        <v>242</v>
      </c>
      <c r="G8" s="769">
        <v>72</v>
      </c>
      <c r="H8" s="769">
        <v>61</v>
      </c>
      <c r="I8" s="769">
        <v>74</v>
      </c>
      <c r="J8" s="769">
        <v>57</v>
      </c>
      <c r="K8" s="770" t="s">
        <v>710</v>
      </c>
    </row>
    <row r="9" spans="1:11" s="764" customFormat="1" ht="17.25">
      <c r="A9" s="768" t="s">
        <v>711</v>
      </c>
      <c r="B9" s="769">
        <v>136</v>
      </c>
      <c r="C9" s="769">
        <v>148</v>
      </c>
      <c r="D9" s="769">
        <v>387</v>
      </c>
      <c r="E9" s="769">
        <v>217</v>
      </c>
      <c r="F9" s="769">
        <v>208</v>
      </c>
      <c r="G9" s="769">
        <v>293</v>
      </c>
      <c r="H9" s="769">
        <v>374</v>
      </c>
      <c r="I9" s="769">
        <v>376</v>
      </c>
      <c r="J9" s="769">
        <v>297</v>
      </c>
      <c r="K9" s="770" t="s">
        <v>712</v>
      </c>
    </row>
    <row r="10" spans="1:11" s="764" customFormat="1" ht="18.75">
      <c r="A10" s="768" t="s">
        <v>13</v>
      </c>
      <c r="B10" s="769">
        <v>194</v>
      </c>
      <c r="C10" s="769">
        <v>132</v>
      </c>
      <c r="D10" s="769">
        <v>348</v>
      </c>
      <c r="E10" s="769">
        <v>192</v>
      </c>
      <c r="F10" s="769">
        <v>207</v>
      </c>
      <c r="G10" s="769">
        <v>211</v>
      </c>
      <c r="H10" s="769">
        <v>228</v>
      </c>
      <c r="I10" s="769">
        <v>183</v>
      </c>
      <c r="J10" s="769">
        <v>118</v>
      </c>
      <c r="K10" s="98" t="s">
        <v>14</v>
      </c>
    </row>
    <row r="11" spans="1:11" s="764" customFormat="1" ht="18.75">
      <c r="A11" s="768" t="s">
        <v>713</v>
      </c>
      <c r="B11" s="769">
        <v>96</v>
      </c>
      <c r="C11" s="769">
        <v>110</v>
      </c>
      <c r="D11" s="769">
        <v>190</v>
      </c>
      <c r="E11" s="769">
        <v>185</v>
      </c>
      <c r="F11" s="769">
        <v>132</v>
      </c>
      <c r="G11" s="769">
        <v>124</v>
      </c>
      <c r="H11" s="769">
        <v>55</v>
      </c>
      <c r="I11" s="769">
        <v>53</v>
      </c>
      <c r="J11" s="769">
        <v>38</v>
      </c>
      <c r="K11" s="98" t="s">
        <v>714</v>
      </c>
    </row>
    <row r="12" spans="1:11" s="764" customFormat="1" ht="17.25">
      <c r="A12" s="768" t="s">
        <v>715</v>
      </c>
      <c r="B12" s="769">
        <v>138</v>
      </c>
      <c r="C12" s="769">
        <v>120</v>
      </c>
      <c r="D12" s="769">
        <v>131</v>
      </c>
      <c r="E12" s="769">
        <v>116</v>
      </c>
      <c r="F12" s="769">
        <v>129</v>
      </c>
      <c r="G12" s="769">
        <v>78</v>
      </c>
      <c r="H12" s="769">
        <v>105</v>
      </c>
      <c r="I12" s="769">
        <v>68</v>
      </c>
      <c r="J12" s="769">
        <v>88</v>
      </c>
      <c r="K12" s="770" t="s">
        <v>716</v>
      </c>
    </row>
    <row r="13" spans="1:11" s="764" customFormat="1" ht="17.25">
      <c r="A13" s="768" t="s">
        <v>717</v>
      </c>
      <c r="B13" s="769">
        <v>178</v>
      </c>
      <c r="C13" s="769">
        <v>262</v>
      </c>
      <c r="D13" s="769">
        <v>460</v>
      </c>
      <c r="E13" s="769">
        <v>591</v>
      </c>
      <c r="F13" s="769">
        <v>269</v>
      </c>
      <c r="G13" s="769">
        <v>103</v>
      </c>
      <c r="H13" s="769">
        <v>97</v>
      </c>
      <c r="I13" s="769">
        <v>25</v>
      </c>
      <c r="J13" s="769">
        <v>66</v>
      </c>
      <c r="K13" s="770" t="s">
        <v>718</v>
      </c>
    </row>
    <row r="14" spans="1:11" s="764" customFormat="1" ht="17.25">
      <c r="A14" s="772" t="s">
        <v>719</v>
      </c>
      <c r="B14" s="773">
        <v>1047</v>
      </c>
      <c r="C14" s="773">
        <v>678</v>
      </c>
      <c r="D14" s="773">
        <v>1253</v>
      </c>
      <c r="E14" s="773">
        <v>1031</v>
      </c>
      <c r="F14" s="773">
        <v>1119</v>
      </c>
      <c r="G14" s="773">
        <v>1156</v>
      </c>
      <c r="H14" s="773">
        <v>1703</v>
      </c>
      <c r="I14" s="773">
        <v>1188</v>
      </c>
      <c r="J14" s="773">
        <v>1204</v>
      </c>
      <c r="K14" s="774" t="s">
        <v>720</v>
      </c>
    </row>
    <row r="15" spans="1:11" s="764" customFormat="1" ht="18.75">
      <c r="A15" s="403" t="s">
        <v>2</v>
      </c>
      <c r="B15" s="775"/>
      <c r="C15" s="775"/>
      <c r="D15" s="775"/>
      <c r="E15" s="775"/>
      <c r="F15" s="747"/>
      <c r="K15" s="564" t="s">
        <v>150</v>
      </c>
    </row>
    <row r="16" spans="1:11">
      <c r="A16" s="776"/>
    </row>
    <row r="17" spans="1:10">
      <c r="B17" s="12"/>
      <c r="C17" s="12"/>
      <c r="D17" s="12"/>
      <c r="E17" s="12"/>
      <c r="F17" s="12"/>
      <c r="G17" s="12"/>
      <c r="H17" s="12"/>
      <c r="I17" s="12"/>
      <c r="J17" s="12"/>
    </row>
    <row r="18" spans="1:10">
      <c r="A18" s="776"/>
      <c r="B18" s="12"/>
      <c r="C18" s="12"/>
      <c r="D18" s="12"/>
      <c r="E18" s="12"/>
      <c r="F18" s="12"/>
      <c r="G18" s="12"/>
      <c r="H18" s="12"/>
      <c r="I18" s="12"/>
      <c r="J18" s="12"/>
    </row>
  </sheetData>
  <mergeCells count="2">
    <mergeCell ref="A1:K1"/>
    <mergeCell ref="A2:K2"/>
  </mergeCells>
  <pageMargins left="0.7" right="0.7" top="0.75" bottom="0.75" header="0.3" footer="0.3"/>
  <pageSetup paperSize="9" scale="9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K15"/>
  <sheetViews>
    <sheetView zoomScaleNormal="100" workbookViewId="0">
      <selection activeCell="N20" sqref="N20"/>
    </sheetView>
  </sheetViews>
  <sheetFormatPr defaultColWidth="9.140625" defaultRowHeight="15"/>
  <cols>
    <col min="1" max="1" width="22.28515625" style="12" customWidth="1"/>
    <col min="2" max="10" width="10.7109375" style="12" customWidth="1"/>
    <col min="11" max="11" width="21.42578125" style="12" customWidth="1"/>
    <col min="12" max="15" width="9.140625" style="12"/>
    <col min="16" max="16" width="93.42578125" style="12" bestFit="1" customWidth="1"/>
    <col min="17" max="16384" width="9.140625" style="12"/>
  </cols>
  <sheetData>
    <row r="1" spans="1:11" s="759" customFormat="1" ht="21">
      <c r="A1" s="1028" t="s">
        <v>721</v>
      </c>
      <c r="B1" s="1029"/>
      <c r="C1" s="1029"/>
      <c r="D1" s="1029"/>
      <c r="E1" s="1029"/>
      <c r="F1" s="1029"/>
      <c r="G1" s="1029"/>
      <c r="H1" s="1029"/>
      <c r="I1" s="1029"/>
      <c r="J1" s="1029"/>
      <c r="K1" s="1030"/>
    </row>
    <row r="2" spans="1:11" s="760" customFormat="1">
      <c r="A2" s="1034" t="s">
        <v>722</v>
      </c>
      <c r="B2" s="1035"/>
      <c r="C2" s="1035"/>
      <c r="D2" s="1035"/>
      <c r="E2" s="1035"/>
      <c r="F2" s="1035"/>
      <c r="G2" s="1035"/>
      <c r="H2" s="1035"/>
      <c r="I2" s="1035"/>
      <c r="J2" s="1035"/>
      <c r="K2" s="1036"/>
    </row>
    <row r="3" spans="1:11" s="764" customFormat="1" ht="17.25">
      <c r="A3" s="761" t="s">
        <v>702</v>
      </c>
      <c r="B3" s="777">
        <v>2007</v>
      </c>
      <c r="C3" s="777">
        <v>2008</v>
      </c>
      <c r="D3" s="777">
        <v>2009</v>
      </c>
      <c r="E3" s="777">
        <v>2010</v>
      </c>
      <c r="F3" s="777">
        <v>2011</v>
      </c>
      <c r="G3" s="777">
        <v>2012</v>
      </c>
      <c r="H3" s="777">
        <v>2013</v>
      </c>
      <c r="I3" s="777">
        <v>2014</v>
      </c>
      <c r="J3" s="777">
        <v>2015</v>
      </c>
      <c r="K3" s="763" t="s">
        <v>151</v>
      </c>
    </row>
    <row r="4" spans="1:11" s="764" customFormat="1" ht="17.25">
      <c r="A4" s="778" t="s">
        <v>0</v>
      </c>
      <c r="B4" s="779">
        <f t="shared" ref="B4:J4" si="0">SUM(B5:B13)</f>
        <v>5892</v>
      </c>
      <c r="C4" s="779">
        <f t="shared" si="0"/>
        <v>5775</v>
      </c>
      <c r="D4" s="779">
        <f t="shared" si="0"/>
        <v>7816</v>
      </c>
      <c r="E4" s="779">
        <f t="shared" si="0"/>
        <v>7370</v>
      </c>
      <c r="F4" s="779">
        <f t="shared" si="0"/>
        <v>7012</v>
      </c>
      <c r="G4" s="779">
        <f t="shared" si="0"/>
        <v>6873</v>
      </c>
      <c r="H4" s="779">
        <f t="shared" si="0"/>
        <v>6846</v>
      </c>
      <c r="I4" s="779">
        <f t="shared" si="0"/>
        <v>7414</v>
      </c>
      <c r="J4" s="779">
        <f t="shared" si="0"/>
        <v>5290</v>
      </c>
      <c r="K4" s="767" t="s">
        <v>63</v>
      </c>
    </row>
    <row r="5" spans="1:11" s="764" customFormat="1" ht="17.25">
      <c r="A5" s="780" t="s">
        <v>723</v>
      </c>
      <c r="B5" s="781">
        <v>376</v>
      </c>
      <c r="C5" s="781">
        <v>384</v>
      </c>
      <c r="D5" s="781">
        <v>782</v>
      </c>
      <c r="E5" s="781">
        <v>495</v>
      </c>
      <c r="F5" s="781">
        <f>[3]s41!$B$8</f>
        <v>450</v>
      </c>
      <c r="G5" s="781">
        <v>375</v>
      </c>
      <c r="H5" s="781">
        <v>358</v>
      </c>
      <c r="I5" s="781">
        <v>357</v>
      </c>
      <c r="J5" s="781">
        <v>524</v>
      </c>
      <c r="K5" s="770" t="s">
        <v>724</v>
      </c>
    </row>
    <row r="6" spans="1:11" s="764" customFormat="1" ht="17.25">
      <c r="A6" s="780" t="s">
        <v>725</v>
      </c>
      <c r="B6" s="781">
        <v>640</v>
      </c>
      <c r="C6" s="781">
        <v>680</v>
      </c>
      <c r="D6" s="781">
        <v>714</v>
      </c>
      <c r="E6" s="781">
        <v>675</v>
      </c>
      <c r="F6" s="781">
        <f>[3]s41!$B$12</f>
        <v>600</v>
      </c>
      <c r="G6" s="781">
        <v>582</v>
      </c>
      <c r="H6" s="781">
        <v>614</v>
      </c>
      <c r="I6" s="781">
        <v>696</v>
      </c>
      <c r="J6" s="781">
        <v>82</v>
      </c>
      <c r="K6" s="831" t="s">
        <v>787</v>
      </c>
    </row>
    <row r="7" spans="1:11" s="764" customFormat="1" ht="17.25">
      <c r="A7" s="780" t="s">
        <v>726</v>
      </c>
      <c r="B7" s="781">
        <v>34</v>
      </c>
      <c r="C7" s="781">
        <v>37</v>
      </c>
      <c r="D7" s="781">
        <v>52</v>
      </c>
      <c r="E7" s="781">
        <v>37</v>
      </c>
      <c r="F7" s="781">
        <f>[3]s41!$B$14</f>
        <v>23</v>
      </c>
      <c r="G7" s="781">
        <v>31</v>
      </c>
      <c r="H7" s="781">
        <v>33</v>
      </c>
      <c r="I7" s="781">
        <v>31</v>
      </c>
      <c r="J7" s="781">
        <v>44</v>
      </c>
      <c r="K7" s="770" t="s">
        <v>727</v>
      </c>
    </row>
    <row r="8" spans="1:11" s="764" customFormat="1" ht="17.25">
      <c r="A8" s="780" t="s">
        <v>728</v>
      </c>
      <c r="B8" s="781">
        <v>66</v>
      </c>
      <c r="C8" s="781">
        <v>105</v>
      </c>
      <c r="D8" s="781">
        <v>178</v>
      </c>
      <c r="E8" s="781">
        <v>171</v>
      </c>
      <c r="F8" s="781">
        <f>[3]s41!$B$20</f>
        <v>186</v>
      </c>
      <c r="G8" s="781">
        <v>161</v>
      </c>
      <c r="H8" s="781">
        <v>191</v>
      </c>
      <c r="I8" s="781">
        <v>193</v>
      </c>
      <c r="J8" s="781">
        <v>106</v>
      </c>
      <c r="K8" s="770" t="s">
        <v>729</v>
      </c>
    </row>
    <row r="9" spans="1:11" s="764" customFormat="1" ht="17.25">
      <c r="A9" s="780" t="s">
        <v>730</v>
      </c>
      <c r="B9" s="781">
        <v>984</v>
      </c>
      <c r="C9" s="781">
        <v>931</v>
      </c>
      <c r="D9" s="781">
        <v>996</v>
      </c>
      <c r="E9" s="781">
        <v>1316</v>
      </c>
      <c r="F9" s="781">
        <f>[3]s41!$B$23</f>
        <v>1675</v>
      </c>
      <c r="G9" s="781">
        <v>1613</v>
      </c>
      <c r="H9" s="781">
        <v>1376</v>
      </c>
      <c r="I9" s="781">
        <v>1614</v>
      </c>
      <c r="J9" s="781">
        <v>1143</v>
      </c>
      <c r="K9" s="770" t="s">
        <v>731</v>
      </c>
    </row>
    <row r="10" spans="1:11" s="764" customFormat="1" ht="17.25">
      <c r="A10" s="780" t="s">
        <v>732</v>
      </c>
      <c r="B10" s="781">
        <v>465</v>
      </c>
      <c r="C10" s="781">
        <v>431</v>
      </c>
      <c r="D10" s="781">
        <v>581</v>
      </c>
      <c r="E10" s="781">
        <v>496</v>
      </c>
      <c r="F10" s="781">
        <f>[3]s41!$B$32</f>
        <v>140</v>
      </c>
      <c r="G10" s="781">
        <v>191</v>
      </c>
      <c r="H10" s="781">
        <v>71</v>
      </c>
      <c r="I10" s="781">
        <v>164</v>
      </c>
      <c r="J10" s="781">
        <v>147</v>
      </c>
      <c r="K10" s="770" t="s">
        <v>733</v>
      </c>
    </row>
    <row r="11" spans="1:11" s="764" customFormat="1" ht="17.25">
      <c r="A11" s="780" t="s">
        <v>734</v>
      </c>
      <c r="B11" s="781">
        <v>432</v>
      </c>
      <c r="C11" s="781">
        <v>307</v>
      </c>
      <c r="D11" s="781">
        <v>537</v>
      </c>
      <c r="E11" s="781">
        <v>363</v>
      </c>
      <c r="F11" s="781">
        <f>[3]s41!$B$22</f>
        <v>212</v>
      </c>
      <c r="G11" s="781">
        <v>384</v>
      </c>
      <c r="H11" s="781">
        <v>357</v>
      </c>
      <c r="I11" s="781">
        <v>277</v>
      </c>
      <c r="J11" s="781">
        <v>254</v>
      </c>
      <c r="K11" s="770" t="s">
        <v>735</v>
      </c>
    </row>
    <row r="12" spans="1:11" s="764" customFormat="1" ht="17.25">
      <c r="A12" s="780" t="s">
        <v>736</v>
      </c>
      <c r="B12" s="781">
        <v>28</v>
      </c>
      <c r="C12" s="781">
        <v>24</v>
      </c>
      <c r="D12" s="781">
        <v>12</v>
      </c>
      <c r="E12" s="781">
        <v>25</v>
      </c>
      <c r="F12" s="781">
        <f>[3]s41!$B$31</f>
        <v>5</v>
      </c>
      <c r="G12" s="781">
        <v>19</v>
      </c>
      <c r="H12" s="781">
        <v>5</v>
      </c>
      <c r="I12" s="781">
        <v>9</v>
      </c>
      <c r="J12" s="781">
        <v>5</v>
      </c>
      <c r="K12" s="770" t="s">
        <v>737</v>
      </c>
    </row>
    <row r="13" spans="1:11" s="764" customFormat="1" ht="17.25">
      <c r="A13" s="782" t="s">
        <v>738</v>
      </c>
      <c r="B13" s="783">
        <v>2867</v>
      </c>
      <c r="C13" s="783">
        <v>2876</v>
      </c>
      <c r="D13" s="783">
        <v>3964</v>
      </c>
      <c r="E13" s="783">
        <v>3792</v>
      </c>
      <c r="F13" s="783">
        <v>3721</v>
      </c>
      <c r="G13" s="783">
        <v>3517</v>
      </c>
      <c r="H13" s="783">
        <v>3841</v>
      </c>
      <c r="I13" s="783">
        <v>4073</v>
      </c>
      <c r="J13" s="783">
        <v>2985</v>
      </c>
      <c r="K13" s="774" t="s">
        <v>739</v>
      </c>
    </row>
    <row r="14" spans="1:11" ht="33.75" customHeight="1">
      <c r="A14" s="1037" t="s">
        <v>808</v>
      </c>
      <c r="B14" s="1038"/>
      <c r="C14" s="1038"/>
      <c r="D14" s="1038"/>
      <c r="E14" s="1038"/>
      <c r="F14" s="1038"/>
      <c r="G14" s="1038"/>
      <c r="H14" s="1038"/>
      <c r="I14" s="1038"/>
      <c r="J14" s="1038"/>
      <c r="K14" s="1039"/>
    </row>
    <row r="15" spans="1:11" s="764" customFormat="1">
      <c r="A15" s="403" t="s">
        <v>2</v>
      </c>
      <c r="B15" s="784"/>
      <c r="C15" s="784"/>
      <c r="D15" s="784"/>
      <c r="E15" s="784"/>
      <c r="F15" s="784"/>
      <c r="K15" s="564" t="s">
        <v>150</v>
      </c>
    </row>
  </sheetData>
  <mergeCells count="3">
    <mergeCell ref="A1:K1"/>
    <mergeCell ref="A2:K2"/>
    <mergeCell ref="A14:K14"/>
  </mergeCells>
  <pageMargins left="0.7" right="0.7" top="0.75" bottom="0.75" header="0.3" footer="0.3"/>
  <pageSetup paperSize="9" scale="93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K67"/>
  <sheetViews>
    <sheetView topLeftCell="A34" workbookViewId="0">
      <selection activeCell="K51" sqref="K51"/>
    </sheetView>
  </sheetViews>
  <sheetFormatPr defaultRowHeight="15"/>
  <cols>
    <col min="1" max="1" width="9.140625" style="519"/>
    <col min="2" max="2" width="44" style="519" customWidth="1"/>
    <col min="3" max="5" width="10" style="519" customWidth="1"/>
    <col min="6" max="6" width="60.5703125" style="519" bestFit="1" customWidth="1"/>
    <col min="7" max="16384" width="9.140625" style="519"/>
  </cols>
  <sheetData>
    <row r="2" spans="1:11" ht="21.75">
      <c r="A2" s="1042" t="s">
        <v>329</v>
      </c>
      <c r="B2" s="1042"/>
      <c r="C2" s="1042"/>
      <c r="D2" s="1042"/>
      <c r="E2" s="1042"/>
      <c r="F2" s="1042"/>
      <c r="G2" s="1042"/>
    </row>
    <row r="3" spans="1:11" ht="15" customHeight="1">
      <c r="A3" s="1041" t="s">
        <v>330</v>
      </c>
      <c r="B3" s="1041"/>
      <c r="C3" s="1041"/>
      <c r="D3" s="1041"/>
      <c r="E3" s="1041"/>
      <c r="F3" s="1041"/>
      <c r="G3" s="1041"/>
      <c r="H3" s="522"/>
      <c r="I3" s="522"/>
      <c r="J3" s="522"/>
      <c r="K3" s="522"/>
    </row>
    <row r="4" spans="1:11" ht="21.75" customHeight="1">
      <c r="A4" s="523"/>
      <c r="B4" s="524" t="s">
        <v>134</v>
      </c>
      <c r="C4" s="525">
        <v>2013</v>
      </c>
      <c r="D4" s="525">
        <v>2014</v>
      </c>
      <c r="E4" s="525">
        <v>2015</v>
      </c>
      <c r="F4" s="526" t="s">
        <v>331</v>
      </c>
      <c r="G4" s="526"/>
      <c r="H4" s="527"/>
      <c r="I4" s="527"/>
      <c r="J4" s="527"/>
      <c r="K4" s="527"/>
    </row>
    <row r="5" spans="1:11" ht="24.75" customHeight="1">
      <c r="A5" s="527"/>
      <c r="B5" s="528" t="s">
        <v>0</v>
      </c>
      <c r="C5" s="529">
        <v>2086</v>
      </c>
      <c r="D5" s="529">
        <v>1497</v>
      </c>
      <c r="E5" s="529">
        <v>1999</v>
      </c>
      <c r="F5" s="530" t="s">
        <v>63</v>
      </c>
      <c r="G5" s="527"/>
      <c r="H5" s="527"/>
      <c r="I5" s="527"/>
      <c r="J5" s="527"/>
      <c r="K5" s="527"/>
    </row>
    <row r="6" spans="1:11" ht="24.75" customHeight="1">
      <c r="A6" s="531">
        <v>1</v>
      </c>
      <c r="B6" s="532" t="s">
        <v>5</v>
      </c>
      <c r="C6" s="533">
        <v>328</v>
      </c>
      <c r="D6" s="533">
        <v>379</v>
      </c>
      <c r="E6" s="533">
        <v>203</v>
      </c>
      <c r="F6" s="534" t="s">
        <v>6</v>
      </c>
      <c r="G6" s="531">
        <v>1</v>
      </c>
      <c r="H6" s="527"/>
      <c r="I6" s="527"/>
      <c r="J6" s="527"/>
      <c r="K6" s="527"/>
    </row>
    <row r="7" spans="1:11" ht="24.75" customHeight="1">
      <c r="A7" s="531">
        <v>2</v>
      </c>
      <c r="B7" s="532" t="s">
        <v>332</v>
      </c>
      <c r="C7" s="533">
        <v>277</v>
      </c>
      <c r="D7" s="533">
        <v>111</v>
      </c>
      <c r="E7" s="533">
        <v>322</v>
      </c>
      <c r="F7" s="534" t="s">
        <v>333</v>
      </c>
      <c r="G7" s="531">
        <v>2</v>
      </c>
    </row>
    <row r="8" spans="1:11" ht="24.75" customHeight="1">
      <c r="A8" s="531">
        <v>3</v>
      </c>
      <c r="B8" s="532" t="s">
        <v>334</v>
      </c>
      <c r="C8" s="533">
        <v>220</v>
      </c>
      <c r="D8" s="533">
        <v>195</v>
      </c>
      <c r="E8" s="533">
        <v>647</v>
      </c>
      <c r="F8" s="535" t="s">
        <v>335</v>
      </c>
      <c r="G8" s="531">
        <v>3</v>
      </c>
      <c r="K8" s="536"/>
    </row>
    <row r="9" spans="1:11" ht="24.75" customHeight="1">
      <c r="A9" s="531">
        <v>4</v>
      </c>
      <c r="B9" s="537" t="s">
        <v>336</v>
      </c>
      <c r="C9" s="533">
        <v>196</v>
      </c>
      <c r="D9" s="533">
        <v>146</v>
      </c>
      <c r="E9" s="533">
        <v>65</v>
      </c>
      <c r="F9" s="535" t="s">
        <v>337</v>
      </c>
      <c r="G9" s="531">
        <v>4</v>
      </c>
      <c r="K9" s="536"/>
    </row>
    <row r="10" spans="1:11" ht="24.75" customHeight="1">
      <c r="A10" s="531">
        <v>5</v>
      </c>
      <c r="B10" s="518" t="s">
        <v>338</v>
      </c>
      <c r="C10" s="533">
        <v>141</v>
      </c>
      <c r="D10" s="533">
        <v>11</v>
      </c>
      <c r="E10" s="533">
        <v>3</v>
      </c>
      <c r="F10" s="535" t="s">
        <v>339</v>
      </c>
      <c r="G10" s="531">
        <v>5</v>
      </c>
      <c r="K10" s="536"/>
    </row>
    <row r="11" spans="1:11" ht="24.75" customHeight="1">
      <c r="A11" s="531">
        <v>6</v>
      </c>
      <c r="B11" s="518" t="s">
        <v>13</v>
      </c>
      <c r="C11" s="533">
        <v>135</v>
      </c>
      <c r="D11" s="533">
        <v>108</v>
      </c>
      <c r="E11" s="533">
        <v>74</v>
      </c>
      <c r="F11" s="535" t="s">
        <v>14</v>
      </c>
      <c r="G11" s="531">
        <v>6</v>
      </c>
      <c r="I11" s="517"/>
      <c r="K11" s="536"/>
    </row>
    <row r="12" spans="1:11" ht="24.75" customHeight="1">
      <c r="A12" s="531">
        <v>7</v>
      </c>
      <c r="B12" s="532" t="s">
        <v>340</v>
      </c>
      <c r="C12" s="533">
        <v>101</v>
      </c>
      <c r="D12" s="533">
        <v>42</v>
      </c>
      <c r="E12" s="533">
        <v>67</v>
      </c>
      <c r="F12" s="538" t="s">
        <v>341</v>
      </c>
      <c r="G12" s="531">
        <v>7</v>
      </c>
      <c r="I12" s="517"/>
      <c r="K12" s="536"/>
    </row>
    <row r="13" spans="1:11" ht="24.75" customHeight="1">
      <c r="A13" s="531">
        <v>8</v>
      </c>
      <c r="B13" s="532" t="s">
        <v>342</v>
      </c>
      <c r="C13" s="533">
        <v>59</v>
      </c>
      <c r="D13" s="533">
        <v>48</v>
      </c>
      <c r="E13" s="533">
        <v>53</v>
      </c>
      <c r="F13" s="535" t="s">
        <v>343</v>
      </c>
      <c r="G13" s="531">
        <v>8</v>
      </c>
      <c r="I13" s="517"/>
      <c r="K13" s="536"/>
    </row>
    <row r="14" spans="1:11" ht="24.75" customHeight="1">
      <c r="A14" s="531">
        <v>9</v>
      </c>
      <c r="B14" s="532" t="s">
        <v>344</v>
      </c>
      <c r="C14" s="533">
        <v>56</v>
      </c>
      <c r="D14" s="533">
        <v>2</v>
      </c>
      <c r="E14" s="533">
        <v>2</v>
      </c>
      <c r="F14" s="535" t="s">
        <v>345</v>
      </c>
      <c r="G14" s="531">
        <v>9</v>
      </c>
      <c r="I14" s="517"/>
      <c r="K14" s="536"/>
    </row>
    <row r="15" spans="1:11" ht="24.75" customHeight="1">
      <c r="A15" s="531">
        <v>10</v>
      </c>
      <c r="B15" s="532" t="s">
        <v>346</v>
      </c>
      <c r="C15" s="533">
        <v>46</v>
      </c>
      <c r="D15" s="533">
        <v>6</v>
      </c>
      <c r="E15" s="533">
        <v>40</v>
      </c>
      <c r="F15" s="535" t="s">
        <v>347</v>
      </c>
      <c r="G15" s="531">
        <v>10</v>
      </c>
      <c r="I15" s="539"/>
      <c r="K15" s="536"/>
    </row>
    <row r="16" spans="1:11" ht="24.75" customHeight="1">
      <c r="A16" s="531">
        <v>11</v>
      </c>
      <c r="B16" s="532" t="s">
        <v>348</v>
      </c>
      <c r="C16" s="533">
        <v>42</v>
      </c>
      <c r="D16" s="533">
        <v>58</v>
      </c>
      <c r="E16" s="533">
        <v>135</v>
      </c>
      <c r="F16" s="535" t="s">
        <v>349</v>
      </c>
      <c r="G16" s="531">
        <v>11</v>
      </c>
      <c r="I16" s="517"/>
      <c r="K16" s="536"/>
    </row>
    <row r="17" spans="1:11" ht="24.75" customHeight="1">
      <c r="A17" s="531">
        <v>12</v>
      </c>
      <c r="B17" s="537" t="s">
        <v>350</v>
      </c>
      <c r="C17" s="533">
        <v>41</v>
      </c>
      <c r="D17" s="533">
        <v>37</v>
      </c>
      <c r="E17" s="533">
        <v>34</v>
      </c>
      <c r="F17" s="535" t="s">
        <v>351</v>
      </c>
      <c r="G17" s="531">
        <v>12</v>
      </c>
      <c r="I17" s="517"/>
      <c r="K17" s="536"/>
    </row>
    <row r="18" spans="1:11" ht="24.75" customHeight="1">
      <c r="A18" s="531">
        <v>13</v>
      </c>
      <c r="B18" s="532" t="s">
        <v>352</v>
      </c>
      <c r="C18" s="533">
        <v>39</v>
      </c>
      <c r="D18" s="533">
        <v>38</v>
      </c>
      <c r="E18" s="533">
        <v>21</v>
      </c>
      <c r="F18" s="535" t="s">
        <v>353</v>
      </c>
      <c r="G18" s="531">
        <v>13</v>
      </c>
      <c r="I18" s="517"/>
      <c r="K18" s="536"/>
    </row>
    <row r="19" spans="1:11" ht="24.75" customHeight="1">
      <c r="A19" s="531">
        <v>14</v>
      </c>
      <c r="B19" s="532" t="s">
        <v>354</v>
      </c>
      <c r="C19" s="533">
        <v>36</v>
      </c>
      <c r="D19" s="533">
        <v>12</v>
      </c>
      <c r="E19" s="533">
        <v>34</v>
      </c>
      <c r="F19" s="535" t="s">
        <v>355</v>
      </c>
      <c r="G19" s="531">
        <v>14</v>
      </c>
      <c r="I19" s="517"/>
      <c r="K19" s="536"/>
    </row>
    <row r="20" spans="1:11" ht="24.75" customHeight="1">
      <c r="A20" s="531">
        <v>15</v>
      </c>
      <c r="B20" s="532" t="s">
        <v>356</v>
      </c>
      <c r="C20" s="533">
        <v>34</v>
      </c>
      <c r="D20" s="533">
        <v>8</v>
      </c>
      <c r="E20" s="533">
        <v>47</v>
      </c>
      <c r="F20" s="535" t="s">
        <v>357</v>
      </c>
      <c r="G20" s="531">
        <v>15</v>
      </c>
    </row>
    <row r="21" spans="1:11" ht="24.75" customHeight="1">
      <c r="A21" s="531">
        <v>16</v>
      </c>
      <c r="B21" s="518" t="s">
        <v>17</v>
      </c>
      <c r="C21" s="533">
        <v>32</v>
      </c>
      <c r="D21" s="533">
        <v>35</v>
      </c>
      <c r="E21" s="533">
        <v>28</v>
      </c>
      <c r="F21" s="535" t="s">
        <v>18</v>
      </c>
      <c r="G21" s="531">
        <v>16</v>
      </c>
    </row>
    <row r="22" spans="1:11" ht="24.75" customHeight="1">
      <c r="A22" s="531">
        <v>17</v>
      </c>
      <c r="B22" s="532" t="s">
        <v>358</v>
      </c>
      <c r="C22" s="533">
        <v>30</v>
      </c>
      <c r="D22" s="533">
        <v>2</v>
      </c>
      <c r="E22" s="533">
        <v>14</v>
      </c>
      <c r="F22" s="535" t="s">
        <v>359</v>
      </c>
      <c r="G22" s="531">
        <v>17</v>
      </c>
    </row>
    <row r="23" spans="1:11" ht="24.75" customHeight="1">
      <c r="A23" s="531">
        <v>18</v>
      </c>
      <c r="B23" s="532" t="s">
        <v>360</v>
      </c>
      <c r="C23" s="533">
        <v>23</v>
      </c>
      <c r="D23" s="533">
        <v>6</v>
      </c>
      <c r="E23" s="533">
        <v>21</v>
      </c>
      <c r="F23" s="535" t="s">
        <v>361</v>
      </c>
      <c r="G23" s="531">
        <v>18</v>
      </c>
    </row>
    <row r="24" spans="1:11" ht="24.75" customHeight="1">
      <c r="A24" s="531">
        <v>19</v>
      </c>
      <c r="B24" s="532" t="s">
        <v>362</v>
      </c>
      <c r="C24" s="533">
        <v>21</v>
      </c>
      <c r="D24" s="533">
        <v>15</v>
      </c>
      <c r="E24" s="533">
        <v>6</v>
      </c>
      <c r="F24" s="535" t="s">
        <v>363</v>
      </c>
      <c r="G24" s="531">
        <v>19</v>
      </c>
    </row>
    <row r="25" spans="1:11" ht="24.75" customHeight="1">
      <c r="A25" s="531">
        <v>20</v>
      </c>
      <c r="B25" s="532" t="s">
        <v>364</v>
      </c>
      <c r="C25" s="533">
        <v>20</v>
      </c>
      <c r="D25" s="533">
        <v>16</v>
      </c>
      <c r="E25" s="533">
        <v>14</v>
      </c>
      <c r="F25" s="535" t="s">
        <v>365</v>
      </c>
      <c r="G25" s="531">
        <v>20</v>
      </c>
    </row>
    <row r="26" spans="1:11" ht="24.75" customHeight="1">
      <c r="A26" s="531">
        <v>21</v>
      </c>
      <c r="B26" s="532" t="s">
        <v>366</v>
      </c>
      <c r="C26" s="533">
        <v>19</v>
      </c>
      <c r="D26" s="533">
        <v>12</v>
      </c>
      <c r="E26" s="533">
        <v>7</v>
      </c>
      <c r="F26" s="535" t="s">
        <v>367</v>
      </c>
      <c r="G26" s="531">
        <v>21</v>
      </c>
    </row>
    <row r="27" spans="1:11" ht="24.75" customHeight="1">
      <c r="A27" s="531">
        <v>22</v>
      </c>
      <c r="B27" s="532" t="s">
        <v>368</v>
      </c>
      <c r="C27" s="533">
        <v>17</v>
      </c>
      <c r="D27" s="533">
        <v>19</v>
      </c>
      <c r="E27" s="533">
        <v>13</v>
      </c>
      <c r="F27" s="535" t="s">
        <v>369</v>
      </c>
      <c r="G27" s="531">
        <v>22</v>
      </c>
    </row>
    <row r="28" spans="1:11" ht="24.75" customHeight="1">
      <c r="A28" s="531">
        <v>23</v>
      </c>
      <c r="B28" s="532" t="s">
        <v>370</v>
      </c>
      <c r="C28" s="533">
        <v>15</v>
      </c>
      <c r="D28" s="533">
        <v>10</v>
      </c>
      <c r="E28" s="533">
        <v>3</v>
      </c>
      <c r="F28" s="535" t="s">
        <v>371</v>
      </c>
      <c r="G28" s="531">
        <v>23</v>
      </c>
    </row>
    <row r="29" spans="1:11" ht="24.75" customHeight="1">
      <c r="A29" s="531">
        <v>24</v>
      </c>
      <c r="B29" s="532" t="s">
        <v>372</v>
      </c>
      <c r="C29" s="533">
        <v>15</v>
      </c>
      <c r="D29" s="533">
        <v>9</v>
      </c>
      <c r="E29" s="533">
        <v>6</v>
      </c>
      <c r="F29" s="535" t="s">
        <v>373</v>
      </c>
      <c r="G29" s="531">
        <v>24</v>
      </c>
    </row>
    <row r="30" spans="1:11" ht="24.75" customHeight="1">
      <c r="A30" s="531">
        <v>25</v>
      </c>
      <c r="B30" s="532" t="s">
        <v>374</v>
      </c>
      <c r="C30" s="533">
        <v>13</v>
      </c>
      <c r="D30" s="533">
        <v>10</v>
      </c>
      <c r="E30" s="533">
        <v>22</v>
      </c>
      <c r="F30" s="535" t="s">
        <v>375</v>
      </c>
      <c r="G30" s="531">
        <v>25</v>
      </c>
    </row>
    <row r="31" spans="1:11" ht="24.75" customHeight="1">
      <c r="A31" s="531">
        <v>26</v>
      </c>
      <c r="B31" s="532" t="s">
        <v>376</v>
      </c>
      <c r="C31" s="533">
        <v>13</v>
      </c>
      <c r="D31" s="533">
        <v>3</v>
      </c>
      <c r="E31" s="533">
        <v>1</v>
      </c>
      <c r="F31" s="535" t="s">
        <v>377</v>
      </c>
      <c r="G31" s="531">
        <v>26</v>
      </c>
    </row>
    <row r="32" spans="1:11" ht="24.75" customHeight="1">
      <c r="A32" s="531">
        <v>27</v>
      </c>
      <c r="B32" s="532" t="s">
        <v>378</v>
      </c>
      <c r="C32" s="533">
        <v>12</v>
      </c>
      <c r="D32" s="533">
        <v>6</v>
      </c>
      <c r="E32" s="533">
        <v>4</v>
      </c>
      <c r="F32" s="535" t="s">
        <v>379</v>
      </c>
      <c r="G32" s="531">
        <v>27</v>
      </c>
    </row>
    <row r="33" spans="1:7" ht="24.75" customHeight="1">
      <c r="A33" s="531">
        <v>28</v>
      </c>
      <c r="B33" s="532" t="s">
        <v>380</v>
      </c>
      <c r="C33" s="533">
        <v>11</v>
      </c>
      <c r="D33" s="533">
        <v>7</v>
      </c>
      <c r="E33" s="533">
        <v>37</v>
      </c>
      <c r="F33" s="535" t="s">
        <v>381</v>
      </c>
      <c r="G33" s="531">
        <v>28</v>
      </c>
    </row>
    <row r="34" spans="1:7" ht="24.75" customHeight="1">
      <c r="A34" s="531">
        <v>29</v>
      </c>
      <c r="B34" s="540" t="s">
        <v>382</v>
      </c>
      <c r="C34" s="533">
        <v>10</v>
      </c>
      <c r="D34" s="533">
        <v>7</v>
      </c>
      <c r="E34" s="533">
        <v>1</v>
      </c>
      <c r="F34" s="535" t="s">
        <v>383</v>
      </c>
      <c r="G34" s="531">
        <v>29</v>
      </c>
    </row>
    <row r="35" spans="1:7" ht="24.75" customHeight="1">
      <c r="A35" s="531">
        <v>30</v>
      </c>
      <c r="B35" s="532" t="s">
        <v>384</v>
      </c>
      <c r="C35" s="533">
        <v>9</v>
      </c>
      <c r="D35" s="533">
        <v>5</v>
      </c>
      <c r="E35" s="533">
        <v>5</v>
      </c>
      <c r="F35" s="535" t="s">
        <v>385</v>
      </c>
      <c r="G35" s="531">
        <v>30</v>
      </c>
    </row>
    <row r="36" spans="1:7" ht="24.75" customHeight="1">
      <c r="A36" s="531">
        <v>31</v>
      </c>
      <c r="B36" s="532" t="s">
        <v>352</v>
      </c>
      <c r="C36" s="533">
        <v>8</v>
      </c>
      <c r="D36" s="533">
        <v>0</v>
      </c>
      <c r="E36" s="533">
        <v>0</v>
      </c>
      <c r="F36" s="535" t="s">
        <v>386</v>
      </c>
      <c r="G36" s="531">
        <v>31</v>
      </c>
    </row>
    <row r="37" spans="1:7" ht="24.75" customHeight="1">
      <c r="A37" s="531">
        <v>32</v>
      </c>
      <c r="B37" s="540" t="s">
        <v>387</v>
      </c>
      <c r="C37" s="533">
        <v>6</v>
      </c>
      <c r="D37" s="533">
        <v>10</v>
      </c>
      <c r="E37" s="533">
        <v>0</v>
      </c>
      <c r="F37" s="535" t="s">
        <v>388</v>
      </c>
      <c r="G37" s="531">
        <v>32</v>
      </c>
    </row>
    <row r="38" spans="1:7" ht="24.75" customHeight="1">
      <c r="A38" s="531">
        <v>33</v>
      </c>
      <c r="B38" s="532" t="s">
        <v>389</v>
      </c>
      <c r="C38" s="533">
        <v>5</v>
      </c>
      <c r="D38" s="533">
        <v>8</v>
      </c>
      <c r="E38" s="533">
        <v>7</v>
      </c>
      <c r="F38" s="535" t="s">
        <v>390</v>
      </c>
      <c r="G38" s="531">
        <v>33</v>
      </c>
    </row>
    <row r="39" spans="1:7" ht="24.75" customHeight="1">
      <c r="A39" s="531">
        <v>34</v>
      </c>
      <c r="B39" s="532" t="s">
        <v>391</v>
      </c>
      <c r="C39" s="533">
        <v>5</v>
      </c>
      <c r="D39" s="533">
        <v>8</v>
      </c>
      <c r="E39" s="533">
        <v>11</v>
      </c>
      <c r="F39" s="535" t="s">
        <v>392</v>
      </c>
      <c r="G39" s="531">
        <v>34</v>
      </c>
    </row>
    <row r="40" spans="1:7" ht="24.75" customHeight="1">
      <c r="A40" s="531">
        <v>35</v>
      </c>
      <c r="B40" s="532" t="s">
        <v>393</v>
      </c>
      <c r="C40" s="533">
        <v>5</v>
      </c>
      <c r="D40" s="533">
        <v>5</v>
      </c>
      <c r="E40" s="533">
        <v>8</v>
      </c>
      <c r="F40" s="535" t="s">
        <v>394</v>
      </c>
      <c r="G40" s="531">
        <v>35</v>
      </c>
    </row>
    <row r="41" spans="1:7" ht="24.75" customHeight="1">
      <c r="A41" s="531">
        <v>36</v>
      </c>
      <c r="B41" s="532" t="s">
        <v>395</v>
      </c>
      <c r="C41" s="533">
        <v>4</v>
      </c>
      <c r="D41" s="533">
        <v>2</v>
      </c>
      <c r="E41" s="533">
        <v>0</v>
      </c>
      <c r="F41" s="535" t="s">
        <v>396</v>
      </c>
      <c r="G41" s="531">
        <v>36</v>
      </c>
    </row>
    <row r="42" spans="1:7" ht="24.75" customHeight="1">
      <c r="A42" s="531">
        <v>37</v>
      </c>
      <c r="B42" s="532" t="s">
        <v>397</v>
      </c>
      <c r="C42" s="533">
        <v>4</v>
      </c>
      <c r="D42" s="533">
        <v>2</v>
      </c>
      <c r="E42" s="533">
        <v>11</v>
      </c>
      <c r="F42" s="535" t="s">
        <v>398</v>
      </c>
      <c r="G42" s="531">
        <v>37</v>
      </c>
    </row>
    <row r="43" spans="1:7" ht="24.75" customHeight="1">
      <c r="A43" s="531">
        <v>38</v>
      </c>
      <c r="B43" s="532" t="s">
        <v>399</v>
      </c>
      <c r="C43" s="533">
        <v>3</v>
      </c>
      <c r="D43" s="533">
        <v>0</v>
      </c>
      <c r="E43" s="533">
        <v>1</v>
      </c>
      <c r="F43" s="535" t="s">
        <v>400</v>
      </c>
      <c r="G43" s="531">
        <v>38</v>
      </c>
    </row>
    <row r="44" spans="1:7" ht="24.75" customHeight="1">
      <c r="A44" s="531">
        <v>39</v>
      </c>
      <c r="B44" s="532" t="s">
        <v>352</v>
      </c>
      <c r="C44" s="533">
        <v>3</v>
      </c>
      <c r="D44" s="533">
        <v>0</v>
      </c>
      <c r="E44" s="533">
        <v>4</v>
      </c>
      <c r="F44" s="535" t="s">
        <v>401</v>
      </c>
      <c r="G44" s="531">
        <v>39</v>
      </c>
    </row>
    <row r="45" spans="1:7" ht="24.75" customHeight="1">
      <c r="A45" s="531">
        <v>40</v>
      </c>
      <c r="B45" s="532" t="s">
        <v>402</v>
      </c>
      <c r="C45" s="533">
        <v>3</v>
      </c>
      <c r="D45" s="533">
        <v>3</v>
      </c>
      <c r="E45" s="533">
        <v>5</v>
      </c>
      <c r="F45" s="535" t="s">
        <v>403</v>
      </c>
      <c r="G45" s="531">
        <v>40</v>
      </c>
    </row>
    <row r="46" spans="1:7" ht="39" customHeight="1">
      <c r="A46" s="531">
        <v>41</v>
      </c>
      <c r="B46" s="532" t="s">
        <v>404</v>
      </c>
      <c r="C46" s="533">
        <v>3</v>
      </c>
      <c r="D46" s="533">
        <v>2</v>
      </c>
      <c r="E46" s="533">
        <v>2</v>
      </c>
      <c r="F46" s="538" t="s">
        <v>405</v>
      </c>
      <c r="G46" s="531">
        <v>41</v>
      </c>
    </row>
    <row r="47" spans="1:7" ht="24.75" customHeight="1">
      <c r="A47" s="531">
        <v>42</v>
      </c>
      <c r="B47" s="532" t="s">
        <v>406</v>
      </c>
      <c r="C47" s="533">
        <v>3</v>
      </c>
      <c r="D47" s="533">
        <v>0</v>
      </c>
      <c r="E47" s="533">
        <v>0</v>
      </c>
      <c r="F47" s="535" t="s">
        <v>407</v>
      </c>
      <c r="G47" s="531">
        <v>42</v>
      </c>
    </row>
    <row r="48" spans="1:7" ht="24.75" customHeight="1">
      <c r="A48" s="531">
        <v>43</v>
      </c>
      <c r="B48" s="532"/>
      <c r="C48" s="533"/>
      <c r="D48" s="533"/>
      <c r="E48" s="533">
        <v>2</v>
      </c>
      <c r="F48" s="535" t="s">
        <v>408</v>
      </c>
      <c r="G48" s="531">
        <v>43</v>
      </c>
    </row>
    <row r="49" spans="1:11" ht="24.75" customHeight="1">
      <c r="A49" s="531">
        <v>44</v>
      </c>
      <c r="B49" s="532"/>
      <c r="C49" s="533"/>
      <c r="D49" s="533"/>
      <c r="E49" s="533">
        <v>10</v>
      </c>
      <c r="F49" s="535" t="s">
        <v>409</v>
      </c>
      <c r="G49" s="531">
        <v>44</v>
      </c>
    </row>
    <row r="50" spans="1:11" ht="24.75" customHeight="1">
      <c r="A50" s="531">
        <v>45</v>
      </c>
      <c r="B50" s="532"/>
      <c r="C50" s="533"/>
      <c r="D50" s="533"/>
      <c r="E50" s="533">
        <v>2</v>
      </c>
      <c r="F50" s="535" t="s">
        <v>410</v>
      </c>
      <c r="G50" s="531">
        <v>45</v>
      </c>
      <c r="I50" s="495"/>
      <c r="J50" s="535"/>
      <c r="K50" s="520"/>
    </row>
    <row r="51" spans="1:11" ht="24.75" customHeight="1">
      <c r="A51" s="531">
        <v>46</v>
      </c>
      <c r="B51" s="532"/>
      <c r="C51" s="533"/>
      <c r="D51" s="533"/>
      <c r="E51" s="533">
        <v>2</v>
      </c>
      <c r="F51" s="535" t="s">
        <v>411</v>
      </c>
      <c r="G51" s="531">
        <v>46</v>
      </c>
      <c r="I51" s="533"/>
      <c r="J51" s="535"/>
      <c r="K51" s="520"/>
    </row>
    <row r="52" spans="1:11" ht="24.75" customHeight="1">
      <c r="A52" s="531">
        <v>47</v>
      </c>
      <c r="B52" s="532"/>
      <c r="C52" s="533"/>
      <c r="D52" s="533"/>
      <c r="E52" s="533">
        <v>2</v>
      </c>
      <c r="F52" s="535" t="s">
        <v>412</v>
      </c>
      <c r="G52" s="531">
        <v>47</v>
      </c>
      <c r="I52" s="533"/>
      <c r="J52" s="535"/>
      <c r="K52" s="520"/>
    </row>
    <row r="53" spans="1:11" ht="24.75" customHeight="1">
      <c r="A53" s="531">
        <v>48</v>
      </c>
      <c r="B53" s="532"/>
      <c r="C53" s="533"/>
      <c r="D53" s="533"/>
      <c r="E53" s="533">
        <v>1</v>
      </c>
      <c r="F53" s="535" t="s">
        <v>413</v>
      </c>
      <c r="G53" s="531">
        <v>48</v>
      </c>
      <c r="I53" s="533"/>
      <c r="J53" s="535"/>
      <c r="K53" s="520"/>
    </row>
    <row r="54" spans="1:11" ht="24.75" customHeight="1">
      <c r="A54" s="531">
        <v>49</v>
      </c>
      <c r="B54" s="532"/>
      <c r="C54" s="533"/>
      <c r="D54" s="533"/>
      <c r="E54" s="533">
        <v>1</v>
      </c>
      <c r="F54" s="535" t="s">
        <v>414</v>
      </c>
      <c r="G54" s="531">
        <v>49</v>
      </c>
      <c r="I54" s="533"/>
      <c r="J54" s="535"/>
      <c r="K54" s="520"/>
    </row>
    <row r="55" spans="1:11" ht="24.75" customHeight="1">
      <c r="A55" s="531">
        <v>50</v>
      </c>
      <c r="B55" s="532"/>
      <c r="C55" s="533"/>
      <c r="D55" s="533"/>
      <c r="E55" s="533">
        <v>1</v>
      </c>
      <c r="F55" s="535" t="s">
        <v>415</v>
      </c>
      <c r="G55" s="531">
        <v>50</v>
      </c>
      <c r="I55" s="533"/>
      <c r="J55" s="535"/>
      <c r="K55" s="520"/>
    </row>
    <row r="56" spans="1:11" ht="24.75" customHeight="1">
      <c r="A56" s="531">
        <v>43</v>
      </c>
      <c r="B56" s="541" t="s">
        <v>27</v>
      </c>
      <c r="C56" s="542">
        <v>23</v>
      </c>
      <c r="D56" s="542">
        <v>94</v>
      </c>
      <c r="E56" s="542">
        <v>0</v>
      </c>
      <c r="F56" s="543"/>
      <c r="G56" s="531">
        <v>51</v>
      </c>
      <c r="I56" s="533"/>
      <c r="J56" s="535"/>
      <c r="K56" s="520"/>
    </row>
    <row r="57" spans="1:11" ht="30.75" customHeight="1">
      <c r="A57" s="1040" t="s">
        <v>416</v>
      </c>
      <c r="B57" s="1040"/>
      <c r="C57" s="1040"/>
      <c r="D57" s="1040"/>
      <c r="E57" s="1040"/>
      <c r="F57" s="1040"/>
      <c r="G57" s="533"/>
      <c r="H57" s="544"/>
      <c r="I57" s="544"/>
      <c r="J57" s="544"/>
      <c r="K57" s="520"/>
    </row>
    <row r="58" spans="1:11" ht="16.5" customHeight="1">
      <c r="A58" s="545" t="s">
        <v>419</v>
      </c>
      <c r="B58" s="548"/>
      <c r="C58" s="548"/>
      <c r="D58" s="548"/>
      <c r="E58" s="548"/>
      <c r="F58" s="551" t="s">
        <v>417</v>
      </c>
      <c r="G58" s="549" t="s">
        <v>418</v>
      </c>
      <c r="H58" s="544"/>
      <c r="I58" s="544"/>
      <c r="J58" s="544"/>
      <c r="K58" s="520"/>
    </row>
    <row r="59" spans="1:11" ht="17.25" customHeight="1">
      <c r="B59" s="544"/>
      <c r="C59" s="546"/>
      <c r="D59" s="546"/>
      <c r="E59" s="546"/>
      <c r="F59" s="547" t="s">
        <v>420</v>
      </c>
    </row>
    <row r="60" spans="1:11" ht="30.75" customHeight="1">
      <c r="A60" s="521"/>
    </row>
    <row r="61" spans="1:11" ht="30.75" customHeight="1"/>
    <row r="62" spans="1:11" ht="30.75" customHeight="1"/>
    <row r="63" spans="1:11" ht="30.75" customHeight="1"/>
    <row r="64" spans="1:11" ht="30.75" customHeight="1"/>
    <row r="65" spans="5:5" ht="30.75" customHeight="1"/>
    <row r="66" spans="5:5" ht="30.75" customHeight="1">
      <c r="E66" s="550"/>
    </row>
    <row r="67" spans="5:5" ht="30.75" customHeight="1"/>
  </sheetData>
  <mergeCells count="3">
    <mergeCell ref="A57:F57"/>
    <mergeCell ref="A3:G3"/>
    <mergeCell ref="A2:G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U39"/>
  <sheetViews>
    <sheetView workbookViewId="0">
      <selection activeCell="I39" sqref="I39"/>
    </sheetView>
  </sheetViews>
  <sheetFormatPr defaultColWidth="12.5703125" defaultRowHeight="15"/>
  <cols>
    <col min="1" max="1" width="37.7109375" style="583" bestFit="1" customWidth="1"/>
    <col min="2" max="7" width="12.5703125" style="583"/>
    <col min="8" max="8" width="42.7109375" style="583" bestFit="1" customWidth="1"/>
    <col min="9" max="16384" width="12.5703125" style="583"/>
  </cols>
  <sheetData>
    <row r="1" spans="1:9" ht="21">
      <c r="A1" s="1043" t="s">
        <v>421</v>
      </c>
      <c r="B1" s="1043"/>
      <c r="C1" s="1043"/>
      <c r="D1" s="1043"/>
      <c r="E1" s="1043"/>
      <c r="F1" s="1043"/>
      <c r="G1" s="1043"/>
      <c r="H1" s="1043"/>
      <c r="I1" s="1043"/>
    </row>
    <row r="2" spans="1:9">
      <c r="A2" s="1044" t="s">
        <v>422</v>
      </c>
      <c r="B2" s="1044"/>
      <c r="C2" s="1044"/>
      <c r="D2" s="1044"/>
      <c r="E2" s="1044"/>
      <c r="F2" s="1044"/>
      <c r="G2" s="1044"/>
      <c r="H2" s="1044"/>
      <c r="I2" s="1044"/>
    </row>
    <row r="3" spans="1:9">
      <c r="A3" s="1045"/>
      <c r="B3" s="1045"/>
      <c r="C3" s="1045"/>
      <c r="D3" s="1045"/>
      <c r="E3" s="1045"/>
      <c r="F3" s="1045"/>
      <c r="G3" s="1045"/>
      <c r="H3" s="1045"/>
    </row>
    <row r="4" spans="1:9" ht="50.25">
      <c r="A4" s="1046" t="s">
        <v>134</v>
      </c>
      <c r="B4" s="1048">
        <v>2011</v>
      </c>
      <c r="C4" s="1048">
        <v>2012</v>
      </c>
      <c r="D4" s="1048">
        <v>2013</v>
      </c>
      <c r="E4" s="1048">
        <v>2014</v>
      </c>
      <c r="F4" s="1048">
        <v>2015</v>
      </c>
      <c r="G4" s="623" t="s">
        <v>423</v>
      </c>
      <c r="H4" s="1050" t="s">
        <v>135</v>
      </c>
    </row>
    <row r="5" spans="1:9">
      <c r="A5" s="1047"/>
      <c r="B5" s="1049"/>
      <c r="C5" s="1049"/>
      <c r="D5" s="1049"/>
      <c r="E5" s="1049"/>
      <c r="F5" s="1049"/>
      <c r="G5" s="587">
        <v>2015</v>
      </c>
      <c r="H5" s="1051"/>
    </row>
    <row r="6" spans="1:9" ht="24.75" customHeight="1">
      <c r="A6" s="626" t="s">
        <v>424</v>
      </c>
      <c r="B6" s="589">
        <v>2874</v>
      </c>
      <c r="C6" s="589">
        <v>3362</v>
      </c>
      <c r="D6" s="589">
        <v>3551</v>
      </c>
      <c r="E6" s="589">
        <v>3396</v>
      </c>
      <c r="F6" s="589">
        <v>4509</v>
      </c>
      <c r="G6" s="629">
        <v>100</v>
      </c>
      <c r="H6" s="628" t="s">
        <v>425</v>
      </c>
      <c r="I6" s="591"/>
    </row>
    <row r="7" spans="1:9" ht="24.75" customHeight="1">
      <c r="A7" s="626" t="s">
        <v>426</v>
      </c>
      <c r="B7" s="589">
        <v>2495</v>
      </c>
      <c r="C7" s="589">
        <v>2069</v>
      </c>
      <c r="D7" s="589">
        <v>2521</v>
      </c>
      <c r="E7" s="589">
        <v>2401</v>
      </c>
      <c r="F7" s="589">
        <v>3191</v>
      </c>
      <c r="G7" s="630">
        <v>70.769571967176759</v>
      </c>
      <c r="H7" s="627" t="s">
        <v>427</v>
      </c>
      <c r="I7" s="591"/>
    </row>
    <row r="8" spans="1:9" ht="24.75" customHeight="1">
      <c r="A8" s="588" t="s">
        <v>428</v>
      </c>
      <c r="B8" s="589">
        <v>1850</v>
      </c>
      <c r="C8" s="589">
        <v>1429</v>
      </c>
      <c r="D8" s="589">
        <v>1821</v>
      </c>
      <c r="E8" s="589">
        <v>1497</v>
      </c>
      <c r="F8" s="589">
        <v>1831</v>
      </c>
      <c r="G8" s="630">
        <v>40.607673541805298</v>
      </c>
      <c r="H8" s="590" t="s">
        <v>429</v>
      </c>
      <c r="I8" s="591"/>
    </row>
    <row r="9" spans="1:9" ht="24.75" customHeight="1">
      <c r="A9" s="592" t="s">
        <v>430</v>
      </c>
      <c r="B9" s="593">
        <v>354</v>
      </c>
      <c r="C9" s="593">
        <v>334</v>
      </c>
      <c r="D9" s="593">
        <v>322</v>
      </c>
      <c r="E9" s="593">
        <v>283</v>
      </c>
      <c r="F9" s="593">
        <v>241</v>
      </c>
      <c r="G9" s="630">
        <v>5.3448658239077398</v>
      </c>
      <c r="H9" s="596" t="s">
        <v>431</v>
      </c>
    </row>
    <row r="10" spans="1:9" ht="24.75" customHeight="1">
      <c r="A10" s="592" t="s">
        <v>432</v>
      </c>
      <c r="B10" s="593">
        <v>291</v>
      </c>
      <c r="C10" s="593">
        <v>284</v>
      </c>
      <c r="D10" s="593">
        <v>327</v>
      </c>
      <c r="E10" s="593">
        <v>227</v>
      </c>
      <c r="F10" s="593">
        <v>128</v>
      </c>
      <c r="G10" s="630">
        <v>2.8387669106231979</v>
      </c>
      <c r="H10" s="596" t="s">
        <v>433</v>
      </c>
    </row>
    <row r="11" spans="1:9" ht="24.75" customHeight="1">
      <c r="A11" s="592" t="s">
        <v>434</v>
      </c>
      <c r="B11" s="597">
        <v>0</v>
      </c>
      <c r="C11" s="593">
        <v>22</v>
      </c>
      <c r="D11" s="593">
        <v>51</v>
      </c>
      <c r="E11" s="593">
        <v>102</v>
      </c>
      <c r="F11" s="593">
        <v>482</v>
      </c>
      <c r="G11" s="630">
        <v>10.68973164781548</v>
      </c>
      <c r="H11" s="596" t="s">
        <v>435</v>
      </c>
    </row>
    <row r="12" spans="1:9" ht="24.75" customHeight="1">
      <c r="A12" s="592" t="s">
        <v>436</v>
      </c>
      <c r="B12" s="622" t="s">
        <v>275</v>
      </c>
      <c r="C12" s="622" t="s">
        <v>275</v>
      </c>
      <c r="D12" s="622" t="s">
        <v>275</v>
      </c>
      <c r="E12" s="593">
        <v>175</v>
      </c>
      <c r="F12" s="593">
        <v>406</v>
      </c>
      <c r="G12" s="630">
        <v>9.0042137946329568</v>
      </c>
      <c r="H12" s="596" t="s">
        <v>437</v>
      </c>
    </row>
    <row r="13" spans="1:9" ht="24.75" customHeight="1">
      <c r="A13" s="592" t="s">
        <v>438</v>
      </c>
      <c r="B13" s="622" t="s">
        <v>275</v>
      </c>
      <c r="C13" s="622" t="s">
        <v>275</v>
      </c>
      <c r="D13" s="622" t="s">
        <v>275</v>
      </c>
      <c r="E13" s="593">
        <v>52</v>
      </c>
      <c r="F13" s="593">
        <v>101</v>
      </c>
      <c r="G13" s="630">
        <v>2.2399645154136172</v>
      </c>
      <c r="H13" s="596" t="s">
        <v>439</v>
      </c>
    </row>
    <row r="14" spans="1:9" ht="24.75" customHeight="1">
      <c r="A14" s="592" t="s">
        <v>440</v>
      </c>
      <c r="B14" s="622" t="s">
        <v>275</v>
      </c>
      <c r="C14" s="622" t="s">
        <v>275</v>
      </c>
      <c r="D14" s="622" t="s">
        <v>275</v>
      </c>
      <c r="E14" s="593">
        <v>65</v>
      </c>
      <c r="F14" s="593">
        <v>2</v>
      </c>
      <c r="G14" s="630">
        <v>4.4355732978487467E-2</v>
      </c>
      <c r="H14" s="596" t="s">
        <v>441</v>
      </c>
    </row>
    <row r="15" spans="1:9" ht="24.75" customHeight="1">
      <c r="A15" s="598" t="s">
        <v>442</v>
      </c>
      <c r="B15" s="599">
        <v>379</v>
      </c>
      <c r="C15" s="599">
        <v>1293</v>
      </c>
      <c r="D15" s="599">
        <v>1030</v>
      </c>
      <c r="E15" s="599">
        <v>995</v>
      </c>
      <c r="F15" s="599">
        <v>1318</v>
      </c>
      <c r="G15" s="631">
        <v>29.230428032823241</v>
      </c>
      <c r="H15" s="600" t="s">
        <v>443</v>
      </c>
      <c r="I15" s="591"/>
    </row>
    <row r="16" spans="1:9" ht="20.25" customHeight="1">
      <c r="A16" s="624" t="s">
        <v>419</v>
      </c>
      <c r="B16" s="602"/>
      <c r="D16" s="602"/>
      <c r="E16" s="602"/>
      <c r="F16" s="602"/>
      <c r="G16" s="602"/>
      <c r="H16" s="625" t="s">
        <v>420</v>
      </c>
    </row>
    <row r="17" spans="1:21" ht="17.25">
      <c r="A17" s="624"/>
      <c r="B17" s="602"/>
      <c r="D17" s="602"/>
      <c r="E17" s="602"/>
      <c r="F17" s="602"/>
      <c r="G17" s="602"/>
      <c r="H17" s="625"/>
    </row>
    <row r="18" spans="1:21" ht="17.25">
      <c r="A18" s="624"/>
      <c r="B18" s="602"/>
      <c r="D18" s="602"/>
      <c r="E18" s="602"/>
      <c r="F18" s="602"/>
      <c r="G18" s="602"/>
      <c r="H18" s="625"/>
    </row>
    <row r="19" spans="1:21" ht="17.25">
      <c r="A19" s="624"/>
      <c r="B19" s="602"/>
      <c r="D19" s="602"/>
      <c r="E19" s="602"/>
      <c r="F19" s="602"/>
      <c r="G19" s="602"/>
      <c r="H19" s="625"/>
    </row>
    <row r="20" spans="1:21" ht="17.25">
      <c r="A20" s="624"/>
      <c r="B20" s="602"/>
      <c r="D20" s="602"/>
      <c r="E20" s="602"/>
      <c r="F20" s="602"/>
      <c r="G20" s="602"/>
      <c r="H20" s="625"/>
    </row>
    <row r="21" spans="1:21" ht="17.25">
      <c r="A21" s="624"/>
      <c r="B21" s="602"/>
      <c r="D21" s="602"/>
      <c r="E21" s="602"/>
      <c r="F21" s="602"/>
      <c r="G21" s="602"/>
      <c r="H21" s="625"/>
    </row>
    <row r="22" spans="1:21" ht="17.25">
      <c r="A22" s="624"/>
      <c r="B22" s="602"/>
      <c r="D22" s="602"/>
      <c r="E22" s="602"/>
      <c r="F22" s="602"/>
      <c r="G22" s="602"/>
      <c r="H22" s="625"/>
    </row>
    <row r="23" spans="1:21" ht="17.25">
      <c r="A23" s="624"/>
      <c r="B23" s="602"/>
      <c r="D23" s="602"/>
      <c r="E23" s="602"/>
      <c r="F23" s="602"/>
      <c r="G23" s="602"/>
      <c r="H23" s="625"/>
    </row>
    <row r="24" spans="1:21" ht="17.25">
      <c r="A24" s="624"/>
      <c r="B24" s="602"/>
      <c r="D24" s="602"/>
      <c r="E24" s="602"/>
      <c r="F24" s="602"/>
      <c r="G24" s="602"/>
      <c r="H24" s="625"/>
    </row>
    <row r="25" spans="1:21" ht="17.25">
      <c r="A25" s="624"/>
      <c r="B25" s="602"/>
      <c r="D25" s="602"/>
      <c r="E25" s="602"/>
      <c r="F25" s="602"/>
      <c r="G25" s="602"/>
      <c r="H25" s="625"/>
    </row>
    <row r="26" spans="1:21" ht="18.75">
      <c r="A26" s="601"/>
      <c r="H26" s="603"/>
    </row>
    <row r="27" spans="1:21" ht="18.75">
      <c r="H27" s="603"/>
      <c r="P27" s="601"/>
      <c r="Q27" s="604">
        <v>2011</v>
      </c>
      <c r="R27" s="604">
        <v>2012</v>
      </c>
      <c r="S27" s="604">
        <v>2013</v>
      </c>
      <c r="T27" s="604">
        <v>2014</v>
      </c>
      <c r="U27" s="604">
        <v>2015</v>
      </c>
    </row>
    <row r="28" spans="1:21" ht="18.75">
      <c r="A28" s="594"/>
      <c r="B28" s="595"/>
      <c r="H28" s="603"/>
      <c r="P28" s="601" t="s">
        <v>444</v>
      </c>
      <c r="Q28" s="585">
        <v>86.812804453723032</v>
      </c>
      <c r="R28" s="585">
        <v>61.540749553837003</v>
      </c>
      <c r="S28" s="585">
        <v>70.99408617290905</v>
      </c>
      <c r="T28" s="585">
        <v>70.70082449941107</v>
      </c>
      <c r="U28" s="585">
        <v>70.769571967176759</v>
      </c>
    </row>
    <row r="29" spans="1:21" ht="18.75">
      <c r="A29" s="594"/>
      <c r="B29" s="595"/>
      <c r="H29" s="603"/>
      <c r="P29" s="601" t="s">
        <v>445</v>
      </c>
      <c r="Q29" s="585">
        <v>64.370215727209469</v>
      </c>
      <c r="R29" s="585">
        <v>42.504461629982153</v>
      </c>
      <c r="S29" s="585">
        <v>51.281329203041395</v>
      </c>
      <c r="T29" s="585">
        <v>44.081272084805654</v>
      </c>
      <c r="U29" s="585">
        <v>40.607673541805276</v>
      </c>
    </row>
    <row r="30" spans="1:21">
      <c r="A30" s="594"/>
      <c r="B30" s="595"/>
      <c r="P30" s="601"/>
    </row>
    <row r="31" spans="1:21">
      <c r="P31" s="601"/>
      <c r="Q31" s="604">
        <v>2011</v>
      </c>
      <c r="R31" s="604">
        <v>2012</v>
      </c>
      <c r="S31" s="604">
        <v>2013</v>
      </c>
      <c r="T31" s="604">
        <v>2014</v>
      </c>
      <c r="U31" s="604">
        <v>2015</v>
      </c>
    </row>
    <row r="32" spans="1:21">
      <c r="P32" s="588" t="s">
        <v>446</v>
      </c>
      <c r="Q32" s="589">
        <v>2495</v>
      </c>
      <c r="R32" s="589">
        <v>2069</v>
      </c>
      <c r="S32" s="589">
        <v>2521</v>
      </c>
      <c r="T32" s="589">
        <v>2401</v>
      </c>
      <c r="U32" s="589">
        <v>3191</v>
      </c>
    </row>
    <row r="33" spans="16:21">
      <c r="P33" s="598" t="s">
        <v>447</v>
      </c>
      <c r="Q33" s="602">
        <v>1850</v>
      </c>
      <c r="R33" s="602">
        <v>1429</v>
      </c>
      <c r="S33" s="602">
        <v>1821</v>
      </c>
      <c r="T33" s="602">
        <v>1497</v>
      </c>
      <c r="U33" s="602">
        <v>1831</v>
      </c>
    </row>
    <row r="34" spans="16:21">
      <c r="P34" s="598" t="s">
        <v>448</v>
      </c>
      <c r="Q34" s="599">
        <v>379</v>
      </c>
      <c r="R34" s="599">
        <v>1293</v>
      </c>
      <c r="S34" s="599">
        <v>1030</v>
      </c>
      <c r="T34" s="599">
        <v>995</v>
      </c>
      <c r="U34" s="599">
        <v>1318</v>
      </c>
    </row>
    <row r="35" spans="16:21">
      <c r="Q35" s="604">
        <v>2011</v>
      </c>
      <c r="R35" s="604">
        <v>2012</v>
      </c>
      <c r="S35" s="604">
        <v>2013</v>
      </c>
      <c r="T35" s="604">
        <v>2014</v>
      </c>
      <c r="U35" s="604">
        <v>2014</v>
      </c>
    </row>
    <row r="36" spans="16:21">
      <c r="P36" s="586" t="s">
        <v>428</v>
      </c>
      <c r="Q36" s="593">
        <v>1850</v>
      </c>
      <c r="R36" s="593">
        <v>1429</v>
      </c>
      <c r="S36" s="589">
        <v>1821</v>
      </c>
      <c r="T36" s="589">
        <v>1821</v>
      </c>
      <c r="U36" s="589"/>
    </row>
    <row r="37" spans="16:21">
      <c r="P37" s="592" t="s">
        <v>430</v>
      </c>
      <c r="Q37" s="593">
        <v>354</v>
      </c>
      <c r="R37" s="593">
        <v>334</v>
      </c>
      <c r="S37" s="593">
        <v>322</v>
      </c>
      <c r="T37" s="593">
        <v>322</v>
      </c>
      <c r="U37" s="593"/>
    </row>
    <row r="38" spans="16:21">
      <c r="P38" s="592" t="s">
        <v>432</v>
      </c>
      <c r="Q38" s="593">
        <v>291</v>
      </c>
      <c r="R38" s="593">
        <v>284</v>
      </c>
      <c r="S38" s="593">
        <v>327</v>
      </c>
      <c r="T38" s="593">
        <v>327</v>
      </c>
      <c r="U38" s="593"/>
    </row>
    <row r="39" spans="16:21">
      <c r="P39" s="592" t="s">
        <v>434</v>
      </c>
      <c r="Q39" s="597">
        <v>0</v>
      </c>
      <c r="R39" s="593">
        <v>22</v>
      </c>
      <c r="S39" s="593">
        <v>51</v>
      </c>
      <c r="T39" s="593">
        <v>51</v>
      </c>
      <c r="U39" s="593"/>
    </row>
  </sheetData>
  <mergeCells count="10">
    <mergeCell ref="A1:I1"/>
    <mergeCell ref="A2:I2"/>
    <mergeCell ref="A3:H3"/>
    <mergeCell ref="A4:A5"/>
    <mergeCell ref="B4:B5"/>
    <mergeCell ref="C4:C5"/>
    <mergeCell ref="D4:D5"/>
    <mergeCell ref="E4:E5"/>
    <mergeCell ref="H4:H5"/>
    <mergeCell ref="F4:F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2:L16"/>
  <sheetViews>
    <sheetView workbookViewId="0">
      <selection activeCell="R37" sqref="R37"/>
    </sheetView>
  </sheetViews>
  <sheetFormatPr defaultColWidth="9.140625" defaultRowHeight="12.75"/>
  <cols>
    <col min="1" max="1" width="34.7109375" style="605" customWidth="1"/>
    <col min="2" max="6" width="9.5703125" style="605" customWidth="1"/>
    <col min="7" max="7" width="11.5703125" style="605" bestFit="1" customWidth="1"/>
    <col min="8" max="8" width="31.5703125" style="605" customWidth="1"/>
    <col min="9" max="9" width="4.140625" style="605" customWidth="1"/>
    <col min="10" max="11" width="9.140625" style="605"/>
    <col min="12" max="12" width="15.28515625" style="605" bestFit="1" customWidth="1"/>
    <col min="13" max="16384" width="9.140625" style="605"/>
  </cols>
  <sheetData>
    <row r="2" spans="1:12" s="584" customFormat="1" ht="21">
      <c r="A2" s="1052" t="s">
        <v>449</v>
      </c>
      <c r="B2" s="1052"/>
      <c r="C2" s="1052"/>
      <c r="D2" s="1052"/>
      <c r="E2" s="1052"/>
      <c r="F2" s="1052"/>
      <c r="G2" s="1052"/>
      <c r="H2" s="1052"/>
    </row>
    <row r="3" spans="1:12" ht="15">
      <c r="A3" s="1053" t="s">
        <v>450</v>
      </c>
      <c r="B3" s="1053"/>
      <c r="C3" s="1053"/>
      <c r="D3" s="1053"/>
      <c r="E3" s="1053"/>
      <c r="F3" s="1053"/>
      <c r="G3" s="1053"/>
      <c r="H3" s="1053"/>
    </row>
    <row r="4" spans="1:12" s="606" customFormat="1" ht="21">
      <c r="A4" s="1046" t="s">
        <v>134</v>
      </c>
      <c r="B4" s="978" t="s">
        <v>451</v>
      </c>
      <c r="C4" s="978"/>
      <c r="D4" s="978"/>
      <c r="E4" s="978"/>
      <c r="F4" s="978"/>
      <c r="G4" s="978"/>
      <c r="H4" s="1054" t="s">
        <v>135</v>
      </c>
    </row>
    <row r="5" spans="1:12" s="606" customFormat="1" ht="15">
      <c r="A5" s="1047"/>
      <c r="B5" s="607">
        <v>2010</v>
      </c>
      <c r="C5" s="607">
        <v>2011</v>
      </c>
      <c r="D5" s="607">
        <v>2012</v>
      </c>
      <c r="E5" s="607">
        <v>2013</v>
      </c>
      <c r="F5" s="607">
        <v>2014</v>
      </c>
      <c r="G5" s="607">
        <v>2015</v>
      </c>
      <c r="H5" s="1055"/>
    </row>
    <row r="6" spans="1:12" s="611" customFormat="1" ht="18.75">
      <c r="A6" s="608" t="s">
        <v>452</v>
      </c>
      <c r="B6" s="609">
        <f t="shared" ref="B6:G6" si="0">B8+B7</f>
        <v>39</v>
      </c>
      <c r="C6" s="609">
        <f t="shared" si="0"/>
        <v>45</v>
      </c>
      <c r="D6" s="609">
        <f t="shared" si="0"/>
        <v>45</v>
      </c>
      <c r="E6" s="609">
        <f t="shared" si="0"/>
        <v>46</v>
      </c>
      <c r="F6" s="609">
        <f t="shared" si="0"/>
        <v>48</v>
      </c>
      <c r="G6" s="609">
        <f t="shared" si="0"/>
        <v>62</v>
      </c>
      <c r="H6" s="610" t="s">
        <v>453</v>
      </c>
    </row>
    <row r="7" spans="1:12" s="611" customFormat="1" ht="21">
      <c r="A7" s="612" t="s">
        <v>58</v>
      </c>
      <c r="B7" s="613">
        <v>20</v>
      </c>
      <c r="C7" s="613">
        <v>21</v>
      </c>
      <c r="D7" s="613">
        <v>19</v>
      </c>
      <c r="E7" s="613">
        <v>24</v>
      </c>
      <c r="F7" s="613">
        <v>22</v>
      </c>
      <c r="G7" s="613">
        <v>30</v>
      </c>
      <c r="H7" s="614" t="s">
        <v>142</v>
      </c>
    </row>
    <row r="8" spans="1:12" s="611" customFormat="1" ht="21">
      <c r="A8" s="612" t="s">
        <v>59</v>
      </c>
      <c r="B8" s="613">
        <v>19</v>
      </c>
      <c r="C8" s="613">
        <v>24</v>
      </c>
      <c r="D8" s="613">
        <v>26</v>
      </c>
      <c r="E8" s="613">
        <v>22</v>
      </c>
      <c r="F8" s="613">
        <v>26</v>
      </c>
      <c r="G8" s="613">
        <v>32</v>
      </c>
      <c r="H8" s="614" t="s">
        <v>143</v>
      </c>
    </row>
    <row r="9" spans="1:12" s="611" customFormat="1" ht="21">
      <c r="A9" s="561" t="s">
        <v>454</v>
      </c>
      <c r="B9" s="615">
        <v>21.2</v>
      </c>
      <c r="C9" s="615">
        <v>24</v>
      </c>
      <c r="D9" s="615">
        <v>24.5</v>
      </c>
      <c r="E9" s="615">
        <v>24.4</v>
      </c>
      <c r="F9" s="615">
        <v>25.9</v>
      </c>
      <c r="G9" s="420">
        <v>41.6</v>
      </c>
      <c r="H9" s="616" t="s">
        <v>455</v>
      </c>
    </row>
    <row r="10" spans="1:12" s="584" customFormat="1" ht="17.25">
      <c r="A10" s="617" t="s">
        <v>419</v>
      </c>
      <c r="B10" s="618"/>
      <c r="C10" s="618"/>
      <c r="D10" s="618"/>
      <c r="E10" s="618"/>
      <c r="F10" s="618"/>
      <c r="G10" s="618"/>
      <c r="H10" s="619" t="s">
        <v>420</v>
      </c>
      <c r="K10" s="611"/>
      <c r="L10" s="611"/>
    </row>
    <row r="11" spans="1:12" ht="15">
      <c r="A11" s="620"/>
      <c r="B11" s="620"/>
      <c r="C11" s="620"/>
      <c r="D11" s="620"/>
      <c r="E11" s="620"/>
      <c r="F11" s="620"/>
      <c r="G11" s="620"/>
      <c r="K11" s="611"/>
      <c r="L11" s="611"/>
    </row>
    <row r="12" spans="1:12" ht="15">
      <c r="A12" s="562"/>
      <c r="K12" s="611"/>
      <c r="L12" s="611"/>
    </row>
    <row r="13" spans="1:12" s="620" customFormat="1" ht="18.75">
      <c r="D13" s="621"/>
      <c r="E13" s="621"/>
      <c r="F13" s="621"/>
      <c r="G13" s="621"/>
      <c r="H13" s="621"/>
      <c r="K13" s="611"/>
      <c r="L13" s="611"/>
    </row>
    <row r="14" spans="1:12" ht="15">
      <c r="K14" s="611"/>
      <c r="L14" s="611"/>
    </row>
    <row r="15" spans="1:12" ht="15">
      <c r="K15" s="611"/>
      <c r="L15" s="611"/>
    </row>
    <row r="16" spans="1:12" ht="15">
      <c r="K16" s="611"/>
      <c r="L16" s="611"/>
    </row>
  </sheetData>
  <mergeCells count="5">
    <mergeCell ref="A2:H2"/>
    <mergeCell ref="A3:H3"/>
    <mergeCell ref="A4:A5"/>
    <mergeCell ref="B4:G4"/>
    <mergeCell ref="H4:H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26" sqref="P26"/>
    </sheetView>
  </sheetViews>
  <sheetFormatPr defaultRowHeight="1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3"/>
  <sheetViews>
    <sheetView workbookViewId="0">
      <selection activeCell="A40" sqref="A40"/>
    </sheetView>
  </sheetViews>
  <sheetFormatPr defaultColWidth="9.140625" defaultRowHeight="15"/>
  <cols>
    <col min="1" max="1" width="40.28515625" style="76" customWidth="1"/>
    <col min="2" max="5" width="14.28515625" style="76" customWidth="1"/>
    <col min="6" max="7" width="13.7109375" style="76" customWidth="1"/>
    <col min="8" max="8" width="38.5703125" style="76" customWidth="1"/>
    <col min="9" max="16384" width="9.140625" style="76"/>
  </cols>
  <sheetData>
    <row r="1" spans="1:28" ht="21">
      <c r="A1" s="1052" t="s">
        <v>740</v>
      </c>
      <c r="B1" s="1052"/>
      <c r="C1" s="1052"/>
      <c r="D1" s="1052"/>
      <c r="E1" s="1052"/>
      <c r="F1" s="1052"/>
      <c r="G1" s="1052"/>
      <c r="H1" s="1052"/>
    </row>
    <row r="2" spans="1:28">
      <c r="A2" s="977" t="s">
        <v>741</v>
      </c>
      <c r="B2" s="977"/>
      <c r="C2" s="977"/>
      <c r="D2" s="977"/>
      <c r="E2" s="977"/>
      <c r="F2" s="977"/>
      <c r="G2" s="977"/>
      <c r="H2" s="977"/>
    </row>
    <row r="3" spans="1:28">
      <c r="A3" s="424"/>
      <c r="B3" s="424"/>
      <c r="C3" s="424"/>
      <c r="D3" s="424"/>
      <c r="E3" s="424"/>
      <c r="F3" s="424"/>
      <c r="G3" s="424"/>
    </row>
    <row r="4" spans="1:28">
      <c r="A4" s="914" t="s">
        <v>742</v>
      </c>
      <c r="B4" s="978" t="s">
        <v>743</v>
      </c>
      <c r="C4" s="978"/>
      <c r="D4" s="978"/>
      <c r="E4" s="978"/>
      <c r="F4" s="978"/>
      <c r="G4" s="978"/>
      <c r="H4" s="1057" t="s">
        <v>135</v>
      </c>
    </row>
    <row r="5" spans="1:28">
      <c r="A5" s="915"/>
      <c r="B5" s="79">
        <v>2010</v>
      </c>
      <c r="C5" s="79">
        <v>2011</v>
      </c>
      <c r="D5" s="79">
        <v>2012</v>
      </c>
      <c r="E5" s="79">
        <v>2013</v>
      </c>
      <c r="F5" s="79">
        <v>2014</v>
      </c>
      <c r="G5" s="79">
        <v>2015</v>
      </c>
      <c r="H5" s="1058"/>
    </row>
    <row r="6" spans="1:28" s="94" customFormat="1" ht="16.5" customHeight="1">
      <c r="A6" s="93" t="s">
        <v>744</v>
      </c>
      <c r="B6" s="131">
        <f>SUM(B7:B8)</f>
        <v>202</v>
      </c>
      <c r="C6" s="131">
        <f>SUM(C7:C8)</f>
        <v>197</v>
      </c>
      <c r="D6" s="131">
        <f>SUM(D7:D8)</f>
        <v>164</v>
      </c>
      <c r="E6" s="131">
        <f>SUM(E7:E8)</f>
        <v>185</v>
      </c>
      <c r="F6" s="131">
        <f>SUM(F7:F8)</f>
        <v>182</v>
      </c>
      <c r="G6" s="829"/>
      <c r="H6" s="785" t="s">
        <v>146</v>
      </c>
    </row>
    <row r="7" spans="1:28" ht="19.5" customHeight="1">
      <c r="A7" s="82" t="s">
        <v>58</v>
      </c>
      <c r="B7" s="132">
        <v>198</v>
      </c>
      <c r="C7" s="132">
        <v>192</v>
      </c>
      <c r="D7" s="132">
        <v>159</v>
      </c>
      <c r="E7" s="132">
        <v>176</v>
      </c>
      <c r="F7" s="132">
        <v>174</v>
      </c>
      <c r="G7" s="450"/>
      <c r="H7" s="786" t="s">
        <v>142</v>
      </c>
      <c r="J7" s="409"/>
    </row>
    <row r="8" spans="1:28" s="410" customFormat="1" ht="21" customHeight="1">
      <c r="A8" s="82" t="s">
        <v>59</v>
      </c>
      <c r="B8" s="132">
        <v>4</v>
      </c>
      <c r="C8" s="132">
        <v>5</v>
      </c>
      <c r="D8" s="132">
        <v>5</v>
      </c>
      <c r="E8" s="132">
        <v>9</v>
      </c>
      <c r="F8" s="132">
        <v>8</v>
      </c>
      <c r="G8" s="450"/>
      <c r="H8" s="786" t="s">
        <v>143</v>
      </c>
      <c r="J8" s="787"/>
    </row>
    <row r="9" spans="1:28" ht="21">
      <c r="A9" s="561" t="s">
        <v>745</v>
      </c>
      <c r="B9" s="788">
        <v>211.38208</v>
      </c>
      <c r="C9" s="788">
        <v>253.832494</v>
      </c>
      <c r="D9" s="788">
        <v>298.93866270999996</v>
      </c>
      <c r="E9" s="788">
        <v>292.36569200000002</v>
      </c>
      <c r="F9" s="788">
        <v>326.90534851999996</v>
      </c>
      <c r="G9" s="789">
        <v>468.04598700000003</v>
      </c>
      <c r="H9" s="616" t="s">
        <v>746</v>
      </c>
    </row>
    <row r="10" spans="1:28" s="793" customFormat="1" ht="17.25">
      <c r="A10" s="790" t="s">
        <v>747</v>
      </c>
      <c r="B10" s="791"/>
      <c r="C10" s="791"/>
      <c r="D10" s="791"/>
      <c r="E10" s="791"/>
      <c r="F10" s="791"/>
      <c r="G10" s="791"/>
      <c r="H10" s="792" t="s">
        <v>748</v>
      </c>
    </row>
    <row r="11" spans="1:28" ht="17.25">
      <c r="A11" s="794" t="s">
        <v>749</v>
      </c>
      <c r="B11" s="793"/>
      <c r="C11" s="793"/>
      <c r="H11" s="795" t="s">
        <v>750</v>
      </c>
    </row>
    <row r="12" spans="1:28" s="793" customFormat="1" ht="12">
      <c r="C12" s="796"/>
    </row>
    <row r="13" spans="1:28" s="793" customFormat="1" ht="12">
      <c r="AA13" s="793">
        <f>AA15+AA16</f>
        <v>182</v>
      </c>
    </row>
    <row r="14" spans="1:28">
      <c r="A14" s="1056"/>
      <c r="B14" s="1056"/>
      <c r="C14" s="1056"/>
      <c r="D14" s="1056"/>
      <c r="E14" s="1056"/>
      <c r="F14" s="1056"/>
      <c r="G14" s="1056"/>
      <c r="H14" s="1056"/>
      <c r="W14" s="797">
        <v>2010</v>
      </c>
      <c r="X14" s="797">
        <v>2011</v>
      </c>
      <c r="Y14" s="797">
        <v>2012</v>
      </c>
      <c r="Z14" s="797">
        <v>2013</v>
      </c>
      <c r="AA14" s="76">
        <v>2014</v>
      </c>
      <c r="AB14" s="76" t="s">
        <v>751</v>
      </c>
    </row>
    <row r="15" spans="1:28">
      <c r="V15" s="82" t="s">
        <v>58</v>
      </c>
      <c r="W15" s="132">
        <v>198</v>
      </c>
      <c r="X15" s="132">
        <v>192</v>
      </c>
      <c r="Y15" s="132">
        <v>159</v>
      </c>
      <c r="Z15" s="132">
        <f>E7</f>
        <v>176</v>
      </c>
      <c r="AA15" s="76">
        <f>F7</f>
        <v>174</v>
      </c>
      <c r="AB15" s="798">
        <f>AA15/AA13*100</f>
        <v>95.604395604395606</v>
      </c>
    </row>
    <row r="16" spans="1:28">
      <c r="V16" s="82" t="s">
        <v>59</v>
      </c>
      <c r="W16" s="132">
        <v>4</v>
      </c>
      <c r="X16" s="132">
        <v>5</v>
      </c>
      <c r="Y16" s="132">
        <v>5</v>
      </c>
      <c r="Z16" s="132">
        <f>E8</f>
        <v>9</v>
      </c>
      <c r="AA16" s="76">
        <f>F8</f>
        <v>8</v>
      </c>
      <c r="AB16" s="798">
        <f>AA16/AA13*100</f>
        <v>4.395604395604396</v>
      </c>
    </row>
    <row r="17" spans="1:27">
      <c r="V17" s="76" t="s">
        <v>752</v>
      </c>
      <c r="W17" s="799">
        <f>W16/B6*100</f>
        <v>1.9801980198019802</v>
      </c>
      <c r="X17" s="799">
        <f>X16/C6*100</f>
        <v>2.5380710659898478</v>
      </c>
      <c r="Y17" s="799">
        <f>Y16/D6*100</f>
        <v>3.0487804878048781</v>
      </c>
      <c r="Z17" s="799">
        <f>Z16/E6*100</f>
        <v>4.8648648648648649</v>
      </c>
      <c r="AA17" s="799">
        <f>AA16/F6*100</f>
        <v>4.395604395604396</v>
      </c>
    </row>
    <row r="18" spans="1:27">
      <c r="A18" s="93"/>
    </row>
    <row r="20" spans="1:27">
      <c r="W20" s="132"/>
      <c r="X20" s="132"/>
      <c r="Y20" s="132"/>
    </row>
    <row r="21" spans="1:27">
      <c r="W21" s="132"/>
      <c r="X21" s="132"/>
      <c r="Y21" s="132"/>
    </row>
    <row r="22" spans="1:27">
      <c r="X22" s="76" t="s">
        <v>58</v>
      </c>
      <c r="Y22" s="76">
        <v>96</v>
      </c>
    </row>
    <row r="23" spans="1:27">
      <c r="X23" s="76" t="s">
        <v>59</v>
      </c>
      <c r="Y23" s="76">
        <v>4</v>
      </c>
    </row>
  </sheetData>
  <mergeCells count="6">
    <mergeCell ref="A14:H14"/>
    <mergeCell ref="A1:H1"/>
    <mergeCell ref="A2:H2"/>
    <mergeCell ref="A4:A5"/>
    <mergeCell ref="B4:G4"/>
    <mergeCell ref="H4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19</vt:i4>
      </vt:variant>
    </vt:vector>
  </HeadingPairs>
  <TitlesOfParts>
    <vt:vector size="48" baseType="lpstr">
      <vt:lpstr>8.1</vt:lpstr>
      <vt:lpstr>8.2</vt:lpstr>
      <vt:lpstr>8.3</vt:lpstr>
      <vt:lpstr>8.4</vt:lpstr>
      <vt:lpstr>8.5</vt:lpstr>
      <vt:lpstr>8.6</vt:lpstr>
      <vt:lpstr>8.7</vt:lpstr>
      <vt:lpstr>8.8</vt:lpstr>
      <vt:lpstr>8.9</vt:lpstr>
      <vt:lpstr>8.10</vt:lpstr>
      <vt:lpstr>8.11</vt:lpstr>
      <vt:lpstr>8.12</vt:lpstr>
      <vt:lpstr>8.13</vt:lpstr>
      <vt:lpstr>8.14</vt:lpstr>
      <vt:lpstr>8.15</vt:lpstr>
      <vt:lpstr>8.16</vt:lpstr>
      <vt:lpstr>8.17</vt:lpstr>
      <vt:lpstr>8.20 workings</vt:lpstr>
      <vt:lpstr>8.18</vt:lpstr>
      <vt:lpstr>8.19</vt:lpstr>
      <vt:lpstr>8.20</vt:lpstr>
      <vt:lpstr>8.21</vt:lpstr>
      <vt:lpstr>8.22</vt:lpstr>
      <vt:lpstr>8.23</vt:lpstr>
      <vt:lpstr>8.24</vt:lpstr>
      <vt:lpstr>8.25</vt:lpstr>
      <vt:lpstr>8.26</vt:lpstr>
      <vt:lpstr>8.27</vt:lpstr>
      <vt:lpstr>8.28</vt:lpstr>
      <vt:lpstr>'8.1'!Print_Area</vt:lpstr>
      <vt:lpstr>'8.10'!Print_Area</vt:lpstr>
      <vt:lpstr>'8.11'!Print_Area</vt:lpstr>
      <vt:lpstr>'8.12'!Print_Area</vt:lpstr>
      <vt:lpstr>'8.13'!Print_Area</vt:lpstr>
      <vt:lpstr>'8.14'!Print_Area</vt:lpstr>
      <vt:lpstr>'8.15'!Print_Area</vt:lpstr>
      <vt:lpstr>'8.16'!Print_Area</vt:lpstr>
      <vt:lpstr>'8.17'!Print_Area</vt:lpstr>
      <vt:lpstr>'8.19'!Print_Area</vt:lpstr>
      <vt:lpstr>'8.2'!Print_Area</vt:lpstr>
      <vt:lpstr>'8.21'!Print_Area</vt:lpstr>
      <vt:lpstr>'8.3'!Print_Area</vt:lpstr>
      <vt:lpstr>'8.4'!Print_Area</vt:lpstr>
      <vt:lpstr>'8.5'!Print_Area</vt:lpstr>
      <vt:lpstr>'8.6'!Print_Area</vt:lpstr>
      <vt:lpstr>'8.7'!Print_Area</vt:lpstr>
      <vt:lpstr>'8.8'!Print_Area</vt:lpstr>
      <vt:lpstr>'8.9'!Print_Area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2016-06-16T08:52:37Z</cp:lastPrinted>
  <dcterms:created xsi:type="dcterms:W3CDTF">2013-04-04T04:05:16Z</dcterms:created>
  <dcterms:modified xsi:type="dcterms:W3CDTF">2016-09-06T08:23:51Z</dcterms:modified>
</cp:coreProperties>
</file>