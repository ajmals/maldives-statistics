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13" sheetId="16" r:id="rId1"/>
  </sheets>
  <calcPr calcId="124519"/>
</workbook>
</file>

<file path=xl/calcChain.xml><?xml version="1.0" encoding="utf-8"?>
<calcChain xmlns="http://schemas.openxmlformats.org/spreadsheetml/2006/main">
  <c r="C18" i="16"/>
  <c r="C17"/>
  <c r="C16"/>
  <c r="C15"/>
  <c r="C14"/>
  <c r="C13"/>
  <c r="C12"/>
  <c r="C11"/>
  <c r="C10"/>
  <c r="C9"/>
  <c r="C8"/>
  <c r="C7"/>
  <c r="E6"/>
  <c r="D6"/>
  <c r="C6"/>
  <c r="B6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<sst xmlns="http://schemas.openxmlformats.org/spreadsheetml/2006/main" count="33" uniqueCount="33">
  <si>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</si>
  <si>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</si>
  <si>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</si>
  <si>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</si>
  <si>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</si>
  <si>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</si>
  <si>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</si>
  <si>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</si>
  <si>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</si>
  <si>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</si>
  <si>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</si>
  <si>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</si>
  <si>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</si>
  <si>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</si>
  <si>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</si>
  <si>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</si>
  <si>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</si>
  <si>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</si>
  <si>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</si>
  <si>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</si>
  <si>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</si>
  <si>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</si>
  <si>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</si>
  <si>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</si>
  <si>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</si>
  <si>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</si>
  <si>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</si>
  <si>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</si>
  <si>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</si>
  <si>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Private Limited</t>
  </si>
  <si>
    <r>
      <t xml:space="preserve">2012- 2009 ,urwvcnim unuverukcnunEb cnef </t>
    </r>
    <r>
      <rPr>
        <b/>
        <sz val="10"/>
        <rFont val="A_Reethi"/>
      </rPr>
      <t>ހުޅުމާލޭގައި</t>
    </r>
    <r>
      <rPr>
        <b/>
        <sz val="10"/>
        <rFont val="A_Randhoo"/>
      </rPr>
      <t xml:space="preserve"> cnutog eguhwmcswm  : 12.13  ulwvWt</t>
    </r>
  </si>
  <si>
    <t xml:space="preserve">Table 12.13 : WATER DISTRIBUTION  IN HULHUMALE' BY MONTH, 2009 - 2012                                    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</si>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</sst>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6" formatCode="0.0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12"/>
      <name val="Calibri"/>
      <family val="2"/>
      <scheme val="minor"/>
    </font>
    <font>
      <b/>
      <sz val="10"/>
      <name val="A_Randhoo"/>
    </font>
    <font>
      <sz val="10"/>
      <name val="Courier"/>
      <family val="3"/>
    </font>
    <font>
      <sz val="10"/>
      <name val="A_Randhoo"/>
    </font>
    <font>
      <sz val="10"/>
      <name val="Garamond"/>
      <family val="1"/>
    </font>
    <font>
      <b/>
      <sz val="10"/>
      <name val="A_Funa"/>
    </font>
    <font>
      <b/>
      <sz val="10"/>
      <name val="A_Reethi"/>
    </font>
    <font>
      <b/>
      <sz val="10"/>
      <name val="A_Randhoo A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4" fillId="2" borderId="0" xfId="3" applyFont="1" applyFill="1"/>
    <xf numFmtId="0" fontId="5" fillId="2" borderId="0" xfId="6" applyFont="1" applyFill="1"/>
    <xf numFmtId="0" fontId="8" fillId="3" borderId="0" xfId="3" applyFont="1" applyFill="1" applyBorder="1" applyAlignment="1">
      <alignment vertical="center" wrapText="1"/>
    </xf>
    <xf numFmtId="0" fontId="8" fillId="2" borderId="0" xfId="3" applyFont="1" applyFill="1" applyBorder="1" applyAlignment="1">
      <alignment horizontal="center" vertical="center" wrapText="1"/>
    </xf>
    <xf numFmtId="0" fontId="1" fillId="2" borderId="0" xfId="3" applyFont="1" applyFill="1" applyBorder="1"/>
    <xf numFmtId="0" fontId="1" fillId="3" borderId="0" xfId="3" applyFont="1" applyFill="1" applyBorder="1"/>
    <xf numFmtId="0" fontId="9" fillId="2" borderId="2" xfId="6" applyFont="1" applyFill="1" applyBorder="1" applyAlignment="1">
      <alignment horizontal="right"/>
    </xf>
    <xf numFmtId="0" fontId="9" fillId="2" borderId="0" xfId="6" applyFont="1" applyFill="1" applyBorder="1" applyAlignment="1">
      <alignment horizontal="right"/>
    </xf>
    <xf numFmtId="0" fontId="11" fillId="2" borderId="0" xfId="6" applyFont="1" applyFill="1" applyBorder="1" applyAlignment="1">
      <alignment horizontal="right"/>
    </xf>
    <xf numFmtId="0" fontId="11" fillId="2" borderId="1" xfId="6" applyFont="1" applyFill="1" applyBorder="1" applyAlignment="1">
      <alignment horizontal="right"/>
    </xf>
    <xf numFmtId="0" fontId="9" fillId="2" borderId="0" xfId="3" applyFont="1" applyFill="1" applyAlignment="1">
      <alignment vertical="center"/>
    </xf>
    <xf numFmtId="0" fontId="4" fillId="2" borderId="0" xfId="3" applyFont="1" applyFill="1" applyAlignment="1">
      <alignment wrapText="1"/>
    </xf>
    <xf numFmtId="0" fontId="4" fillId="2" borderId="0" xfId="3" applyFont="1" applyFill="1" applyBorder="1" applyAlignment="1">
      <alignment wrapText="1"/>
    </xf>
    <xf numFmtId="0" fontId="2" fillId="2" borderId="1" xfId="6" applyFont="1" applyFill="1" applyBorder="1" applyAlignment="1">
      <alignment horizontal="center" wrapText="1"/>
    </xf>
    <xf numFmtId="0" fontId="4" fillId="2" borderId="0" xfId="3" applyFont="1" applyFill="1" applyAlignment="1">
      <alignment vertical="center"/>
    </xf>
    <xf numFmtId="0" fontId="6" fillId="2" borderId="0" xfId="6" applyFont="1" applyFill="1" applyAlignment="1">
      <alignment horizontal="right"/>
    </xf>
    <xf numFmtId="0" fontId="2" fillId="2" borderId="2" xfId="6" applyFont="1" applyFill="1" applyBorder="1" applyAlignment="1">
      <alignment vertical="center"/>
    </xf>
    <xf numFmtId="0" fontId="2" fillId="2" borderId="2" xfId="6" applyFont="1" applyFill="1" applyBorder="1" applyAlignment="1">
      <alignment horizontal="right" vertical="center"/>
    </xf>
    <xf numFmtId="166" fontId="2" fillId="2" borderId="0" xfId="3" applyNumberFormat="1" applyFont="1" applyFill="1" applyAlignment="1">
      <alignment horizontal="right" vertical="center"/>
    </xf>
    <xf numFmtId="166" fontId="2" fillId="2" borderId="0" xfId="2" applyNumberFormat="1" applyFont="1" applyFill="1" applyAlignment="1">
      <alignment horizontal="right" vertical="center"/>
    </xf>
    <xf numFmtId="166" fontId="4" fillId="2" borderId="0" xfId="3" applyNumberFormat="1" applyFont="1" applyFill="1" applyAlignment="1">
      <alignment horizontal="right" vertical="center"/>
    </xf>
    <xf numFmtId="166" fontId="4" fillId="2" borderId="0" xfId="2" applyNumberFormat="1" applyFont="1" applyFill="1" applyAlignment="1">
      <alignment horizontal="right" vertical="center"/>
    </xf>
    <xf numFmtId="166" fontId="4" fillId="2" borderId="1" xfId="3" applyNumberFormat="1" applyFont="1" applyFill="1" applyBorder="1" applyAlignment="1">
      <alignment horizontal="right" vertical="center"/>
    </xf>
    <xf numFmtId="166" fontId="4" fillId="2" borderId="1" xfId="2" applyNumberFormat="1" applyFont="1" applyFill="1" applyBorder="1" applyAlignment="1">
      <alignment horizontal="right" vertical="center"/>
    </xf>
    <xf numFmtId="0" fontId="2" fillId="2" borderId="0" xfId="6" applyFont="1" applyFill="1" applyBorder="1" applyAlignment="1">
      <alignment vertical="center"/>
    </xf>
    <xf numFmtId="0" fontId="4" fillId="2" borderId="0" xfId="6" applyFont="1" applyFill="1" applyBorder="1" applyAlignment="1">
      <alignment vertical="center"/>
    </xf>
    <xf numFmtId="0" fontId="4" fillId="2" borderId="1" xfId="6" applyFont="1" applyFill="1" applyBorder="1" applyAlignment="1">
      <alignment vertical="center"/>
    </xf>
    <xf numFmtId="0" fontId="3" fillId="2" borderId="0" xfId="3" applyFont="1" applyFill="1" applyBorder="1" applyAlignment="1">
      <alignment vertical="center"/>
    </xf>
    <xf numFmtId="0" fontId="13" fillId="3" borderId="0" xfId="3" applyFont="1" applyFill="1" applyBorder="1" applyAlignment="1">
      <alignment vertical="center" wrapText="1"/>
    </xf>
    <xf numFmtId="0" fontId="9" fillId="2" borderId="0" xfId="3" applyFont="1" applyFill="1" applyAlignment="1">
      <alignment horizontal="center" vertical="center"/>
    </xf>
    <xf numFmtId="0" fontId="3" fillId="2" borderId="0" xfId="3" applyFont="1" applyFill="1" applyBorder="1" applyAlignment="1">
      <alignment horizontal="center" vertical="center"/>
    </xf>
    <xf numFmtId="0" fontId="2" fillId="2" borderId="0" xfId="6" applyFont="1" applyFill="1" applyBorder="1" applyAlignment="1">
      <alignment horizontal="center" wrapText="1"/>
    </xf>
  </cellXfs>
  <cellStyles count="10">
    <cellStyle name="Comma 2" xfId="1"/>
    <cellStyle name="Comma 3" xfId="4"/>
    <cellStyle name="Comma 4" xfId="2"/>
    <cellStyle name="Comma 4 2" xfId="5"/>
    <cellStyle name="Normal" xfId="0" builtinId="0"/>
    <cellStyle name="Normal 2" xfId="3"/>
    <cellStyle name="Normal 2 2" xfId="7"/>
    <cellStyle name="Normal 3" xfId="8"/>
    <cellStyle name="Normal 4" xfId="9"/>
    <cellStyle name="Normal_X-5 (Electricity)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>
      <selection activeCell="A6" sqref="A6"/>
    </sheetView>
  </sheetViews>
  <sheetFormatPr defaultRowHeight="12.75"/>
  <cols>
    <col min="1" max="1" width="14" style="1" customWidth="1"/>
    <col min="2" max="5" width="13.7109375" style="1" customWidth="1"/>
    <col min="6" max="6" width="15.28515625" style="1" customWidth="1"/>
    <col min="7" max="16384" width="9.140625" style="1"/>
  </cols>
  <sheetData>
    <row r="1" spans="1:29" ht="18.75">
      <c r="A1" s="30" t="s">
        <v>30</v>
      </c>
      <c r="B1" s="30"/>
      <c r="C1" s="30"/>
      <c r="D1" s="30"/>
      <c r="E1" s="30"/>
      <c r="F1" s="30"/>
    </row>
    <row r="2" spans="1:29" s="12" customFormat="1" ht="11.25" customHeight="1">
      <c r="A2" s="32" t="s">
        <v>31</v>
      </c>
      <c r="B2" s="32"/>
      <c r="C2" s="32"/>
      <c r="D2" s="32"/>
      <c r="E2" s="32"/>
      <c r="F2" s="32"/>
    </row>
    <row r="3" spans="1:29" s="6" customFormat="1" ht="15.75" customHeight="1">
      <c r="A3" s="31" t="s">
        <v>32</v>
      </c>
      <c r="B3" s="31"/>
      <c r="C3" s="31"/>
      <c r="D3" s="31"/>
      <c r="E3" s="31"/>
      <c r="F3" s="31"/>
      <c r="G3" s="28"/>
      <c r="H3" s="28"/>
      <c r="I3" s="29"/>
      <c r="J3" s="29"/>
      <c r="K3" s="29"/>
      <c r="L3" s="29"/>
      <c r="M3" s="29"/>
      <c r="N3" s="3"/>
      <c r="O3" s="3"/>
      <c r="P3" s="3"/>
      <c r="Q3" s="3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13" customFormat="1" ht="5.25" customHeight="1">
      <c r="B4" s="14"/>
    </row>
    <row r="5" spans="1:29" s="15" customFormat="1" ht="15.75">
      <c r="A5" s="17" t="s">
        <v>5</v>
      </c>
      <c r="B5" s="18">
        <v>2009</v>
      </c>
      <c r="C5" s="18">
        <v>2010</v>
      </c>
      <c r="D5" s="18">
        <v>2011</v>
      </c>
      <c r="E5" s="18">
        <v>2012</v>
      </c>
      <c r="F5" s="7" t="s">
        <v>6</v>
      </c>
    </row>
    <row r="6" spans="1:29" ht="21.75" customHeight="1">
      <c r="A6" s="25" t="s">
        <v>8</v>
      </c>
      <c r="B6" s="19">
        <f>SUM(B7:B18)</f>
        <v>138.17469999999997</v>
      </c>
      <c r="C6" s="19">
        <f>SUM(C7:C18)</f>
        <v>195.63159999999999</v>
      </c>
      <c r="D6" s="19">
        <f>SUM(D7:D18)</f>
        <v>260.71799999999996</v>
      </c>
      <c r="E6" s="20">
        <f>SUM(E7:E18)</f>
        <v>398.70199999999994</v>
      </c>
      <c r="F6" s="8" t="s">
        <v>0</v>
      </c>
    </row>
    <row r="7" spans="1:29" ht="21.75" customHeight="1">
      <c r="A7" s="26" t="s">
        <v>9</v>
      </c>
      <c r="B7" s="21">
        <v>9.6440999999999999</v>
      </c>
      <c r="C7" s="21">
        <f>16473.3/1000</f>
        <v>16.473299999999998</v>
      </c>
      <c r="D7" s="21">
        <v>16.818999999999999</v>
      </c>
      <c r="E7" s="22">
        <v>28.876000000000001</v>
      </c>
      <c r="F7" s="9" t="s">
        <v>10</v>
      </c>
    </row>
    <row r="8" spans="1:29" ht="21.75" customHeight="1">
      <c r="A8" s="26" t="s">
        <v>11</v>
      </c>
      <c r="B8" s="21">
        <v>9.4510000000000005</v>
      </c>
      <c r="C8" s="21">
        <f>15613.3/1000</f>
        <v>15.613299999999999</v>
      </c>
      <c r="D8" s="21">
        <v>15.41</v>
      </c>
      <c r="E8" s="22">
        <v>27.745999999999999</v>
      </c>
      <c r="F8" s="9" t="s">
        <v>12</v>
      </c>
    </row>
    <row r="9" spans="1:29" ht="21.75" customHeight="1">
      <c r="A9" s="26" t="s">
        <v>13</v>
      </c>
      <c r="B9" s="21">
        <v>11.5985</v>
      </c>
      <c r="C9" s="21">
        <f>17038.5/1000</f>
        <v>17.038499999999999</v>
      </c>
      <c r="D9" s="21">
        <v>19.492999999999999</v>
      </c>
      <c r="E9" s="22">
        <v>30.925999999999998</v>
      </c>
      <c r="F9" s="9" t="s">
        <v>1</v>
      </c>
    </row>
    <row r="10" spans="1:29" ht="21.75" customHeight="1">
      <c r="A10" s="26" t="s">
        <v>14</v>
      </c>
      <c r="B10" s="21">
        <v>11.151399999999999</v>
      </c>
      <c r="C10" s="21">
        <f>16484.3/1000</f>
        <v>16.484299999999998</v>
      </c>
      <c r="D10" s="21">
        <v>19.390999999999998</v>
      </c>
      <c r="E10" s="22">
        <v>32.526000000000003</v>
      </c>
      <c r="F10" s="9" t="s">
        <v>15</v>
      </c>
    </row>
    <row r="11" spans="1:29" ht="21.75" customHeight="1">
      <c r="A11" s="26" t="s">
        <v>16</v>
      </c>
      <c r="B11" s="21">
        <v>10.584700000000002</v>
      </c>
      <c r="C11" s="21">
        <f>15456.1/1000</f>
        <v>15.456100000000001</v>
      </c>
      <c r="D11" s="21">
        <v>21.202000000000002</v>
      </c>
      <c r="E11" s="22">
        <v>35.826000000000001</v>
      </c>
      <c r="F11" s="9" t="s">
        <v>2</v>
      </c>
    </row>
    <row r="12" spans="1:29" ht="21.75" customHeight="1">
      <c r="A12" s="26" t="s">
        <v>17</v>
      </c>
      <c r="B12" s="21">
        <v>10.6518</v>
      </c>
      <c r="C12" s="21">
        <f>15278.5/1000</f>
        <v>15.278499999999999</v>
      </c>
      <c r="D12" s="21">
        <v>20.731999999999999</v>
      </c>
      <c r="E12" s="22">
        <v>36.28</v>
      </c>
      <c r="F12" s="9" t="s">
        <v>3</v>
      </c>
    </row>
    <row r="13" spans="1:29" ht="21.75" customHeight="1">
      <c r="A13" s="26" t="s">
        <v>18</v>
      </c>
      <c r="B13" s="21">
        <v>11.2951</v>
      </c>
      <c r="C13" s="21">
        <f>15662.1/1000</f>
        <v>15.662100000000001</v>
      </c>
      <c r="D13" s="21">
        <v>22.3</v>
      </c>
      <c r="E13" s="22">
        <v>39.279000000000003</v>
      </c>
      <c r="F13" s="9" t="s">
        <v>4</v>
      </c>
    </row>
    <row r="14" spans="1:29" ht="21.75" customHeight="1">
      <c r="A14" s="26" t="s">
        <v>19</v>
      </c>
      <c r="B14" s="21">
        <v>12.038500000000001</v>
      </c>
      <c r="C14" s="21">
        <f>16729/1000</f>
        <v>16.728999999999999</v>
      </c>
      <c r="D14" s="21">
        <v>24.875</v>
      </c>
      <c r="E14" s="22">
        <v>37.287999999999997</v>
      </c>
      <c r="F14" s="9" t="s">
        <v>20</v>
      </c>
    </row>
    <row r="15" spans="1:29" ht="21.75" customHeight="1">
      <c r="A15" s="26" t="s">
        <v>21</v>
      </c>
      <c r="B15" s="21">
        <v>12.564</v>
      </c>
      <c r="C15" s="21">
        <f>16091.8/1000</f>
        <v>16.091799999999999</v>
      </c>
      <c r="D15" s="21">
        <v>23.678000000000001</v>
      </c>
      <c r="E15" s="22">
        <v>34.450000000000003</v>
      </c>
      <c r="F15" s="9" t="s">
        <v>22</v>
      </c>
    </row>
    <row r="16" spans="1:29" ht="21.75" customHeight="1">
      <c r="A16" s="26" t="s">
        <v>23</v>
      </c>
      <c r="B16" s="21">
        <v>13.288799999999998</v>
      </c>
      <c r="C16" s="21">
        <f>18183/1000</f>
        <v>18.183</v>
      </c>
      <c r="D16" s="21">
        <v>26.515999999999998</v>
      </c>
      <c r="E16" s="22">
        <v>32.64</v>
      </c>
      <c r="F16" s="9" t="s">
        <v>24</v>
      </c>
    </row>
    <row r="17" spans="1:9" ht="21.75" customHeight="1">
      <c r="A17" s="26" t="s">
        <v>25</v>
      </c>
      <c r="B17" s="21">
        <v>12.004200000000001</v>
      </c>
      <c r="C17" s="21">
        <f>16258.8/1000</f>
        <v>16.258800000000001</v>
      </c>
      <c r="D17" s="21">
        <v>23.587</v>
      </c>
      <c r="E17" s="22">
        <v>31.102</v>
      </c>
      <c r="F17" s="9" t="s">
        <v>26</v>
      </c>
    </row>
    <row r="18" spans="1:9" ht="21.75" customHeight="1">
      <c r="A18" s="27" t="s">
        <v>27</v>
      </c>
      <c r="B18" s="23">
        <v>13.9026</v>
      </c>
      <c r="C18" s="23">
        <f>16362.9/1000</f>
        <v>16.3629</v>
      </c>
      <c r="D18" s="23">
        <v>26.715</v>
      </c>
      <c r="E18" s="24">
        <v>31.763000000000002</v>
      </c>
      <c r="F18" s="10" t="s">
        <v>28</v>
      </c>
    </row>
    <row r="19" spans="1:9" ht="15.75">
      <c r="A19" s="2" t="s">
        <v>29</v>
      </c>
      <c r="F19" s="16" t="s">
        <v>7</v>
      </c>
    </row>
    <row r="21" spans="1:9" ht="15.75">
      <c r="B21" s="11"/>
      <c r="C21" s="11"/>
      <c r="D21" s="11"/>
      <c r="E21" s="11"/>
      <c r="F21" s="11"/>
      <c r="G21" s="11"/>
      <c r="H21" s="11"/>
      <c r="I21" s="11"/>
    </row>
  </sheetData>
  <mergeCells count="3">
    <mergeCell ref="A1:F1"/>
    <mergeCell ref="A2:F2"/>
    <mergeCell ref="A3:F3"/>
  </mergeCells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12.13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2013-07-03T04:34:16Z</dcterms:modified>
</cp:coreProperties>
</file>