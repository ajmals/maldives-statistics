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15135" windowHeight="7365" tabRatio="892"/>
  </bookViews>
  <sheets>
    <sheet name="12.4" sheetId="5" r:id="rId1"/>
  </sheets>
  <definedNames>
    <definedName name="_xlnm.Print_Area" localSheetId="0">'12.4'!$A$1:$II$35</definedName>
  </definedNames>
  <calcPr calcId="124519"/>
</workbook>
</file>

<file path=xl/calcChain.xml><?xml version="1.0" encoding="utf-8"?>
<calcChain xmlns="http://schemas.openxmlformats.org/spreadsheetml/2006/main">
  <c r="C5" i="5"/>
  <c r="B6"/>
  <c r="B33" l="1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B9"/>
  <c r="B8"/>
  <c r="B7"/>
  <c r="B5" s="1"/>
  <c r="N5"/>
  <c r="M5"/>
  <c r="L5"/>
  <c r="K5"/>
  <c r="J5"/>
  <c r="I5"/>
  <c r="H5"/>
  <c r="G5"/>
  <c r="F5"/>
  <c r="E5"/>
  <c r="D5"/>
</calcChain>
</file>

<file path=xl/sharedStrings.xml><?xml version="1.0" encoding="utf-8"?>
<sst xmlns="http://schemas.openxmlformats.org/spreadsheetml/2006/main" count="139" uniqueCount="80">
  <si>
    <t>Source: State Electric Company Limited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</si>
  <si>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</si>
  <si>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</si>
  <si>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</si>
  <si>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</si>
  <si>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</si>
  <si>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</si>
  <si>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</si>
  <si>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</si>
  <si>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</si>
  <si>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</si>
  <si>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</si>
  <si>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</si>
  <si>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Locality</t>
  </si>
  <si>
    <t>wlcmuj</t>
  </si>
  <si>
    <t>Total</t>
  </si>
  <si>
    <t>K.Kaashidhoo</t>
  </si>
  <si>
    <t>K.Gaafaru</t>
  </si>
  <si>
    <t>ކ. ގާފަރު</t>
  </si>
  <si>
    <t>K.Dhiffushi</t>
  </si>
  <si>
    <t>ކ. ދިއްފުށި</t>
  </si>
  <si>
    <t>K.Thulusdhoo</t>
  </si>
  <si>
    <t>K.Himmafushi</t>
  </si>
  <si>
    <t>K.Hulhumale</t>
  </si>
  <si>
    <t>K.Thilafushi</t>
  </si>
  <si>
    <t>K.Gulhifalhu</t>
  </si>
  <si>
    <t>ކ. ގުޅިފަޅު</t>
  </si>
  <si>
    <t>K.Male'</t>
  </si>
  <si>
    <t>K.Villingili</t>
  </si>
  <si>
    <t>K.Gulhi</t>
  </si>
  <si>
    <t>ކ. ގުޅި</t>
  </si>
  <si>
    <t>K.Maafushi</t>
  </si>
  <si>
    <t>K.Guraidhoo</t>
  </si>
  <si>
    <t>AA.Ukulhas</t>
  </si>
  <si>
    <t>އއ.އުކުޅަސް</t>
  </si>
  <si>
    <t>AA.Mathiveri</t>
  </si>
  <si>
    <t>AA.Bodufolhudhoo</t>
  </si>
  <si>
    <t>AA.Feridhoo</t>
  </si>
  <si>
    <t>AA.Maalhos</t>
  </si>
  <si>
    <t>AA.Himandhoo</t>
  </si>
  <si>
    <t>V.Fulidhoo</t>
  </si>
  <si>
    <t>V.Thinadhoo</t>
  </si>
  <si>
    <t>V.Keyodhoo</t>
  </si>
  <si>
    <t>V.Rakeedhoo</t>
  </si>
  <si>
    <t>cDeTimil Inepcmok ckircTckeliacTETcs :ctWrwf ivcaedutWmUluAwm</t>
  </si>
  <si>
    <t>Note: Missing data not registered since the island was not under STELCO at that time.</t>
  </si>
  <si>
    <t>(In '000 litres)</t>
  </si>
  <si>
    <t xml:space="preserve"> </t>
  </si>
  <si>
    <t>ކ. ކާށިދޫ</t>
  </si>
  <si>
    <t>ކ. ތުލުސްދޫ</t>
  </si>
  <si>
    <t>ކ. ހިންމަފުށި</t>
  </si>
  <si>
    <t>ކ. ހުޅުމާލެ</t>
  </si>
  <si>
    <t>ކ. ތިލަފުށި</t>
  </si>
  <si>
    <t>ކ. މާލެ</t>
  </si>
  <si>
    <t>ކ. ވިލިނގިލި</t>
  </si>
  <si>
    <t>ކ. މާފުށި</t>
  </si>
  <si>
    <t>ކ. ގުރައިދޫ</t>
  </si>
  <si>
    <t>އދ.އޮމަދޫ</t>
  </si>
  <si>
    <t>އދ.ދިގުރަށް</t>
  </si>
  <si>
    <t>އއ.މަތިވެރި</t>
  </si>
  <si>
    <t>އއ.ފެރިދޫ</t>
  </si>
  <si>
    <t>އއ.މާޅޮސް</t>
  </si>
  <si>
    <t>ވ.ރަކީދޫ</t>
  </si>
  <si>
    <t>ވ.ތިނަދޫ</t>
  </si>
  <si>
    <t>ވ.ކެޔޮދޫ</t>
  </si>
  <si>
    <t>ވ.ފެލިދޫ</t>
  </si>
  <si>
    <t>އދ.ކުނބުރުދޫ</t>
  </si>
  <si>
    <t>އދ.ފެންފުށި</t>
  </si>
  <si>
    <t>އދ.ދިއްދޫ</t>
  </si>
  <si>
    <t>އއ.ބޮޑުފުޅަދޫ</t>
  </si>
  <si>
    <t>އއ.ހިމަންދޫ</t>
  </si>
  <si>
    <t xml:space="preserve"> - </t>
  </si>
  <si>
    <t xml:space="preserve">ނޯޓް: ބައެއް މަސްމަހުގައި ޑޭޓާ ނެތީ އެތަންތަން އެއިރު ހިނގަމުންއައީ ސްޓެލްކޯގެ ދަށުން ކަމުގައި ނުވާތީއެވެ. </t>
  </si>
  <si>
    <t>ADh.Omadhoo</t>
  </si>
  <si>
    <t>ADh.Kunburudhoo</t>
  </si>
  <si>
    <t>ADh.Dhigurah</t>
  </si>
  <si>
    <t>ADh.Fenfushi</t>
  </si>
  <si>
    <t>ADh.Dhihdhoo</t>
  </si>
  <si>
    <t>Table  12.4 :   MONTHLY CONSUMPTION OF LUB OIL FOR ELECTRICITY GENERATION IN SELECTED LOCALITIES BY PUBLIC SECTOR, 2012</t>
  </si>
  <si>
    <t>ތާވަލު 12.4: މާލެއާއި އަތޮޅުތަކުގައި ސަރުކާރުގެ ފަރާތުން ސަރުކާރުގެ ފަރާތުން އެކިމަސްމަހު ކަރަންޓް އުފެއްދުމަށްޓަކާ އަޑީތެޔޮ ބޭނުންކުރެވިފައިވާ މިންވަރު، 2012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</si>
</sst>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_(* #,##0_);_(* \(#,##0\);_(* &quot;-&quot;??_);_(@_)"/>
    <numFmt numFmtId="168" formatCode="_(* #,##0.0_);_(* \(#,##0.0\);_(* &quot;-&quot;??_);_(@_)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0"/>
      <color theme="1"/>
      <name val="Calibri"/>
      <family val="2"/>
      <scheme val="minor"/>
    </font>
    <font>
      <sz val="10"/>
      <name val="Garamond"/>
      <family val="1"/>
    </font>
    <font>
      <sz val="10"/>
      <color theme="1"/>
      <name val="Calibri"/>
      <family val="2"/>
      <scheme val="minor"/>
    </font>
    <font>
      <sz val="10"/>
      <color theme="1"/>
      <name val="Faruma"/>
    </font>
    <font>
      <b/>
      <sz val="12"/>
      <color theme="1"/>
      <name val="Faruma"/>
    </font>
    <font>
      <sz val="12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0"/>
      <color theme="1"/>
      <name val="A_Faseyha"/>
    </font>
    <font>
      <sz val="12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_Faseyha"/>
    </font>
    <font>
      <i/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Calibri"/>
      <family val="2"/>
      <scheme val="minor"/>
    </font>
    <font>
      <sz val="9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</cellStyleXfs>
  <cellXfs count="39">
    <xf numFmtId="0" fontId="0" fillId="0" borderId="0" xfId="0"/>
    <xf numFmtId="0" fontId="9" fillId="2" borderId="0" xfId="0" applyFont="1" applyFill="1" applyBorder="1" applyAlignment="1">
      <alignment horizontal="right" vertical="center"/>
    </xf>
    <xf numFmtId="0" fontId="13" fillId="2" borderId="3" xfId="4" applyFont="1" applyFill="1" applyBorder="1" applyAlignment="1">
      <alignment vertical="center"/>
    </xf>
    <xf numFmtId="0" fontId="12" fillId="2" borderId="11" xfId="0" applyFont="1" applyFill="1" applyBorder="1" applyAlignment="1">
      <alignment horizontal="left" vertical="center"/>
    </xf>
    <xf numFmtId="0" fontId="14" fillId="2" borderId="9" xfId="0" applyFont="1" applyFill="1" applyBorder="1" applyAlignment="1">
      <alignment horizontal="right" vertical="center"/>
    </xf>
    <xf numFmtId="0" fontId="15" fillId="2" borderId="3" xfId="4" applyFont="1" applyFill="1" applyBorder="1" applyAlignment="1">
      <alignment vertical="center"/>
    </xf>
    <xf numFmtId="0" fontId="6" fillId="2" borderId="2" xfId="0" applyFont="1" applyFill="1" applyBorder="1" applyAlignment="1">
      <alignment horizontal="left" vertical="center"/>
    </xf>
    <xf numFmtId="0" fontId="7" fillId="2" borderId="12" xfId="0" applyFont="1" applyFill="1" applyBorder="1" applyAlignment="1">
      <alignment horizontal="right" vertical="center"/>
    </xf>
    <xf numFmtId="0" fontId="6" fillId="2" borderId="5" xfId="0" applyFont="1" applyFill="1" applyBorder="1" applyAlignment="1">
      <alignment horizontal="left" vertical="center"/>
    </xf>
    <xf numFmtId="0" fontId="7" fillId="2" borderId="8" xfId="0" applyFont="1" applyFill="1" applyBorder="1" applyAlignment="1">
      <alignment horizontal="right" vertical="center"/>
    </xf>
    <xf numFmtId="0" fontId="16" fillId="2" borderId="3" xfId="4" applyFont="1" applyFill="1" applyBorder="1" applyAlignment="1">
      <alignment vertical="center"/>
    </xf>
    <xf numFmtId="0" fontId="4" fillId="2" borderId="6" xfId="4" applyFont="1" applyFill="1" applyBorder="1" applyAlignment="1">
      <alignment vertical="center"/>
    </xf>
    <xf numFmtId="0" fontId="4" fillId="2" borderId="6" xfId="4" applyFont="1" applyFill="1" applyBorder="1" applyAlignment="1">
      <alignment horizontal="right" vertical="center"/>
    </xf>
    <xf numFmtId="0" fontId="4" fillId="2" borderId="6" xfId="4" applyFont="1" applyFill="1" applyBorder="1" applyAlignment="1" applyProtection="1">
      <alignment horizontal="right" vertical="center"/>
    </xf>
    <xf numFmtId="0" fontId="19" fillId="2" borderId="6" xfId="4" applyFont="1" applyFill="1" applyBorder="1" applyAlignment="1">
      <alignment vertical="center"/>
    </xf>
    <xf numFmtId="0" fontId="19" fillId="2" borderId="3" xfId="4" applyFont="1" applyFill="1" applyBorder="1" applyAlignment="1">
      <alignment vertical="center"/>
    </xf>
    <xf numFmtId="0" fontId="11" fillId="2" borderId="3" xfId="4" applyFont="1" applyFill="1" applyBorder="1" applyAlignment="1">
      <alignment vertical="center"/>
    </xf>
    <xf numFmtId="0" fontId="18" fillId="2" borderId="3" xfId="4" applyFont="1" applyFill="1" applyBorder="1" applyAlignment="1">
      <alignment vertical="center"/>
    </xf>
    <xf numFmtId="0" fontId="10" fillId="2" borderId="7" xfId="4" applyFont="1" applyFill="1" applyBorder="1" applyAlignment="1" applyProtection="1">
      <alignment horizontal="left" vertical="center"/>
    </xf>
    <xf numFmtId="37" fontId="20" fillId="2" borderId="7" xfId="4" applyNumberFormat="1" applyFont="1" applyFill="1" applyBorder="1" applyAlignment="1" applyProtection="1">
      <alignment vertical="center"/>
    </xf>
    <xf numFmtId="0" fontId="20" fillId="2" borderId="7" xfId="4" applyFont="1" applyFill="1" applyBorder="1" applyAlignment="1">
      <alignment vertical="center"/>
    </xf>
    <xf numFmtId="0" fontId="10" fillId="2" borderId="7" xfId="4" applyFont="1" applyFill="1" applyBorder="1" applyAlignment="1">
      <alignment vertical="top"/>
    </xf>
    <xf numFmtId="0" fontId="10" fillId="2" borderId="7" xfId="4" applyFont="1" applyFill="1" applyBorder="1" applyAlignment="1" applyProtection="1">
      <alignment horizontal="left" vertical="top"/>
    </xf>
    <xf numFmtId="0" fontId="21" fillId="2" borderId="0" xfId="0" applyFont="1" applyFill="1" applyAlignment="1">
      <alignment vertical="top"/>
    </xf>
    <xf numFmtId="0" fontId="17" fillId="2" borderId="0" xfId="0" applyFont="1" applyFill="1" applyBorder="1" applyAlignment="1">
      <alignment horizontal="right" vertical="top"/>
    </xf>
    <xf numFmtId="0" fontId="16" fillId="2" borderId="3" xfId="4" applyFont="1" applyFill="1" applyBorder="1" applyAlignment="1">
      <alignment vertical="top"/>
    </xf>
    <xf numFmtId="168" fontId="4" fillId="2" borderId="3" xfId="1" applyNumberFormat="1" applyFont="1" applyFill="1" applyBorder="1" applyAlignment="1">
      <alignment horizontal="right" vertical="center"/>
    </xf>
    <xf numFmtId="168" fontId="6" fillId="2" borderId="3" xfId="1" applyNumberFormat="1" applyFont="1" applyFill="1" applyBorder="1" applyAlignment="1">
      <alignment horizontal="right" vertical="center"/>
    </xf>
    <xf numFmtId="168" fontId="4" fillId="2" borderId="8" xfId="1" applyNumberFormat="1" applyFont="1" applyFill="1" applyBorder="1" applyAlignment="1">
      <alignment horizontal="right" vertical="center"/>
    </xf>
    <xf numFmtId="168" fontId="6" fillId="2" borderId="8" xfId="1" applyNumberFormat="1" applyFont="1" applyFill="1" applyBorder="1" applyAlignment="1">
      <alignment horizontal="right" vertical="center"/>
    </xf>
    <xf numFmtId="0" fontId="8" fillId="2" borderId="12" xfId="4" applyFont="1" applyFill="1" applyBorder="1" applyAlignment="1">
      <alignment horizontal="center" vertical="center"/>
    </xf>
    <xf numFmtId="0" fontId="8" fillId="2" borderId="1" xfId="4" applyFont="1" applyFill="1" applyBorder="1" applyAlignment="1">
      <alignment horizontal="center" vertical="center"/>
    </xf>
    <xf numFmtId="0" fontId="8" fillId="2" borderId="2" xfId="4" applyFont="1" applyFill="1" applyBorder="1" applyAlignment="1">
      <alignment horizontal="center" vertical="center"/>
    </xf>
    <xf numFmtId="0" fontId="4" fillId="2" borderId="12" xfId="4" applyFont="1" applyFill="1" applyBorder="1" applyAlignment="1" applyProtection="1">
      <alignment horizontal="center" vertical="center"/>
    </xf>
    <xf numFmtId="0" fontId="4" fillId="2" borderId="1" xfId="4" applyFont="1" applyFill="1" applyBorder="1" applyAlignment="1" applyProtection="1">
      <alignment horizontal="center" vertical="center"/>
    </xf>
    <xf numFmtId="0" fontId="4" fillId="2" borderId="2" xfId="4" applyFont="1" applyFill="1" applyBorder="1" applyAlignment="1" applyProtection="1">
      <alignment horizontal="center" vertical="center"/>
    </xf>
    <xf numFmtId="0" fontId="12" fillId="2" borderId="10" xfId="4" applyFont="1" applyFill="1" applyBorder="1" applyAlignment="1" applyProtection="1">
      <alignment horizontal="center" vertical="center"/>
    </xf>
    <xf numFmtId="0" fontId="12" fillId="2" borderId="4" xfId="4" applyFont="1" applyFill="1" applyBorder="1" applyAlignment="1" applyProtection="1">
      <alignment horizontal="center" vertical="center"/>
    </xf>
    <xf numFmtId="0" fontId="12" fillId="2" borderId="5" xfId="4" applyFont="1" applyFill="1" applyBorder="1" applyAlignment="1" applyProtection="1">
      <alignment horizontal="center" vertical="center"/>
    </xf>
  </cellXfs>
  <cellStyles count="10">
    <cellStyle name="Comma" xfId="1" builtinId="3"/>
    <cellStyle name="Comma 2" xfId="2"/>
    <cellStyle name="Comma 3" xfId="5"/>
    <cellStyle name="Comma 4" xfId="3"/>
    <cellStyle name="Comma 4 2" xfId="6"/>
    <cellStyle name="Normal" xfId="0" builtinId="0"/>
    <cellStyle name="Normal 2" xfId="4"/>
    <cellStyle name="Normal 2 2" xfId="7"/>
    <cellStyle name="Normal 3" xfId="8"/>
    <cellStyle name="Normal 4" xfId="9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I38"/>
  <sheetViews>
    <sheetView tabSelected="1" workbookViewId="0">
      <selection activeCell="M20" sqref="M20"/>
    </sheetView>
  </sheetViews>
  <sheetFormatPr defaultColWidth="11.140625" defaultRowHeight="15.75" customHeight="1"/>
  <cols>
    <col min="1" max="1" width="14" style="5" customWidth="1"/>
    <col min="2" max="14" width="9.42578125" style="5" customWidth="1"/>
    <col min="15" max="15" width="13.5703125" style="5" customWidth="1"/>
    <col min="16" max="16" width="3.5703125" style="5" customWidth="1"/>
    <col min="17" max="16384" width="11.140625" style="5"/>
  </cols>
  <sheetData>
    <row r="1" spans="1:243" ht="23.25" customHeight="1">
      <c r="A1" s="30" t="s">
        <v>79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2"/>
    </row>
    <row r="2" spans="1:243" s="2" customFormat="1" ht="15.75" customHeight="1">
      <c r="A2" s="33" t="s">
        <v>78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</row>
    <row r="3" spans="1:243" s="2" customFormat="1" ht="15.75" customHeight="1">
      <c r="A3" s="36" t="s">
        <v>46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8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</row>
    <row r="4" spans="1:243" s="15" customFormat="1" ht="15.75" customHeight="1">
      <c r="A4" s="11" t="s">
        <v>13</v>
      </c>
      <c r="B4" s="12" t="s">
        <v>15</v>
      </c>
      <c r="C4" s="13" t="s">
        <v>1</v>
      </c>
      <c r="D4" s="13" t="s">
        <v>2</v>
      </c>
      <c r="E4" s="13" t="s">
        <v>3</v>
      </c>
      <c r="F4" s="13" t="s">
        <v>4</v>
      </c>
      <c r="G4" s="13" t="s">
        <v>5</v>
      </c>
      <c r="H4" s="13" t="s">
        <v>6</v>
      </c>
      <c r="I4" s="13" t="s">
        <v>7</v>
      </c>
      <c r="J4" s="13" t="s">
        <v>8</v>
      </c>
      <c r="K4" s="13" t="s">
        <v>9</v>
      </c>
      <c r="L4" s="13" t="s">
        <v>10</v>
      </c>
      <c r="M4" s="13" t="s">
        <v>11</v>
      </c>
      <c r="N4" s="13" t="s">
        <v>12</v>
      </c>
      <c r="O4" s="14"/>
    </row>
    <row r="5" spans="1:243" s="16" customFormat="1" ht="18" customHeight="1">
      <c r="A5" s="3" t="s">
        <v>15</v>
      </c>
      <c r="B5" s="26">
        <f>SUM(B6:B33)</f>
        <v>306.99175000000014</v>
      </c>
      <c r="C5" s="26">
        <f>SUM(C6:C33)</f>
        <v>23.374779999999998</v>
      </c>
      <c r="D5" s="26">
        <f t="shared" ref="D5:N5" si="0">SUM(D6:D33)</f>
        <v>24.016670000000005</v>
      </c>
      <c r="E5" s="26">
        <f t="shared" si="0"/>
        <v>24.496969999999994</v>
      </c>
      <c r="F5" s="26">
        <f t="shared" si="0"/>
        <v>25.22785</v>
      </c>
      <c r="G5" s="26">
        <f t="shared" si="0"/>
        <v>29.392719999999997</v>
      </c>
      <c r="H5" s="26">
        <f t="shared" si="0"/>
        <v>25.352760000000007</v>
      </c>
      <c r="I5" s="26">
        <f t="shared" si="0"/>
        <v>28.391979999999997</v>
      </c>
      <c r="J5" s="26">
        <f t="shared" si="0"/>
        <v>25.95411</v>
      </c>
      <c r="K5" s="26">
        <f t="shared" si="0"/>
        <v>23.583799999999997</v>
      </c>
      <c r="L5" s="26">
        <f t="shared" si="0"/>
        <v>27.84704</v>
      </c>
      <c r="M5" s="26">
        <f t="shared" si="0"/>
        <v>24.585179999999994</v>
      </c>
      <c r="N5" s="26">
        <f t="shared" si="0"/>
        <v>24.767890000000008</v>
      </c>
      <c r="O5" s="4" t="s">
        <v>14</v>
      </c>
    </row>
    <row r="6" spans="1:243" s="16" customFormat="1" ht="18" customHeight="1">
      <c r="A6" s="6" t="s">
        <v>16</v>
      </c>
      <c r="B6" s="26">
        <f>SUM(C6:N6)</f>
        <v>1.508</v>
      </c>
      <c r="C6" s="27">
        <v>5.2999999999999999E-2</v>
      </c>
      <c r="D6" s="27">
        <v>0.16200000000000001</v>
      </c>
      <c r="E6" s="27">
        <v>0.128</v>
      </c>
      <c r="F6" s="27">
        <v>0.13</v>
      </c>
      <c r="G6" s="27">
        <v>0.10199999999999999</v>
      </c>
      <c r="H6" s="27">
        <v>9.7000000000000003E-2</v>
      </c>
      <c r="I6" s="27">
        <v>0.16500000000000001</v>
      </c>
      <c r="J6" s="27">
        <v>0.113</v>
      </c>
      <c r="K6" s="27">
        <v>0.13500000000000001</v>
      </c>
      <c r="L6" s="27">
        <v>0.13900000000000001</v>
      </c>
      <c r="M6" s="27">
        <v>0.115</v>
      </c>
      <c r="N6" s="27">
        <v>0.16900000000000001</v>
      </c>
      <c r="O6" s="7" t="s">
        <v>48</v>
      </c>
    </row>
    <row r="7" spans="1:243" s="16" customFormat="1" ht="18" customHeight="1">
      <c r="A7" s="6" t="s">
        <v>17</v>
      </c>
      <c r="B7" s="26">
        <f t="shared" ref="B7:B33" si="1">SUM(C7:N7)</f>
        <v>0.82700000000000007</v>
      </c>
      <c r="C7" s="27">
        <v>5.1999999999999998E-2</v>
      </c>
      <c r="D7" s="27">
        <v>6.1700000000000005E-2</v>
      </c>
      <c r="E7" s="27">
        <v>9.1999999999999998E-2</v>
      </c>
      <c r="F7" s="27">
        <v>7.9000000000000001E-2</v>
      </c>
      <c r="G7" s="27">
        <v>8.1000000000000003E-2</v>
      </c>
      <c r="H7" s="27">
        <v>4.2000000000000003E-2</v>
      </c>
      <c r="I7" s="27">
        <v>5.3999999999999999E-2</v>
      </c>
      <c r="J7" s="27">
        <v>0.10299999999999999</v>
      </c>
      <c r="K7" s="27">
        <v>7.5299999999999992E-2</v>
      </c>
      <c r="L7" s="27">
        <v>7.8E-2</v>
      </c>
      <c r="M7" s="27">
        <v>5.5E-2</v>
      </c>
      <c r="N7" s="27">
        <v>5.3999999999999999E-2</v>
      </c>
      <c r="O7" s="7" t="s">
        <v>18</v>
      </c>
    </row>
    <row r="8" spans="1:243" s="16" customFormat="1" ht="18" customHeight="1">
      <c r="A8" s="6" t="s">
        <v>19</v>
      </c>
      <c r="B8" s="26">
        <f t="shared" si="1"/>
        <v>0.14299999999999999</v>
      </c>
      <c r="C8" s="1" t="s">
        <v>71</v>
      </c>
      <c r="D8" s="1" t="s">
        <v>71</v>
      </c>
      <c r="E8" s="1" t="s">
        <v>71</v>
      </c>
      <c r="F8" s="1" t="s">
        <v>71</v>
      </c>
      <c r="G8" s="1" t="s">
        <v>71</v>
      </c>
      <c r="H8" s="1" t="s">
        <v>71</v>
      </c>
      <c r="I8" s="1" t="s">
        <v>71</v>
      </c>
      <c r="J8" s="1" t="s">
        <v>71</v>
      </c>
      <c r="K8" s="1" t="s">
        <v>71</v>
      </c>
      <c r="L8" s="1" t="s">
        <v>71</v>
      </c>
      <c r="M8" s="27">
        <v>0.04</v>
      </c>
      <c r="N8" s="27">
        <v>0.10299999999999999</v>
      </c>
      <c r="O8" s="7" t="s">
        <v>20</v>
      </c>
    </row>
    <row r="9" spans="1:243" s="16" customFormat="1" ht="18" customHeight="1">
      <c r="A9" s="6" t="s">
        <v>21</v>
      </c>
      <c r="B9" s="26">
        <f t="shared" si="1"/>
        <v>1.9639999999999997</v>
      </c>
      <c r="C9" s="27">
        <v>0.113</v>
      </c>
      <c r="D9" s="27">
        <v>0.08</v>
      </c>
      <c r="E9" s="27">
        <v>0.16</v>
      </c>
      <c r="F9" s="27">
        <v>0.15</v>
      </c>
      <c r="G9" s="27">
        <v>0.15</v>
      </c>
      <c r="H9" s="27">
        <v>0.159</v>
      </c>
      <c r="I9" s="27">
        <v>0.307</v>
      </c>
      <c r="J9" s="27">
        <v>0.19700000000000001</v>
      </c>
      <c r="K9" s="27">
        <v>0.20200000000000001</v>
      </c>
      <c r="L9" s="27">
        <v>0.249</v>
      </c>
      <c r="M9" s="27">
        <v>3.5000000000000003E-2</v>
      </c>
      <c r="N9" s="27">
        <v>0.16200000000000001</v>
      </c>
      <c r="O9" s="7" t="s">
        <v>49</v>
      </c>
    </row>
    <row r="10" spans="1:243" s="16" customFormat="1" ht="18" customHeight="1">
      <c r="A10" s="6" t="s">
        <v>22</v>
      </c>
      <c r="B10" s="26">
        <f t="shared" si="1"/>
        <v>2.2420000000000004</v>
      </c>
      <c r="C10" s="27">
        <v>0.129</v>
      </c>
      <c r="D10" s="27">
        <v>0.11</v>
      </c>
      <c r="E10" s="27">
        <v>0.22900000000000001</v>
      </c>
      <c r="F10" s="27">
        <v>0.19700000000000001</v>
      </c>
      <c r="G10" s="27">
        <v>0.21099999999999999</v>
      </c>
      <c r="H10" s="27">
        <v>0.251</v>
      </c>
      <c r="I10" s="27">
        <v>0.17899999999999999</v>
      </c>
      <c r="J10" s="27">
        <v>0.152</v>
      </c>
      <c r="K10" s="27">
        <v>0.21099999999999999</v>
      </c>
      <c r="L10" s="27">
        <v>0.21099999999999999</v>
      </c>
      <c r="M10" s="27">
        <v>0.15</v>
      </c>
      <c r="N10" s="27">
        <v>0.21199999999999999</v>
      </c>
      <c r="O10" s="7" t="s">
        <v>50</v>
      </c>
    </row>
    <row r="11" spans="1:243" s="16" customFormat="1" ht="18" customHeight="1">
      <c r="A11" s="6" t="s">
        <v>23</v>
      </c>
      <c r="B11" s="26">
        <f t="shared" si="1"/>
        <v>13.123349999999999</v>
      </c>
      <c r="C11" s="27">
        <v>0.60577999999999999</v>
      </c>
      <c r="D11" s="27">
        <v>0.93047999999999997</v>
      </c>
      <c r="E11" s="27">
        <v>0.78910000000000002</v>
      </c>
      <c r="F11" s="27">
        <v>1.1640899999999998</v>
      </c>
      <c r="G11" s="27">
        <v>1.19354</v>
      </c>
      <c r="H11" s="27">
        <v>1.14517</v>
      </c>
      <c r="I11" s="27">
        <v>1.14819</v>
      </c>
      <c r="J11" s="27">
        <v>1.1763599999999999</v>
      </c>
      <c r="K11" s="27">
        <v>1.1066500000000001</v>
      </c>
      <c r="L11" s="27">
        <v>1.3870400000000001</v>
      </c>
      <c r="M11" s="27">
        <v>1.1842300000000001</v>
      </c>
      <c r="N11" s="27">
        <v>1.2927200000000001</v>
      </c>
      <c r="O11" s="7" t="s">
        <v>51</v>
      </c>
    </row>
    <row r="12" spans="1:243" s="16" customFormat="1" ht="18" customHeight="1">
      <c r="A12" s="6" t="s">
        <v>24</v>
      </c>
      <c r="B12" s="26">
        <f t="shared" si="1"/>
        <v>1.9489999999999998</v>
      </c>
      <c r="C12" s="27">
        <v>0.17399999999999999</v>
      </c>
      <c r="D12" s="27">
        <v>7.1999999999999995E-2</v>
      </c>
      <c r="E12" s="27">
        <v>0.17399999999999999</v>
      </c>
      <c r="F12" s="27">
        <v>0.12</v>
      </c>
      <c r="G12" s="27">
        <v>0.17299999999999999</v>
      </c>
      <c r="H12" s="27">
        <v>0.222</v>
      </c>
      <c r="I12" s="27">
        <v>0.17599999999999999</v>
      </c>
      <c r="J12" s="27">
        <v>0.193</v>
      </c>
      <c r="K12" s="27">
        <v>0.13600000000000001</v>
      </c>
      <c r="L12" s="27">
        <v>9.6000000000000002E-2</v>
      </c>
      <c r="M12" s="27">
        <v>0.156</v>
      </c>
      <c r="N12" s="27">
        <v>0.25700000000000001</v>
      </c>
      <c r="O12" s="7" t="s">
        <v>52</v>
      </c>
    </row>
    <row r="13" spans="1:243" s="16" customFormat="1" ht="18" customHeight="1">
      <c r="A13" s="6" t="s">
        <v>25</v>
      </c>
      <c r="B13" s="26">
        <f t="shared" si="1"/>
        <v>0.20900000000000002</v>
      </c>
      <c r="C13" s="1" t="s">
        <v>71</v>
      </c>
      <c r="D13" s="1" t="s">
        <v>71</v>
      </c>
      <c r="E13" s="1" t="s">
        <v>71</v>
      </c>
      <c r="F13" s="1" t="s">
        <v>71</v>
      </c>
      <c r="G13" s="1" t="s">
        <v>71</v>
      </c>
      <c r="H13" s="27">
        <v>2.5499999999999998E-2</v>
      </c>
      <c r="I13" s="27">
        <v>2.5000000000000001E-2</v>
      </c>
      <c r="J13" s="27">
        <v>2.75E-2</v>
      </c>
      <c r="K13" s="27">
        <v>0.03</v>
      </c>
      <c r="L13" s="27">
        <v>2.9499999999999998E-2</v>
      </c>
      <c r="M13" s="27">
        <v>3.85E-2</v>
      </c>
      <c r="N13" s="27">
        <v>3.3000000000000002E-2</v>
      </c>
      <c r="O13" s="7" t="s">
        <v>26</v>
      </c>
    </row>
    <row r="14" spans="1:243" s="16" customFormat="1" ht="18" customHeight="1">
      <c r="A14" s="6" t="s">
        <v>27</v>
      </c>
      <c r="B14" s="26">
        <f t="shared" si="1"/>
        <v>262.83100000000002</v>
      </c>
      <c r="C14" s="27">
        <v>20.831</v>
      </c>
      <c r="D14" s="27">
        <v>21.283000000000001</v>
      </c>
      <c r="E14" s="27">
        <v>21.242999999999999</v>
      </c>
      <c r="F14" s="27">
        <v>21.736000000000001</v>
      </c>
      <c r="G14" s="27">
        <v>25.564</v>
      </c>
      <c r="H14" s="27">
        <v>21.643999999999998</v>
      </c>
      <c r="I14" s="27">
        <v>24.317</v>
      </c>
      <c r="J14" s="27">
        <v>21.853999999999999</v>
      </c>
      <c r="K14" s="27">
        <v>19.916</v>
      </c>
      <c r="L14" s="27">
        <v>23.562999999999999</v>
      </c>
      <c r="M14" s="27">
        <v>20.367999999999999</v>
      </c>
      <c r="N14" s="27">
        <v>20.512</v>
      </c>
      <c r="O14" s="7" t="s">
        <v>53</v>
      </c>
    </row>
    <row r="15" spans="1:243" s="16" customFormat="1" ht="18" customHeight="1">
      <c r="A15" s="6" t="s">
        <v>28</v>
      </c>
      <c r="B15" s="26">
        <f t="shared" si="1"/>
        <v>7.5090000000000003</v>
      </c>
      <c r="C15" s="27">
        <v>0.58099999999999996</v>
      </c>
      <c r="D15" s="27">
        <v>0.49299999999999999</v>
      </c>
      <c r="E15" s="27">
        <v>0.60199999999999998</v>
      </c>
      <c r="F15" s="27">
        <v>0.54200000000000004</v>
      </c>
      <c r="G15" s="27">
        <v>0.74099999999999999</v>
      </c>
      <c r="H15" s="27">
        <v>0.497</v>
      </c>
      <c r="I15" s="27">
        <v>0.66200000000000003</v>
      </c>
      <c r="J15" s="27">
        <v>0.79400000000000004</v>
      </c>
      <c r="K15" s="27">
        <v>0.67200000000000004</v>
      </c>
      <c r="L15" s="27">
        <v>0.66900000000000004</v>
      </c>
      <c r="M15" s="27">
        <v>0.78200000000000003</v>
      </c>
      <c r="N15" s="27">
        <v>0.47399999999999998</v>
      </c>
      <c r="O15" s="7" t="s">
        <v>54</v>
      </c>
    </row>
    <row r="16" spans="1:243" s="16" customFormat="1" ht="18" customHeight="1">
      <c r="A16" s="6" t="s">
        <v>29</v>
      </c>
      <c r="B16" s="26">
        <f t="shared" si="1"/>
        <v>1.2350000000000001</v>
      </c>
      <c r="C16" s="27">
        <v>0.2</v>
      </c>
      <c r="D16" s="27">
        <v>0.12</v>
      </c>
      <c r="E16" s="27">
        <v>0.123</v>
      </c>
      <c r="F16" s="27">
        <v>0.105</v>
      </c>
      <c r="G16" s="27">
        <v>0.11899999999999999</v>
      </c>
      <c r="H16" s="27">
        <v>8.5999999999999993E-2</v>
      </c>
      <c r="I16" s="27">
        <v>8.3000000000000004E-2</v>
      </c>
      <c r="J16" s="27">
        <v>9.8000000000000004E-2</v>
      </c>
      <c r="K16" s="27">
        <v>6.2E-2</v>
      </c>
      <c r="L16" s="27">
        <v>8.8999999999999996E-2</v>
      </c>
      <c r="M16" s="27">
        <v>8.5999999999999993E-2</v>
      </c>
      <c r="N16" s="27">
        <v>6.4000000000000001E-2</v>
      </c>
      <c r="O16" s="7" t="s">
        <v>30</v>
      </c>
    </row>
    <row r="17" spans="1:18" s="16" customFormat="1" ht="18.75">
      <c r="A17" s="6" t="s">
        <v>31</v>
      </c>
      <c r="B17" s="26">
        <f t="shared" si="1"/>
        <v>2.9059999999999997</v>
      </c>
      <c r="C17" s="27">
        <v>0.316</v>
      </c>
      <c r="D17" s="27">
        <v>0.28299999999999997</v>
      </c>
      <c r="E17" s="27">
        <v>0.29199999999999998</v>
      </c>
      <c r="F17" s="27">
        <v>0.30099999999999999</v>
      </c>
      <c r="G17" s="27">
        <v>0.128</v>
      </c>
      <c r="H17" s="27">
        <v>0.254</v>
      </c>
      <c r="I17" s="27">
        <v>0.13100000000000001</v>
      </c>
      <c r="J17" s="27">
        <v>0.254</v>
      </c>
      <c r="K17" s="27">
        <v>0.17899999999999999</v>
      </c>
      <c r="L17" s="27">
        <v>0.215</v>
      </c>
      <c r="M17" s="27">
        <v>0.309</v>
      </c>
      <c r="N17" s="27">
        <v>0.24399999999999999</v>
      </c>
      <c r="O17" s="7" t="s">
        <v>55</v>
      </c>
    </row>
    <row r="18" spans="1:18" s="16" customFormat="1" ht="18.75">
      <c r="A18" s="6" t="s">
        <v>32</v>
      </c>
      <c r="B18" s="26">
        <f t="shared" si="1"/>
        <v>2.7195</v>
      </c>
      <c r="C18" s="27">
        <v>0.155</v>
      </c>
      <c r="D18" s="27">
        <v>0.17799999999999999</v>
      </c>
      <c r="E18" s="27">
        <v>0.20300000000000001</v>
      </c>
      <c r="F18" s="27">
        <v>0.19900000000000001</v>
      </c>
      <c r="G18" s="27">
        <v>0.27</v>
      </c>
      <c r="H18" s="27">
        <v>0.27</v>
      </c>
      <c r="I18" s="27">
        <v>0.2545</v>
      </c>
      <c r="J18" s="27">
        <v>0.28599999999999998</v>
      </c>
      <c r="K18" s="27">
        <v>0.19400000000000001</v>
      </c>
      <c r="L18" s="27">
        <v>0.27</v>
      </c>
      <c r="M18" s="27">
        <v>0.20100000000000001</v>
      </c>
      <c r="N18" s="27">
        <v>0.23899999999999999</v>
      </c>
      <c r="O18" s="7" t="s">
        <v>56</v>
      </c>
    </row>
    <row r="19" spans="1:18" s="16" customFormat="1" ht="18.75">
      <c r="A19" s="6" t="s">
        <v>33</v>
      </c>
      <c r="B19" s="26">
        <f t="shared" si="1"/>
        <v>1.2611499999999998</v>
      </c>
      <c r="C19" s="27">
        <v>8.7749999999999995E-2</v>
      </c>
      <c r="D19" s="27">
        <v>0.1012</v>
      </c>
      <c r="E19" s="27">
        <v>0.1028</v>
      </c>
      <c r="F19" s="27">
        <v>0.108</v>
      </c>
      <c r="G19" s="27">
        <v>0.1225</v>
      </c>
      <c r="H19" s="27">
        <v>7.8900000000000012E-2</v>
      </c>
      <c r="I19" s="27">
        <v>0.17699999999999999</v>
      </c>
      <c r="J19" s="27">
        <v>6.7000000000000004E-2</v>
      </c>
      <c r="K19" s="27">
        <v>0.126</v>
      </c>
      <c r="L19" s="27">
        <v>7.2499999999999995E-2</v>
      </c>
      <c r="M19" s="27">
        <v>0.1105</v>
      </c>
      <c r="N19" s="27">
        <v>0.107</v>
      </c>
      <c r="O19" s="7" t="s">
        <v>34</v>
      </c>
    </row>
    <row r="20" spans="1:18" s="16" customFormat="1" ht="18.75">
      <c r="A20" s="6" t="s">
        <v>35</v>
      </c>
      <c r="B20" s="26">
        <f t="shared" si="1"/>
        <v>0.6865</v>
      </c>
      <c r="C20" s="1" t="s">
        <v>71</v>
      </c>
      <c r="D20" s="27">
        <v>1.2999999999999999E-2</v>
      </c>
      <c r="E20" s="27">
        <v>4.1700000000000001E-2</v>
      </c>
      <c r="F20" s="27">
        <v>6.3600000000000004E-2</v>
      </c>
      <c r="G20" s="27">
        <v>6.1399999999999996E-2</v>
      </c>
      <c r="H20" s="27">
        <v>7.1999999999999995E-2</v>
      </c>
      <c r="I20" s="27">
        <v>8.5000000000000006E-2</v>
      </c>
      <c r="J20" s="27">
        <v>6.4000000000000001E-2</v>
      </c>
      <c r="K20" s="27">
        <v>6.9199999999999998E-2</v>
      </c>
      <c r="L20" s="27">
        <v>6.13E-2</v>
      </c>
      <c r="M20" s="27">
        <v>8.3599999999999994E-2</v>
      </c>
      <c r="N20" s="27">
        <v>7.17E-2</v>
      </c>
      <c r="O20" s="7" t="s">
        <v>59</v>
      </c>
    </row>
    <row r="21" spans="1:18" s="16" customFormat="1" ht="18.75">
      <c r="A21" s="6" t="s">
        <v>36</v>
      </c>
      <c r="B21" s="26">
        <f t="shared" si="1"/>
        <v>0.55657000000000001</v>
      </c>
      <c r="C21" s="27">
        <v>5.1249999999999997E-2</v>
      </c>
      <c r="D21" s="27">
        <v>5.0250000000000003E-2</v>
      </c>
      <c r="E21" s="27">
        <v>5.6369999999999996E-2</v>
      </c>
      <c r="F21" s="27">
        <v>3.9259999999999996E-2</v>
      </c>
      <c r="G21" s="27">
        <v>6.4879999999999993E-2</v>
      </c>
      <c r="H21" s="27">
        <v>4.1090000000000002E-2</v>
      </c>
      <c r="I21" s="27">
        <v>5.8889999999999998E-2</v>
      </c>
      <c r="J21" s="27">
        <v>5.3149999999999996E-2</v>
      </c>
      <c r="K21" s="27">
        <v>3.6749999999999998E-2</v>
      </c>
      <c r="L21" s="27">
        <v>4.1500000000000002E-2</v>
      </c>
      <c r="M21" s="27">
        <v>2.93E-2</v>
      </c>
      <c r="N21" s="27">
        <v>3.388E-2</v>
      </c>
      <c r="O21" s="7" t="s">
        <v>69</v>
      </c>
    </row>
    <row r="22" spans="1:18" s="16" customFormat="1" ht="18.75">
      <c r="A22" s="6" t="s">
        <v>37</v>
      </c>
      <c r="B22" s="26">
        <f t="shared" si="1"/>
        <v>0.53549999999999998</v>
      </c>
      <c r="C22" s="1" t="s">
        <v>71</v>
      </c>
      <c r="D22" s="1" t="s">
        <v>71</v>
      </c>
      <c r="E22" s="1" t="s">
        <v>71</v>
      </c>
      <c r="F22" s="27">
        <v>2.1999999999999999E-2</v>
      </c>
      <c r="G22" s="27">
        <v>2.8500000000000001E-2</v>
      </c>
      <c r="H22" s="27">
        <v>0.1055</v>
      </c>
      <c r="I22" s="27">
        <v>0.06</v>
      </c>
      <c r="J22" s="27">
        <v>3.2500000000000001E-2</v>
      </c>
      <c r="K22" s="27">
        <v>4.7E-2</v>
      </c>
      <c r="L22" s="27">
        <v>0.107</v>
      </c>
      <c r="M22" s="27">
        <v>7.0999999999999994E-2</v>
      </c>
      <c r="N22" s="27">
        <v>6.2E-2</v>
      </c>
      <c r="O22" s="7" t="s">
        <v>60</v>
      </c>
    </row>
    <row r="23" spans="1:18" s="16" customFormat="1" ht="18.75">
      <c r="A23" s="6" t="s">
        <v>38</v>
      </c>
      <c r="B23" s="26">
        <f t="shared" si="1"/>
        <v>0.37533999999999995</v>
      </c>
      <c r="C23" s="1" t="s">
        <v>71</v>
      </c>
      <c r="D23" s="27">
        <v>1.4039999999999999E-2</v>
      </c>
      <c r="E23" s="27">
        <v>4.2999999999999997E-2</v>
      </c>
      <c r="F23" s="27">
        <v>4.2900000000000001E-2</v>
      </c>
      <c r="G23" s="27">
        <v>4.2900000000000001E-2</v>
      </c>
      <c r="H23" s="27">
        <v>2.86E-2</v>
      </c>
      <c r="I23" s="27">
        <v>4.5899999999999996E-2</v>
      </c>
      <c r="J23" s="27">
        <v>2.86E-2</v>
      </c>
      <c r="K23" s="27">
        <v>4.2900000000000001E-2</v>
      </c>
      <c r="L23" s="27">
        <v>1.43E-2</v>
      </c>
      <c r="M23" s="27">
        <v>4.36E-2</v>
      </c>
      <c r="N23" s="27">
        <v>2.86E-2</v>
      </c>
      <c r="O23" s="7" t="s">
        <v>61</v>
      </c>
    </row>
    <row r="24" spans="1:18" s="16" customFormat="1" ht="18.75">
      <c r="A24" s="6" t="s">
        <v>39</v>
      </c>
      <c r="B24" s="26">
        <f t="shared" si="1"/>
        <v>0.55700000000000005</v>
      </c>
      <c r="C24" s="1" t="s">
        <v>71</v>
      </c>
      <c r="D24" s="1" t="s">
        <v>71</v>
      </c>
      <c r="E24" s="1" t="s">
        <v>71</v>
      </c>
      <c r="F24" s="27">
        <v>4.2000000000000003E-2</v>
      </c>
      <c r="G24" s="27">
        <v>1.6E-2</v>
      </c>
      <c r="H24" s="27">
        <v>1.7999999999999999E-2</v>
      </c>
      <c r="I24" s="27">
        <v>5.1999999999999998E-2</v>
      </c>
      <c r="J24" s="27">
        <v>0.17699999999999999</v>
      </c>
      <c r="K24" s="27">
        <v>0.06</v>
      </c>
      <c r="L24" s="27">
        <v>7.6999999999999999E-2</v>
      </c>
      <c r="M24" s="27">
        <v>8.3000000000000004E-2</v>
      </c>
      <c r="N24" s="27">
        <v>3.2000000000000001E-2</v>
      </c>
      <c r="O24" s="7" t="s">
        <v>70</v>
      </c>
    </row>
    <row r="25" spans="1:18" s="16" customFormat="1" ht="18.75">
      <c r="A25" s="6" t="s">
        <v>73</v>
      </c>
      <c r="B25" s="26">
        <f t="shared" si="1"/>
        <v>0.745</v>
      </c>
      <c r="C25" s="1" t="s">
        <v>71</v>
      </c>
      <c r="D25" s="1" t="s">
        <v>71</v>
      </c>
      <c r="E25" s="27">
        <v>0.08</v>
      </c>
      <c r="F25" s="27">
        <v>8.5000000000000006E-2</v>
      </c>
      <c r="G25" s="27">
        <v>8.5000000000000006E-2</v>
      </c>
      <c r="H25" s="27">
        <v>0.13500000000000001</v>
      </c>
      <c r="I25" s="27">
        <v>0.1</v>
      </c>
      <c r="J25" s="27">
        <v>9.5000000000000001E-2</v>
      </c>
      <c r="K25" s="27">
        <v>0.02</v>
      </c>
      <c r="L25" s="27">
        <v>0.05</v>
      </c>
      <c r="M25" s="27">
        <v>7.0000000000000007E-2</v>
      </c>
      <c r="N25" s="27">
        <v>2.5000000000000001E-2</v>
      </c>
      <c r="O25" s="7" t="s">
        <v>57</v>
      </c>
    </row>
    <row r="26" spans="1:18" s="16" customFormat="1" ht="18.75">
      <c r="A26" s="6" t="s">
        <v>74</v>
      </c>
      <c r="B26" s="26">
        <f t="shared" si="1"/>
        <v>7.4999999999999997E-2</v>
      </c>
      <c r="C26" s="1" t="s">
        <v>71</v>
      </c>
      <c r="D26" s="1" t="s">
        <v>71</v>
      </c>
      <c r="E26" s="1" t="s">
        <v>71</v>
      </c>
      <c r="F26" s="1" t="s">
        <v>71</v>
      </c>
      <c r="G26" s="1" t="s">
        <v>71</v>
      </c>
      <c r="H26" s="1" t="s">
        <v>71</v>
      </c>
      <c r="I26" s="1" t="s">
        <v>71</v>
      </c>
      <c r="J26" s="1" t="s">
        <v>71</v>
      </c>
      <c r="K26" s="1" t="s">
        <v>71</v>
      </c>
      <c r="L26" s="27">
        <v>0.02</v>
      </c>
      <c r="M26" s="27">
        <v>2.5000000000000001E-2</v>
      </c>
      <c r="N26" s="27">
        <v>0.03</v>
      </c>
      <c r="O26" s="7" t="s">
        <v>66</v>
      </c>
    </row>
    <row r="27" spans="1:18" s="16" customFormat="1" ht="18.75">
      <c r="A27" s="6" t="s">
        <v>75</v>
      </c>
      <c r="B27" s="26">
        <f t="shared" si="1"/>
        <v>0.32600000000000001</v>
      </c>
      <c r="C27" s="1" t="s">
        <v>71</v>
      </c>
      <c r="D27" s="1" t="s">
        <v>71</v>
      </c>
      <c r="E27" s="1" t="s">
        <v>71</v>
      </c>
      <c r="F27" s="1" t="s">
        <v>71</v>
      </c>
      <c r="G27" s="1" t="s">
        <v>71</v>
      </c>
      <c r="H27" s="1" t="s">
        <v>71</v>
      </c>
      <c r="I27" s="1" t="s">
        <v>71</v>
      </c>
      <c r="J27" s="1" t="s">
        <v>71</v>
      </c>
      <c r="K27" s="1" t="s">
        <v>71</v>
      </c>
      <c r="L27" s="27">
        <v>8.1000000000000003E-2</v>
      </c>
      <c r="M27" s="27">
        <v>0.13850000000000001</v>
      </c>
      <c r="N27" s="27">
        <v>0.1065</v>
      </c>
      <c r="O27" s="7" t="s">
        <v>58</v>
      </c>
    </row>
    <row r="28" spans="1:18" s="16" customFormat="1" ht="18.75">
      <c r="A28" s="6" t="s">
        <v>76</v>
      </c>
      <c r="B28" s="26">
        <f t="shared" si="1"/>
        <v>0.48999000000000004</v>
      </c>
      <c r="C28" s="1" t="s">
        <v>71</v>
      </c>
      <c r="D28" s="27">
        <v>2E-3</v>
      </c>
      <c r="E28" s="27">
        <v>3.3000000000000002E-2</v>
      </c>
      <c r="F28" s="27">
        <v>3.2000000000000001E-2</v>
      </c>
      <c r="G28" s="27">
        <v>4.5999999999999999E-2</v>
      </c>
      <c r="H28" s="27">
        <v>3.2000000000000001E-2</v>
      </c>
      <c r="I28" s="27">
        <v>8.5500000000000007E-2</v>
      </c>
      <c r="J28" s="27">
        <v>2.4E-2</v>
      </c>
      <c r="K28" s="27">
        <v>4.5999999999999999E-2</v>
      </c>
      <c r="L28" s="27">
        <v>6.2E-2</v>
      </c>
      <c r="M28" s="27">
        <v>7.9000000000000001E-2</v>
      </c>
      <c r="N28" s="27">
        <v>4.8490000000000005E-2</v>
      </c>
      <c r="O28" s="7" t="s">
        <v>67</v>
      </c>
    </row>
    <row r="29" spans="1:18" s="16" customFormat="1" ht="18.75">
      <c r="A29" s="6" t="s">
        <v>77</v>
      </c>
      <c r="B29" s="26">
        <f t="shared" si="1"/>
        <v>0.33300000000000002</v>
      </c>
      <c r="C29" s="1" t="s">
        <v>71</v>
      </c>
      <c r="D29" s="27">
        <v>3.0000000000000001E-3</v>
      </c>
      <c r="E29" s="27">
        <v>5.1999999999999998E-2</v>
      </c>
      <c r="F29" s="27">
        <v>1.7000000000000001E-2</v>
      </c>
      <c r="G29" s="27">
        <v>1.4999999999999999E-2</v>
      </c>
      <c r="H29" s="27">
        <v>7.0000000000000001E-3</v>
      </c>
      <c r="I29" s="27">
        <v>4.2000000000000003E-2</v>
      </c>
      <c r="J29" s="27">
        <v>3.1E-2</v>
      </c>
      <c r="K29" s="27">
        <v>1.7000000000000001E-2</v>
      </c>
      <c r="L29" s="27">
        <v>3.6999999999999998E-2</v>
      </c>
      <c r="M29" s="27">
        <v>1.4E-2</v>
      </c>
      <c r="N29" s="27">
        <v>9.8000000000000004E-2</v>
      </c>
      <c r="O29" s="7" t="s">
        <v>68</v>
      </c>
    </row>
    <row r="30" spans="1:18" s="16" customFormat="1" ht="18.75">
      <c r="A30" s="6" t="s">
        <v>40</v>
      </c>
      <c r="B30" s="26">
        <f t="shared" si="1"/>
        <v>0.96199999999999997</v>
      </c>
      <c r="C30" s="1" t="s">
        <v>71</v>
      </c>
      <c r="D30" s="1" t="s">
        <v>71</v>
      </c>
      <c r="E30" s="1" t="s">
        <v>71</v>
      </c>
      <c r="F30" s="1" t="s">
        <v>71</v>
      </c>
      <c r="G30" s="27">
        <v>0.1</v>
      </c>
      <c r="H30" s="27">
        <v>0.1</v>
      </c>
      <c r="I30" s="27">
        <v>0.15</v>
      </c>
      <c r="J30" s="27">
        <v>0.1</v>
      </c>
      <c r="K30" s="27">
        <v>0.15</v>
      </c>
      <c r="L30" s="27">
        <v>0.1</v>
      </c>
      <c r="M30" s="27">
        <v>0.16200000000000001</v>
      </c>
      <c r="N30" s="27">
        <v>0.1</v>
      </c>
      <c r="O30" s="7" t="s">
        <v>65</v>
      </c>
    </row>
    <row r="31" spans="1:18" s="16" customFormat="1" ht="18.75">
      <c r="A31" s="6" t="s">
        <v>41</v>
      </c>
      <c r="B31" s="26">
        <f t="shared" si="1"/>
        <v>0.21900000000000003</v>
      </c>
      <c r="C31" s="1" t="s">
        <v>71</v>
      </c>
      <c r="D31" s="27">
        <v>1.2999999999999999E-2</v>
      </c>
      <c r="E31" s="27">
        <v>2.5000000000000001E-2</v>
      </c>
      <c r="F31" s="27">
        <v>2.5000000000000001E-2</v>
      </c>
      <c r="G31" s="27">
        <v>5.0999999999999997E-2</v>
      </c>
      <c r="H31" s="27">
        <v>1.2E-2</v>
      </c>
      <c r="I31" s="27">
        <v>1.4E-2</v>
      </c>
      <c r="J31" s="27">
        <v>2E-3</v>
      </c>
      <c r="K31" s="27">
        <v>1.2E-2</v>
      </c>
      <c r="L31" s="27">
        <v>2.4E-2</v>
      </c>
      <c r="M31" s="27">
        <v>2.5999999999999999E-2</v>
      </c>
      <c r="N31" s="27">
        <v>1.4999999999999999E-2</v>
      </c>
      <c r="O31" s="7" t="s">
        <v>63</v>
      </c>
    </row>
    <row r="32" spans="1:18" s="17" customFormat="1" ht="18.75">
      <c r="A32" s="6" t="s">
        <v>42</v>
      </c>
      <c r="B32" s="26">
        <f t="shared" si="1"/>
        <v>0.34184999999999999</v>
      </c>
      <c r="C32" s="1" t="s">
        <v>71</v>
      </c>
      <c r="D32" s="1" t="s">
        <v>71</v>
      </c>
      <c r="E32" s="1" t="s">
        <v>71</v>
      </c>
      <c r="F32" s="1" t="s">
        <v>71</v>
      </c>
      <c r="G32" s="1" t="s">
        <v>71</v>
      </c>
      <c r="H32" s="1" t="s">
        <v>71</v>
      </c>
      <c r="I32" s="1" t="s">
        <v>71</v>
      </c>
      <c r="J32" s="1" t="s">
        <v>71</v>
      </c>
      <c r="K32" s="1" t="s">
        <v>71</v>
      </c>
      <c r="L32" s="27">
        <v>6.9900000000000004E-2</v>
      </c>
      <c r="M32" s="27">
        <v>0.10795</v>
      </c>
      <c r="N32" s="27">
        <v>0.16400000000000001</v>
      </c>
      <c r="O32" s="7" t="s">
        <v>64</v>
      </c>
      <c r="P32" s="16"/>
      <c r="R32" s="17" t="s">
        <v>47</v>
      </c>
    </row>
    <row r="33" spans="1:15" s="16" customFormat="1" ht="18" customHeight="1">
      <c r="A33" s="8" t="s">
        <v>43</v>
      </c>
      <c r="B33" s="28">
        <f t="shared" si="1"/>
        <v>0.36199999999999999</v>
      </c>
      <c r="C33" s="29">
        <v>2.5999999999999999E-2</v>
      </c>
      <c r="D33" s="29">
        <v>4.7E-2</v>
      </c>
      <c r="E33" s="29">
        <v>2.8000000000000001E-2</v>
      </c>
      <c r="F33" s="29">
        <v>2.8000000000000001E-2</v>
      </c>
      <c r="G33" s="29">
        <v>2.7E-2</v>
      </c>
      <c r="H33" s="29">
        <v>0.03</v>
      </c>
      <c r="I33" s="29">
        <v>0.02</v>
      </c>
      <c r="J33" s="29">
        <v>3.2000000000000001E-2</v>
      </c>
      <c r="K33" s="29">
        <v>3.7999999999999999E-2</v>
      </c>
      <c r="L33" s="29">
        <v>3.4000000000000002E-2</v>
      </c>
      <c r="M33" s="29">
        <v>2.1999999999999999E-2</v>
      </c>
      <c r="N33" s="29">
        <v>0.03</v>
      </c>
      <c r="O33" s="9" t="s">
        <v>62</v>
      </c>
    </row>
    <row r="34" spans="1:15" s="10" customFormat="1" ht="15.75" customHeight="1">
      <c r="A34" s="21" t="s">
        <v>45</v>
      </c>
      <c r="B34" s="18"/>
      <c r="C34" s="18"/>
      <c r="D34" s="19"/>
      <c r="E34" s="19"/>
      <c r="F34" s="19"/>
      <c r="G34" s="19"/>
      <c r="H34" s="19"/>
      <c r="I34" s="19"/>
      <c r="J34" s="19"/>
      <c r="K34" s="20"/>
      <c r="L34" s="20"/>
      <c r="M34" s="20"/>
      <c r="N34" s="20"/>
      <c r="O34" s="23" t="s">
        <v>72</v>
      </c>
    </row>
    <row r="35" spans="1:15" s="10" customFormat="1" ht="16.5" customHeight="1">
      <c r="A35" s="22" t="s">
        <v>0</v>
      </c>
      <c r="O35" s="24" t="s">
        <v>44</v>
      </c>
    </row>
    <row r="36" spans="1:15" s="10" customFormat="1" ht="12">
      <c r="O36" s="25"/>
    </row>
    <row r="37" spans="1:15" s="10" customFormat="1" ht="12"/>
    <row r="38" spans="1:15" s="10" customFormat="1" ht="12"/>
  </sheetData>
  <mergeCells count="3">
    <mergeCell ref="A2:O2"/>
    <mergeCell ref="A3:O3"/>
    <mergeCell ref="A1:O1"/>
  </mergeCells>
  <pageMargins left="0.28000000000000003" right="0.17" top="0.24" bottom="0.28000000000000003" header="0.17" footer="0.3"/>
  <pageSetup paperSize="9" scale="90" orientation="landscape" r:id="rId1"/>
  <colBreaks count="1" manualBreakCount="1">
    <brk id="1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12.4</vt:lpstr>
      <vt:lpstr>'12.4'!Print_Area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2013-07-03T03:45:48Z</cp:lastPrinted>
  <dcterms:created xsi:type="dcterms:W3CDTF">2013-05-15T05:59:45Z</dcterms:created>
  <dcterms:modified xsi:type="dcterms:W3CDTF">2013-07-03T04:30:33Z</dcterms:modified>
</cp:coreProperties>
</file>