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892"/>
  </bookViews>
  <sheets>
    <sheet name="12.1" sheetId="1" r:id="rId1"/>
  </sheets>
  <definedNames>
    <definedName name="_xlnm.Print_Area" localSheetId="0">'12.1'!$A$1:$H$39</definedName>
  </definedNames>
  <calcPr calcId="124519"/>
</workbook>
</file>

<file path=xl/calcChain.xml><?xml version="1.0" encoding="utf-8"?>
<calcChain xmlns="http://schemas.openxmlformats.org/spreadsheetml/2006/main">
  <c r="G8" i="1"/>
  <c r="F8"/>
  <c r="F20" s="1"/>
  <c r="C8"/>
  <c r="G7"/>
  <c r="F7"/>
  <c r="F19" s="1"/>
  <c r="C7"/>
  <c r="G6"/>
  <c r="F6"/>
  <c r="F18" s="1"/>
  <c r="C6"/>
  <c r="G5"/>
  <c r="F5"/>
  <c r="F17" s="1"/>
  <c r="C5"/>
  <c r="C4" s="1"/>
  <c r="G4"/>
  <c r="F4"/>
  <c r="F16" s="1"/>
  <c r="G19" l="1"/>
  <c r="G13"/>
  <c r="G11"/>
  <c r="G15"/>
  <c r="G10"/>
  <c r="G16"/>
  <c r="C12"/>
  <c r="G20"/>
  <c r="C16"/>
  <c r="C17"/>
  <c r="G17"/>
  <c r="C18"/>
  <c r="G18"/>
  <c r="C19"/>
  <c r="C20"/>
  <c r="G14"/>
  <c r="F10"/>
  <c r="G12"/>
  <c r="C11"/>
  <c r="F11"/>
  <c r="F12"/>
  <c r="C13"/>
  <c r="F13"/>
  <c r="C14"/>
  <c r="F14"/>
  <c r="C15"/>
  <c r="F15"/>
  <c r="C10" l="1"/>
</calcChain>
</file>

<file path=xl/sharedStrings.xml><?xml version="1.0" encoding="utf-8"?>
<sst xmlns="http://schemas.openxmlformats.org/spreadsheetml/2006/main" count="41" uniqueCount="23">
  <si>
    <t>Load Distribution</t>
  </si>
  <si>
    <t>cawtiawb WviawfihebcDOl</t>
  </si>
  <si>
    <t>Total (In ' 000 kWh)</t>
  </si>
  <si>
    <t>(cniDwg cTovOlik 000') wlcmuj</t>
  </si>
  <si>
    <t xml:space="preserve">Residential </t>
  </si>
  <si>
    <t>cnwtcnwtELuairid</t>
  </si>
  <si>
    <t>Government Buildings</t>
  </si>
  <si>
    <t>cawtctWrWmia egurWkurws</t>
  </si>
  <si>
    <t>Others</t>
  </si>
  <si>
    <t>cnehinehea</t>
  </si>
  <si>
    <t>%  share</t>
  </si>
  <si>
    <t xml:space="preserve"> % cnutogWviawfiheb</t>
  </si>
  <si>
    <t>% change over previous year</t>
  </si>
  <si>
    <t xml:space="preserve"> % urwvcnim ivurutia eruvcSwrwhwa Iruk</t>
  </si>
  <si>
    <t>Source: State Electric Company Limited</t>
  </si>
  <si>
    <t>kWh</t>
  </si>
  <si>
    <t>cDeTimil Inepcmok ckircTckeliacTETcs :ctWrwf ivcaedutWmUluAwm</t>
  </si>
  <si>
    <t xml:space="preserve">           cnwtcnwt ELugWairWfwyiv iaWnwtcnwt Wdcawfuaitekwt</t>
  </si>
  <si>
    <t>Manufacturing and  Commercial</t>
  </si>
  <si>
    <t xml:space="preserve"> cawtclUkcs iaWnwtcnwt wncnuh cSwmunEb umcaWA</t>
  </si>
  <si>
    <t>Public Places and  Schools</t>
  </si>
  <si>
    <t>2012 - 2007 ,ctogEveruk cnunEb cTcnwrwk iawgElWm : 12.1 ulwvWt</t>
  </si>
  <si>
    <t>Table 12.1 :   ELECTRICITY UTILIZATION IN MALE', 2007 - 2012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</si>
</sst>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_Faseyha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sz val="9"/>
      <name val="A_Faseyha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9"/>
      <name val="Arial"/>
      <family val="2"/>
    </font>
    <font>
      <b/>
      <sz val="10"/>
      <name val="A_Faseyha"/>
    </font>
    <font>
      <sz val="10"/>
      <name val="Courier"/>
      <family val="3"/>
    </font>
    <font>
      <sz val="10"/>
      <name val="Garamond"/>
      <family val="1"/>
    </font>
    <font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dotted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1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</cellStyleXfs>
  <cellXfs count="59">
    <xf numFmtId="0" fontId="0" fillId="0" borderId="0" xfId="0"/>
    <xf numFmtId="0" fontId="3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3" fontId="6" fillId="2" borderId="9" xfId="0" applyNumberFormat="1" applyFont="1" applyFill="1" applyBorder="1" applyAlignment="1" applyProtection="1">
      <alignment horizontal="right" vertical="center"/>
    </xf>
    <xf numFmtId="164" fontId="6" fillId="2" borderId="9" xfId="1" applyNumberFormat="1" applyFont="1" applyFill="1" applyBorder="1" applyAlignment="1" applyProtection="1">
      <alignment horizontal="right" vertical="center"/>
    </xf>
    <xf numFmtId="3" fontId="10" fillId="2" borderId="3" xfId="0" applyNumberFormat="1" applyFont="1" applyFill="1" applyBorder="1" applyAlignment="1">
      <alignment horizontal="right" vertical="center"/>
    </xf>
    <xf numFmtId="164" fontId="10" fillId="2" borderId="3" xfId="1" applyNumberFormat="1" applyFont="1" applyFill="1" applyBorder="1" applyAlignment="1">
      <alignment horizontal="right" vertical="center"/>
    </xf>
    <xf numFmtId="0" fontId="11" fillId="2" borderId="8" xfId="0" applyFont="1" applyFill="1" applyBorder="1" applyAlignment="1" applyProtection="1">
      <alignment horizontal="left" vertical="center"/>
    </xf>
    <xf numFmtId="3" fontId="8" fillId="2" borderId="9" xfId="1" applyNumberFormat="1" applyFont="1" applyFill="1" applyBorder="1" applyAlignment="1">
      <alignment horizontal="right" vertical="center"/>
    </xf>
    <xf numFmtId="0" fontId="10" fillId="2" borderId="9" xfId="0" applyFont="1" applyFill="1" applyBorder="1" applyAlignment="1">
      <alignment vertical="center"/>
    </xf>
    <xf numFmtId="0" fontId="7" fillId="2" borderId="2" xfId="0" applyFont="1" applyFill="1" applyBorder="1" applyAlignment="1" applyProtection="1">
      <alignment horizontal="left" vertical="center"/>
    </xf>
    <xf numFmtId="3" fontId="7" fillId="2" borderId="3" xfId="1" applyNumberFormat="1" applyFont="1" applyFill="1" applyBorder="1" applyAlignment="1">
      <alignment horizontal="right" vertical="center"/>
    </xf>
    <xf numFmtId="0" fontId="12" fillId="2" borderId="3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0" fontId="7" fillId="2" borderId="3" xfId="0" applyFont="1" applyFill="1" applyBorder="1" applyAlignment="1" applyProtection="1">
      <alignment horizontal="left" vertical="center"/>
    </xf>
    <xf numFmtId="0" fontId="7" fillId="2" borderId="2" xfId="0" applyFont="1" applyFill="1" applyBorder="1" applyAlignment="1">
      <alignment vertical="center"/>
    </xf>
    <xf numFmtId="0" fontId="0" fillId="2" borderId="3" xfId="0" applyFill="1" applyBorder="1"/>
    <xf numFmtId="0" fontId="13" fillId="2" borderId="3" xfId="0" applyFont="1" applyFill="1" applyBorder="1" applyAlignment="1">
      <alignment horizontal="right"/>
    </xf>
    <xf numFmtId="1" fontId="7" fillId="2" borderId="3" xfId="0" applyNumberFormat="1" applyFont="1" applyFill="1" applyBorder="1"/>
    <xf numFmtId="0" fontId="7" fillId="2" borderId="3" xfId="0" applyFont="1" applyFill="1" applyBorder="1"/>
    <xf numFmtId="3" fontId="0" fillId="2" borderId="3" xfId="0" applyNumberFormat="1" applyFill="1" applyBorder="1"/>
    <xf numFmtId="1" fontId="0" fillId="2" borderId="3" xfId="0" applyNumberFormat="1" applyFill="1" applyBorder="1"/>
    <xf numFmtId="164" fontId="7" fillId="2" borderId="3" xfId="2" applyNumberFormat="1" applyFont="1" applyFill="1" applyBorder="1" applyAlignment="1" applyProtection="1">
      <alignment horizontal="right" vertical="center"/>
      <protection locked="0"/>
    </xf>
    <xf numFmtId="164" fontId="7" fillId="2" borderId="3" xfId="1" applyNumberFormat="1" applyFont="1" applyFill="1" applyBorder="1"/>
    <xf numFmtId="3" fontId="7" fillId="2" borderId="3" xfId="0" applyNumberFormat="1" applyFont="1" applyFill="1" applyBorder="1"/>
    <xf numFmtId="0" fontId="0" fillId="2" borderId="2" xfId="0" applyFill="1" applyBorder="1"/>
    <xf numFmtId="0" fontId="9" fillId="2" borderId="0" xfId="0" applyFont="1" applyFill="1" applyBorder="1" applyAlignment="1">
      <alignment horizontal="right"/>
    </xf>
    <xf numFmtId="1" fontId="10" fillId="2" borderId="11" xfId="0" applyNumberFormat="1" applyFont="1" applyFill="1" applyBorder="1" applyAlignment="1">
      <alignment vertical="center"/>
    </xf>
    <xf numFmtId="3" fontId="4" fillId="2" borderId="9" xfId="0" applyNumberFormat="1" applyFont="1" applyFill="1" applyBorder="1" applyAlignment="1" applyProtection="1">
      <alignment horizontal="right" vertical="center"/>
    </xf>
    <xf numFmtId="164" fontId="4" fillId="2" borderId="9" xfId="1" applyNumberFormat="1" applyFont="1" applyFill="1" applyBorder="1" applyAlignment="1" applyProtection="1">
      <alignment horizontal="right" vertical="center"/>
    </xf>
    <xf numFmtId="3" fontId="10" fillId="2" borderId="11" xfId="0" applyNumberFormat="1" applyFont="1" applyFill="1" applyBorder="1" applyAlignment="1">
      <alignment vertical="center"/>
    </xf>
    <xf numFmtId="164" fontId="10" fillId="2" borderId="11" xfId="1" applyNumberFormat="1" applyFont="1" applyFill="1" applyBorder="1" applyAlignment="1">
      <alignment vertical="center"/>
    </xf>
    <xf numFmtId="3" fontId="10" fillId="2" borderId="13" xfId="0" applyNumberFormat="1" applyFont="1" applyFill="1" applyBorder="1" applyAlignment="1">
      <alignment horizontal="right" vertical="center"/>
    </xf>
    <xf numFmtId="1" fontId="10" fillId="2" borderId="13" xfId="0" applyNumberFormat="1" applyFont="1" applyFill="1" applyBorder="1" applyAlignment="1">
      <alignment horizontal="right" vertical="center"/>
    </xf>
    <xf numFmtId="1" fontId="4" fillId="2" borderId="9" xfId="1" applyNumberFormat="1" applyFont="1" applyFill="1" applyBorder="1" applyAlignment="1">
      <alignment horizontal="right" vertical="center"/>
    </xf>
    <xf numFmtId="3" fontId="10" fillId="2" borderId="3" xfId="1" applyNumberFormat="1" applyFont="1" applyFill="1" applyBorder="1" applyAlignment="1">
      <alignment horizontal="right" vertical="center"/>
    </xf>
    <xf numFmtId="1" fontId="10" fillId="2" borderId="3" xfId="1" applyNumberFormat="1" applyFont="1" applyFill="1" applyBorder="1" applyAlignment="1">
      <alignment horizontal="right" vertical="center"/>
    </xf>
    <xf numFmtId="3" fontId="10" fillId="2" borderId="11" xfId="0" applyNumberFormat="1" applyFont="1" applyFill="1" applyBorder="1" applyAlignment="1" applyProtection="1">
      <alignment vertical="center"/>
      <protection locked="0"/>
    </xf>
    <xf numFmtId="3" fontId="10" fillId="2" borderId="13" xfId="0" quotePrefix="1" applyNumberFormat="1" applyFont="1" applyFill="1" applyBorder="1" applyAlignment="1" applyProtection="1">
      <alignment horizontal="right" vertical="center"/>
    </xf>
    <xf numFmtId="3" fontId="4" fillId="2" borderId="9" xfId="1" applyNumberFormat="1" applyFont="1" applyFill="1" applyBorder="1" applyAlignment="1">
      <alignment horizontal="right" vertical="center"/>
    </xf>
    <xf numFmtId="3" fontId="10" fillId="2" borderId="11" xfId="1" applyNumberFormat="1" applyFont="1" applyFill="1" applyBorder="1" applyAlignment="1">
      <alignment vertical="center"/>
    </xf>
    <xf numFmtId="3" fontId="10" fillId="2" borderId="10" xfId="1" applyNumberFormat="1" applyFont="1" applyFill="1" applyBorder="1" applyAlignment="1">
      <alignment vertical="center"/>
    </xf>
    <xf numFmtId="1" fontId="10" fillId="2" borderId="10" xfId="1" applyNumberFormat="1" applyFont="1" applyFill="1" applyBorder="1" applyAlignment="1">
      <alignment vertical="center"/>
    </xf>
    <xf numFmtId="0" fontId="4" fillId="2" borderId="6" xfId="0" applyFont="1" applyFill="1" applyBorder="1" applyAlignment="1" applyProtection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 applyProtection="1">
      <alignment horizontal="left" vertical="center"/>
    </xf>
    <xf numFmtId="0" fontId="10" fillId="2" borderId="2" xfId="0" applyFont="1" applyFill="1" applyBorder="1" applyAlignment="1" applyProtection="1">
      <alignment horizontal="left" vertical="center"/>
    </xf>
    <xf numFmtId="0" fontId="10" fillId="2" borderId="12" xfId="0" applyFont="1" applyFill="1" applyBorder="1" applyAlignment="1" applyProtection="1">
      <alignment horizontal="left" vertical="center"/>
    </xf>
    <xf numFmtId="0" fontId="10" fillId="2" borderId="5" xfId="0" applyFont="1" applyFill="1" applyBorder="1" applyAlignment="1" applyProtection="1">
      <alignment horizontal="left" vertical="center"/>
    </xf>
    <xf numFmtId="0" fontId="14" fillId="2" borderId="7" xfId="0" applyFont="1" applyFill="1" applyBorder="1" applyAlignment="1">
      <alignment horizontal="right" vertical="center"/>
    </xf>
    <xf numFmtId="0" fontId="14" fillId="2" borderId="9" xfId="0" applyFont="1" applyFill="1" applyBorder="1" applyAlignment="1">
      <alignment horizontal="right" vertical="center"/>
    </xf>
    <xf numFmtId="0" fontId="17" fillId="2" borderId="3" xfId="0" applyFont="1" applyFill="1" applyBorder="1" applyAlignment="1">
      <alignment horizontal="right" vertical="center"/>
    </xf>
    <xf numFmtId="0" fontId="17" fillId="2" borderId="13" xfId="0" applyFont="1" applyFill="1" applyBorder="1" applyAlignment="1" applyProtection="1">
      <alignment horizontal="right" vertical="center"/>
    </xf>
    <xf numFmtId="0" fontId="17" fillId="2" borderId="10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5" xfId="0" applyFont="1" applyFill="1" applyBorder="1" applyAlignment="1" applyProtection="1">
      <alignment horizontal="center" vertical="center"/>
    </xf>
  </cellXfs>
  <cellStyles count="10">
    <cellStyle name="Comma" xfId="1" builtinId="3"/>
    <cellStyle name="Comma 2" xfId="2"/>
    <cellStyle name="Comma 3" xfId="5"/>
    <cellStyle name="Comma 4" xfId="3"/>
    <cellStyle name="Comma 4 2" xfId="6"/>
    <cellStyle name="Normal" xfId="0" builtinId="0"/>
    <cellStyle name="Normal 2" xfId="4"/>
    <cellStyle name="Normal 2 2" xfId="7"/>
    <cellStyle name="Normal 3" xfId="8"/>
    <cellStyle name="Normal 4" xfId="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12.1   Electricity production, Male',</a:t>
            </a:r>
            <a:r>
              <a:rPr lang="en-US" baseline="0"/>
              <a:t> </a:t>
            </a:r>
            <a:r>
              <a:rPr lang="en-US"/>
              <a:t>2000 - 2012</a:t>
            </a:r>
          </a:p>
        </c:rich>
      </c:tx>
      <c:layout>
        <c:manualLayout>
          <c:xMode val="edge"/>
          <c:yMode val="edge"/>
          <c:x val="0.26615779584929"/>
          <c:y val="5.9990058060924202E-2"/>
        </c:manualLayout>
      </c:layout>
    </c:title>
    <c:plotArea>
      <c:layout>
        <c:manualLayout>
          <c:layoutTarget val="inner"/>
          <c:xMode val="edge"/>
          <c:yMode val="edge"/>
          <c:x val="0.12256927398245289"/>
          <c:y val="0.17317545534080964"/>
          <c:w val="0.83696104788520853"/>
          <c:h val="0.61819454386383565"/>
        </c:manualLayout>
      </c:layout>
      <c:lineChart>
        <c:grouping val="standard"/>
        <c:ser>
          <c:idx val="0"/>
          <c:order val="0"/>
          <c:tx>
            <c:strRef>
              <c:f>'12.1'!$J$31</c:f>
              <c:strCache>
                <c:ptCount val="1"/>
                <c:pt idx="0">
                  <c:v>kWh</c:v>
                </c:pt>
              </c:strCache>
            </c:strRef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diamond"/>
            <c:size val="7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accent2">
                    <a:lumMod val="40000"/>
                    <a:lumOff val="60000"/>
                  </a:schemeClr>
                </a:solidFill>
              </a:ln>
            </c:spPr>
          </c:marker>
          <c:cat>
            <c:numRef>
              <c:f>'12.1'!$M$30:$Y$30</c:f>
              <c:numCache>
                <c:formatCode>0</c:formatCode>
                <c:ptCount val="1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 formatCode="General">
                  <c:v>2009</c:v>
                </c:pt>
                <c:pt idx="10">
                  <c:v>2010</c:v>
                </c:pt>
                <c:pt idx="11" formatCode="General">
                  <c:v>2011</c:v>
                </c:pt>
                <c:pt idx="12" formatCode="General">
                  <c:v>2012</c:v>
                </c:pt>
              </c:numCache>
            </c:numRef>
          </c:cat>
          <c:val>
            <c:numRef>
              <c:f>'12.1'!$M$31:$Y$31</c:f>
              <c:numCache>
                <c:formatCode>_(* #,##0_);_(* \(#,##0\);_(* "-"??_);_(@_)</c:formatCode>
                <c:ptCount val="13"/>
                <c:pt idx="0">
                  <c:v>82688</c:v>
                </c:pt>
                <c:pt idx="1">
                  <c:v>90645</c:v>
                </c:pt>
                <c:pt idx="2">
                  <c:v>97480</c:v>
                </c:pt>
                <c:pt idx="3">
                  <c:v>108190</c:v>
                </c:pt>
                <c:pt idx="4">
                  <c:v>121395</c:v>
                </c:pt>
                <c:pt idx="5">
                  <c:v>140065</c:v>
                </c:pt>
                <c:pt idx="6">
                  <c:v>156108</c:v>
                </c:pt>
                <c:pt idx="7">
                  <c:v>177052</c:v>
                </c:pt>
                <c:pt idx="8">
                  <c:v>195106</c:v>
                </c:pt>
                <c:pt idx="9">
                  <c:v>208388</c:v>
                </c:pt>
                <c:pt idx="10" formatCode="#,##0">
                  <c:v>217331</c:v>
                </c:pt>
                <c:pt idx="11" formatCode="#,##0">
                  <c:v>231445</c:v>
                </c:pt>
                <c:pt idx="12">
                  <c:v>243768</c:v>
                </c:pt>
              </c:numCache>
            </c:numRef>
          </c:val>
        </c:ser>
        <c:marker val="1"/>
        <c:axId val="85878272"/>
        <c:axId val="85880192"/>
      </c:lineChart>
      <c:catAx>
        <c:axId val="85878272"/>
        <c:scaling>
          <c:orientation val="minMax"/>
        </c:scaling>
        <c:axPos val="b"/>
        <c:numFmt formatCode="0" sourceLinked="1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80192"/>
        <c:crosses val="autoZero"/>
        <c:auto val="1"/>
        <c:lblAlgn val="ctr"/>
        <c:lblOffset val="100"/>
      </c:catAx>
      <c:valAx>
        <c:axId val="85880192"/>
        <c:scaling>
          <c:orientation val="minMax"/>
          <c:min val="0"/>
        </c:scaling>
        <c:axPos val="l"/>
        <c:majorGridlines>
          <c:spPr>
            <a:ln w="3175">
              <a:solidFill>
                <a:schemeClr val="bg1">
                  <a:lumMod val="95000"/>
                </a:schemeClr>
              </a:solidFill>
            </a:ln>
          </c:spPr>
        </c:majorGridlines>
        <c:numFmt formatCode="#,##0" sourceLinked="0"/>
        <c:maj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78272"/>
        <c:crosses val="autoZero"/>
        <c:crossBetween val="between"/>
        <c:minorUnit val="10000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1257300</xdr:colOff>
      <xdr:row>21</xdr:row>
      <xdr:rowOff>85725</xdr:rowOff>
    </xdr:from>
    <xdr:to>
      <xdr:col>7</xdr:col>
      <xdr:colOff>1419224</xdr:colOff>
      <xdr:row>34</xdr:row>
      <xdr:rowOff>38100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1284260</xdr:colOff>
      <xdr:row>24</xdr:row>
      <xdr:rowOff>174443</xdr:rowOff>
    </xdr:from>
    <xdr:ext cx="233205" cy="741590"/>
    <xdr:sp macro="" textlink="">
      <xdr:nvSpPr>
        <xdr:cNvPr id="4" name="TextBox 3"/>
        <xdr:cNvSpPr txBox="1"/>
      </xdr:nvSpPr>
      <xdr:spPr>
        <a:xfrm rot="16200000">
          <a:off x="1030068" y="5838835"/>
          <a:ext cx="74159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900" b="1"/>
            <a:t>in '000 Kwh</a:t>
          </a: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0.48325</cdr:x>
      <cdr:y>0.89401</cdr:y>
    </cdr:from>
    <cdr:to>
      <cdr:x>0.58841</cdr:x>
      <cdr:y>1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3097788" y="2019300"/>
          <a:ext cx="674111" cy="2332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="1"/>
            <a:t>Year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61"/>
  <sheetViews>
    <sheetView tabSelected="1" workbookViewId="0">
      <selection activeCell="B9" sqref="B9"/>
    </sheetView>
  </sheetViews>
  <sheetFormatPr defaultColWidth="11.140625" defaultRowHeight="12.75"/>
  <cols>
    <col min="1" max="1" width="29" style="14" customWidth="1"/>
    <col min="2" max="2" width="9.5703125" style="1" customWidth="1"/>
    <col min="3" max="4" width="10.85546875" style="1" customWidth="1"/>
    <col min="5" max="7" width="11.140625" style="1" customWidth="1"/>
    <col min="8" max="8" width="34.5703125" style="1" customWidth="1"/>
    <col min="9" max="9" width="25" style="1" customWidth="1"/>
    <col min="10" max="10" width="9.28515625" style="1" customWidth="1"/>
    <col min="11" max="21" width="8.5703125" style="1" customWidth="1"/>
    <col min="22" max="22" width="10" style="1" customWidth="1"/>
    <col min="23" max="16384" width="11.140625" style="1"/>
  </cols>
  <sheetData>
    <row r="1" spans="1:9" ht="18.75">
      <c r="A1" s="55" t="s">
        <v>21</v>
      </c>
      <c r="B1" s="55"/>
      <c r="C1" s="55"/>
      <c r="D1" s="55"/>
      <c r="E1" s="55"/>
      <c r="F1" s="55"/>
      <c r="G1" s="55"/>
      <c r="H1" s="56"/>
    </row>
    <row r="2" spans="1:9" s="2" customFormat="1">
      <c r="A2" s="57" t="s">
        <v>22</v>
      </c>
      <c r="B2" s="57"/>
      <c r="C2" s="57"/>
      <c r="D2" s="57"/>
      <c r="E2" s="57"/>
      <c r="F2" s="57"/>
      <c r="G2" s="57"/>
      <c r="H2" s="58"/>
    </row>
    <row r="3" spans="1:9" s="3" customFormat="1" ht="18.75" customHeight="1">
      <c r="A3" s="44" t="s">
        <v>0</v>
      </c>
      <c r="B3" s="45">
        <v>2007</v>
      </c>
      <c r="C3" s="45">
        <v>2008</v>
      </c>
      <c r="D3" s="45">
        <v>2009</v>
      </c>
      <c r="E3" s="45">
        <v>2010</v>
      </c>
      <c r="F3" s="45">
        <v>2011</v>
      </c>
      <c r="G3" s="45">
        <v>2012</v>
      </c>
      <c r="H3" s="50" t="s">
        <v>1</v>
      </c>
    </row>
    <row r="4" spans="1:9" s="2" customFormat="1" ht="18.75" customHeight="1">
      <c r="A4" s="46" t="s">
        <v>2</v>
      </c>
      <c r="B4" s="29">
        <v>159642.78099999999</v>
      </c>
      <c r="C4" s="29">
        <f>SUM(C5:C9)</f>
        <v>173370.872</v>
      </c>
      <c r="D4" s="29">
        <v>187110.266</v>
      </c>
      <c r="E4" s="29">
        <v>195722.55800000002</v>
      </c>
      <c r="F4" s="30">
        <f>SUM(F5:F9)</f>
        <v>211889.32699999999</v>
      </c>
      <c r="G4" s="30">
        <f>SUM(G5:G9)</f>
        <v>219663.37332000001</v>
      </c>
      <c r="H4" s="51" t="s">
        <v>3</v>
      </c>
    </row>
    <row r="5" spans="1:9" ht="18.75" customHeight="1">
      <c r="A5" s="47" t="s">
        <v>4</v>
      </c>
      <c r="B5" s="6">
        <v>70454.167000000001</v>
      </c>
      <c r="C5" s="6">
        <f>78962235/1000</f>
        <v>78962.235000000001</v>
      </c>
      <c r="D5" s="6">
        <v>88944.971999999994</v>
      </c>
      <c r="E5" s="6">
        <v>95038.9</v>
      </c>
      <c r="F5" s="7">
        <f>103656318/1000</f>
        <v>103656.318</v>
      </c>
      <c r="G5" s="7">
        <f>111363653/1000</f>
        <v>111363.65300000001</v>
      </c>
      <c r="H5" s="52" t="s">
        <v>5</v>
      </c>
      <c r="I5" s="2"/>
    </row>
    <row r="6" spans="1:9" ht="18.75" customHeight="1">
      <c r="A6" s="47" t="s">
        <v>18</v>
      </c>
      <c r="B6" s="31">
        <v>55651.387999999999</v>
      </c>
      <c r="C6" s="31">
        <f>61364327/1000</f>
        <v>61364.326999999997</v>
      </c>
      <c r="D6" s="31">
        <v>65606.008000000002</v>
      </c>
      <c r="E6" s="31">
        <v>71403.343999999997</v>
      </c>
      <c r="F6" s="32">
        <f>77813511/1000</f>
        <v>77813.510999999999</v>
      </c>
      <c r="G6" s="32">
        <f>79364129.32/1000</f>
        <v>79364.129319999993</v>
      </c>
      <c r="H6" s="52" t="s">
        <v>17</v>
      </c>
      <c r="I6" s="2"/>
    </row>
    <row r="7" spans="1:9" ht="18.75" customHeight="1">
      <c r="A7" s="47" t="s">
        <v>6</v>
      </c>
      <c r="B7" s="6">
        <v>30387.436000000002</v>
      </c>
      <c r="C7" s="6">
        <f>29864802/1000</f>
        <v>29864.802</v>
      </c>
      <c r="D7" s="6">
        <v>29244.899000000001</v>
      </c>
      <c r="E7" s="6">
        <v>25529.73</v>
      </c>
      <c r="F7" s="7">
        <f>26612399/1000</f>
        <v>26612.399000000001</v>
      </c>
      <c r="G7" s="7">
        <f>25667565/1000</f>
        <v>25667.564999999999</v>
      </c>
      <c r="H7" s="52" t="s">
        <v>7</v>
      </c>
      <c r="I7" s="2"/>
    </row>
    <row r="8" spans="1:9" ht="18.75" customHeight="1">
      <c r="A8" s="47" t="s">
        <v>20</v>
      </c>
      <c r="B8" s="31">
        <v>3149.79</v>
      </c>
      <c r="C8" s="31">
        <f>3179508/1000</f>
        <v>3179.5079999999998</v>
      </c>
      <c r="D8" s="31">
        <v>3314.3870000000002</v>
      </c>
      <c r="E8" s="31">
        <v>3750.5839999999998</v>
      </c>
      <c r="F8" s="32">
        <f>3807099/1000</f>
        <v>3807.0990000000002</v>
      </c>
      <c r="G8" s="32">
        <f>3268026/1000</f>
        <v>3268.0259999999998</v>
      </c>
      <c r="H8" s="52" t="s">
        <v>19</v>
      </c>
      <c r="I8" s="2"/>
    </row>
    <row r="9" spans="1:9" ht="18.75" customHeight="1">
      <c r="A9" s="48" t="s">
        <v>8</v>
      </c>
      <c r="B9" s="33">
        <v>0</v>
      </c>
      <c r="C9" s="33">
        <v>0</v>
      </c>
      <c r="D9" s="33">
        <v>0</v>
      </c>
      <c r="E9" s="33">
        <v>0</v>
      </c>
      <c r="F9" s="34">
        <v>0</v>
      </c>
      <c r="G9" s="34">
        <v>0</v>
      </c>
      <c r="H9" s="53" t="s">
        <v>9</v>
      </c>
      <c r="I9" s="2"/>
    </row>
    <row r="10" spans="1:9" s="2" customFormat="1" ht="18.75" customHeight="1">
      <c r="A10" s="46" t="s">
        <v>10</v>
      </c>
      <c r="B10" s="29">
        <v>100</v>
      </c>
      <c r="C10" s="29">
        <f>SUM(C11:C15)</f>
        <v>100</v>
      </c>
      <c r="D10" s="29">
        <v>100</v>
      </c>
      <c r="E10" s="29">
        <v>100</v>
      </c>
      <c r="F10" s="35">
        <f>F4/F4*100</f>
        <v>100</v>
      </c>
      <c r="G10" s="35">
        <f>G4/G4*100</f>
        <v>100</v>
      </c>
      <c r="H10" s="51" t="s">
        <v>11</v>
      </c>
    </row>
    <row r="11" spans="1:9" ht="18.75" customHeight="1">
      <c r="A11" s="47" t="s">
        <v>4</v>
      </c>
      <c r="B11" s="36">
        <v>44.132385165602948</v>
      </c>
      <c r="C11" s="36">
        <f>C5/C4*100</f>
        <v>45.545271872428486</v>
      </c>
      <c r="D11" s="36">
        <v>47.536126104379548</v>
      </c>
      <c r="E11" s="36">
        <v>48.557969490670558</v>
      </c>
      <c r="F11" s="37">
        <f>F5/F4*100</f>
        <v>48.920027954027148</v>
      </c>
      <c r="G11" s="37">
        <f>G5/G4*100</f>
        <v>50.697415466605023</v>
      </c>
      <c r="H11" s="52" t="s">
        <v>5</v>
      </c>
      <c r="I11" s="2"/>
    </row>
    <row r="12" spans="1:9" ht="18.75" customHeight="1">
      <c r="A12" s="47" t="s">
        <v>18</v>
      </c>
      <c r="B12" s="38">
        <v>34.859946470113201</v>
      </c>
      <c r="C12" s="38">
        <f>C6/C4*100</f>
        <v>35.394830914849408</v>
      </c>
      <c r="D12" s="38">
        <v>35.062751714542486</v>
      </c>
      <c r="E12" s="38">
        <v>36.481918451116904</v>
      </c>
      <c r="F12" s="28">
        <f>F6/F4*100</f>
        <v>36.723657629060291</v>
      </c>
      <c r="G12" s="28">
        <f>G6/G4*100</f>
        <v>36.129887345572328</v>
      </c>
      <c r="H12" s="52" t="s">
        <v>17</v>
      </c>
      <c r="I12" s="2"/>
    </row>
    <row r="13" spans="1:9" ht="18.75" customHeight="1">
      <c r="A13" s="47" t="s">
        <v>6</v>
      </c>
      <c r="B13" s="6">
        <v>19.034644604443468</v>
      </c>
      <c r="C13" s="6">
        <f>C7/C4*100</f>
        <v>17.225962848015207</v>
      </c>
      <c r="D13" s="6">
        <v>15.629767209031709</v>
      </c>
      <c r="E13" s="6">
        <v>13.043836265414024</v>
      </c>
      <c r="F13" s="37">
        <f>F7/F4*100</f>
        <v>12.559575027580319</v>
      </c>
      <c r="G13" s="37">
        <f>G7/G4*100</f>
        <v>11.684954397294147</v>
      </c>
      <c r="H13" s="52" t="s">
        <v>7</v>
      </c>
      <c r="I13" s="2"/>
    </row>
    <row r="14" spans="1:9" ht="18.75" customHeight="1">
      <c r="A14" s="47" t="s">
        <v>20</v>
      </c>
      <c r="B14" s="38">
        <v>1.9730237598404154</v>
      </c>
      <c r="C14" s="38">
        <f>C8/C4*100</f>
        <v>1.8339343647068924</v>
      </c>
      <c r="D14" s="38">
        <v>1.7713549720462696</v>
      </c>
      <c r="E14" s="38">
        <v>1.9162757927984977</v>
      </c>
      <c r="F14" s="28">
        <f>F8/F4*100</f>
        <v>1.7967393893322434</v>
      </c>
      <c r="G14" s="28">
        <f>G8/G4*100</f>
        <v>1.4877427905284977</v>
      </c>
      <c r="H14" s="52" t="s">
        <v>19</v>
      </c>
      <c r="I14" s="2"/>
    </row>
    <row r="15" spans="1:9" ht="18.75" customHeight="1">
      <c r="A15" s="48" t="s">
        <v>8</v>
      </c>
      <c r="B15" s="39">
        <v>0</v>
      </c>
      <c r="C15" s="39">
        <f>(C9/C4)*100</f>
        <v>0</v>
      </c>
      <c r="D15" s="39">
        <v>0</v>
      </c>
      <c r="E15" s="39">
        <v>0</v>
      </c>
      <c r="F15" s="34">
        <f>(F9/F4)*100</f>
        <v>0</v>
      </c>
      <c r="G15" s="34">
        <f>(G9/G4)*100</f>
        <v>0</v>
      </c>
      <c r="H15" s="53" t="s">
        <v>9</v>
      </c>
      <c r="I15" s="2"/>
    </row>
    <row r="16" spans="1:9" s="2" customFormat="1" ht="18.75" customHeight="1">
      <c r="A16" s="46" t="s">
        <v>12</v>
      </c>
      <c r="B16" s="40">
        <v>12.084957541681275</v>
      </c>
      <c r="C16" s="40">
        <f>(C4-B4)/B4*100</f>
        <v>8.5992557345890983</v>
      </c>
      <c r="D16" s="40">
        <v>7.9248571813147315</v>
      </c>
      <c r="E16" s="40">
        <v>4.6027896726949482</v>
      </c>
      <c r="F16" s="35">
        <f t="shared" ref="F16:G20" si="0">(F4-E4)/E4*100</f>
        <v>8.2600437911709541</v>
      </c>
      <c r="G16" s="35">
        <f t="shared" si="0"/>
        <v>3.6689183122470457</v>
      </c>
      <c r="H16" s="51" t="s">
        <v>13</v>
      </c>
    </row>
    <row r="17" spans="1:35" ht="18.75" customHeight="1">
      <c r="A17" s="47" t="s">
        <v>4</v>
      </c>
      <c r="B17" s="36">
        <v>13.501023849174137</v>
      </c>
      <c r="C17" s="36">
        <f>(C5-B5)/B5*100</f>
        <v>12.076032351642166</v>
      </c>
      <c r="D17" s="36">
        <v>12.642419505982822</v>
      </c>
      <c r="E17" s="36">
        <v>6.8513462458563712</v>
      </c>
      <c r="F17" s="37">
        <f t="shared" si="0"/>
        <v>9.0672535140873958</v>
      </c>
      <c r="G17" s="37">
        <f t="shared" si="0"/>
        <v>7.4354705518287902</v>
      </c>
      <c r="H17" s="52" t="s">
        <v>5</v>
      </c>
      <c r="I17" s="2"/>
    </row>
    <row r="18" spans="1:35" ht="18.75" customHeight="1">
      <c r="A18" s="47" t="s">
        <v>18</v>
      </c>
      <c r="B18" s="41">
        <v>10.857256185235959</v>
      </c>
      <c r="C18" s="41">
        <f>(C6-B6)/B6*100</f>
        <v>10.26558223489412</v>
      </c>
      <c r="D18" s="41">
        <v>6.9122912404791865</v>
      </c>
      <c r="E18" s="41">
        <v>8.8365931364090855</v>
      </c>
      <c r="F18" s="28">
        <f t="shared" si="0"/>
        <v>8.9774044756223201</v>
      </c>
      <c r="G18" s="28">
        <f t="shared" si="0"/>
        <v>1.9927366084278013</v>
      </c>
      <c r="H18" s="52" t="s">
        <v>17</v>
      </c>
      <c r="I18" s="2"/>
    </row>
    <row r="19" spans="1:35" ht="18.75" customHeight="1">
      <c r="A19" s="47" t="s">
        <v>6</v>
      </c>
      <c r="B19" s="36">
        <v>10.956994862705715</v>
      </c>
      <c r="C19" s="36">
        <f>(C7-B7)/B7*100</f>
        <v>-1.7199016067035131</v>
      </c>
      <c r="D19" s="36">
        <v>-2.0756976724640546</v>
      </c>
      <c r="E19" s="36">
        <v>-12.703647907965083</v>
      </c>
      <c r="F19" s="37">
        <f t="shared" si="0"/>
        <v>4.2408164912045754</v>
      </c>
      <c r="G19" s="37">
        <f t="shared" si="0"/>
        <v>-3.5503526006806165</v>
      </c>
      <c r="H19" s="52" t="s">
        <v>7</v>
      </c>
      <c r="I19" s="2"/>
    </row>
    <row r="20" spans="1:35" ht="18.75" customHeight="1">
      <c r="A20" s="49" t="s">
        <v>20</v>
      </c>
      <c r="B20" s="42">
        <v>13.754401956850625</v>
      </c>
      <c r="C20" s="42">
        <f>(C8-B8)/B8*100</f>
        <v>0.94349147085995722</v>
      </c>
      <c r="D20" s="42">
        <v>4.2421343176365767</v>
      </c>
      <c r="E20" s="42">
        <v>13.160714183346714</v>
      </c>
      <c r="F20" s="43">
        <f t="shared" si="0"/>
        <v>1.5068320026961224</v>
      </c>
      <c r="G20" s="43">
        <f t="shared" si="0"/>
        <v>-14.159679062719416</v>
      </c>
      <c r="H20" s="54" t="s">
        <v>19</v>
      </c>
      <c r="I20" s="2"/>
    </row>
    <row r="21" spans="1:35" ht="14.25">
      <c r="A21" s="8" t="s">
        <v>14</v>
      </c>
      <c r="B21" s="9"/>
      <c r="C21" s="9"/>
      <c r="D21" s="9"/>
      <c r="E21" s="10"/>
      <c r="F21" s="10"/>
      <c r="G21" s="10"/>
      <c r="H21" s="27" t="s">
        <v>16</v>
      </c>
    </row>
    <row r="22" spans="1:35" ht="15">
      <c r="A22" s="11"/>
      <c r="B22" s="12"/>
      <c r="C22" s="12"/>
      <c r="D22" s="12"/>
      <c r="E22" s="13"/>
      <c r="F22" s="13"/>
      <c r="G22" s="13"/>
    </row>
    <row r="23" spans="1:35">
      <c r="I23" s="15"/>
    </row>
    <row r="24" spans="1:35" s="3" customFormat="1" ht="15">
      <c r="A24" s="16"/>
      <c r="B24" s="17"/>
      <c r="C24" s="17"/>
      <c r="D24" s="17"/>
      <c r="E24" s="17"/>
      <c r="F24" s="17"/>
      <c r="G24" s="17"/>
      <c r="H24" s="17"/>
      <c r="I24" s="17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</row>
    <row r="25" spans="1:35" s="3" customFormat="1" ht="15">
      <c r="A25" s="16"/>
      <c r="B25" s="17"/>
      <c r="C25" s="17"/>
      <c r="D25" s="17"/>
      <c r="E25" s="17"/>
      <c r="F25" s="17"/>
      <c r="G25" s="17"/>
      <c r="H25" s="17"/>
      <c r="I25" s="17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</row>
    <row r="26" spans="1:35" s="3" customFormat="1" ht="15">
      <c r="A26" s="16"/>
      <c r="B26" s="17"/>
      <c r="C26" s="17"/>
      <c r="D26" s="17"/>
      <c r="E26" s="17"/>
      <c r="F26" s="17"/>
      <c r="G26" s="17"/>
      <c r="H26" s="17"/>
      <c r="I26" s="20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</row>
    <row r="27" spans="1:35" s="3" customFormat="1" ht="15">
      <c r="A27" s="16"/>
      <c r="B27" s="17"/>
      <c r="C27" s="17"/>
      <c r="D27" s="17"/>
      <c r="E27" s="17"/>
      <c r="F27" s="17"/>
      <c r="G27" s="17"/>
      <c r="H27" s="17"/>
      <c r="I27" s="17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</row>
    <row r="28" spans="1:35" s="3" customFormat="1" ht="1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35" s="3" customFormat="1" ht="15">
      <c r="A29" s="16"/>
      <c r="B29" s="17"/>
      <c r="C29" s="17"/>
      <c r="D29" s="17"/>
      <c r="E29" s="17"/>
      <c r="F29" s="17"/>
      <c r="G29" s="17"/>
      <c r="H29" s="17"/>
      <c r="I29" s="17"/>
    </row>
    <row r="30" spans="1:35" s="3" customFormat="1" ht="15">
      <c r="A30" s="16"/>
      <c r="B30" s="17"/>
      <c r="C30" s="17"/>
      <c r="D30" s="17"/>
      <c r="E30" s="17"/>
      <c r="F30" s="17"/>
      <c r="G30" s="17"/>
      <c r="H30" s="17"/>
      <c r="J30" s="19"/>
      <c r="K30" s="19">
        <v>1998</v>
      </c>
      <c r="L30" s="19">
        <v>1999</v>
      </c>
      <c r="M30" s="19">
        <v>2000</v>
      </c>
      <c r="N30" s="19">
        <v>2001</v>
      </c>
      <c r="O30" s="19">
        <v>2002</v>
      </c>
      <c r="P30" s="19">
        <v>2003</v>
      </c>
      <c r="Q30" s="19">
        <v>2004</v>
      </c>
      <c r="R30" s="19">
        <v>2005</v>
      </c>
      <c r="S30" s="19">
        <v>2006</v>
      </c>
      <c r="T30" s="19">
        <v>2007</v>
      </c>
      <c r="U30" s="19">
        <v>2008</v>
      </c>
      <c r="V30" s="3">
        <v>2009</v>
      </c>
      <c r="W30" s="19">
        <v>2010</v>
      </c>
      <c r="X30" s="3">
        <v>2011</v>
      </c>
      <c r="Y30" s="3">
        <v>2012</v>
      </c>
    </row>
    <row r="31" spans="1:35" s="3" customFormat="1" ht="15">
      <c r="A31" s="16"/>
      <c r="B31" s="17"/>
      <c r="C31" s="17"/>
      <c r="D31" s="17"/>
      <c r="E31" s="17"/>
      <c r="F31" s="17"/>
      <c r="G31" s="17"/>
      <c r="H31" s="17"/>
      <c r="J31" s="3" t="s">
        <v>15</v>
      </c>
      <c r="K31" s="23">
        <v>68630</v>
      </c>
      <c r="L31" s="23">
        <v>75677</v>
      </c>
      <c r="M31" s="23">
        <v>82688</v>
      </c>
      <c r="N31" s="23">
        <v>90645</v>
      </c>
      <c r="O31" s="23">
        <v>97480</v>
      </c>
      <c r="P31" s="23">
        <v>108190</v>
      </c>
      <c r="Q31" s="23">
        <v>121395</v>
      </c>
      <c r="R31" s="23">
        <v>140065</v>
      </c>
      <c r="S31" s="23">
        <v>156108</v>
      </c>
      <c r="T31" s="23">
        <v>177052</v>
      </c>
      <c r="U31" s="23">
        <v>195106</v>
      </c>
      <c r="V31" s="24">
        <v>208388</v>
      </c>
      <c r="W31" s="25">
        <v>217331</v>
      </c>
      <c r="X31" s="25">
        <v>231445</v>
      </c>
      <c r="Y31" s="24">
        <v>243768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</row>
    <row r="32" spans="1:35" s="3" customFormat="1" ht="15">
      <c r="A32" s="16"/>
      <c r="B32" s="17"/>
      <c r="C32" s="17"/>
      <c r="D32" s="17"/>
      <c r="E32" s="17"/>
      <c r="F32" s="17"/>
      <c r="G32" s="17"/>
      <c r="H32" s="17"/>
      <c r="S32" s="4"/>
      <c r="T32" s="4"/>
      <c r="U32" s="4"/>
      <c r="V32" s="4"/>
      <c r="W32" s="4">
        <v>195722.55800000002</v>
      </c>
      <c r="X32" s="5">
        <v>211889.32699999999</v>
      </c>
      <c r="Y32" s="5">
        <v>219663.37332000001</v>
      </c>
    </row>
    <row r="33" spans="1:9" s="3" customFormat="1" ht="15">
      <c r="A33" s="16"/>
      <c r="B33" s="17"/>
      <c r="C33" s="17"/>
      <c r="D33" s="17"/>
      <c r="E33" s="17"/>
      <c r="F33" s="17"/>
      <c r="G33" s="17"/>
      <c r="H33" s="17"/>
      <c r="I33" s="17"/>
    </row>
    <row r="34" spans="1:9" s="3" customFormat="1" ht="15">
      <c r="A34" s="16"/>
      <c r="B34" s="17"/>
      <c r="C34" s="17"/>
      <c r="D34" s="17"/>
      <c r="E34" s="17"/>
      <c r="F34" s="17"/>
      <c r="G34" s="17"/>
      <c r="H34" s="17"/>
      <c r="I34" s="17"/>
    </row>
    <row r="35" spans="1:9" s="3" customFormat="1" ht="15">
      <c r="A35" s="16"/>
      <c r="B35" s="17"/>
      <c r="C35" s="17"/>
      <c r="D35" s="17"/>
      <c r="E35" s="17"/>
      <c r="F35" s="17"/>
      <c r="G35" s="17"/>
      <c r="H35" s="17"/>
      <c r="I35" s="17"/>
    </row>
    <row r="36" spans="1:9" s="3" customFormat="1" ht="15">
      <c r="A36" s="16"/>
      <c r="B36" s="17"/>
      <c r="C36" s="17"/>
      <c r="D36" s="17"/>
      <c r="E36" s="17"/>
      <c r="F36" s="17"/>
      <c r="G36" s="17"/>
      <c r="H36" s="17"/>
      <c r="I36" s="17"/>
    </row>
    <row r="37" spans="1:9" s="3" customFormat="1" ht="15">
      <c r="A37" s="26"/>
      <c r="B37" s="17"/>
      <c r="C37" s="17"/>
      <c r="D37" s="17"/>
      <c r="E37" s="17"/>
      <c r="F37" s="17"/>
      <c r="G37" s="17"/>
      <c r="H37" s="17"/>
      <c r="I37" s="17"/>
    </row>
    <row r="38" spans="1:9" s="3" customFormat="1" ht="15">
      <c r="A38" s="26"/>
      <c r="B38" s="17"/>
      <c r="C38" s="17"/>
      <c r="D38" s="17"/>
      <c r="E38" s="17"/>
      <c r="F38" s="17"/>
      <c r="G38" s="17"/>
      <c r="H38" s="17"/>
      <c r="I38" s="17"/>
    </row>
    <row r="39" spans="1:9" s="3" customFormat="1" ht="15">
      <c r="A39" s="16"/>
      <c r="B39" s="17"/>
      <c r="C39" s="17"/>
      <c r="D39" s="17"/>
      <c r="E39" s="17"/>
      <c r="F39" s="17"/>
      <c r="G39" s="17"/>
      <c r="H39" s="17"/>
      <c r="I39" s="17"/>
    </row>
    <row r="40" spans="1:9" s="3" customFormat="1" ht="15">
      <c r="A40" s="16"/>
      <c r="B40" s="17"/>
      <c r="C40" s="17"/>
      <c r="D40" s="17"/>
      <c r="E40" s="17"/>
      <c r="F40" s="17"/>
      <c r="G40" s="17"/>
      <c r="H40" s="17"/>
      <c r="I40" s="17"/>
    </row>
    <row r="41" spans="1:9" s="3" customFormat="1" ht="12">
      <c r="A41" s="16"/>
    </row>
    <row r="42" spans="1:9" s="3" customFormat="1" ht="12">
      <c r="A42" s="16"/>
    </row>
    <row r="43" spans="1:9" s="3" customFormat="1" ht="12">
      <c r="A43" s="16"/>
    </row>
    <row r="44" spans="1:9" s="3" customFormat="1" ht="12">
      <c r="A44" s="16"/>
    </row>
    <row r="45" spans="1:9" s="3" customFormat="1" ht="15">
      <c r="A45" s="26"/>
    </row>
    <row r="46" spans="1:9" s="3" customFormat="1" ht="12">
      <c r="A46" s="16"/>
    </row>
    <row r="47" spans="1:9" s="3" customFormat="1" ht="12">
      <c r="A47" s="16"/>
    </row>
    <row r="48" spans="1:9" s="3" customFormat="1" ht="12">
      <c r="A48" s="16"/>
    </row>
    <row r="49" spans="1:1" s="3" customFormat="1" ht="12">
      <c r="A49" s="16"/>
    </row>
    <row r="50" spans="1:1" s="3" customFormat="1" ht="12">
      <c r="A50" s="16"/>
    </row>
    <row r="51" spans="1:1" s="3" customFormat="1" ht="12">
      <c r="A51" s="16"/>
    </row>
    <row r="52" spans="1:1" s="3" customFormat="1" ht="12">
      <c r="A52" s="16"/>
    </row>
    <row r="53" spans="1:1" s="3" customFormat="1" ht="12">
      <c r="A53" s="16"/>
    </row>
    <row r="54" spans="1:1" s="3" customFormat="1" ht="12">
      <c r="A54" s="16"/>
    </row>
    <row r="55" spans="1:1" s="3" customFormat="1" ht="12">
      <c r="A55" s="16"/>
    </row>
    <row r="56" spans="1:1" s="3" customFormat="1" ht="12">
      <c r="A56" s="16"/>
    </row>
    <row r="57" spans="1:1" s="3" customFormat="1" ht="12">
      <c r="A57" s="16"/>
    </row>
    <row r="58" spans="1:1" s="3" customFormat="1" ht="12">
      <c r="A58" s="16"/>
    </row>
    <row r="59" spans="1:1" s="3" customFormat="1" ht="12">
      <c r="A59" s="16"/>
    </row>
    <row r="60" spans="1:1" s="3" customFormat="1" ht="12">
      <c r="A60" s="16"/>
    </row>
    <row r="61" spans="1:1" s="3" customFormat="1" ht="12">
      <c r="A61" s="16"/>
    </row>
  </sheetData>
  <mergeCells count="2">
    <mergeCell ref="A1:H1"/>
    <mergeCell ref="A2:H2"/>
  </mergeCells>
  <pageMargins left="0.7" right="0.7" top="0.24" bottom="0.21" header="0.17" footer="0.16"/>
  <pageSetup paperSize="9" scale="95" orientation="landscape" r:id="rId1"/>
  <rowBreaks count="1" manualBreakCount="1">
    <brk id="36" max="16383" man="1"/>
  </rowBreaks>
  <ignoredErrors>
    <ignoredError sqref="C12 C14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</vt:lpstr>
      <vt:lpstr>'12.1'!Print_Area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2013-07-03T03:45:48Z</cp:lastPrinted>
  <dcterms:created xsi:type="dcterms:W3CDTF">2013-05-15T05:59:45Z</dcterms:created>
  <dcterms:modified xsi:type="dcterms:W3CDTF">2013-07-03T04:28:46Z</dcterms:modified>
</cp:coreProperties>
</file>