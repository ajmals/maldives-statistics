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3" sheetId="4" r:id="rId1"/>
  </sheets>
  <definedNames>
    <definedName name="_xlnm.Print_Area" localSheetId="0">'12.3'!$A$1:$U$36</definedName>
  </definedNames>
  <calcPr calcId="124519"/>
</workbook>
</file>

<file path=xl/calcChain.xml><?xml version="1.0" encoding="utf-8"?>
<calcChain xmlns="http://schemas.openxmlformats.org/spreadsheetml/2006/main">
  <c r="B34" i="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N6"/>
  <c r="M6"/>
  <c r="L6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<sst xmlns="http://schemas.openxmlformats.org/spreadsheetml/2006/main" count="138" uniqueCount="80">
  <si>
    <t>Source: State Electric Company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</si>
  <si>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</si>
  <si>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</si>
  <si>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</si>
  <si>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</si>
  <si>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</si>
  <si>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</si>
  <si>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</si>
  <si>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</si>
  <si>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</si>
  <si>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</si>
  <si>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</si>
  <si>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</si>
  <si>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Locality</t>
  </si>
  <si>
    <t>wlcmuj</t>
  </si>
  <si>
    <t>cnwt</t>
  </si>
  <si>
    <t>Total</t>
  </si>
  <si>
    <t>K.Kaashidhoo</t>
  </si>
  <si>
    <t>K.Gaafaru</t>
  </si>
  <si>
    <t>ކ. ގާފަރު</t>
  </si>
  <si>
    <t>K.Dhiffushi</t>
  </si>
  <si>
    <t>ކ. ދިއްފުށި</t>
  </si>
  <si>
    <t>K.Thulusdhoo</t>
  </si>
  <si>
    <t>K.Himmafushi</t>
  </si>
  <si>
    <t>K.Hulhumale</t>
  </si>
  <si>
    <t>K.Thilafushi</t>
  </si>
  <si>
    <t>K.Gulhifalhu</t>
  </si>
  <si>
    <t>ކ. ގުޅިފަޅު</t>
  </si>
  <si>
    <t>K.Male'</t>
  </si>
  <si>
    <t>K.Villingili</t>
  </si>
  <si>
    <t>K.Gulhi</t>
  </si>
  <si>
    <t>ކ. ގުޅި</t>
  </si>
  <si>
    <t>K.Maafushi</t>
  </si>
  <si>
    <t>K.Guraidhoo</t>
  </si>
  <si>
    <t>AA.Ukulhas</t>
  </si>
  <si>
    <t>އއ.އުކުޅަސް</t>
  </si>
  <si>
    <t>AA.Mathiveri</t>
  </si>
  <si>
    <t>AA.Bodufolhudhoo</t>
  </si>
  <si>
    <t>AA.Feridhoo</t>
  </si>
  <si>
    <t>AA.Maalhos</t>
  </si>
  <si>
    <t>AA.Himandhoo</t>
  </si>
  <si>
    <t>V.Fulidhoo</t>
  </si>
  <si>
    <t>V.Thinadhoo</t>
  </si>
  <si>
    <t>V.Keyodhoo</t>
  </si>
  <si>
    <t>V.Rakeedhoo</t>
  </si>
  <si>
    <t>cDeTimil Inepcmok ckircTckeliacTETcs :ctWrwf ivcaedutWmUluAwm</t>
  </si>
  <si>
    <t>Note: Missing data not registered since the island was not under STELCO at that time.</t>
  </si>
  <si>
    <t>ކ. ކާށިދޫ</t>
  </si>
  <si>
    <t>ކ. ތުލުސްދޫ</t>
  </si>
  <si>
    <t>ކ. ހިންމަފުށި</t>
  </si>
  <si>
    <t>ކ. ހުޅުމާލެ</t>
  </si>
  <si>
    <t>ކ. ތިލަފުށި</t>
  </si>
  <si>
    <t>ކ. މާލެ</t>
  </si>
  <si>
    <t>ކ. ވިލިނގިލި</t>
  </si>
  <si>
    <t>ކ. މާފުށި</t>
  </si>
  <si>
    <t>ކ. ގުރައިދޫ</t>
  </si>
  <si>
    <t>އދ.އޮމަދޫ</t>
  </si>
  <si>
    <t>އދ.ދިގުރަށް</t>
  </si>
  <si>
    <t>އއ.މަތިވެރި</t>
  </si>
  <si>
    <t>އއ.ފެރިދޫ</t>
  </si>
  <si>
    <t>އއ.މާޅޮސް</t>
  </si>
  <si>
    <t>ވ.ރަކީދޫ</t>
  </si>
  <si>
    <t>ވ.ތިނަދޫ</t>
  </si>
  <si>
    <t>ވ.ކެޔޮދޫ</t>
  </si>
  <si>
    <t>ވ.ފެލިދޫ</t>
  </si>
  <si>
    <t>އދ.ކުނބުރުދޫ</t>
  </si>
  <si>
    <t>އދ.ފެންފުށި</t>
  </si>
  <si>
    <t>އދ.ދިއްދޫ</t>
  </si>
  <si>
    <t>އއ.ބޮޑުފުޅަދޫ</t>
  </si>
  <si>
    <t>އއ.ހިމަންދޫ</t>
  </si>
  <si>
    <t xml:space="preserve"> - </t>
  </si>
  <si>
    <t xml:space="preserve">ނޯޓް: ބައެއް މަސްމަހުގައި ޑޭޓާ ނެތީ އެތަންތަން އެއިރު ހިނގަމުންއައީ ސްޓެލްކޯގެ ދަށުން ކަމުގައި ނުވާތީއެވެ. </t>
  </si>
  <si>
    <t>ADh.Omadhoo</t>
  </si>
  <si>
    <t>ADh.Kunburudhoo</t>
  </si>
  <si>
    <t>ADh.Dhigurah</t>
  </si>
  <si>
    <t>ADh.Fenfushi</t>
  </si>
  <si>
    <t>ADh.Dhihdhoo</t>
  </si>
  <si>
    <t>Table  12.3 :   MONTHLY CONSUMPTION OF FUEL FOR ELECTRICITY GENERATION IN SELECTED LOCALITIES BY PUBLIC SECTOR, 2012</t>
  </si>
  <si>
    <t>ތާވަލު 12.3: މާލެއާއި އަތޮޅުތަކުގައި ސަރުކާރުގެ ފަރާތުން ސަރުކާރުގެ ފަރާތުން އެކިމަސްމަހު ކަރަންޓް އުފެއްދުމަށްޓަކާ ތެޔޮބޭނުންކުރެވިފައިވާ މިންވަރު، 2012</t>
  </si>
  <si>
    <r>
      <rPr>
        <b/>
        <sz val="10.5"/>
        <rFont val="Calibri"/>
        <family val="2"/>
        <scheme val="minor"/>
      </rPr>
      <t>(In '000 litres)</t>
    </r>
    <r>
      <rPr>
        <b/>
        <sz val="10.5"/>
        <rFont val="A_Faseyha"/>
      </rPr>
      <t xml:space="preserve"> (cniDwg cTovOlik 000 ')</t>
    </r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</si>
</sst>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name val="A_Faseyh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45">
    <xf numFmtId="0" fontId="0" fillId="0" borderId="0" xfId="0"/>
    <xf numFmtId="0" fontId="0" fillId="2" borderId="0" xfId="0" applyFill="1"/>
    <xf numFmtId="0" fontId="8" fillId="2" borderId="0" xfId="0" applyFont="1" applyFill="1"/>
    <xf numFmtId="0" fontId="10" fillId="2" borderId="0" xfId="0" applyFont="1" applyFill="1" applyBorder="1" applyAlignment="1">
      <alignment horizontal="right" vertical="center"/>
    </xf>
    <xf numFmtId="0" fontId="12" fillId="2" borderId="3" xfId="3" applyFont="1" applyFill="1" applyBorder="1" applyAlignment="1">
      <alignment vertical="center"/>
    </xf>
    <xf numFmtId="0" fontId="14" fillId="2" borderId="3" xfId="3" applyFont="1" applyFill="1" applyBorder="1" applyAlignment="1">
      <alignment vertical="center"/>
    </xf>
    <xf numFmtId="0" fontId="5" fillId="2" borderId="6" xfId="3" applyFont="1" applyFill="1" applyBorder="1" applyAlignment="1" applyProtection="1">
      <alignment vertical="center"/>
    </xf>
    <xf numFmtId="164" fontId="5" fillId="2" borderId="6" xfId="1" applyNumberFormat="1" applyFont="1" applyFill="1" applyBorder="1" applyAlignment="1" applyProtection="1">
      <alignment horizontal="right" vertical="center"/>
    </xf>
    <xf numFmtId="0" fontId="5" fillId="2" borderId="3" xfId="3" applyFont="1" applyFill="1" applyBorder="1" applyAlignment="1">
      <alignment vertical="center"/>
    </xf>
    <xf numFmtId="0" fontId="13" fillId="2" borderId="11" xfId="0" applyFont="1" applyFill="1" applyBorder="1" applyAlignment="1">
      <alignment horizontal="left" vertical="center"/>
    </xf>
    <xf numFmtId="3" fontId="5" fillId="2" borderId="3" xfId="0" applyNumberFormat="1" applyFont="1" applyFill="1" applyBorder="1" applyAlignment="1">
      <alignment horizontal="right" vertical="center"/>
    </xf>
    <xf numFmtId="164" fontId="5" fillId="2" borderId="3" xfId="2" applyNumberFormat="1" applyFont="1" applyFill="1" applyBorder="1" applyAlignment="1">
      <alignment horizontal="right" vertical="center"/>
    </xf>
    <xf numFmtId="0" fontId="15" fillId="2" borderId="9" xfId="0" applyFont="1" applyFill="1" applyBorder="1" applyAlignment="1">
      <alignment horizontal="right" vertical="center"/>
    </xf>
    <xf numFmtId="0" fontId="16" fillId="2" borderId="3" xfId="3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164" fontId="6" fillId="2" borderId="3" xfId="2" applyNumberFormat="1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 vertical="center"/>
    </xf>
    <xf numFmtId="164" fontId="16" fillId="2" borderId="3" xfId="2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1" fontId="5" fillId="2" borderId="8" xfId="2" applyNumberFormat="1" applyFont="1" applyFill="1" applyBorder="1" applyAlignment="1">
      <alignment horizontal="right" vertical="center"/>
    </xf>
    <xf numFmtId="164" fontId="6" fillId="2" borderId="8" xfId="2" applyNumberFormat="1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1" fillId="2" borderId="0" xfId="0" applyFont="1" applyFill="1" applyBorder="1"/>
    <xf numFmtId="1" fontId="1" fillId="2" borderId="0" xfId="0" applyNumberFormat="1" applyFont="1" applyFill="1" applyBorder="1"/>
    <xf numFmtId="0" fontId="1" fillId="2" borderId="0" xfId="0" applyFont="1" applyFill="1"/>
    <xf numFmtId="0" fontId="7" fillId="2" borderId="7" xfId="3" applyFont="1" applyFill="1" applyBorder="1"/>
    <xf numFmtId="3" fontId="17" fillId="2" borderId="0" xfId="0" applyNumberFormat="1" applyFont="1" applyFill="1" applyBorder="1"/>
    <xf numFmtId="1" fontId="17" fillId="2" borderId="0" xfId="0" applyNumberFormat="1" applyFont="1" applyFill="1" applyBorder="1"/>
    <xf numFmtId="0" fontId="11" fillId="2" borderId="0" xfId="0" applyFont="1" applyFill="1" applyBorder="1"/>
    <xf numFmtId="3" fontId="18" fillId="2" borderId="0" xfId="0" applyNumberFormat="1" applyFont="1" applyFill="1" applyBorder="1"/>
    <xf numFmtId="0" fontId="17" fillId="2" borderId="0" xfId="0" applyFont="1" applyFill="1" applyBorder="1"/>
    <xf numFmtId="0" fontId="19" fillId="2" borderId="0" xfId="0" applyFont="1" applyFill="1" applyBorder="1" applyAlignment="1">
      <alignment horizontal="right"/>
    </xf>
    <xf numFmtId="0" fontId="20" fillId="2" borderId="0" xfId="0" applyFont="1" applyFill="1"/>
    <xf numFmtId="0" fontId="17" fillId="2" borderId="3" xfId="3" applyFont="1" applyFill="1" applyBorder="1" applyAlignment="1">
      <alignment vertical="center"/>
    </xf>
    <xf numFmtId="0" fontId="15" fillId="2" borderId="1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/>
    </xf>
    <xf numFmtId="0" fontId="9" fillId="2" borderId="12" xfId="3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2" fillId="2" borderId="12" xfId="3" applyFont="1" applyFill="1" applyBorder="1" applyAlignment="1" applyProtection="1">
      <alignment horizontal="center" vertical="center"/>
    </xf>
    <xf numFmtId="0" fontId="2" fillId="2" borderId="1" xfId="3" applyFont="1" applyFill="1" applyBorder="1" applyAlignment="1" applyProtection="1">
      <alignment horizontal="center" vertical="center"/>
    </xf>
    <xf numFmtId="0" fontId="2" fillId="2" borderId="2" xfId="3" applyFont="1" applyFill="1" applyBorder="1" applyAlignment="1" applyProtection="1">
      <alignment horizontal="center" vertical="center"/>
    </xf>
    <xf numFmtId="0" fontId="2" fillId="2" borderId="10" xfId="3" applyFont="1" applyFill="1" applyBorder="1" applyAlignment="1" applyProtection="1">
      <alignment horizontal="center" vertical="top"/>
    </xf>
    <xf numFmtId="0" fontId="2" fillId="2" borderId="4" xfId="3" applyFont="1" applyFill="1" applyBorder="1" applyAlignment="1" applyProtection="1">
      <alignment horizontal="center" vertical="top"/>
    </xf>
    <xf numFmtId="0" fontId="2" fillId="2" borderId="5" xfId="3" applyFont="1" applyFill="1" applyBorder="1" applyAlignment="1" applyProtection="1">
      <alignment horizontal="center" vertical="top"/>
    </xf>
  </cellXfs>
  <cellStyles count="9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6"/>
    <cellStyle name="Normal 3" xfId="7"/>
    <cellStyle name="Normal 4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>
      <selection activeCell="G10" sqref="G10"/>
    </sheetView>
  </sheetViews>
  <sheetFormatPr defaultColWidth="11.140625" defaultRowHeight="17.25" customHeight="1"/>
  <cols>
    <col min="1" max="1" width="16.7109375" style="13" customWidth="1"/>
    <col min="2" max="14" width="8.42578125" style="13" customWidth="1"/>
    <col min="15" max="15" width="13.5703125" style="13" bestFit="1" customWidth="1"/>
    <col min="16" max="16" width="1.85546875" style="13" customWidth="1"/>
    <col min="17" max="16384" width="11.140625" style="13"/>
  </cols>
  <sheetData>
    <row r="1" spans="1:15" ht="18" customHeight="1">
      <c r="A1" s="36" t="s">
        <v>78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1:15" s="4" customFormat="1" ht="15">
      <c r="A2" s="39" t="s">
        <v>77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1:15" s="1" customFormat="1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s="5" customFormat="1" ht="4.5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4"/>
    </row>
    <row r="5" spans="1:15" s="8" customFormat="1" ht="16.5" customHeight="1">
      <c r="A5" s="6" t="s">
        <v>13</v>
      </c>
      <c r="B5" s="7" t="s">
        <v>16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34" t="s">
        <v>15</v>
      </c>
    </row>
    <row r="6" spans="1:15" ht="17.25" customHeight="1">
      <c r="A6" s="9" t="s">
        <v>16</v>
      </c>
      <c r="B6" s="10">
        <f t="shared" ref="B6:N6" si="0">SUM(B7:B34)</f>
        <v>74809.087979999968</v>
      </c>
      <c r="C6" s="11">
        <f>SUM(C7:C34)</f>
        <v>5881.1437300000007</v>
      </c>
      <c r="D6" s="11">
        <f t="shared" si="0"/>
        <v>5805.2678899999992</v>
      </c>
      <c r="E6" s="11">
        <f t="shared" si="0"/>
        <v>6445.483830000001</v>
      </c>
      <c r="F6" s="11">
        <f t="shared" si="0"/>
        <v>6658.6054799999974</v>
      </c>
      <c r="G6" s="11">
        <f t="shared" si="0"/>
        <v>6677.6692499999999</v>
      </c>
      <c r="H6" s="11">
        <f t="shared" si="0"/>
        <v>5692.4192000000012</v>
      </c>
      <c r="I6" s="11">
        <f t="shared" si="0"/>
        <v>6179.7157499999985</v>
      </c>
      <c r="J6" s="11">
        <f t="shared" si="0"/>
        <v>6478.11193</v>
      </c>
      <c r="K6" s="11">
        <f t="shared" si="0"/>
        <v>6332.962590000001</v>
      </c>
      <c r="L6" s="11">
        <f t="shared" si="0"/>
        <v>6363.8291900000004</v>
      </c>
      <c r="M6" s="11">
        <f t="shared" si="0"/>
        <v>6226.9775899999995</v>
      </c>
      <c r="N6" s="11">
        <f t="shared" si="0"/>
        <v>6066.9015499999978</v>
      </c>
      <c r="O6" s="12" t="s">
        <v>14</v>
      </c>
    </row>
    <row r="7" spans="1:15" ht="18.75">
      <c r="A7" s="14" t="s">
        <v>17</v>
      </c>
      <c r="B7" s="10">
        <f>SUM(C7:N7)</f>
        <v>379.49900000000002</v>
      </c>
      <c r="C7" s="15">
        <v>30.43</v>
      </c>
      <c r="D7" s="15">
        <v>29.36</v>
      </c>
      <c r="E7" s="15">
        <v>33.381999999999998</v>
      </c>
      <c r="F7" s="15">
        <v>34.93</v>
      </c>
      <c r="G7" s="15">
        <v>34.622</v>
      </c>
      <c r="H7" s="15">
        <v>30.63</v>
      </c>
      <c r="I7" s="15">
        <v>32.241</v>
      </c>
      <c r="J7" s="15">
        <v>33.606000000000002</v>
      </c>
      <c r="K7" s="15">
        <v>30.498999999999999</v>
      </c>
      <c r="L7" s="15">
        <v>31.437000000000001</v>
      </c>
      <c r="M7" s="15">
        <v>29.571999999999999</v>
      </c>
      <c r="N7" s="15">
        <v>28.79</v>
      </c>
      <c r="O7" s="16" t="s">
        <v>47</v>
      </c>
    </row>
    <row r="8" spans="1:15" ht="18.75">
      <c r="A8" s="14" t="s">
        <v>18</v>
      </c>
      <c r="B8" s="10">
        <f t="shared" ref="B8:B34" si="1">SUM(C8:N8)</f>
        <v>251.54399999999998</v>
      </c>
      <c r="C8" s="15">
        <v>17.920000000000002</v>
      </c>
      <c r="D8" s="15">
        <v>18.344999999999999</v>
      </c>
      <c r="E8" s="15">
        <v>22.706</v>
      </c>
      <c r="F8" s="15">
        <v>22.09</v>
      </c>
      <c r="G8" s="15">
        <v>22.856000000000002</v>
      </c>
      <c r="H8" s="15">
        <v>20.486000000000001</v>
      </c>
      <c r="I8" s="15">
        <v>22.952000000000002</v>
      </c>
      <c r="J8" s="15">
        <v>24.885999999999999</v>
      </c>
      <c r="K8" s="15">
        <v>20.097000000000001</v>
      </c>
      <c r="L8" s="15">
        <v>20.431999999999999</v>
      </c>
      <c r="M8" s="15">
        <v>18.937999999999999</v>
      </c>
      <c r="N8" s="15">
        <v>19.835999999999999</v>
      </c>
      <c r="O8" s="16" t="s">
        <v>19</v>
      </c>
    </row>
    <row r="9" spans="1:15" ht="18.75">
      <c r="A9" s="14" t="s">
        <v>20</v>
      </c>
      <c r="B9" s="10">
        <f t="shared" si="1"/>
        <v>19.045999999999999</v>
      </c>
      <c r="C9" s="3" t="s">
        <v>70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 t="s">
        <v>70</v>
      </c>
      <c r="L9" s="3" t="s">
        <v>70</v>
      </c>
      <c r="M9" s="15">
        <v>2.1080000000000001</v>
      </c>
      <c r="N9" s="15">
        <v>16.937999999999999</v>
      </c>
      <c r="O9" s="16" t="s">
        <v>21</v>
      </c>
    </row>
    <row r="10" spans="1:15" ht="18.75">
      <c r="A10" s="14" t="s">
        <v>22</v>
      </c>
      <c r="B10" s="10">
        <f t="shared" si="1"/>
        <v>443.80859000000004</v>
      </c>
      <c r="C10" s="15">
        <v>34.25703</v>
      </c>
      <c r="D10" s="15">
        <v>33.885390000000001</v>
      </c>
      <c r="E10" s="15">
        <v>39.089880000000001</v>
      </c>
      <c r="F10" s="15">
        <v>40.389139999999998</v>
      </c>
      <c r="G10" s="15">
        <v>40.003680000000003</v>
      </c>
      <c r="H10" s="15">
        <v>35.869500000000002</v>
      </c>
      <c r="I10" s="15">
        <v>36.678599999999996</v>
      </c>
      <c r="J10" s="15">
        <v>39.64978</v>
      </c>
      <c r="K10" s="15">
        <v>37.010429999999999</v>
      </c>
      <c r="L10" s="15">
        <v>37.861989999999999</v>
      </c>
      <c r="M10" s="15">
        <v>35.218720000000005</v>
      </c>
      <c r="N10" s="15">
        <v>33.894449999999999</v>
      </c>
      <c r="O10" s="16" t="s">
        <v>48</v>
      </c>
    </row>
    <row r="11" spans="1:15" ht="18.75">
      <c r="A11" s="14" t="s">
        <v>23</v>
      </c>
      <c r="B11" s="10">
        <f t="shared" si="1"/>
        <v>516.6629999999999</v>
      </c>
      <c r="C11" s="15">
        <v>37.686999999999998</v>
      </c>
      <c r="D11" s="15">
        <v>40.768000000000001</v>
      </c>
      <c r="E11" s="15">
        <v>45.718000000000004</v>
      </c>
      <c r="F11" s="15">
        <v>49.677</v>
      </c>
      <c r="G11" s="15">
        <v>44.378999999999998</v>
      </c>
      <c r="H11" s="15">
        <v>42.368000000000002</v>
      </c>
      <c r="I11" s="15">
        <v>45.323999999999998</v>
      </c>
      <c r="J11" s="15">
        <v>42.625</v>
      </c>
      <c r="K11" s="15">
        <v>42.58</v>
      </c>
      <c r="L11" s="15">
        <v>45.554000000000002</v>
      </c>
      <c r="M11" s="15">
        <v>40.170999999999999</v>
      </c>
      <c r="N11" s="15">
        <v>39.811999999999998</v>
      </c>
      <c r="O11" s="16" t="s">
        <v>49</v>
      </c>
    </row>
    <row r="12" spans="1:15" ht="18.75">
      <c r="A12" s="14" t="s">
        <v>24</v>
      </c>
      <c r="B12" s="10">
        <f t="shared" si="1"/>
        <v>4265.1439999999993</v>
      </c>
      <c r="C12" s="15">
        <v>305.78800000000001</v>
      </c>
      <c r="D12" s="15">
        <v>303.52300000000002</v>
      </c>
      <c r="E12" s="15">
        <v>346.80099999999999</v>
      </c>
      <c r="F12" s="15">
        <v>360.96800000000002</v>
      </c>
      <c r="G12" s="15">
        <v>369.399</v>
      </c>
      <c r="H12" s="15">
        <v>361.25400000000002</v>
      </c>
      <c r="I12" s="15">
        <v>375.91399999999999</v>
      </c>
      <c r="J12" s="15">
        <v>376.90100000000001</v>
      </c>
      <c r="K12" s="15">
        <v>358.209</v>
      </c>
      <c r="L12" s="15">
        <v>375.43200000000002</v>
      </c>
      <c r="M12" s="15">
        <v>365.06400000000002</v>
      </c>
      <c r="N12" s="15">
        <v>365.89100000000002</v>
      </c>
      <c r="O12" s="16" t="s">
        <v>50</v>
      </c>
    </row>
    <row r="13" spans="1:15" ht="18.75">
      <c r="A13" s="14" t="s">
        <v>25</v>
      </c>
      <c r="B13" s="10">
        <f t="shared" si="1"/>
        <v>851.42400000000009</v>
      </c>
      <c r="C13" s="15">
        <v>72.290999999999997</v>
      </c>
      <c r="D13" s="15">
        <v>65.073999999999998</v>
      </c>
      <c r="E13" s="15">
        <v>73.195999999999998</v>
      </c>
      <c r="F13" s="15">
        <v>71.201999999999998</v>
      </c>
      <c r="G13" s="15">
        <v>70.134</v>
      </c>
      <c r="H13" s="15">
        <v>65.736000000000004</v>
      </c>
      <c r="I13" s="15">
        <v>70.539000000000001</v>
      </c>
      <c r="J13" s="15">
        <v>72.287999999999997</v>
      </c>
      <c r="K13" s="15">
        <v>69.739999999999995</v>
      </c>
      <c r="L13" s="15">
        <v>72.641999999999996</v>
      </c>
      <c r="M13" s="15">
        <v>71.731999999999999</v>
      </c>
      <c r="N13" s="15">
        <v>76.849999999999994</v>
      </c>
      <c r="O13" s="16" t="s">
        <v>51</v>
      </c>
    </row>
    <row r="14" spans="1:15" ht="18.75">
      <c r="A14" s="14" t="s">
        <v>26</v>
      </c>
      <c r="B14" s="10">
        <f t="shared" si="1"/>
        <v>25.814999999999998</v>
      </c>
      <c r="C14" s="3" t="s">
        <v>70</v>
      </c>
      <c r="D14" s="3" t="s">
        <v>70</v>
      </c>
      <c r="E14" s="3" t="s">
        <v>70</v>
      </c>
      <c r="F14" s="3" t="s">
        <v>70</v>
      </c>
      <c r="G14" s="3" t="s">
        <v>70</v>
      </c>
      <c r="H14" s="15">
        <v>3.0270000000000001</v>
      </c>
      <c r="I14" s="15">
        <v>3.62</v>
      </c>
      <c r="J14" s="15">
        <v>3.335</v>
      </c>
      <c r="K14" s="15">
        <v>3.35</v>
      </c>
      <c r="L14" s="15">
        <v>4.1210000000000004</v>
      </c>
      <c r="M14" s="15">
        <v>3.746</v>
      </c>
      <c r="N14" s="15">
        <v>4.6159999999999997</v>
      </c>
      <c r="O14" s="16" t="s">
        <v>27</v>
      </c>
    </row>
    <row r="15" spans="1:15" ht="18.75">
      <c r="A15" s="14" t="s">
        <v>28</v>
      </c>
      <c r="B15" s="10">
        <f t="shared" si="1"/>
        <v>62492.520999999993</v>
      </c>
      <c r="C15" s="15">
        <v>5025.9290000000001</v>
      </c>
      <c r="D15" s="15">
        <v>4946.0709999999999</v>
      </c>
      <c r="E15" s="15">
        <v>5429.7640000000001</v>
      </c>
      <c r="F15" s="15">
        <v>5596.2049999999999</v>
      </c>
      <c r="G15" s="15">
        <v>5606.5690000000004</v>
      </c>
      <c r="H15" s="15">
        <v>4642.5039999999999</v>
      </c>
      <c r="I15" s="15">
        <v>5106.7160000000003</v>
      </c>
      <c r="J15" s="15">
        <v>5383.39</v>
      </c>
      <c r="K15" s="15">
        <v>5314.6850000000004</v>
      </c>
      <c r="L15" s="15">
        <v>5279.7610000000004</v>
      </c>
      <c r="M15" s="15">
        <v>5168.9939999999997</v>
      </c>
      <c r="N15" s="15">
        <v>4991.933</v>
      </c>
      <c r="O15" s="16" t="s">
        <v>52</v>
      </c>
    </row>
    <row r="16" spans="1:15" ht="18.75">
      <c r="A16" s="14" t="s">
        <v>29</v>
      </c>
      <c r="B16" s="10">
        <f t="shared" si="1"/>
        <v>2571.5067000000004</v>
      </c>
      <c r="C16" s="15">
        <v>195.5754</v>
      </c>
      <c r="D16" s="15">
        <v>194.7696</v>
      </c>
      <c r="E16" s="15">
        <v>222.1327</v>
      </c>
      <c r="F16" s="15">
        <v>225.3758</v>
      </c>
      <c r="G16" s="15">
        <v>218.24110000000002</v>
      </c>
      <c r="H16" s="15">
        <v>227.27</v>
      </c>
      <c r="I16" s="15">
        <v>231.125</v>
      </c>
      <c r="J16" s="15">
        <v>225.8954</v>
      </c>
      <c r="K16" s="15">
        <v>210.56270000000001</v>
      </c>
      <c r="L16" s="15">
        <v>212.61789999999999</v>
      </c>
      <c r="M16" s="15">
        <v>209.39779999999999</v>
      </c>
      <c r="N16" s="15">
        <v>198.54329999999999</v>
      </c>
      <c r="O16" s="16" t="s">
        <v>53</v>
      </c>
    </row>
    <row r="17" spans="1:16" ht="18.75">
      <c r="A17" s="14" t="s">
        <v>30</v>
      </c>
      <c r="B17" s="10">
        <f t="shared" si="1"/>
        <v>171</v>
      </c>
      <c r="C17" s="15">
        <v>14.64</v>
      </c>
      <c r="D17" s="15">
        <v>13.16</v>
      </c>
      <c r="E17" s="15">
        <v>14.54</v>
      </c>
      <c r="F17" s="15">
        <v>13.74</v>
      </c>
      <c r="G17" s="15">
        <v>14.32</v>
      </c>
      <c r="H17" s="15">
        <v>14</v>
      </c>
      <c r="I17" s="15">
        <v>13.4</v>
      </c>
      <c r="J17" s="15">
        <v>15.6</v>
      </c>
      <c r="K17" s="15">
        <v>13.6</v>
      </c>
      <c r="L17" s="15">
        <v>15</v>
      </c>
      <c r="M17" s="15">
        <v>14.4</v>
      </c>
      <c r="N17" s="15">
        <v>14.6</v>
      </c>
      <c r="O17" s="16" t="s">
        <v>31</v>
      </c>
    </row>
    <row r="18" spans="1:16" ht="18.75">
      <c r="A18" s="14" t="s">
        <v>32</v>
      </c>
      <c r="B18" s="10">
        <f t="shared" si="1"/>
        <v>930.95900000000006</v>
      </c>
      <c r="C18" s="15">
        <v>79.697999999999993</v>
      </c>
      <c r="D18" s="15">
        <v>74.855999999999995</v>
      </c>
      <c r="E18" s="15">
        <v>82.093000000000004</v>
      </c>
      <c r="F18" s="15">
        <v>80.302999999999997</v>
      </c>
      <c r="G18" s="15">
        <v>81.61</v>
      </c>
      <c r="H18" s="15">
        <v>74.165000000000006</v>
      </c>
      <c r="I18" s="15">
        <v>78.075999999999993</v>
      </c>
      <c r="J18" s="15">
        <v>78.009</v>
      </c>
      <c r="K18" s="15">
        <v>68.429000000000002</v>
      </c>
      <c r="L18" s="15">
        <v>75.224000000000004</v>
      </c>
      <c r="M18" s="15">
        <v>78.278999999999996</v>
      </c>
      <c r="N18" s="15">
        <v>80.216999999999999</v>
      </c>
      <c r="O18" s="16" t="s">
        <v>54</v>
      </c>
    </row>
    <row r="19" spans="1:16" ht="18.75">
      <c r="A19" s="14" t="s">
        <v>33</v>
      </c>
      <c r="B19" s="10">
        <f t="shared" si="1"/>
        <v>471.24999999999994</v>
      </c>
      <c r="C19" s="15">
        <v>37.344000000000001</v>
      </c>
      <c r="D19" s="15">
        <v>36.167000000000002</v>
      </c>
      <c r="E19" s="15">
        <v>42.356000000000002</v>
      </c>
      <c r="F19" s="15">
        <v>42.796999999999997</v>
      </c>
      <c r="G19" s="15">
        <v>42.707000000000001</v>
      </c>
      <c r="H19" s="15">
        <v>40.557000000000002</v>
      </c>
      <c r="I19" s="15">
        <v>38.500999999999998</v>
      </c>
      <c r="J19" s="15">
        <v>40.908999999999999</v>
      </c>
      <c r="K19" s="15">
        <v>37.743000000000002</v>
      </c>
      <c r="L19" s="15">
        <v>38.215000000000003</v>
      </c>
      <c r="M19" s="15">
        <v>36.380000000000003</v>
      </c>
      <c r="N19" s="15">
        <v>37.573999999999998</v>
      </c>
      <c r="O19" s="16" t="s">
        <v>55</v>
      </c>
    </row>
    <row r="20" spans="1:16" ht="18.75">
      <c r="A20" s="14" t="s">
        <v>34</v>
      </c>
      <c r="B20" s="10">
        <f t="shared" si="1"/>
        <v>182.24110000000002</v>
      </c>
      <c r="C20" s="15">
        <v>15.251299999999999</v>
      </c>
      <c r="D20" s="15">
        <v>14.865399999999999</v>
      </c>
      <c r="E20" s="15">
        <v>16.543200000000002</v>
      </c>
      <c r="F20" s="15">
        <v>16.744499999999999</v>
      </c>
      <c r="G20" s="15">
        <v>17.195900000000002</v>
      </c>
      <c r="H20" s="15">
        <v>16.042999999999999</v>
      </c>
      <c r="I20" s="15">
        <v>1.7474000000000001</v>
      </c>
      <c r="J20" s="15">
        <v>17.415500000000002</v>
      </c>
      <c r="K20" s="15">
        <v>16.981999999999999</v>
      </c>
      <c r="L20" s="15">
        <v>16.543200000000002</v>
      </c>
      <c r="M20" s="15">
        <v>16.592200000000002</v>
      </c>
      <c r="N20" s="15">
        <v>16.317499999999999</v>
      </c>
      <c r="O20" s="16" t="s">
        <v>35</v>
      </c>
    </row>
    <row r="21" spans="1:16" ht="18.75">
      <c r="A21" s="14" t="s">
        <v>36</v>
      </c>
      <c r="B21" s="10">
        <f t="shared" si="1"/>
        <v>158.17099999999999</v>
      </c>
      <c r="C21" s="3" t="s">
        <v>70</v>
      </c>
      <c r="D21" s="15">
        <v>5.6660000000000004</v>
      </c>
      <c r="E21" s="15">
        <v>13.601000000000001</v>
      </c>
      <c r="F21" s="15">
        <v>15.079000000000001</v>
      </c>
      <c r="G21" s="15">
        <v>15.355</v>
      </c>
      <c r="H21" s="15">
        <v>15.769</v>
      </c>
      <c r="I21" s="15">
        <v>17.311</v>
      </c>
      <c r="J21" s="15">
        <v>16.172000000000001</v>
      </c>
      <c r="K21" s="15">
        <v>14.911</v>
      </c>
      <c r="L21" s="15">
        <v>15.112</v>
      </c>
      <c r="M21" s="15">
        <v>14.569000000000001</v>
      </c>
      <c r="N21" s="15">
        <v>14.625999999999999</v>
      </c>
      <c r="O21" s="16" t="s">
        <v>58</v>
      </c>
    </row>
    <row r="22" spans="1:16" ht="18.75">
      <c r="A22" s="14" t="s">
        <v>37</v>
      </c>
      <c r="B22" s="10">
        <f t="shared" si="1"/>
        <v>129.21796000000001</v>
      </c>
      <c r="C22" s="15">
        <v>9.3000000000000007</v>
      </c>
      <c r="D22" s="15">
        <v>8.7100000000000009</v>
      </c>
      <c r="E22" s="15">
        <v>9.8350000000000009</v>
      </c>
      <c r="F22" s="15">
        <v>9.9</v>
      </c>
      <c r="G22" s="15">
        <v>11.97</v>
      </c>
      <c r="H22" s="15">
        <v>12</v>
      </c>
      <c r="I22" s="15">
        <v>12.2895</v>
      </c>
      <c r="J22" s="15">
        <v>11.718249999999999</v>
      </c>
      <c r="K22" s="15">
        <v>10.98136</v>
      </c>
      <c r="L22" s="15">
        <v>10.81315</v>
      </c>
      <c r="M22" s="15">
        <v>10.56395</v>
      </c>
      <c r="N22" s="15">
        <v>11.136749999999999</v>
      </c>
      <c r="O22" s="16" t="s">
        <v>68</v>
      </c>
    </row>
    <row r="23" spans="1:16" ht="18.75">
      <c r="A23" s="14" t="s">
        <v>38</v>
      </c>
      <c r="B23" s="10">
        <f t="shared" si="1"/>
        <v>101.81996999999998</v>
      </c>
      <c r="C23" s="3" t="s">
        <v>70</v>
      </c>
      <c r="D23" s="3" t="s">
        <v>70</v>
      </c>
      <c r="E23" s="3" t="s">
        <v>70</v>
      </c>
      <c r="F23" s="15">
        <v>10.286200000000001</v>
      </c>
      <c r="G23" s="15">
        <v>12.960570000000001</v>
      </c>
      <c r="H23" s="15">
        <v>13.6022</v>
      </c>
      <c r="I23" s="15">
        <v>11.285500000000001</v>
      </c>
      <c r="J23" s="15">
        <v>10.584</v>
      </c>
      <c r="K23" s="15">
        <v>9.8735999999999997</v>
      </c>
      <c r="L23" s="15">
        <v>10.384</v>
      </c>
      <c r="M23" s="15">
        <v>10.7554</v>
      </c>
      <c r="N23" s="15">
        <v>12.0885</v>
      </c>
      <c r="O23" s="16" t="s">
        <v>59</v>
      </c>
    </row>
    <row r="24" spans="1:16" ht="18.75">
      <c r="A24" s="14" t="s">
        <v>39</v>
      </c>
      <c r="B24" s="10">
        <f t="shared" si="1"/>
        <v>100.29</v>
      </c>
      <c r="C24" s="3" t="s">
        <v>70</v>
      </c>
      <c r="D24" s="15">
        <v>3.1030000000000002</v>
      </c>
      <c r="E24" s="15">
        <v>10.17</v>
      </c>
      <c r="F24" s="15">
        <v>9.9659999999999993</v>
      </c>
      <c r="G24" s="15">
        <v>10.035</v>
      </c>
      <c r="H24" s="15">
        <v>9.6310000000000002</v>
      </c>
      <c r="I24" s="15">
        <v>9.2270000000000003</v>
      </c>
      <c r="J24" s="15">
        <v>10.371</v>
      </c>
      <c r="K24" s="15">
        <v>9.2170000000000005</v>
      </c>
      <c r="L24" s="15">
        <v>9.4930000000000003</v>
      </c>
      <c r="M24" s="15">
        <v>9.5380000000000003</v>
      </c>
      <c r="N24" s="15">
        <v>9.5389999999999997</v>
      </c>
      <c r="O24" s="16" t="s">
        <v>60</v>
      </c>
    </row>
    <row r="25" spans="1:16" ht="18.75">
      <c r="A25" s="14" t="s">
        <v>40</v>
      </c>
      <c r="B25" s="10">
        <f t="shared" si="1"/>
        <v>133.977</v>
      </c>
      <c r="C25" s="3" t="s">
        <v>70</v>
      </c>
      <c r="D25" s="3" t="s">
        <v>70</v>
      </c>
      <c r="E25" s="3" t="s">
        <v>70</v>
      </c>
      <c r="F25" s="15">
        <v>13.865</v>
      </c>
      <c r="G25" s="15">
        <v>15.048999999999999</v>
      </c>
      <c r="H25" s="15">
        <v>14.006</v>
      </c>
      <c r="I25" s="15">
        <v>15.28</v>
      </c>
      <c r="J25" s="15">
        <v>16.940000000000001</v>
      </c>
      <c r="K25" s="15">
        <v>15.646000000000001</v>
      </c>
      <c r="L25" s="15">
        <v>15.768000000000001</v>
      </c>
      <c r="M25" s="15">
        <v>13.776</v>
      </c>
      <c r="N25" s="15">
        <v>13.647</v>
      </c>
      <c r="O25" s="16" t="s">
        <v>69</v>
      </c>
    </row>
    <row r="26" spans="1:16" ht="18.75">
      <c r="A26" s="14" t="s">
        <v>72</v>
      </c>
      <c r="B26" s="10">
        <f t="shared" si="1"/>
        <v>144.22664000000003</v>
      </c>
      <c r="C26" s="3" t="s">
        <v>70</v>
      </c>
      <c r="D26" s="15">
        <v>3.9965000000000002</v>
      </c>
      <c r="E26" s="15">
        <v>13.66705</v>
      </c>
      <c r="F26" s="15">
        <v>13.90584</v>
      </c>
      <c r="G26" s="15">
        <v>14.073</v>
      </c>
      <c r="H26" s="15">
        <v>14.093500000000001</v>
      </c>
      <c r="I26" s="15">
        <v>14.39575</v>
      </c>
      <c r="J26" s="15">
        <v>15.609500000000001</v>
      </c>
      <c r="K26" s="15">
        <v>14.121499999999999</v>
      </c>
      <c r="L26" s="15">
        <v>13.79175</v>
      </c>
      <c r="M26" s="15">
        <v>13.046250000000001</v>
      </c>
      <c r="N26" s="15">
        <v>13.526</v>
      </c>
      <c r="O26" s="16" t="s">
        <v>56</v>
      </c>
    </row>
    <row r="27" spans="1:16" ht="18.75">
      <c r="A27" s="14" t="s">
        <v>73</v>
      </c>
      <c r="B27" s="10">
        <f t="shared" si="1"/>
        <v>18.721</v>
      </c>
      <c r="C27" s="3" t="s">
        <v>70</v>
      </c>
      <c r="D27" s="3" t="s">
        <v>70</v>
      </c>
      <c r="E27" s="3" t="s">
        <v>70</v>
      </c>
      <c r="F27" s="3" t="s">
        <v>70</v>
      </c>
      <c r="G27" s="3" t="s">
        <v>70</v>
      </c>
      <c r="H27" s="3" t="s">
        <v>70</v>
      </c>
      <c r="I27" s="3" t="s">
        <v>70</v>
      </c>
      <c r="J27" s="3" t="s">
        <v>70</v>
      </c>
      <c r="K27" s="3" t="s">
        <v>70</v>
      </c>
      <c r="L27" s="15">
        <v>3.8839999999999999</v>
      </c>
      <c r="M27" s="15">
        <v>7.423</v>
      </c>
      <c r="N27" s="15">
        <v>7.4139999999999997</v>
      </c>
      <c r="O27" s="16" t="s">
        <v>65</v>
      </c>
      <c r="P27" s="17"/>
    </row>
    <row r="28" spans="1:16" ht="18.75">
      <c r="A28" s="14" t="s">
        <v>74</v>
      </c>
      <c r="B28" s="10">
        <f t="shared" si="1"/>
        <v>34.715000000000003</v>
      </c>
      <c r="C28" s="3" t="s">
        <v>70</v>
      </c>
      <c r="D28" s="3" t="s">
        <v>70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  <c r="L28" s="15">
        <v>11.98</v>
      </c>
      <c r="M28" s="15">
        <v>11.27</v>
      </c>
      <c r="N28" s="15">
        <v>11.465</v>
      </c>
      <c r="O28" s="16" t="s">
        <v>57</v>
      </c>
      <c r="P28" s="17"/>
    </row>
    <row r="29" spans="1:16" ht="18.75">
      <c r="A29" s="14" t="s">
        <v>75</v>
      </c>
      <c r="B29" s="10">
        <f t="shared" si="1"/>
        <v>164.71784</v>
      </c>
      <c r="C29" s="3" t="s">
        <v>70</v>
      </c>
      <c r="D29" s="15">
        <v>3.3919999999999999</v>
      </c>
      <c r="E29" s="15">
        <v>16.657</v>
      </c>
      <c r="F29" s="15">
        <v>18.495000000000001</v>
      </c>
      <c r="G29" s="15">
        <v>18.638999999999999</v>
      </c>
      <c r="H29" s="15">
        <v>17.097000000000001</v>
      </c>
      <c r="I29" s="15">
        <v>19.672000000000001</v>
      </c>
      <c r="J29" s="15">
        <v>16.945</v>
      </c>
      <c r="K29" s="15">
        <v>11.698</v>
      </c>
      <c r="L29" s="15">
        <v>15.471</v>
      </c>
      <c r="M29" s="15">
        <v>13.018610000000001</v>
      </c>
      <c r="N29" s="15">
        <v>13.633229999999999</v>
      </c>
      <c r="O29" s="16" t="s">
        <v>66</v>
      </c>
      <c r="P29" s="17"/>
    </row>
    <row r="30" spans="1:16" ht="18.75">
      <c r="A30" s="14" t="s">
        <v>76</v>
      </c>
      <c r="B30" s="10">
        <f t="shared" si="1"/>
        <v>30.7575</v>
      </c>
      <c r="C30" s="3" t="s">
        <v>70</v>
      </c>
      <c r="D30" s="15">
        <v>0.70499999999999996</v>
      </c>
      <c r="E30" s="15">
        <v>3.113</v>
      </c>
      <c r="F30" s="15">
        <v>3</v>
      </c>
      <c r="G30" s="15">
        <v>2.86</v>
      </c>
      <c r="H30" s="15">
        <v>2.9289999999999998</v>
      </c>
      <c r="I30" s="15">
        <v>2.911</v>
      </c>
      <c r="J30" s="15">
        <v>3.1535000000000002</v>
      </c>
      <c r="K30" s="15">
        <v>2.8</v>
      </c>
      <c r="L30" s="15">
        <v>2.9430000000000001</v>
      </c>
      <c r="M30" s="15">
        <v>2.9609999999999999</v>
      </c>
      <c r="N30" s="15">
        <v>3.3820000000000001</v>
      </c>
      <c r="O30" s="16" t="s">
        <v>67</v>
      </c>
      <c r="P30" s="17"/>
    </row>
    <row r="31" spans="1:16" ht="18.75">
      <c r="A31" s="14" t="s">
        <v>41</v>
      </c>
      <c r="B31" s="10">
        <f t="shared" si="1"/>
        <v>86.746000000000009</v>
      </c>
      <c r="C31" s="3" t="s">
        <v>70</v>
      </c>
      <c r="D31" s="3" t="s">
        <v>70</v>
      </c>
      <c r="E31" s="3" t="s">
        <v>70</v>
      </c>
      <c r="F31" s="3" t="s">
        <v>70</v>
      </c>
      <c r="G31" s="15">
        <v>6.4560000000000004</v>
      </c>
      <c r="H31" s="15">
        <v>11.34</v>
      </c>
      <c r="I31" s="15">
        <v>11.736000000000001</v>
      </c>
      <c r="J31" s="15">
        <v>11.944000000000001</v>
      </c>
      <c r="K31" s="15">
        <v>11.384</v>
      </c>
      <c r="L31" s="15">
        <v>11.784000000000001</v>
      </c>
      <c r="M31" s="15">
        <v>10.925000000000001</v>
      </c>
      <c r="N31" s="15">
        <v>11.177</v>
      </c>
      <c r="O31" s="16" t="s">
        <v>64</v>
      </c>
      <c r="P31" s="17"/>
    </row>
    <row r="32" spans="1:16" ht="18.75">
      <c r="A32" s="14" t="s">
        <v>42</v>
      </c>
      <c r="B32" s="10">
        <f t="shared" si="1"/>
        <v>46.028999999999996</v>
      </c>
      <c r="C32" s="3" t="s">
        <v>70</v>
      </c>
      <c r="D32" s="15">
        <v>4.0220000000000002</v>
      </c>
      <c r="E32" s="15">
        <v>4.8230000000000004</v>
      </c>
      <c r="F32" s="15">
        <v>4.8159999999999998</v>
      </c>
      <c r="G32" s="15">
        <v>3.48</v>
      </c>
      <c r="H32" s="15">
        <v>3.5019999999999998</v>
      </c>
      <c r="I32" s="15">
        <v>4.0430000000000001</v>
      </c>
      <c r="J32" s="15">
        <v>4.7549999999999999</v>
      </c>
      <c r="K32" s="15">
        <v>3.7280000000000002</v>
      </c>
      <c r="L32" s="15">
        <v>3.875</v>
      </c>
      <c r="M32" s="15">
        <v>4.25</v>
      </c>
      <c r="N32" s="15">
        <v>4.7350000000000003</v>
      </c>
      <c r="O32" s="16" t="s">
        <v>62</v>
      </c>
      <c r="P32" s="17"/>
    </row>
    <row r="33" spans="1:17" ht="18.75">
      <c r="A33" s="14" t="s">
        <v>43</v>
      </c>
      <c r="B33" s="10">
        <f t="shared" si="1"/>
        <v>28.290680000000002</v>
      </c>
      <c r="C33" s="3" t="s">
        <v>70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  <c r="L33" s="15">
        <v>8.8362000000000016</v>
      </c>
      <c r="M33" s="15">
        <v>9.4966600000000003</v>
      </c>
      <c r="N33" s="15">
        <v>9.9578199999999999</v>
      </c>
      <c r="O33" s="16" t="s">
        <v>63</v>
      </c>
      <c r="P33" s="17"/>
    </row>
    <row r="34" spans="1:17" s="24" customFormat="1" ht="18" customHeight="1">
      <c r="A34" s="18" t="s">
        <v>44</v>
      </c>
      <c r="B34" s="19">
        <f t="shared" si="1"/>
        <v>58.987000000000009</v>
      </c>
      <c r="C34" s="20">
        <v>5.0330000000000004</v>
      </c>
      <c r="D34" s="20">
        <v>4.8289999999999997</v>
      </c>
      <c r="E34" s="20">
        <v>5.2960000000000003</v>
      </c>
      <c r="F34" s="20">
        <v>4.8710000000000004</v>
      </c>
      <c r="G34" s="20">
        <v>4.7549999999999999</v>
      </c>
      <c r="H34" s="20">
        <v>4.54</v>
      </c>
      <c r="I34" s="20">
        <v>4.7309999999999999</v>
      </c>
      <c r="J34" s="20">
        <v>5.41</v>
      </c>
      <c r="K34" s="20">
        <v>5.1150000000000002</v>
      </c>
      <c r="L34" s="20">
        <v>4.8529999999999998</v>
      </c>
      <c r="M34" s="20">
        <v>4.7919999999999998</v>
      </c>
      <c r="N34" s="20">
        <v>4.7619999999999996</v>
      </c>
      <c r="O34" s="21" t="s">
        <v>61</v>
      </c>
      <c r="P34" s="22"/>
      <c r="Q34" s="23"/>
    </row>
    <row r="35" spans="1:17" s="28" customFormat="1" ht="17.25" customHeight="1">
      <c r="A35" s="25" t="s">
        <v>46</v>
      </c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" t="s">
        <v>71</v>
      </c>
    </row>
    <row r="36" spans="1:17" s="24" customFormat="1" ht="12.75" customHeight="1">
      <c r="A36" s="25" t="s">
        <v>0</v>
      </c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22"/>
      <c r="O36" s="31" t="s">
        <v>45</v>
      </c>
    </row>
    <row r="37" spans="1:17" s="24" customFormat="1" ht="17.25" customHeight="1">
      <c r="A37" s="32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22"/>
    </row>
    <row r="38" spans="1:17" s="33" customFormat="1" ht="12"/>
  </sheetData>
  <mergeCells count="4">
    <mergeCell ref="A1:O1"/>
    <mergeCell ref="A2:O2"/>
    <mergeCell ref="A4:O4"/>
    <mergeCell ref="A3:O3"/>
  </mergeCells>
  <pageMargins left="0.7" right="0.7" top="0.39" bottom="0.38" header="0.3" footer="0.3"/>
  <pageSetup paperSize="9" scale="86" orientation="landscape" r:id="rId1"/>
  <rowBreaks count="1" manualBreakCount="1">
    <brk id="36" max="16383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12.3</vt:lpstr>
      <vt:lpstr>'12.3'!Print_Area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2013-07-03T04:30:04Z</dcterms:modified>
</cp:coreProperties>
</file>