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2" sheetId="2" r:id="rId1"/>
  </sheets>
  <definedNames>
    <definedName name="_xlnm.Print_Area" localSheetId="0">'12.2'!$A$1:$P$66</definedName>
  </definedNames>
  <calcPr calcId="124519"/>
</workbook>
</file>

<file path=xl/calcChain.xml><?xml version="1.0" encoding="utf-8"?>
<calcChain xmlns="http://schemas.openxmlformats.org/spreadsheetml/2006/main">
  <c r="B34" i="2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N6"/>
  <c r="M6"/>
  <c r="L6"/>
  <c r="K6"/>
  <c r="J6"/>
  <c r="I6"/>
  <c r="H6"/>
  <c r="G6"/>
  <c r="F6"/>
  <c r="E6"/>
  <c r="D6"/>
  <c r="C6"/>
  <c r="B6"/>
</calcChain>
</file>

<file path=xl/sharedStrings.xml><?xml version="1.0" encoding="utf-8"?>
<sst xmlns="http://schemas.openxmlformats.org/spreadsheetml/2006/main" count="141" uniqueCount="92">
  <si>
    <t>Source: State Electric Company Limited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</si>
  <si>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</si>
  <si>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</si>
  <si>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</si>
  <si>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</si>
  <si>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</si>
  <si>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</si>
  <si>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</si>
  <si>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</si>
  <si>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</si>
  <si>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</si>
  <si>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</si>
  <si>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</si>
  <si>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2012 ,urwvcnim idcaefua cTcnwrwk uhwmcswmikea cnukwtctWrwf egurWkurws  : 12.2 ulwvWt</t>
  </si>
  <si>
    <t>Table  12.2 :  MONTHLY ELECTRICITY PRODUCTION BY PUBLIC SECTOR, 2012</t>
  </si>
  <si>
    <t>Locality</t>
  </si>
  <si>
    <t>wlcmuj</t>
  </si>
  <si>
    <t>waunej</t>
  </si>
  <si>
    <t>urcbef</t>
  </si>
  <si>
    <t>cCrWm</t>
  </si>
  <si>
    <t>IrcPEa</t>
  </si>
  <si>
    <t>Em</t>
  </si>
  <si>
    <t>cnUj</t>
  </si>
  <si>
    <t>iawluj</t>
  </si>
  <si>
    <t>cswgOa</t>
  </si>
  <si>
    <t>cTcpes</t>
  </si>
  <si>
    <t>OTckoa</t>
  </si>
  <si>
    <t>cmevon</t>
  </si>
  <si>
    <t>cmesiD</t>
  </si>
  <si>
    <t>cnwt</t>
  </si>
  <si>
    <t>Total</t>
  </si>
  <si>
    <t>K.Kaashidhoo</t>
  </si>
  <si>
    <t>K.Gaafaru</t>
  </si>
  <si>
    <t>ކ. ގާފަރު</t>
  </si>
  <si>
    <t>K.Dhiffushi</t>
  </si>
  <si>
    <t>ކ. ދިއްފުށި</t>
  </si>
  <si>
    <t>K.Thulusdhoo</t>
  </si>
  <si>
    <t>K.Himmafushi</t>
  </si>
  <si>
    <t>K.Hulhumale</t>
  </si>
  <si>
    <t>K.Thilafushi</t>
  </si>
  <si>
    <t>K.Gulhifalhu</t>
  </si>
  <si>
    <t>ކ. ގުޅިފަޅު</t>
  </si>
  <si>
    <t>K.Male'</t>
  </si>
  <si>
    <t>K.Villingili</t>
  </si>
  <si>
    <t>K.Gulhi</t>
  </si>
  <si>
    <t>ކ. ގުޅި</t>
  </si>
  <si>
    <t>K.Maafushi</t>
  </si>
  <si>
    <t>K.Guraidhoo</t>
  </si>
  <si>
    <t>AA.Ukulhas</t>
  </si>
  <si>
    <t>އއ.އުކުޅަސް</t>
  </si>
  <si>
    <t>AA.Mathiveri</t>
  </si>
  <si>
    <t>AA.Bodufolhudhoo</t>
  </si>
  <si>
    <t>AA.Feridhoo</t>
  </si>
  <si>
    <t>AA.Maalhos</t>
  </si>
  <si>
    <t>AA.Himandhoo</t>
  </si>
  <si>
    <t>V.Fulidhoo</t>
  </si>
  <si>
    <t>V.Thinadhoo</t>
  </si>
  <si>
    <t>V.Keyodhoo</t>
  </si>
  <si>
    <t>V.Rakeedhoo</t>
  </si>
  <si>
    <t>cDeTimil Inepcmok ckircTckeliacTETcs :ctWrwf ivcaedutWmUluAwm</t>
  </si>
  <si>
    <t>Note: Missing data not registered since the island was not under STELCO at that time.</t>
  </si>
  <si>
    <t>ކ. ކާށިދޫ</t>
  </si>
  <si>
    <t>ކ. ތުލުސްދޫ</t>
  </si>
  <si>
    <t>ކ. ހިންމަފުށި</t>
  </si>
  <si>
    <t>ކ. ހުޅުމާލެ</t>
  </si>
  <si>
    <t>ކ. ތިލަފުށި</t>
  </si>
  <si>
    <t>ކ. މާލެ</t>
  </si>
  <si>
    <t>ކ. ވިލިނގިލި</t>
  </si>
  <si>
    <t>ކ. މާފުށި</t>
  </si>
  <si>
    <t>ކ. ގުރައިދޫ</t>
  </si>
  <si>
    <t>އދ.އޮމަދޫ</t>
  </si>
  <si>
    <t>އދ.ދިގުރަށް</t>
  </si>
  <si>
    <t>އއ.މަތިވެރި</t>
  </si>
  <si>
    <t>އއ.ފެރިދޫ</t>
  </si>
  <si>
    <t>އއ.މާޅޮސް</t>
  </si>
  <si>
    <t>ވ.ރަކީދޫ</t>
  </si>
  <si>
    <t>ވ.ތިނަދޫ</t>
  </si>
  <si>
    <t>ވ.ކެޔޮދޫ</t>
  </si>
  <si>
    <t>ވ.ފެލިދޫ</t>
  </si>
  <si>
    <t>އދ.ކުނބުރުދޫ</t>
  </si>
  <si>
    <t>އދ.ފެންފުށި</t>
  </si>
  <si>
    <t>އދ.ދިއްދޫ</t>
  </si>
  <si>
    <t>އއ.ބޮޑުފުޅަދޫ</t>
  </si>
  <si>
    <t>އއ.ހިމަންދޫ</t>
  </si>
  <si>
    <t xml:space="preserve"> - </t>
  </si>
  <si>
    <t xml:space="preserve">ނޯޓް: ބައެއް މަސްމަހުގައި ޑޭޓާ ނެތީ އެތަންތަން އެއިރު ހިނގަމުންއައީ ސްޓެލްކޯގެ ދަށުން ކަމުގައި ނުވާތީއެވެ. </t>
  </si>
  <si>
    <t>ADh.Omadhoo</t>
  </si>
  <si>
    <t>ADh.Kunburudhoo</t>
  </si>
  <si>
    <t>ADh.Dhigurah</t>
  </si>
  <si>
    <t>ADh.Fenfushi</t>
  </si>
  <si>
    <t>ADh.Dhihdhoo</t>
  </si>
  <si>
    <r>
      <rPr>
        <b/>
        <sz val="10.5"/>
        <rFont val="Calibri"/>
        <family val="2"/>
        <scheme val="minor"/>
      </rPr>
      <t>(In ' 000 kWh)</t>
    </r>
    <r>
      <rPr>
        <b/>
        <sz val="10.5"/>
        <rFont val="A_Faseyha"/>
      </rPr>
      <t xml:space="preserve">  (cniDwg cTovOlik 000 ' )</t>
    </r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</si>
</sst>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.5"/>
      <name val="A_Faseyha"/>
    </font>
    <font>
      <b/>
      <sz val="12"/>
      <name val="Calibri"/>
      <family val="2"/>
      <scheme val="minor"/>
    </font>
    <font>
      <sz val="10.5"/>
      <name val="A_Faseyha"/>
    </font>
    <font>
      <b/>
      <sz val="10"/>
      <name val="A_Faseyha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Faruma"/>
    </font>
    <font>
      <sz val="10"/>
      <name val="Garamond"/>
      <family val="1"/>
    </font>
    <font>
      <sz val="10"/>
      <color theme="1"/>
      <name val="Calibri"/>
      <family val="2"/>
      <scheme val="minor"/>
    </font>
    <font>
      <sz val="10"/>
      <color theme="1"/>
      <name val="Faruma"/>
    </font>
    <font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.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35">
    <xf numFmtId="0" fontId="0" fillId="0" borderId="0" xfId="0"/>
    <xf numFmtId="164" fontId="7" fillId="2" borderId="2" xfId="1" applyNumberFormat="1" applyFont="1" applyFill="1" applyBorder="1" applyAlignment="1">
      <alignment horizontal="right" vertical="center"/>
    </xf>
    <xf numFmtId="0" fontId="0" fillId="2" borderId="0" xfId="0" applyFill="1"/>
    <xf numFmtId="0" fontId="11" fillId="2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3" fontId="3" fillId="2" borderId="5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1" fontId="3" fillId="2" borderId="4" xfId="1" applyNumberFormat="1" applyFont="1" applyFill="1" applyBorder="1" applyAlignment="1">
      <alignment horizontal="right" vertical="center"/>
    </xf>
    <xf numFmtId="164" fontId="7" fillId="2" borderId="4" xfId="1" applyNumberFormat="1" applyFont="1" applyFill="1" applyBorder="1" applyAlignment="1">
      <alignment horizontal="right" vertical="center"/>
    </xf>
    <xf numFmtId="0" fontId="2" fillId="2" borderId="0" xfId="0" applyFont="1" applyFill="1" applyBorder="1"/>
    <xf numFmtId="0" fontId="14" fillId="2" borderId="0" xfId="0" applyFont="1" applyFill="1"/>
    <xf numFmtId="0" fontId="7" fillId="2" borderId="0" xfId="0" applyFont="1" applyFill="1" applyBorder="1"/>
    <xf numFmtId="1" fontId="5" fillId="2" borderId="0" xfId="0" applyNumberFormat="1" applyFont="1" applyFill="1" applyBorder="1"/>
    <xf numFmtId="0" fontId="12" fillId="2" borderId="6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" fontId="0" fillId="2" borderId="0" xfId="0" applyNumberForma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5" fillId="2" borderId="9" xfId="0" applyFont="1" applyFill="1" applyBorder="1" applyAlignment="1">
      <alignment horizontal="right" vertical="center"/>
    </xf>
    <xf numFmtId="0" fontId="18" fillId="2" borderId="0" xfId="0" applyFont="1" applyFill="1"/>
    <xf numFmtId="0" fontId="15" fillId="2" borderId="4" xfId="0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left" vertical="center"/>
    </xf>
    <xf numFmtId="0" fontId="17" fillId="2" borderId="0" xfId="0" applyFont="1" applyFill="1"/>
    <xf numFmtId="0" fontId="21" fillId="2" borderId="0" xfId="0" applyFont="1" applyFill="1"/>
    <xf numFmtId="0" fontId="19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/>
    </xf>
    <xf numFmtId="0" fontId="9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right" vertical="center"/>
    </xf>
  </cellXfs>
  <cellStyles count="10">
    <cellStyle name="Comma" xfId="1" builtinId="3"/>
    <cellStyle name="Comma 2" xfId="2"/>
    <cellStyle name="Comma 3" xfId="5"/>
    <cellStyle name="Comma 4" xfId="3"/>
    <cellStyle name="Comma 4 2" xfId="6"/>
    <cellStyle name="Normal" xfId="0" builtinId="0"/>
    <cellStyle name="Normal 2" xfId="4"/>
    <cellStyle name="Normal 2 2" xfId="7"/>
    <cellStyle name="Normal 3" xfId="8"/>
    <cellStyle name="Normal 4" xfId="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65</xdr:row>
      <xdr:rowOff>28575</xdr:rowOff>
    </xdr:from>
    <xdr:to>
      <xdr:col>0</xdr:col>
      <xdr:colOff>285750</xdr:colOff>
      <xdr:row>65</xdr:row>
      <xdr:rowOff>161925</xdr:rowOff>
    </xdr:to>
    <xdr:sp macro="" textlink="">
      <xdr:nvSpPr>
        <xdr:cNvPr id="2" name="TextBox 1"/>
        <xdr:cNvSpPr txBox="1"/>
      </xdr:nvSpPr>
      <xdr:spPr>
        <a:xfrm>
          <a:off x="0" y="20231100"/>
          <a:ext cx="285750" cy="133350"/>
        </a:xfrm>
        <a:prstGeom prst="rect">
          <a:avLst/>
        </a:prstGeom>
        <a:solidFill>
          <a:srgbClr val="CC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   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>
      <selection activeCell="A38" sqref="A38:XFD48"/>
    </sheetView>
  </sheetViews>
  <sheetFormatPr defaultRowHeight="15"/>
  <cols>
    <col min="1" max="1" width="16.140625" style="20" customWidth="1"/>
    <col min="2" max="2" width="11.28515625" style="2" bestFit="1" customWidth="1"/>
    <col min="3" max="3" width="11.42578125" style="2" customWidth="1"/>
    <col min="4" max="4" width="10.140625" style="2" customWidth="1"/>
    <col min="5" max="14" width="9" style="2" customWidth="1"/>
    <col min="15" max="15" width="12.140625" style="2" customWidth="1"/>
    <col min="16" max="16" width="3.5703125" style="2" customWidth="1"/>
    <col min="17" max="16384" width="9.140625" style="2"/>
  </cols>
  <sheetData>
    <row r="1" spans="1:15" ht="17.25">
      <c r="A1" s="29" t="s">
        <v>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5.75">
      <c r="A2" s="30" t="s">
        <v>14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ht="17.25">
      <c r="A3" s="29" t="s">
        <v>91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ht="17.25">
      <c r="A4" s="31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33" t="s">
        <v>29</v>
      </c>
    </row>
    <row r="5" spans="1:15">
      <c r="A5" s="32"/>
      <c r="B5" s="4" t="s">
        <v>30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34"/>
    </row>
    <row r="6" spans="1:15" s="14" customFormat="1" ht="19.5" customHeight="1">
      <c r="A6" s="16" t="s">
        <v>30</v>
      </c>
      <c r="B6" s="5">
        <f t="shared" ref="B6:N6" si="0">SUM(B7:B34)</f>
        <v>287203.28171000001</v>
      </c>
      <c r="C6" s="5">
        <f>SUM(C7:C34)</f>
        <v>22396.694149999999</v>
      </c>
      <c r="D6" s="5">
        <f t="shared" si="0"/>
        <v>21875.189200000001</v>
      </c>
      <c r="E6" s="5">
        <f t="shared" si="0"/>
        <v>24373.831100000003</v>
      </c>
      <c r="F6" s="5">
        <f t="shared" si="0"/>
        <v>25144.761729999998</v>
      </c>
      <c r="G6" s="5">
        <f t="shared" si="0"/>
        <v>25267.894150000004</v>
      </c>
      <c r="H6" s="5">
        <f t="shared" si="0"/>
        <v>23255.553529999997</v>
      </c>
      <c r="I6" s="5">
        <f t="shared" si="0"/>
        <v>23445.016239999994</v>
      </c>
      <c r="J6" s="5">
        <f t="shared" si="0"/>
        <v>24613.529620000001</v>
      </c>
      <c r="K6" s="5">
        <f t="shared" si="0"/>
        <v>24309.869570000003</v>
      </c>
      <c r="L6" s="5">
        <f t="shared" si="0"/>
        <v>24624.802359999998</v>
      </c>
      <c r="M6" s="5">
        <f t="shared" si="0"/>
        <v>23595.898379999991</v>
      </c>
      <c r="N6" s="5">
        <f t="shared" si="0"/>
        <v>24300.241680000006</v>
      </c>
      <c r="O6" s="13" t="s">
        <v>16</v>
      </c>
    </row>
    <row r="7" spans="1:15" s="14" customFormat="1" ht="19.5" customHeight="1">
      <c r="A7" s="17" t="s">
        <v>31</v>
      </c>
      <c r="B7" s="6">
        <f>SUM(C7:N7)</f>
        <v>1360.7229999999997</v>
      </c>
      <c r="C7" s="1">
        <v>105.12</v>
      </c>
      <c r="D7" s="1">
        <v>101.32</v>
      </c>
      <c r="E7" s="1">
        <v>116.85</v>
      </c>
      <c r="F7" s="1">
        <v>120.63</v>
      </c>
      <c r="G7" s="1">
        <v>123.036</v>
      </c>
      <c r="H7" s="1">
        <v>107.074</v>
      </c>
      <c r="I7" s="1">
        <v>117.67700000000001</v>
      </c>
      <c r="J7" s="1">
        <v>121.96299999999999</v>
      </c>
      <c r="K7" s="1">
        <v>113.58</v>
      </c>
      <c r="L7" s="1">
        <v>115.998</v>
      </c>
      <c r="M7" s="1">
        <v>109.63800000000001</v>
      </c>
      <c r="N7" s="1">
        <v>107.837</v>
      </c>
      <c r="O7" s="21" t="s">
        <v>61</v>
      </c>
    </row>
    <row r="8" spans="1:15" s="14" customFormat="1" ht="19.5" customHeight="1">
      <c r="A8" s="17" t="s">
        <v>32</v>
      </c>
      <c r="B8" s="6">
        <f t="shared" ref="B8:B34" si="1">SUM(C8:N8)</f>
        <v>746.67899999999997</v>
      </c>
      <c r="C8" s="1">
        <v>59.043999999999997</v>
      </c>
      <c r="D8" s="1">
        <v>55.55</v>
      </c>
      <c r="E8" s="1">
        <v>64.856999999999999</v>
      </c>
      <c r="F8" s="1">
        <v>69.337000000000003</v>
      </c>
      <c r="G8" s="1">
        <v>66.83</v>
      </c>
      <c r="H8" s="1">
        <v>57.322000000000003</v>
      </c>
      <c r="I8" s="1">
        <v>61.908999999999999</v>
      </c>
      <c r="J8" s="1">
        <v>68.614999999999995</v>
      </c>
      <c r="K8" s="1">
        <v>61.139000000000003</v>
      </c>
      <c r="L8" s="1">
        <v>63.055</v>
      </c>
      <c r="M8" s="1">
        <v>55.723999999999997</v>
      </c>
      <c r="N8" s="1">
        <v>63.296999999999997</v>
      </c>
      <c r="O8" s="21" t="s">
        <v>33</v>
      </c>
    </row>
    <row r="9" spans="1:15" s="14" customFormat="1" ht="19.5" customHeight="1">
      <c r="A9" s="17" t="s">
        <v>34</v>
      </c>
      <c r="B9" s="6">
        <f t="shared" si="1"/>
        <v>58.578000000000003</v>
      </c>
      <c r="C9" s="27" t="s">
        <v>84</v>
      </c>
      <c r="D9" s="27" t="s">
        <v>84</v>
      </c>
      <c r="E9" s="27" t="s">
        <v>84</v>
      </c>
      <c r="F9" s="27" t="s">
        <v>84</v>
      </c>
      <c r="G9" s="27" t="s">
        <v>84</v>
      </c>
      <c r="H9" s="27" t="s">
        <v>84</v>
      </c>
      <c r="I9" s="27" t="s">
        <v>84</v>
      </c>
      <c r="J9" s="27" t="s">
        <v>84</v>
      </c>
      <c r="K9" s="27" t="s">
        <v>84</v>
      </c>
      <c r="L9" s="27" t="s">
        <v>84</v>
      </c>
      <c r="M9" s="1">
        <v>4.2759999999999998</v>
      </c>
      <c r="N9" s="1">
        <v>54.302</v>
      </c>
      <c r="O9" s="21" t="s">
        <v>35</v>
      </c>
    </row>
    <row r="10" spans="1:15" s="14" customFormat="1" ht="19.5" customHeight="1">
      <c r="A10" s="17" t="s">
        <v>36</v>
      </c>
      <c r="B10" s="6">
        <f t="shared" si="1"/>
        <v>1549.1499999999999</v>
      </c>
      <c r="C10" s="1">
        <v>118.11199999999999</v>
      </c>
      <c r="D10" s="1">
        <v>116.62</v>
      </c>
      <c r="E10" s="1">
        <v>128.88</v>
      </c>
      <c r="F10" s="1">
        <v>137.93</v>
      </c>
      <c r="G10" s="1">
        <v>136.19</v>
      </c>
      <c r="H10" s="1">
        <v>123.492</v>
      </c>
      <c r="I10" s="1">
        <v>131.88</v>
      </c>
      <c r="J10" s="1">
        <v>142.28299999999999</v>
      </c>
      <c r="K10" s="1">
        <v>131.30000000000001</v>
      </c>
      <c r="L10" s="1">
        <v>135.32</v>
      </c>
      <c r="M10" s="1">
        <v>125.461</v>
      </c>
      <c r="N10" s="1">
        <v>121.682</v>
      </c>
      <c r="O10" s="21" t="s">
        <v>62</v>
      </c>
    </row>
    <row r="11" spans="1:15" s="14" customFormat="1" ht="19.5" customHeight="1">
      <c r="A11" s="17" t="s">
        <v>37</v>
      </c>
      <c r="B11" s="6">
        <f t="shared" si="1"/>
        <v>1821.3909999999998</v>
      </c>
      <c r="C11" s="1">
        <v>136.541</v>
      </c>
      <c r="D11" s="1">
        <v>135.56200000000001</v>
      </c>
      <c r="E11" s="1">
        <v>157.27500000000001</v>
      </c>
      <c r="F11" s="1">
        <v>170.24700000000001</v>
      </c>
      <c r="G11" s="1">
        <v>146.98699999999999</v>
      </c>
      <c r="H11" s="1">
        <v>144.22300000000001</v>
      </c>
      <c r="I11" s="1">
        <v>164.45699999999999</v>
      </c>
      <c r="J11" s="1">
        <v>153.23599999999999</v>
      </c>
      <c r="K11" s="1">
        <v>155.29599999999999</v>
      </c>
      <c r="L11" s="1">
        <v>164.97200000000001</v>
      </c>
      <c r="M11" s="1">
        <v>146.81299999999999</v>
      </c>
      <c r="N11" s="1">
        <v>145.78200000000001</v>
      </c>
      <c r="O11" s="21" t="s">
        <v>63</v>
      </c>
    </row>
    <row r="12" spans="1:15" s="14" customFormat="1" ht="19.5" customHeight="1">
      <c r="A12" s="17" t="s">
        <v>38</v>
      </c>
      <c r="B12" s="6">
        <f t="shared" si="1"/>
        <v>15539.532000000001</v>
      </c>
      <c r="C12" s="1">
        <v>1249.3710000000001</v>
      </c>
      <c r="D12" s="1">
        <v>1114.4110000000001</v>
      </c>
      <c r="E12" s="1">
        <v>1261.9570000000001</v>
      </c>
      <c r="F12" s="1">
        <v>1317.135</v>
      </c>
      <c r="G12" s="1">
        <v>1336.7470000000001</v>
      </c>
      <c r="H12" s="1">
        <v>1300.57</v>
      </c>
      <c r="I12" s="1">
        <v>1351.4839999999999</v>
      </c>
      <c r="J12" s="1">
        <v>1337.0450000000001</v>
      </c>
      <c r="K12" s="1">
        <v>1299.4749999999999</v>
      </c>
      <c r="L12" s="1">
        <v>1266.105</v>
      </c>
      <c r="M12" s="1">
        <v>1214.4380000000001</v>
      </c>
      <c r="N12" s="1">
        <v>1490.7940000000001</v>
      </c>
      <c r="O12" s="21" t="s">
        <v>64</v>
      </c>
    </row>
    <row r="13" spans="1:15" s="14" customFormat="1" ht="19.5" customHeight="1">
      <c r="A13" s="17" t="s">
        <v>39</v>
      </c>
      <c r="B13" s="6">
        <f t="shared" si="1"/>
        <v>2894.2280000000001</v>
      </c>
      <c r="C13" s="1">
        <v>246.75200000000001</v>
      </c>
      <c r="D13" s="1">
        <v>221.98400000000001</v>
      </c>
      <c r="E13" s="1">
        <v>245.63399999999999</v>
      </c>
      <c r="F13" s="1">
        <v>240.10599999999999</v>
      </c>
      <c r="G13" s="1">
        <v>240.364</v>
      </c>
      <c r="H13" s="1">
        <v>231.03700000000001</v>
      </c>
      <c r="I13" s="1">
        <v>240.67</v>
      </c>
      <c r="J13" s="1">
        <v>244.505</v>
      </c>
      <c r="K13" s="1">
        <v>236.827</v>
      </c>
      <c r="L13" s="1">
        <v>239.88200000000001</v>
      </c>
      <c r="M13" s="1">
        <v>249.67500000000001</v>
      </c>
      <c r="N13" s="1">
        <v>256.79199999999997</v>
      </c>
      <c r="O13" s="21" t="s">
        <v>65</v>
      </c>
    </row>
    <row r="14" spans="1:15" s="14" customFormat="1" ht="19.5" customHeight="1">
      <c r="A14" s="17" t="s">
        <v>40</v>
      </c>
      <c r="B14" s="6">
        <f t="shared" si="1"/>
        <v>89.677999999999983</v>
      </c>
      <c r="C14" s="1">
        <v>2</v>
      </c>
      <c r="D14" s="1">
        <v>4</v>
      </c>
      <c r="E14" s="1">
        <v>5</v>
      </c>
      <c r="F14" s="1">
        <v>6.8209999999999997</v>
      </c>
      <c r="G14" s="1">
        <v>7.1070000000000002</v>
      </c>
      <c r="H14" s="1">
        <v>7.19</v>
      </c>
      <c r="I14" s="1">
        <v>8.41</v>
      </c>
      <c r="J14" s="1">
        <v>7.58</v>
      </c>
      <c r="K14" s="1">
        <v>7.73</v>
      </c>
      <c r="L14" s="1">
        <v>10.99</v>
      </c>
      <c r="M14" s="1">
        <v>9.58</v>
      </c>
      <c r="N14" s="1">
        <v>13.27</v>
      </c>
      <c r="O14" s="21" t="s">
        <v>41</v>
      </c>
    </row>
    <row r="15" spans="1:15" s="14" customFormat="1" ht="19.5" customHeight="1">
      <c r="A15" s="17" t="s">
        <v>42</v>
      </c>
      <c r="B15" s="6">
        <f t="shared" si="1"/>
        <v>243768.29699999999</v>
      </c>
      <c r="C15" s="1">
        <v>19195.398000000001</v>
      </c>
      <c r="D15" s="1">
        <v>18824.3</v>
      </c>
      <c r="E15" s="1">
        <v>20780.488000000001</v>
      </c>
      <c r="F15" s="1">
        <v>21420.106</v>
      </c>
      <c r="G15" s="1">
        <v>21527.577000000001</v>
      </c>
      <c r="H15" s="1">
        <v>19656.116000000002</v>
      </c>
      <c r="I15" s="1">
        <v>19646.345000000001</v>
      </c>
      <c r="J15" s="1">
        <v>20786.326000000001</v>
      </c>
      <c r="K15" s="1">
        <v>20690.365000000002</v>
      </c>
      <c r="L15" s="1">
        <v>20895.648000000001</v>
      </c>
      <c r="M15" s="1">
        <v>19966.78</v>
      </c>
      <c r="N15" s="1">
        <v>20378.848000000002</v>
      </c>
      <c r="O15" s="21" t="s">
        <v>66</v>
      </c>
    </row>
    <row r="16" spans="1:15" s="14" customFormat="1" ht="19.5" customHeight="1">
      <c r="A16" s="17" t="s">
        <v>43</v>
      </c>
      <c r="B16" s="6">
        <f t="shared" si="1"/>
        <v>9688.6831499999989</v>
      </c>
      <c r="C16" s="1">
        <v>755.57015000000001</v>
      </c>
      <c r="D16" s="1">
        <v>737.8682</v>
      </c>
      <c r="E16" s="1">
        <v>845.96109999999999</v>
      </c>
      <c r="F16" s="1">
        <v>856.7761999999999</v>
      </c>
      <c r="G16" s="1">
        <v>840.31500000000005</v>
      </c>
      <c r="H16" s="1">
        <v>828.77049999999997</v>
      </c>
      <c r="I16" s="1">
        <v>863.1178000000001</v>
      </c>
      <c r="J16" s="1">
        <v>860.9686999999999</v>
      </c>
      <c r="K16" s="1">
        <v>786.73860000000002</v>
      </c>
      <c r="L16" s="1">
        <v>803.95</v>
      </c>
      <c r="M16" s="1">
        <v>783.22769999999991</v>
      </c>
      <c r="N16" s="1">
        <v>725.41919999999993</v>
      </c>
      <c r="O16" s="21" t="s">
        <v>67</v>
      </c>
    </row>
    <row r="17" spans="1:16" s="14" customFormat="1" ht="19.5" customHeight="1">
      <c r="A17" s="17" t="s">
        <v>44</v>
      </c>
      <c r="B17" s="6">
        <f t="shared" si="1"/>
        <v>542.54499999999996</v>
      </c>
      <c r="C17" s="1">
        <v>46.927999999999997</v>
      </c>
      <c r="D17" s="1">
        <v>38.210999999999999</v>
      </c>
      <c r="E17" s="1">
        <v>41.082999999999998</v>
      </c>
      <c r="F17" s="1">
        <v>43.860999999999997</v>
      </c>
      <c r="G17" s="1">
        <v>44.875999999999998</v>
      </c>
      <c r="H17" s="1">
        <v>43.226999999999997</v>
      </c>
      <c r="I17" s="1">
        <v>46.656999999999996</v>
      </c>
      <c r="J17" s="1">
        <v>47.524999999999999</v>
      </c>
      <c r="K17" s="1">
        <v>47.94</v>
      </c>
      <c r="L17" s="1">
        <v>47.197000000000003</v>
      </c>
      <c r="M17" s="1">
        <v>44.279000000000003</v>
      </c>
      <c r="N17" s="1">
        <v>50.761000000000003</v>
      </c>
      <c r="O17" s="21" t="s">
        <v>45</v>
      </c>
    </row>
    <row r="18" spans="1:16" s="14" customFormat="1" ht="19.5" customHeight="1">
      <c r="A18" s="17" t="s">
        <v>46</v>
      </c>
      <c r="B18" s="6">
        <f t="shared" si="1"/>
        <v>3308.4470000000001</v>
      </c>
      <c r="C18" s="1">
        <v>256.60500000000002</v>
      </c>
      <c r="D18" s="1">
        <v>245.29300000000001</v>
      </c>
      <c r="E18" s="1">
        <v>274.971</v>
      </c>
      <c r="F18" s="1">
        <v>273.60300000000001</v>
      </c>
      <c r="G18" s="1">
        <v>275.12799999999999</v>
      </c>
      <c r="H18" s="1">
        <v>266.67399999999998</v>
      </c>
      <c r="I18" s="1">
        <v>291.83499999999998</v>
      </c>
      <c r="J18" s="1">
        <v>289.24</v>
      </c>
      <c r="K18" s="1">
        <v>268.92200000000003</v>
      </c>
      <c r="L18" s="1">
        <v>287.07400000000001</v>
      </c>
      <c r="M18" s="1">
        <v>289.31599999999997</v>
      </c>
      <c r="N18" s="1">
        <v>289.786</v>
      </c>
      <c r="O18" s="21" t="s">
        <v>68</v>
      </c>
      <c r="P18" s="15"/>
    </row>
    <row r="19" spans="1:16" s="14" customFormat="1" ht="19.5" customHeight="1">
      <c r="A19" s="17" t="s">
        <v>47</v>
      </c>
      <c r="B19" s="6">
        <f t="shared" si="1"/>
        <v>1630.5509999999999</v>
      </c>
      <c r="C19" s="1">
        <v>125.2</v>
      </c>
      <c r="D19" s="1">
        <v>121.65</v>
      </c>
      <c r="E19" s="1">
        <v>142.24</v>
      </c>
      <c r="F19" s="1">
        <v>143.4</v>
      </c>
      <c r="G19" s="1">
        <v>145.94</v>
      </c>
      <c r="H19" s="1">
        <v>133.15600000000001</v>
      </c>
      <c r="I19" s="1">
        <v>136.32</v>
      </c>
      <c r="J19" s="1">
        <v>147.35499999999999</v>
      </c>
      <c r="K19" s="1">
        <v>134.886</v>
      </c>
      <c r="L19" s="1">
        <v>136.202</v>
      </c>
      <c r="M19" s="1">
        <v>132.108</v>
      </c>
      <c r="N19" s="1">
        <v>132.09399999999999</v>
      </c>
      <c r="O19" s="21" t="s">
        <v>69</v>
      </c>
      <c r="P19" s="15"/>
    </row>
    <row r="20" spans="1:16" s="14" customFormat="1" ht="19.5" customHeight="1">
      <c r="A20" s="17" t="s">
        <v>48</v>
      </c>
      <c r="B20" s="6">
        <f t="shared" si="1"/>
        <v>621.79849999999999</v>
      </c>
      <c r="C20" s="1">
        <v>47.442999999999998</v>
      </c>
      <c r="D20" s="1">
        <v>46.314999999999998</v>
      </c>
      <c r="E20" s="1">
        <v>45.878</v>
      </c>
      <c r="F20" s="1">
        <v>50.515999999999998</v>
      </c>
      <c r="G20" s="1">
        <v>57.524000000000001</v>
      </c>
      <c r="H20" s="1">
        <v>47.3185</v>
      </c>
      <c r="I20" s="1">
        <v>56.365000000000002</v>
      </c>
      <c r="J20" s="1">
        <v>56.308</v>
      </c>
      <c r="K20" s="1">
        <v>54.578000000000003</v>
      </c>
      <c r="L20" s="1">
        <v>56.762999999999998</v>
      </c>
      <c r="M20" s="1">
        <v>52.363</v>
      </c>
      <c r="N20" s="1">
        <v>50.427</v>
      </c>
      <c r="O20" s="21" t="s">
        <v>49</v>
      </c>
      <c r="P20" s="15"/>
    </row>
    <row r="21" spans="1:16" s="14" customFormat="1" ht="19.5" customHeight="1">
      <c r="A21" s="17" t="s">
        <v>50</v>
      </c>
      <c r="B21" s="6">
        <f t="shared" si="1"/>
        <v>466.08250000000004</v>
      </c>
      <c r="C21" s="27" t="s">
        <v>84</v>
      </c>
      <c r="D21" s="1">
        <v>15.785</v>
      </c>
      <c r="E21" s="1">
        <v>37.372999999999998</v>
      </c>
      <c r="F21" s="1">
        <v>45.4315</v>
      </c>
      <c r="G21" s="1">
        <v>48.021500000000003</v>
      </c>
      <c r="H21" s="1">
        <v>45.643500000000003</v>
      </c>
      <c r="I21" s="1">
        <v>45.182499999999997</v>
      </c>
      <c r="J21" s="1">
        <v>48.521000000000001</v>
      </c>
      <c r="K21" s="1">
        <v>43.960500000000003</v>
      </c>
      <c r="L21" s="1">
        <v>46.146999999999998</v>
      </c>
      <c r="M21" s="1">
        <v>44.593499999999999</v>
      </c>
      <c r="N21" s="1">
        <v>45.423499999999997</v>
      </c>
      <c r="O21" s="21" t="s">
        <v>72</v>
      </c>
      <c r="P21" s="15"/>
    </row>
    <row r="22" spans="1:16" s="14" customFormat="1" ht="19.5" customHeight="1">
      <c r="A22" s="17" t="s">
        <v>51</v>
      </c>
      <c r="B22" s="6">
        <f t="shared" si="1"/>
        <v>392.61422000000005</v>
      </c>
      <c r="C22" s="1">
        <v>32.218000000000004</v>
      </c>
      <c r="D22" s="1">
        <v>29.306000000000001</v>
      </c>
      <c r="E22" s="1">
        <v>30.748000000000001</v>
      </c>
      <c r="F22" s="1">
        <v>35.01</v>
      </c>
      <c r="G22" s="1">
        <v>34.277000000000001</v>
      </c>
      <c r="H22" s="1">
        <v>33.229999999999997</v>
      </c>
      <c r="I22" s="1">
        <v>32.066000000000003</v>
      </c>
      <c r="J22" s="1">
        <v>32.993449999999996</v>
      </c>
      <c r="K22" s="1">
        <v>33.511000000000003</v>
      </c>
      <c r="L22" s="1">
        <v>31.672000000000001</v>
      </c>
      <c r="M22" s="1">
        <v>33.288770000000007</v>
      </c>
      <c r="N22" s="1">
        <v>34.293999999999997</v>
      </c>
      <c r="O22" s="21" t="s">
        <v>82</v>
      </c>
      <c r="P22" s="15"/>
    </row>
    <row r="23" spans="1:16" s="14" customFormat="1" ht="19.5" customHeight="1">
      <c r="A23" s="17" t="s">
        <v>52</v>
      </c>
      <c r="B23" s="6">
        <f t="shared" si="1"/>
        <v>289.43617999999998</v>
      </c>
      <c r="C23" s="27" t="s">
        <v>84</v>
      </c>
      <c r="D23" s="1">
        <v>8.1389999999999993</v>
      </c>
      <c r="E23" s="1">
        <v>25.670999999999999</v>
      </c>
      <c r="F23" s="1">
        <v>25.917930000000002</v>
      </c>
      <c r="G23" s="1">
        <v>28.393000000000001</v>
      </c>
      <c r="H23" s="1">
        <v>27.728000000000002</v>
      </c>
      <c r="I23" s="1">
        <v>26.7407</v>
      </c>
      <c r="J23" s="1">
        <v>30.84</v>
      </c>
      <c r="K23" s="1">
        <v>29.026310000000002</v>
      </c>
      <c r="L23" s="1">
        <v>27.914000000000001</v>
      </c>
      <c r="M23" s="1">
        <v>30.745439999999999</v>
      </c>
      <c r="N23" s="1">
        <v>28.320799999999998</v>
      </c>
      <c r="O23" s="21" t="s">
        <v>73</v>
      </c>
      <c r="P23" s="15"/>
    </row>
    <row r="24" spans="1:16" s="14" customFormat="1" ht="19.5" customHeight="1">
      <c r="A24" s="17" t="s">
        <v>53</v>
      </c>
      <c r="B24" s="6">
        <f t="shared" si="1"/>
        <v>293.44</v>
      </c>
      <c r="C24" s="27" t="s">
        <v>84</v>
      </c>
      <c r="D24" s="1">
        <v>8.8149999999999995</v>
      </c>
      <c r="E24" s="1">
        <v>25.922999999999998</v>
      </c>
      <c r="F24" s="1">
        <v>26.454999999999998</v>
      </c>
      <c r="G24" s="1">
        <v>25.614000000000001</v>
      </c>
      <c r="H24" s="1">
        <v>26.983000000000001</v>
      </c>
      <c r="I24" s="1">
        <v>31.367000000000001</v>
      </c>
      <c r="J24" s="1">
        <v>30.911000000000001</v>
      </c>
      <c r="K24" s="1">
        <v>27.271000000000001</v>
      </c>
      <c r="L24" s="1">
        <v>28.134</v>
      </c>
      <c r="M24" s="1">
        <v>31.135000000000002</v>
      </c>
      <c r="N24" s="1">
        <v>30.832000000000001</v>
      </c>
      <c r="O24" s="21" t="s">
        <v>74</v>
      </c>
      <c r="P24" s="15"/>
    </row>
    <row r="25" spans="1:16" s="14" customFormat="1" ht="19.5" customHeight="1">
      <c r="A25" s="17" t="s">
        <v>54</v>
      </c>
      <c r="B25" s="6">
        <f t="shared" si="1"/>
        <v>401.46859999999992</v>
      </c>
      <c r="C25" s="27" t="s">
        <v>84</v>
      </c>
      <c r="D25" s="1">
        <v>9.1259999999999994</v>
      </c>
      <c r="E25" s="1">
        <v>28.315000000000001</v>
      </c>
      <c r="F25" s="1">
        <v>36.518099999999997</v>
      </c>
      <c r="G25" s="1">
        <v>42.5914</v>
      </c>
      <c r="H25" s="1">
        <v>34.9666</v>
      </c>
      <c r="I25" s="1">
        <v>40.145499999999998</v>
      </c>
      <c r="J25" s="1">
        <v>43.628</v>
      </c>
      <c r="K25" s="1">
        <v>40.466999999999999</v>
      </c>
      <c r="L25" s="1">
        <v>42.975999999999999</v>
      </c>
      <c r="M25" s="1">
        <v>41.2</v>
      </c>
      <c r="N25" s="1">
        <v>41.534999999999997</v>
      </c>
      <c r="O25" s="21" t="s">
        <v>83</v>
      </c>
      <c r="P25" s="15"/>
    </row>
    <row r="26" spans="1:16" s="14" customFormat="1" ht="19.5" customHeight="1">
      <c r="A26" s="17" t="s">
        <v>86</v>
      </c>
      <c r="B26" s="6">
        <f t="shared" si="1"/>
        <v>421.26599999999996</v>
      </c>
      <c r="C26" s="27" t="s">
        <v>84</v>
      </c>
      <c r="D26" s="1">
        <v>9.6489999999999991</v>
      </c>
      <c r="E26" s="1">
        <v>39.558</v>
      </c>
      <c r="F26" s="1">
        <v>39.412999999999997</v>
      </c>
      <c r="G26" s="1">
        <v>41.488999999999997</v>
      </c>
      <c r="H26" s="1">
        <v>40.113</v>
      </c>
      <c r="I26" s="1">
        <v>42.093000000000004</v>
      </c>
      <c r="J26" s="1">
        <v>44.920999999999999</v>
      </c>
      <c r="K26" s="1">
        <v>38.866</v>
      </c>
      <c r="L26" s="1">
        <v>40.826999999999998</v>
      </c>
      <c r="M26" s="1">
        <v>42.19</v>
      </c>
      <c r="N26" s="1">
        <v>42.146999999999998</v>
      </c>
      <c r="O26" s="21" t="s">
        <v>70</v>
      </c>
      <c r="P26" s="15"/>
    </row>
    <row r="27" spans="1:16" s="14" customFormat="1" ht="19.5" customHeight="1">
      <c r="A27" s="17" t="s">
        <v>87</v>
      </c>
      <c r="B27" s="6">
        <f t="shared" si="1"/>
        <v>56.048000000000002</v>
      </c>
      <c r="C27" s="27" t="s">
        <v>84</v>
      </c>
      <c r="D27" s="27" t="s">
        <v>84</v>
      </c>
      <c r="E27" s="27" t="s">
        <v>84</v>
      </c>
      <c r="F27" s="27" t="s">
        <v>84</v>
      </c>
      <c r="G27" s="27" t="s">
        <v>84</v>
      </c>
      <c r="H27" s="27" t="s">
        <v>84</v>
      </c>
      <c r="I27" s="27" t="s">
        <v>84</v>
      </c>
      <c r="J27" s="27" t="s">
        <v>84</v>
      </c>
      <c r="K27" s="27" t="s">
        <v>84</v>
      </c>
      <c r="L27" s="1">
        <v>11.012</v>
      </c>
      <c r="M27" s="1">
        <v>22.518999999999998</v>
      </c>
      <c r="N27" s="1">
        <v>22.516999999999999</v>
      </c>
      <c r="O27" s="21" t="s">
        <v>79</v>
      </c>
      <c r="P27" s="15"/>
    </row>
    <row r="28" spans="1:16" s="14" customFormat="1" ht="19.5" customHeight="1">
      <c r="A28" s="17" t="s">
        <v>88</v>
      </c>
      <c r="B28" s="6">
        <f t="shared" si="1"/>
        <v>105.488</v>
      </c>
      <c r="C28" s="27" t="s">
        <v>84</v>
      </c>
      <c r="D28" s="27" t="s">
        <v>84</v>
      </c>
      <c r="E28" s="27" t="s">
        <v>84</v>
      </c>
      <c r="F28" s="27" t="s">
        <v>84</v>
      </c>
      <c r="G28" s="27" t="s">
        <v>84</v>
      </c>
      <c r="H28" s="27" t="s">
        <v>84</v>
      </c>
      <c r="I28" s="27" t="s">
        <v>84</v>
      </c>
      <c r="J28" s="27" t="s">
        <v>84</v>
      </c>
      <c r="K28" s="27" t="s">
        <v>84</v>
      </c>
      <c r="L28" s="1">
        <v>38.795999999999999</v>
      </c>
      <c r="M28" s="1">
        <v>34.357999999999997</v>
      </c>
      <c r="N28" s="1">
        <v>32.334000000000003</v>
      </c>
      <c r="O28" s="21" t="s">
        <v>71</v>
      </c>
      <c r="P28" s="15"/>
    </row>
    <row r="29" spans="1:16" s="14" customFormat="1" ht="19.5" customHeight="1">
      <c r="A29" s="17" t="s">
        <v>89</v>
      </c>
      <c r="B29" s="6">
        <f t="shared" si="1"/>
        <v>492.54699999999991</v>
      </c>
      <c r="C29" s="27" t="s">
        <v>84</v>
      </c>
      <c r="D29" s="1">
        <v>8.5120000000000005</v>
      </c>
      <c r="E29" s="1">
        <v>43.695999999999998</v>
      </c>
      <c r="F29" s="1">
        <v>53.734999999999999</v>
      </c>
      <c r="G29" s="1">
        <v>57.524000000000001</v>
      </c>
      <c r="H29" s="1">
        <v>46.277000000000001</v>
      </c>
      <c r="I29" s="1">
        <v>47.741999999999997</v>
      </c>
      <c r="J29" s="1">
        <v>53.106000000000002</v>
      </c>
      <c r="K29" s="1">
        <v>46.784999999999997</v>
      </c>
      <c r="L29" s="1">
        <v>46.036000000000001</v>
      </c>
      <c r="M29" s="1">
        <v>43.914000000000001</v>
      </c>
      <c r="N29" s="1">
        <v>45.22</v>
      </c>
      <c r="O29" s="21" t="s">
        <v>80</v>
      </c>
      <c r="P29" s="15"/>
    </row>
    <row r="30" spans="1:16" s="14" customFormat="1" ht="19.5" customHeight="1">
      <c r="A30" s="17" t="s">
        <v>90</v>
      </c>
      <c r="B30" s="6">
        <f t="shared" si="1"/>
        <v>79.722480000000004</v>
      </c>
      <c r="C30" s="27" t="s">
        <v>84</v>
      </c>
      <c r="D30" s="1">
        <v>1.5780000000000001</v>
      </c>
      <c r="E30" s="1">
        <v>7.7759999999999998</v>
      </c>
      <c r="F30" s="1">
        <v>7.84</v>
      </c>
      <c r="G30" s="1">
        <v>7.9909999999999997</v>
      </c>
      <c r="H30" s="1">
        <v>7.6319999999999997</v>
      </c>
      <c r="I30" s="1">
        <v>7.6630000000000003</v>
      </c>
      <c r="J30" s="1">
        <v>8.4939999999999998</v>
      </c>
      <c r="K30" s="1">
        <v>7.2670000000000003</v>
      </c>
      <c r="L30" s="1">
        <v>8.1138100000000009</v>
      </c>
      <c r="M30" s="1">
        <v>7.2556700000000003</v>
      </c>
      <c r="N30" s="1">
        <v>8.1120000000000001</v>
      </c>
      <c r="O30" s="21" t="s">
        <v>81</v>
      </c>
      <c r="P30" s="15"/>
    </row>
    <row r="31" spans="1:16" s="14" customFormat="1" ht="19.5" customHeight="1">
      <c r="A31" s="17" t="s">
        <v>55</v>
      </c>
      <c r="B31" s="6">
        <f t="shared" si="1"/>
        <v>221.32308</v>
      </c>
      <c r="C31" s="27" t="s">
        <v>84</v>
      </c>
      <c r="D31" s="27" t="s">
        <v>84</v>
      </c>
      <c r="E31" s="27" t="s">
        <v>84</v>
      </c>
      <c r="F31" s="27" t="s">
        <v>84</v>
      </c>
      <c r="G31" s="1">
        <v>13.66925</v>
      </c>
      <c r="H31" s="1">
        <v>27.01643</v>
      </c>
      <c r="I31" s="1">
        <v>34.327740000000006</v>
      </c>
      <c r="J31" s="1">
        <v>30.517469999999999</v>
      </c>
      <c r="K31" s="1">
        <v>30.375160000000005</v>
      </c>
      <c r="L31" s="1">
        <v>30.243550000000003</v>
      </c>
      <c r="M31" s="1">
        <v>27.381300000000003</v>
      </c>
      <c r="N31" s="1">
        <v>27.792180000000002</v>
      </c>
      <c r="O31" s="21" t="s">
        <v>78</v>
      </c>
      <c r="P31" s="15"/>
    </row>
    <row r="32" spans="1:16" s="14" customFormat="1" ht="19.5" customHeight="1">
      <c r="A32" s="17" t="s">
        <v>56</v>
      </c>
      <c r="B32" s="6">
        <f t="shared" si="1"/>
        <v>128.25400000000002</v>
      </c>
      <c r="C32" s="1">
        <v>8.8699999999999992</v>
      </c>
      <c r="D32" s="1">
        <v>10.635</v>
      </c>
      <c r="E32" s="1">
        <v>12.843</v>
      </c>
      <c r="F32" s="1">
        <v>12.102</v>
      </c>
      <c r="G32" s="1">
        <v>8.8230000000000004</v>
      </c>
      <c r="H32" s="1">
        <v>8.6310000000000002</v>
      </c>
      <c r="I32" s="1">
        <v>10.103999999999999</v>
      </c>
      <c r="J32" s="1">
        <v>13.781000000000001</v>
      </c>
      <c r="K32" s="1">
        <v>9.5640000000000001</v>
      </c>
      <c r="L32" s="1">
        <v>9.2929999999999993</v>
      </c>
      <c r="M32" s="1">
        <v>9.2810000000000006</v>
      </c>
      <c r="N32" s="1">
        <v>14.327</v>
      </c>
      <c r="O32" s="21" t="s">
        <v>76</v>
      </c>
      <c r="P32" s="15"/>
    </row>
    <row r="33" spans="1:16" s="14" customFormat="1" ht="19.5" customHeight="1">
      <c r="A33" s="17" t="s">
        <v>57</v>
      </c>
      <c r="B33" s="6">
        <f t="shared" si="1"/>
        <v>101.97299999999998</v>
      </c>
      <c r="C33" s="27" t="s">
        <v>84</v>
      </c>
      <c r="D33" s="27" t="s">
        <v>84</v>
      </c>
      <c r="E33" s="27" t="s">
        <v>84</v>
      </c>
      <c r="F33" s="27" t="s">
        <v>84</v>
      </c>
      <c r="G33" s="27" t="s">
        <v>84</v>
      </c>
      <c r="H33" s="27" t="s">
        <v>84</v>
      </c>
      <c r="I33" s="27" t="s">
        <v>84</v>
      </c>
      <c r="J33" s="27" t="s">
        <v>84</v>
      </c>
      <c r="K33" s="27" t="s">
        <v>84</v>
      </c>
      <c r="L33" s="1">
        <v>30.972999999999999</v>
      </c>
      <c r="M33" s="1">
        <v>34.258000000000003</v>
      </c>
      <c r="N33" s="1">
        <v>36.741999999999997</v>
      </c>
      <c r="O33" s="21" t="s">
        <v>77</v>
      </c>
      <c r="P33" s="15"/>
    </row>
    <row r="34" spans="1:16" s="14" customFormat="1" ht="19.5" customHeight="1">
      <c r="A34" s="18" t="s">
        <v>58</v>
      </c>
      <c r="B34" s="7">
        <f t="shared" si="1"/>
        <v>133.33799999999999</v>
      </c>
      <c r="C34" s="8">
        <v>11.522</v>
      </c>
      <c r="D34" s="8">
        <v>10.56</v>
      </c>
      <c r="E34" s="8">
        <v>10.853999999999999</v>
      </c>
      <c r="F34" s="8">
        <v>11.871</v>
      </c>
      <c r="G34" s="8">
        <v>10.88</v>
      </c>
      <c r="H34" s="8">
        <v>11.163</v>
      </c>
      <c r="I34" s="8">
        <v>10.458</v>
      </c>
      <c r="J34" s="8">
        <v>12.867000000000001</v>
      </c>
      <c r="K34" s="8">
        <v>14</v>
      </c>
      <c r="L34" s="8">
        <v>9.5090000000000003</v>
      </c>
      <c r="M34" s="8">
        <v>10.1</v>
      </c>
      <c r="N34" s="8">
        <v>9.5540000000000003</v>
      </c>
      <c r="O34" s="23" t="s">
        <v>75</v>
      </c>
      <c r="P34" s="15"/>
    </row>
    <row r="35" spans="1:16" s="26" customFormat="1" ht="18" customHeight="1">
      <c r="A35" s="24" t="s">
        <v>60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2" t="s">
        <v>85</v>
      </c>
    </row>
    <row r="36" spans="1:16" s="9" customFormat="1" ht="13.5" customHeight="1">
      <c r="A36" s="19" t="s">
        <v>0</v>
      </c>
      <c r="B36" s="10"/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28" t="s">
        <v>59</v>
      </c>
    </row>
  </sheetData>
  <mergeCells count="5">
    <mergeCell ref="A1:O1"/>
    <mergeCell ref="A2:O2"/>
    <mergeCell ref="A3:O3"/>
    <mergeCell ref="A4:A5"/>
    <mergeCell ref="O4:O5"/>
  </mergeCells>
  <pageMargins left="0.7" right="0.7" top="0.27" bottom="0.21" header="0.17" footer="0.16"/>
  <pageSetup paperSize="9" scale="85" orientation="landscape" r:id="rId1"/>
  <rowBreaks count="1" manualBreakCount="1">
    <brk id="36" max="15" man="1"/>
  </rowBreaks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12.2</vt:lpstr>
      <vt:lpstr>'12.2'!Print_Area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2013-07-03T04:29:20Z</dcterms:modified>
</cp:coreProperties>
</file>