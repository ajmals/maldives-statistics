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6" sheetId="7" r:id="rId1"/>
  </sheets>
  <definedNames>
    <definedName name="_xlnm.Print_Area" localSheetId="0">'12.6'!$A$1:$H$32</definedName>
  </definedNames>
  <calcPr calcId="124519"/>
</workbook>
</file>

<file path=xl/calcChain.xml><?xml version="1.0" encoding="utf-8"?>
<calcChain xmlns="http://schemas.openxmlformats.org/spreadsheetml/2006/main">
  <c r="F30" i="7"/>
  <c r="D30"/>
  <c r="B30"/>
  <c r="F17"/>
  <c r="D17"/>
  <c r="B17"/>
</calcChain>
</file>

<file path=xl/sharedStrings.xml><?xml version="1.0" encoding="utf-8"?>
<sst xmlns="http://schemas.openxmlformats.org/spreadsheetml/2006/main" count="66" uniqueCount="42">
  <si>
    <t>Source: State Electric Company Limited</t>
  </si>
  <si>
    <t>Total</t>
  </si>
  <si>
    <t>ޖުމްލަ</t>
  </si>
  <si>
    <t>cDeTimil Inepcmok ckircTckeliacTETcs :ctWrwfivcaedutWmUluAwm</t>
  </si>
  <si>
    <t>Month</t>
  </si>
  <si>
    <t xml:space="preserve">ޖުމްލަ ގޭބިސީ އަދަދު </t>
  </si>
  <si>
    <t>ކަރަންޓް ބިލްގެ ޖުމްލަ
(ސަބްސިޑީ ނުލާ)</t>
  </si>
  <si>
    <t xml:space="preserve">ޖުމްލަ ސަބްސިޑީ (ރުފިޔާއިން) </t>
  </si>
  <si>
    <t>cswm</t>
  </si>
  <si>
    <t>No of Households (June 2011)</t>
  </si>
  <si>
    <t>Total Electricity bill (MVR)
(excluding subsidy)</t>
  </si>
  <si>
    <t>Total amount on electricity subsidy (MVR)</t>
  </si>
  <si>
    <t>Monthly government subsidy (usage based)</t>
  </si>
  <si>
    <t>މަހުގެގޮތުން ސަރުކާރުން ސަބްސިޑީ ދެއްވި ވަރު (ބޭނުންކުރި މިންވަރުން)</t>
  </si>
  <si>
    <t>less than 100 Rf</t>
  </si>
  <si>
    <t>100 ރުފިޔާއަށްވުރެ ދަށް</t>
  </si>
  <si>
    <t>100-199</t>
  </si>
  <si>
    <t>199 - 100</t>
  </si>
  <si>
    <t>200-299</t>
  </si>
  <si>
    <t>299 - 200</t>
  </si>
  <si>
    <t>300-399</t>
  </si>
  <si>
    <t>399 - 300</t>
  </si>
  <si>
    <t>400-499</t>
  </si>
  <si>
    <t>499 - 400</t>
  </si>
  <si>
    <t>500-599</t>
  </si>
  <si>
    <t>599 - 500</t>
  </si>
  <si>
    <t>600-699</t>
  </si>
  <si>
    <t>699 - 600</t>
  </si>
  <si>
    <t>700-799</t>
  </si>
  <si>
    <t>799 - 700</t>
  </si>
  <si>
    <t>800-899</t>
  </si>
  <si>
    <t>899 - 800</t>
  </si>
  <si>
    <t>900-999</t>
  </si>
  <si>
    <t>999 - 900</t>
  </si>
  <si>
    <t>1000+</t>
  </si>
  <si>
    <t>1000 ރުފިޔާއަށްވުރެ މަތި</t>
  </si>
  <si>
    <t>Monthly government subsidy fuel surcharge</t>
  </si>
  <si>
    <t xml:space="preserve">މަހުގެގޮތުން ސަރުކާރުން ސަބްސިޑީ ފިއުލް ސަރ ޗާރޖް ދެއްވި ވަރު </t>
  </si>
  <si>
    <t>* Please note that the Total Electricity Bill values are derived after deducting the subsidies</t>
  </si>
  <si>
    <t>*ކަރަންޓް ބިލްގެ ޖުމްލަ އަދަދުތައް ނެގިފައިވަނީ ސަބްސިޑީއަށްވާ އަދަދު ކެނޑުމަށްފަހުއެވެ.</t>
  </si>
  <si>
    <t>2012 ,urwvcnim unuved IDiscbws cTcnwrwk iawgElWm : 12.6  ulwvWt</t>
  </si>
  <si>
    <t>TABLE 12.6 ELECTRICITY SUBSIDY MALE',  2012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</si>
</sst>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9"/>
      <color theme="1"/>
      <name val="Faruma"/>
    </font>
    <font>
      <b/>
      <sz val="11"/>
      <color theme="1"/>
      <name val="A_Randhoo"/>
    </font>
    <font>
      <b/>
      <sz val="10"/>
      <color theme="1"/>
      <name val="Faruma"/>
    </font>
    <font>
      <sz val="10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165" fontId="5" fillId="2" borderId="2" xfId="0" applyNumberFormat="1" applyFont="1" applyFill="1" applyBorder="1"/>
    <xf numFmtId="0" fontId="11" fillId="2" borderId="16" xfId="3" applyFont="1" applyFill="1" applyBorder="1" applyAlignment="1">
      <alignment vertical="center"/>
    </xf>
    <xf numFmtId="0" fontId="11" fillId="2" borderId="5" xfId="3" applyFont="1" applyFill="1" applyBorder="1" applyAlignment="1">
      <alignment vertical="center"/>
    </xf>
    <xf numFmtId="165" fontId="9" fillId="2" borderId="2" xfId="0" applyNumberFormat="1" applyFont="1" applyFill="1" applyBorder="1"/>
    <xf numFmtId="165" fontId="5" fillId="2" borderId="1" xfId="0" applyNumberFormat="1" applyFont="1" applyFill="1" applyBorder="1" applyAlignment="1">
      <alignment horizontal="left" vertical="center"/>
    </xf>
    <xf numFmtId="165" fontId="5" fillId="2" borderId="2" xfId="0" applyNumberFormat="1" applyFont="1" applyFill="1" applyBorder="1" applyAlignment="1">
      <alignment horizontal="left" vertical="center"/>
    </xf>
    <xf numFmtId="165" fontId="5" fillId="2" borderId="2" xfId="0" applyNumberFormat="1" applyFont="1" applyFill="1" applyBorder="1" applyAlignment="1">
      <alignment horizontal="right" vertical="center"/>
    </xf>
    <xf numFmtId="0" fontId="15" fillId="2" borderId="0" xfId="3" applyFont="1" applyFill="1" applyBorder="1" applyAlignment="1">
      <alignment horizontal="right" vertical="center" wrapText="1" readingOrder="2"/>
    </xf>
    <xf numFmtId="165" fontId="5" fillId="2" borderId="1" xfId="0" applyNumberFormat="1" applyFont="1" applyFill="1" applyBorder="1"/>
    <xf numFmtId="165" fontId="5" fillId="2" borderId="2" xfId="0" applyNumberFormat="1" applyFont="1" applyFill="1" applyBorder="1" applyAlignment="1">
      <alignment vertical="center"/>
    </xf>
    <xf numFmtId="165" fontId="5" fillId="2" borderId="6" xfId="0" applyNumberFormat="1" applyFont="1" applyFill="1" applyBorder="1"/>
    <xf numFmtId="43" fontId="5" fillId="2" borderId="6" xfId="2" applyFont="1" applyFill="1" applyBorder="1"/>
    <xf numFmtId="0" fontId="16" fillId="2" borderId="0" xfId="0" applyFont="1" applyFill="1" applyBorder="1" applyAlignment="1">
      <alignment horizontal="right"/>
    </xf>
    <xf numFmtId="0" fontId="8" fillId="2" borderId="5" xfId="0" applyFont="1" applyFill="1" applyBorder="1" applyAlignment="1" applyProtection="1">
      <alignment horizontal="left" vertical="center"/>
    </xf>
    <xf numFmtId="165" fontId="5" fillId="2" borderId="2" xfId="3" applyNumberFormat="1" applyFont="1" applyFill="1" applyBorder="1" applyAlignment="1" applyProtection="1">
      <alignment horizontal="left" vertical="center"/>
    </xf>
    <xf numFmtId="165" fontId="7" fillId="2" borderId="2" xfId="3" applyNumberFormat="1" applyFont="1" applyFill="1" applyBorder="1" applyAlignment="1" applyProtection="1">
      <alignment horizontal="right" vertical="center" readingOrder="2"/>
    </xf>
    <xf numFmtId="165" fontId="3" fillId="2" borderId="7" xfId="3" applyNumberFormat="1" applyFont="1" applyFill="1" applyBorder="1" applyAlignment="1" applyProtection="1">
      <alignment horizontal="left" vertical="center"/>
    </xf>
    <xf numFmtId="165" fontId="15" fillId="2" borderId="7" xfId="3" applyNumberFormat="1" applyFont="1" applyFill="1" applyBorder="1" applyAlignment="1" applyProtection="1">
      <alignment horizontal="right" vertical="center" readingOrder="2"/>
    </xf>
    <xf numFmtId="164" fontId="5" fillId="2" borderId="11" xfId="5" applyNumberFormat="1" applyFont="1" applyFill="1" applyBorder="1" applyAlignment="1">
      <alignment horizontal="right" vertical="center"/>
    </xf>
    <xf numFmtId="164" fontId="5" fillId="2" borderId="2" xfId="5" applyNumberFormat="1" applyFont="1" applyFill="1" applyBorder="1" applyAlignment="1">
      <alignment horizontal="right"/>
    </xf>
    <xf numFmtId="164" fontId="3" fillId="2" borderId="7" xfId="2" applyNumberFormat="1" applyFont="1" applyFill="1" applyBorder="1" applyAlignment="1">
      <alignment horizontal="right"/>
    </xf>
    <xf numFmtId="0" fontId="3" fillId="2" borderId="23" xfId="0" applyFont="1" applyFill="1" applyBorder="1" applyAlignment="1">
      <alignment horizontal="right" vertical="center" wrapText="1"/>
    </xf>
    <xf numFmtId="165" fontId="13" fillId="2" borderId="21" xfId="3" applyNumberFormat="1" applyFont="1" applyFill="1" applyBorder="1" applyAlignment="1" applyProtection="1">
      <alignment horizontal="right" vertical="center" wrapText="1" readingOrder="2"/>
    </xf>
    <xf numFmtId="165" fontId="3" fillId="2" borderId="25" xfId="3" applyNumberFormat="1" applyFont="1" applyFill="1" applyBorder="1" applyAlignment="1" applyProtection="1">
      <alignment horizontal="left" vertical="center"/>
    </xf>
    <xf numFmtId="164" fontId="3" fillId="2" borderId="25" xfId="2" applyNumberFormat="1" applyFont="1" applyFill="1" applyBorder="1" applyAlignment="1">
      <alignment horizontal="right"/>
    </xf>
    <xf numFmtId="165" fontId="15" fillId="2" borderId="25" xfId="3" applyNumberFormat="1" applyFont="1" applyFill="1" applyBorder="1" applyAlignment="1" applyProtection="1">
      <alignment horizontal="right" vertical="center" readingOrder="2"/>
    </xf>
    <xf numFmtId="165" fontId="3" fillId="2" borderId="6" xfId="3" applyNumberFormat="1" applyFont="1" applyFill="1" applyBorder="1" applyAlignment="1" applyProtection="1">
      <alignment horizontal="left" vertical="center" wrapText="1"/>
    </xf>
    <xf numFmtId="165" fontId="3" fillId="2" borderId="6" xfId="0" applyNumberFormat="1" applyFont="1" applyFill="1" applyBorder="1"/>
    <xf numFmtId="0" fontId="15" fillId="2" borderId="13" xfId="3" applyFont="1" applyFill="1" applyBorder="1" applyAlignment="1">
      <alignment horizontal="right" vertical="center" wrapText="1" readingOrder="2"/>
    </xf>
    <xf numFmtId="165" fontId="3" fillId="2" borderId="2" xfId="0" applyNumberFormat="1" applyFont="1" applyFill="1" applyBorder="1"/>
    <xf numFmtId="164" fontId="3" fillId="2" borderId="24" xfId="2" applyNumberFormat="1" applyFont="1" applyFill="1" applyBorder="1" applyAlignment="1">
      <alignment horizontal="right"/>
    </xf>
    <xf numFmtId="165" fontId="3" fillId="2" borderId="1" xfId="0" applyNumberFormat="1" applyFont="1" applyFill="1" applyBorder="1"/>
    <xf numFmtId="164" fontId="5" fillId="2" borderId="11" xfId="5" applyNumberFormat="1" applyFont="1" applyFill="1" applyBorder="1" applyAlignment="1">
      <alignment horizontal="right"/>
    </xf>
    <xf numFmtId="164" fontId="5" fillId="2" borderId="1" xfId="5" applyNumberFormat="1" applyFont="1" applyFill="1" applyBorder="1" applyAlignment="1">
      <alignment horizontal="right"/>
    </xf>
    <xf numFmtId="164" fontId="3" fillId="2" borderId="7" xfId="2" applyNumberFormat="1" applyFont="1" applyFill="1" applyBorder="1" applyAlignment="1">
      <alignment horizontal="right"/>
    </xf>
    <xf numFmtId="164" fontId="3" fillId="2" borderId="24" xfId="2" applyNumberFormat="1" applyFont="1" applyFill="1" applyBorder="1" applyAlignment="1">
      <alignment horizontal="right"/>
    </xf>
    <xf numFmtId="164" fontId="3" fillId="2" borderId="5" xfId="2" applyNumberFormat="1" applyFont="1" applyFill="1" applyBorder="1" applyAlignment="1">
      <alignment horizontal="right"/>
    </xf>
    <xf numFmtId="164" fontId="5" fillId="2" borderId="11" xfId="5" applyNumberFormat="1" applyFont="1" applyFill="1" applyBorder="1" applyAlignment="1">
      <alignment horizontal="right" vertical="center"/>
    </xf>
    <xf numFmtId="164" fontId="5" fillId="2" borderId="1" xfId="5" applyNumberFormat="1" applyFont="1" applyFill="1" applyBorder="1" applyAlignment="1">
      <alignment horizontal="right" vertical="center"/>
    </xf>
    <xf numFmtId="164" fontId="3" fillId="2" borderId="25" xfId="2" applyNumberFormat="1" applyFont="1" applyFill="1" applyBorder="1" applyAlignment="1">
      <alignment horizontal="right"/>
    </xf>
    <xf numFmtId="0" fontId="11" fillId="2" borderId="16" xfId="3" applyFont="1" applyFill="1" applyBorder="1" applyAlignment="1">
      <alignment horizontal="center" vertical="center"/>
    </xf>
    <xf numFmtId="0" fontId="11" fillId="2" borderId="5" xfId="3" applyFont="1" applyFill="1" applyBorder="1" applyAlignment="1">
      <alignment horizontal="center" vertical="center"/>
    </xf>
    <xf numFmtId="165" fontId="12" fillId="2" borderId="9" xfId="3" applyNumberFormat="1" applyFont="1" applyFill="1" applyBorder="1" applyAlignment="1">
      <alignment horizontal="center" vertical="center" wrapText="1"/>
    </xf>
    <xf numFmtId="165" fontId="12" fillId="2" borderId="3" xfId="3" applyNumberFormat="1" applyFont="1" applyFill="1" applyBorder="1" applyAlignment="1">
      <alignment horizontal="center" vertical="center" wrapText="1"/>
    </xf>
    <xf numFmtId="165" fontId="12" fillId="2" borderId="4" xfId="3" applyNumberFormat="1" applyFont="1" applyFill="1" applyBorder="1" applyAlignment="1">
      <alignment horizontal="center" vertical="center" wrapText="1"/>
    </xf>
    <xf numFmtId="165" fontId="3" fillId="2" borderId="19" xfId="3" applyNumberFormat="1" applyFont="1" applyFill="1" applyBorder="1" applyAlignment="1">
      <alignment horizontal="left" vertical="center"/>
    </xf>
    <xf numFmtId="165" fontId="3" fillId="2" borderId="18" xfId="3" applyNumberFormat="1" applyFont="1" applyFill="1" applyBorder="1" applyAlignment="1">
      <alignment horizontal="left" vertical="center"/>
    </xf>
    <xf numFmtId="165" fontId="13" fillId="2" borderId="19" xfId="3" applyNumberFormat="1" applyFont="1" applyFill="1" applyBorder="1" applyAlignment="1" applyProtection="1">
      <alignment horizontal="right" vertical="center" wrapText="1" readingOrder="2"/>
    </xf>
    <xf numFmtId="165" fontId="13" fillId="2" borderId="15" xfId="3" applyNumberFormat="1" applyFont="1" applyFill="1" applyBorder="1" applyAlignment="1" applyProtection="1">
      <alignment horizontal="right" vertical="center" wrapText="1" readingOrder="2"/>
    </xf>
    <xf numFmtId="165" fontId="13" fillId="2" borderId="17" xfId="3" applyNumberFormat="1" applyFont="1" applyFill="1" applyBorder="1" applyAlignment="1" applyProtection="1">
      <alignment horizontal="right" vertical="center" wrapText="1" readingOrder="2"/>
    </xf>
    <xf numFmtId="165" fontId="13" fillId="2" borderId="20" xfId="3" applyNumberFormat="1" applyFont="1" applyFill="1" applyBorder="1" applyAlignment="1" applyProtection="1">
      <alignment horizontal="right" vertical="center" wrapText="1" readingOrder="2"/>
    </xf>
    <xf numFmtId="0" fontId="14" fillId="2" borderId="12" xfId="3" applyFont="1" applyFill="1" applyBorder="1" applyAlignment="1">
      <alignment horizontal="right" vertical="center"/>
    </xf>
    <xf numFmtId="0" fontId="14" fillId="2" borderId="23" xfId="3" applyFont="1" applyFill="1" applyBorder="1" applyAlignment="1">
      <alignment horizontal="right" vertical="center"/>
    </xf>
    <xf numFmtId="0" fontId="3" fillId="2" borderId="22" xfId="0" applyFont="1" applyFill="1" applyBorder="1" applyAlignment="1">
      <alignment horizontal="right" vertical="center" wrapText="1"/>
    </xf>
    <xf numFmtId="0" fontId="3" fillId="2" borderId="23" xfId="0" applyFont="1" applyFill="1" applyBorder="1" applyAlignment="1">
      <alignment horizontal="right" vertical="center" wrapText="1"/>
    </xf>
    <xf numFmtId="165" fontId="6" fillId="2" borderId="8" xfId="0" applyNumberFormat="1" applyFont="1" applyFill="1" applyBorder="1" applyAlignment="1">
      <alignment horizontal="left" vertical="top" wrapText="1"/>
    </xf>
    <xf numFmtId="165" fontId="6" fillId="2" borderId="14" xfId="0" applyNumberFormat="1" applyFont="1" applyFill="1" applyBorder="1" applyAlignment="1">
      <alignment horizontal="left" vertical="top" wrapText="1"/>
    </xf>
    <xf numFmtId="165" fontId="6" fillId="2" borderId="10" xfId="0" applyNumberFormat="1" applyFont="1" applyFill="1" applyBorder="1" applyAlignment="1">
      <alignment horizontal="left" vertical="top" wrapText="1"/>
    </xf>
    <xf numFmtId="165" fontId="10" fillId="2" borderId="19" xfId="3" applyNumberFormat="1" applyFont="1" applyFill="1" applyBorder="1" applyAlignment="1" applyProtection="1">
      <alignment horizontal="right" vertical="center" wrapText="1" readingOrder="2"/>
    </xf>
    <xf numFmtId="165" fontId="10" fillId="2" borderId="12" xfId="3" applyNumberFormat="1" applyFont="1" applyFill="1" applyBorder="1" applyAlignment="1" applyProtection="1">
      <alignment horizontal="right" vertical="center" wrapText="1" readingOrder="2"/>
    </xf>
    <xf numFmtId="3" fontId="3" fillId="2" borderId="8" xfId="3" applyNumberFormat="1" applyFont="1" applyFill="1" applyBorder="1" applyAlignment="1">
      <alignment horizontal="center"/>
    </xf>
    <xf numFmtId="3" fontId="3" fillId="2" borderId="10" xfId="3" applyNumberFormat="1" applyFont="1" applyFill="1" applyBorder="1" applyAlignment="1">
      <alignment horizontal="center"/>
    </xf>
  </cellXfs>
  <cellStyles count="9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6"/>
    <cellStyle name="Normal 3" xfId="7"/>
    <cellStyle name="Normal 4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>
      <selection activeCell="E36" sqref="E36"/>
    </sheetView>
  </sheetViews>
  <sheetFormatPr defaultRowHeight="21.75" customHeight="1"/>
  <cols>
    <col min="1" max="1" width="20" style="1" customWidth="1"/>
    <col min="2" max="2" width="5.28515625" style="1" customWidth="1"/>
    <col min="3" max="3" width="9.85546875" style="1" customWidth="1"/>
    <col min="4" max="4" width="4" style="1" customWidth="1"/>
    <col min="5" max="5" width="17.140625" style="1" customWidth="1"/>
    <col min="6" max="6" width="20.85546875" style="1" customWidth="1"/>
    <col min="7" max="7" width="27.85546875" style="1" customWidth="1"/>
    <col min="8" max="8" width="1.7109375" style="1" customWidth="1"/>
    <col min="9" max="16384" width="9.140625" style="1"/>
  </cols>
  <sheetData>
    <row r="1" spans="1:12" ht="21.75" customHeight="1">
      <c r="A1" s="41" t="s">
        <v>40</v>
      </c>
      <c r="B1" s="41"/>
      <c r="C1" s="41"/>
      <c r="D1" s="41"/>
      <c r="E1" s="41"/>
      <c r="F1" s="41"/>
      <c r="G1" s="42"/>
    </row>
    <row r="2" spans="1:12" ht="19.5" customHeight="1">
      <c r="A2" s="43" t="s">
        <v>41</v>
      </c>
      <c r="B2" s="44"/>
      <c r="C2" s="44"/>
      <c r="D2" s="44"/>
      <c r="E2" s="44"/>
      <c r="F2" s="44"/>
      <c r="G2" s="45"/>
    </row>
    <row r="3" spans="1:12" s="4" customFormat="1" ht="35.25" customHeight="1">
      <c r="A3" s="46" t="s">
        <v>4</v>
      </c>
      <c r="B3" s="48" t="s">
        <v>5</v>
      </c>
      <c r="C3" s="49"/>
      <c r="D3" s="50" t="s">
        <v>6</v>
      </c>
      <c r="E3" s="51"/>
      <c r="F3" s="23" t="s">
        <v>7</v>
      </c>
      <c r="G3" s="52" t="s">
        <v>8</v>
      </c>
      <c r="H3" s="2"/>
      <c r="I3" s="2"/>
      <c r="J3" s="2"/>
      <c r="K3" s="2"/>
      <c r="L3" s="3"/>
    </row>
    <row r="4" spans="1:12" s="4" customFormat="1" ht="30.75" customHeight="1">
      <c r="A4" s="47"/>
      <c r="B4" s="54" t="s">
        <v>9</v>
      </c>
      <c r="C4" s="54"/>
      <c r="D4" s="55" t="s">
        <v>10</v>
      </c>
      <c r="E4" s="55"/>
      <c r="F4" s="22" t="s">
        <v>11</v>
      </c>
      <c r="G4" s="53"/>
    </row>
    <row r="5" spans="1:12" s="30" customFormat="1" ht="34.5" customHeight="1">
      <c r="A5" s="27" t="s">
        <v>12</v>
      </c>
      <c r="B5" s="61"/>
      <c r="C5" s="62"/>
      <c r="D5" s="61"/>
      <c r="E5" s="62"/>
      <c r="F5" s="28"/>
      <c r="G5" s="29" t="s">
        <v>13</v>
      </c>
    </row>
    <row r="6" spans="1:12" s="6" customFormat="1" ht="20.25" customHeight="1">
      <c r="A6" s="15" t="s">
        <v>14</v>
      </c>
      <c r="B6" s="38">
        <v>561</v>
      </c>
      <c r="C6" s="39"/>
      <c r="D6" s="38">
        <v>41211.660000000003</v>
      </c>
      <c r="E6" s="39"/>
      <c r="F6" s="19">
        <v>11563.53</v>
      </c>
      <c r="G6" s="16" t="s">
        <v>15</v>
      </c>
      <c r="H6" s="5"/>
    </row>
    <row r="7" spans="1:12" ht="21.75" customHeight="1">
      <c r="A7" s="15" t="s">
        <v>16</v>
      </c>
      <c r="B7" s="33">
        <v>1169</v>
      </c>
      <c r="C7" s="34"/>
      <c r="D7" s="33">
        <v>176562.87</v>
      </c>
      <c r="E7" s="34"/>
      <c r="F7" s="20">
        <v>64360.94</v>
      </c>
      <c r="G7" s="7" t="s">
        <v>17</v>
      </c>
    </row>
    <row r="8" spans="1:12" ht="21.75" customHeight="1">
      <c r="A8" s="15" t="s">
        <v>18</v>
      </c>
      <c r="B8" s="33">
        <v>1556</v>
      </c>
      <c r="C8" s="34"/>
      <c r="D8" s="33">
        <v>394169.76</v>
      </c>
      <c r="E8" s="34"/>
      <c r="F8" s="20">
        <v>159100.94</v>
      </c>
      <c r="G8" s="7" t="s">
        <v>19</v>
      </c>
    </row>
    <row r="9" spans="1:12" ht="21.75" customHeight="1">
      <c r="A9" s="15" t="s">
        <v>20</v>
      </c>
      <c r="B9" s="33">
        <v>1954</v>
      </c>
      <c r="C9" s="34"/>
      <c r="D9" s="33">
        <v>683324.63</v>
      </c>
      <c r="E9" s="34"/>
      <c r="F9" s="20">
        <v>264256.84999999998</v>
      </c>
      <c r="G9" s="7" t="s">
        <v>21</v>
      </c>
    </row>
    <row r="10" spans="1:12" ht="21.75" customHeight="1">
      <c r="A10" s="15" t="s">
        <v>22</v>
      </c>
      <c r="B10" s="33">
        <v>1997</v>
      </c>
      <c r="C10" s="34"/>
      <c r="D10" s="33">
        <v>898371</v>
      </c>
      <c r="E10" s="34"/>
      <c r="F10" s="20">
        <v>303203.33</v>
      </c>
      <c r="G10" s="7" t="s">
        <v>23</v>
      </c>
    </row>
    <row r="11" spans="1:12" ht="21.75" customHeight="1">
      <c r="A11" s="15" t="s">
        <v>24</v>
      </c>
      <c r="B11" s="33">
        <v>1759</v>
      </c>
      <c r="C11" s="34"/>
      <c r="D11" s="33">
        <v>963060.66</v>
      </c>
      <c r="E11" s="34"/>
      <c r="F11" s="20">
        <v>285136.83</v>
      </c>
      <c r="G11" s="7" t="s">
        <v>25</v>
      </c>
    </row>
    <row r="12" spans="1:12" ht="21.75" customHeight="1">
      <c r="A12" s="15" t="s">
        <v>26</v>
      </c>
      <c r="B12" s="33">
        <v>1552</v>
      </c>
      <c r="C12" s="34"/>
      <c r="D12" s="33">
        <v>1009462.94</v>
      </c>
      <c r="E12" s="34"/>
      <c r="F12" s="20">
        <v>270014.53000000003</v>
      </c>
      <c r="G12" s="7" t="s">
        <v>27</v>
      </c>
    </row>
    <row r="13" spans="1:12" ht="21.75" customHeight="1">
      <c r="A13" s="15" t="s">
        <v>28</v>
      </c>
      <c r="B13" s="33">
        <v>1258</v>
      </c>
      <c r="C13" s="34"/>
      <c r="D13" s="33">
        <v>939900.2</v>
      </c>
      <c r="E13" s="34"/>
      <c r="F13" s="20">
        <v>231190.56</v>
      </c>
      <c r="G13" s="7" t="s">
        <v>29</v>
      </c>
    </row>
    <row r="14" spans="1:12" ht="21.75" customHeight="1">
      <c r="A14" s="15" t="s">
        <v>30</v>
      </c>
      <c r="B14" s="33">
        <v>1102</v>
      </c>
      <c r="C14" s="34"/>
      <c r="D14" s="33">
        <v>934705.86</v>
      </c>
      <c r="E14" s="34"/>
      <c r="F14" s="20">
        <v>195212.82</v>
      </c>
      <c r="G14" s="7" t="s">
        <v>31</v>
      </c>
    </row>
    <row r="15" spans="1:12" ht="21.75" customHeight="1">
      <c r="A15" s="15" t="s">
        <v>32</v>
      </c>
      <c r="B15" s="33">
        <v>990</v>
      </c>
      <c r="C15" s="34"/>
      <c r="D15" s="33">
        <v>938264.75</v>
      </c>
      <c r="E15" s="34"/>
      <c r="F15" s="20">
        <v>175114.23</v>
      </c>
      <c r="G15" s="7" t="s">
        <v>33</v>
      </c>
    </row>
    <row r="16" spans="1:12" ht="21.75" customHeight="1">
      <c r="A16" s="15" t="s">
        <v>34</v>
      </c>
      <c r="B16" s="33">
        <v>8595</v>
      </c>
      <c r="C16" s="34"/>
      <c r="D16" s="33">
        <v>19342774.969999999</v>
      </c>
      <c r="E16" s="34"/>
      <c r="F16" s="20">
        <v>1315521.53</v>
      </c>
      <c r="G16" s="16" t="s">
        <v>35</v>
      </c>
    </row>
    <row r="17" spans="1:8" ht="18.75">
      <c r="A17" s="24" t="s">
        <v>1</v>
      </c>
      <c r="B17" s="40">
        <f>SUM(B6:C16)</f>
        <v>22493</v>
      </c>
      <c r="C17" s="40"/>
      <c r="D17" s="40">
        <f>SUM(D6:E16)</f>
        <v>26321809.299999997</v>
      </c>
      <c r="E17" s="40"/>
      <c r="F17" s="25">
        <f>SUM(F6:F16)</f>
        <v>3274676.0900000003</v>
      </c>
      <c r="G17" s="26" t="s">
        <v>2</v>
      </c>
    </row>
    <row r="18" spans="1:8" s="30" customFormat="1" ht="37.5">
      <c r="A18" s="27" t="s">
        <v>36</v>
      </c>
      <c r="B18" s="36"/>
      <c r="C18" s="37"/>
      <c r="D18" s="36"/>
      <c r="E18" s="37"/>
      <c r="F18" s="31"/>
      <c r="G18" s="8" t="s">
        <v>37</v>
      </c>
      <c r="H18" s="32"/>
    </row>
    <row r="19" spans="1:8" s="10" customFormat="1" ht="21" customHeight="1">
      <c r="A19" s="15" t="s">
        <v>14</v>
      </c>
      <c r="B19" s="38">
        <v>561</v>
      </c>
      <c r="C19" s="39"/>
      <c r="D19" s="38">
        <v>41211.660000000003</v>
      </c>
      <c r="E19" s="39"/>
      <c r="F19" s="19">
        <v>29032.720000000001</v>
      </c>
      <c r="G19" s="16" t="s">
        <v>15</v>
      </c>
    </row>
    <row r="20" spans="1:8" ht="21" customHeight="1">
      <c r="A20" s="15" t="s">
        <v>16</v>
      </c>
      <c r="B20" s="33">
        <v>1169</v>
      </c>
      <c r="C20" s="34"/>
      <c r="D20" s="33">
        <v>176562.87</v>
      </c>
      <c r="E20" s="34"/>
      <c r="F20" s="20">
        <v>160282.74</v>
      </c>
      <c r="G20" s="7" t="s">
        <v>17</v>
      </c>
    </row>
    <row r="21" spans="1:8" ht="21" customHeight="1">
      <c r="A21" s="15" t="s">
        <v>18</v>
      </c>
      <c r="B21" s="33">
        <v>1556</v>
      </c>
      <c r="C21" s="34"/>
      <c r="D21" s="33">
        <v>394169.76</v>
      </c>
      <c r="E21" s="34"/>
      <c r="F21" s="20">
        <v>388893.09</v>
      </c>
      <c r="G21" s="7" t="s">
        <v>19</v>
      </c>
    </row>
    <row r="22" spans="1:8" ht="21" customHeight="1">
      <c r="A22" s="15" t="s">
        <v>20</v>
      </c>
      <c r="B22" s="33">
        <v>1954</v>
      </c>
      <c r="C22" s="34"/>
      <c r="D22" s="33">
        <v>683324.63</v>
      </c>
      <c r="E22" s="34"/>
      <c r="F22" s="20">
        <v>670199.92000000004</v>
      </c>
      <c r="G22" s="7" t="s">
        <v>21</v>
      </c>
    </row>
    <row r="23" spans="1:8" ht="21" customHeight="1">
      <c r="A23" s="15" t="s">
        <v>22</v>
      </c>
      <c r="B23" s="33">
        <v>1997</v>
      </c>
      <c r="C23" s="34"/>
      <c r="D23" s="33">
        <v>898371</v>
      </c>
      <c r="E23" s="34"/>
      <c r="F23" s="20">
        <v>846655.09</v>
      </c>
      <c r="G23" s="7" t="s">
        <v>23</v>
      </c>
    </row>
    <row r="24" spans="1:8" ht="21" customHeight="1">
      <c r="A24" s="15" t="s">
        <v>24</v>
      </c>
      <c r="B24" s="33">
        <v>1759</v>
      </c>
      <c r="C24" s="34"/>
      <c r="D24" s="33">
        <v>963060.66</v>
      </c>
      <c r="E24" s="34"/>
      <c r="F24" s="20">
        <v>849063.44</v>
      </c>
      <c r="G24" s="7" t="s">
        <v>25</v>
      </c>
    </row>
    <row r="25" spans="1:8" ht="21" customHeight="1">
      <c r="A25" s="15" t="s">
        <v>26</v>
      </c>
      <c r="B25" s="33">
        <v>1552</v>
      </c>
      <c r="C25" s="34"/>
      <c r="D25" s="33">
        <v>1009462.94</v>
      </c>
      <c r="E25" s="34"/>
      <c r="F25" s="20">
        <v>834249.38</v>
      </c>
      <c r="G25" s="7" t="s">
        <v>27</v>
      </c>
    </row>
    <row r="26" spans="1:8" ht="21" customHeight="1">
      <c r="A26" s="15" t="s">
        <v>28</v>
      </c>
      <c r="B26" s="33">
        <v>1258</v>
      </c>
      <c r="C26" s="34"/>
      <c r="D26" s="33">
        <v>939900.2</v>
      </c>
      <c r="E26" s="34"/>
      <c r="F26" s="20">
        <v>735572.96</v>
      </c>
      <c r="G26" s="7" t="s">
        <v>29</v>
      </c>
    </row>
    <row r="27" spans="1:8" ht="21" customHeight="1">
      <c r="A27" s="15" t="s">
        <v>30</v>
      </c>
      <c r="B27" s="33">
        <v>1102</v>
      </c>
      <c r="C27" s="34"/>
      <c r="D27" s="33">
        <v>934705.86</v>
      </c>
      <c r="E27" s="34"/>
      <c r="F27" s="20">
        <v>663750.55000000005</v>
      </c>
      <c r="G27" s="7" t="s">
        <v>31</v>
      </c>
    </row>
    <row r="28" spans="1:8" ht="21" customHeight="1">
      <c r="A28" s="15" t="s">
        <v>32</v>
      </c>
      <c r="B28" s="33">
        <v>990</v>
      </c>
      <c r="C28" s="34"/>
      <c r="D28" s="33">
        <v>938264.75</v>
      </c>
      <c r="E28" s="34"/>
      <c r="F28" s="20">
        <v>642613.43000000005</v>
      </c>
      <c r="G28" s="7" t="s">
        <v>33</v>
      </c>
    </row>
    <row r="29" spans="1:8" ht="21" customHeight="1">
      <c r="A29" s="15" t="s">
        <v>34</v>
      </c>
      <c r="B29" s="33">
        <v>8595</v>
      </c>
      <c r="C29" s="34"/>
      <c r="D29" s="33">
        <v>19342774.969999999</v>
      </c>
      <c r="E29" s="34"/>
      <c r="F29" s="20">
        <v>8082462.5700000003</v>
      </c>
      <c r="G29" s="16" t="s">
        <v>35</v>
      </c>
    </row>
    <row r="30" spans="1:8" ht="21" customHeight="1">
      <c r="A30" s="17" t="s">
        <v>1</v>
      </c>
      <c r="B30" s="35">
        <f>SUM(B19:C29)</f>
        <v>22493</v>
      </c>
      <c r="C30" s="35"/>
      <c r="D30" s="35">
        <f>SUM(D19:E29)</f>
        <v>26321809.299999997</v>
      </c>
      <c r="E30" s="35"/>
      <c r="F30" s="21">
        <f>SUM(F19:F29)</f>
        <v>13902775.890000001</v>
      </c>
      <c r="G30" s="18" t="s">
        <v>2</v>
      </c>
    </row>
    <row r="31" spans="1:8" ht="32.25" customHeight="1">
      <c r="A31" s="56" t="s">
        <v>38</v>
      </c>
      <c r="B31" s="57"/>
      <c r="C31" s="57"/>
      <c r="D31" s="57"/>
      <c r="E31" s="58"/>
      <c r="F31" s="59" t="s">
        <v>39</v>
      </c>
      <c r="G31" s="60"/>
      <c r="H31" s="9"/>
    </row>
    <row r="32" spans="1:8" ht="15.75">
      <c r="A32" s="14" t="s">
        <v>0</v>
      </c>
      <c r="B32" s="11"/>
      <c r="C32" s="11"/>
      <c r="D32" s="11"/>
      <c r="E32" s="11"/>
      <c r="F32" s="12"/>
      <c r="G32" s="13" t="s">
        <v>3</v>
      </c>
    </row>
  </sheetData>
  <mergeCells count="62">
    <mergeCell ref="A31:E31"/>
    <mergeCell ref="F31:G31"/>
    <mergeCell ref="B5:C5"/>
    <mergeCell ref="D5:E5"/>
    <mergeCell ref="B6:C6"/>
    <mergeCell ref="D6:E6"/>
    <mergeCell ref="B7:C7"/>
    <mergeCell ref="D7:E7"/>
    <mergeCell ref="B11:C11"/>
    <mergeCell ref="D11:E11"/>
    <mergeCell ref="B12:C12"/>
    <mergeCell ref="D12:E12"/>
    <mergeCell ref="B13:C13"/>
    <mergeCell ref="D13:E13"/>
    <mergeCell ref="B8:C8"/>
    <mergeCell ref="D8:E8"/>
    <mergeCell ref="A1:G1"/>
    <mergeCell ref="A2:G2"/>
    <mergeCell ref="A3:A4"/>
    <mergeCell ref="B3:C3"/>
    <mergeCell ref="D3:E3"/>
    <mergeCell ref="G3:G4"/>
    <mergeCell ref="B4:C4"/>
    <mergeCell ref="D4:E4"/>
    <mergeCell ref="B9:C9"/>
    <mergeCell ref="D9:E9"/>
    <mergeCell ref="B10:C10"/>
    <mergeCell ref="D10:E10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29:C29"/>
    <mergeCell ref="D29:E29"/>
    <mergeCell ref="B30:C30"/>
    <mergeCell ref="D30:E30"/>
    <mergeCell ref="B26:C26"/>
    <mergeCell ref="D26:E26"/>
    <mergeCell ref="B27:C27"/>
    <mergeCell ref="D27:E27"/>
    <mergeCell ref="B28:C28"/>
    <mergeCell ref="D28:E28"/>
  </mergeCells>
  <pageMargins left="0.25" right="0.16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2013-07-03T04:31:19Z</dcterms:modified>
</cp:coreProperties>
</file>