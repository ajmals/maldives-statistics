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15" sheetId="13" r:id="rId1"/>
  </sheets>
  <definedNames>
    <definedName name="_xlnm.Print_Area" localSheetId="0">'12.15'!$A$1:$J$17</definedName>
  </definedNames>
  <calcPr calcId="124519"/>
</workbook>
</file>

<file path=xl/calcChain.xml><?xml version="1.0" encoding="utf-8"?>
<calcChain xmlns="http://schemas.openxmlformats.org/spreadsheetml/2006/main">
  <c r="H15" i="13"/>
  <c r="G15"/>
  <c r="F15"/>
  <c r="E15"/>
  <c r="D15"/>
  <c r="H14"/>
  <c r="G14"/>
  <c r="F14"/>
  <c r="E14"/>
  <c r="D14"/>
  <c r="H13"/>
  <c r="G13"/>
  <c r="F13"/>
  <c r="E13"/>
  <c r="D13"/>
  <c r="H4"/>
  <c r="H12" s="1"/>
  <c r="G4"/>
  <c r="F4"/>
  <c r="F12" s="1"/>
  <c r="E4"/>
  <c r="D4"/>
  <c r="D12" s="1"/>
  <c r="E12" l="1"/>
  <c r="G12"/>
  <c r="D9"/>
  <c r="E9"/>
  <c r="F9"/>
  <c r="G9"/>
  <c r="H9"/>
  <c r="D10"/>
  <c r="E10"/>
  <c r="F10"/>
  <c r="G10"/>
  <c r="H10"/>
  <c r="D11"/>
  <c r="E11"/>
  <c r="F11"/>
  <c r="G11"/>
  <c r="H11"/>
  <c r="H8" l="1"/>
  <c r="G8"/>
  <c r="F8"/>
  <c r="E8"/>
  <c r="D8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<sst xmlns="http://schemas.openxmlformats.org/spreadsheetml/2006/main" count="30" uniqueCount="18">
  <si>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</si>
  <si>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</si>
  <si>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</si>
  <si>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</si>
  <si>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</si>
  <si>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</si>
  <si>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</si>
  <si>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</si>
  <si>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</si>
  <si>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</si>
  <si>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</si>
  <si>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</si>
  <si>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</si>
  <si>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</si>
  <si>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</si>
  <si>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</si>
  <si>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Table 12.15 : NUMBER OF CUSTOMERS USING WATER IN VILLINGILI BY TYPE, 2006 - 2012</t>
  </si>
  <si>
    <t>ތާވަލު 12.15: ތަނުގެ ގޮތުން ވިލިނގިލީގައި ފެން ބޭނުންކުރާ ފަރާތްތަކުގެ އަދަދު، 2006 - 2012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</si>
</sst>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A_Randhoo"/>
    </font>
    <font>
      <b/>
      <sz val="10"/>
      <name val="A_Randhoo"/>
    </font>
    <font>
      <sz val="10"/>
      <name val="Courier"/>
      <family val="3"/>
    </font>
    <font>
      <sz val="10"/>
      <name val="A_Randhoo"/>
    </font>
    <font>
      <b/>
      <sz val="11"/>
      <name val="Faruma"/>
    </font>
    <font>
      <sz val="10"/>
      <name val="Garamond"/>
      <family val="1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1" fillId="2" borderId="0" xfId="3" applyFill="1"/>
    <xf numFmtId="0" fontId="5" fillId="2" borderId="0" xfId="6" applyFont="1" applyFill="1" applyAlignment="1">
      <alignment horizontal="right"/>
    </xf>
    <xf numFmtId="0" fontId="3" fillId="2" borderId="0" xfId="3" applyFont="1" applyFill="1"/>
    <xf numFmtId="0" fontId="4" fillId="2" borderId="0" xfId="6" applyFont="1" applyFill="1"/>
    <xf numFmtId="0" fontId="3" fillId="2" borderId="0" xfId="3" applyFont="1" applyFill="1" applyAlignment="1">
      <alignment vertical="center"/>
    </xf>
    <xf numFmtId="0" fontId="1" fillId="2" borderId="0" xfId="3" applyFill="1" applyAlignment="1">
      <alignment vertical="top"/>
    </xf>
    <xf numFmtId="0" fontId="2" fillId="2" borderId="2" xfId="3" applyFont="1" applyFill="1" applyBorder="1" applyAlignment="1">
      <alignment horizontal="left" vertical="center"/>
    </xf>
    <xf numFmtId="1" fontId="1" fillId="2" borderId="0" xfId="3" applyNumberFormat="1" applyFill="1"/>
    <xf numFmtId="0" fontId="2" fillId="2" borderId="2" xfId="3" applyFont="1" applyFill="1" applyBorder="1" applyAlignment="1">
      <alignment horizontal="right" vertical="center"/>
    </xf>
    <xf numFmtId="3" fontId="2" fillId="2" borderId="0" xfId="3" applyNumberFormat="1" applyFont="1" applyFill="1" applyAlignment="1">
      <alignment horizontal="right" vertical="center"/>
    </xf>
    <xf numFmtId="3" fontId="3" fillId="2" borderId="1" xfId="3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6" fillId="2" borderId="0" xfId="3" applyFont="1" applyFill="1" applyAlignment="1">
      <alignment vertical="center"/>
    </xf>
    <xf numFmtId="164" fontId="2" fillId="2" borderId="0" xfId="2" applyNumberFormat="1" applyFont="1" applyFill="1" applyAlignment="1">
      <alignment horizontal="right" vertical="center"/>
    </xf>
    <xf numFmtId="0" fontId="3" fillId="2" borderId="0" xfId="3" applyFont="1" applyFill="1" applyAlignment="1">
      <alignment horizontal="right" vertical="center"/>
    </xf>
    <xf numFmtId="0" fontId="3" fillId="2" borderId="4" xfId="3" applyFont="1" applyFill="1" applyBorder="1" applyAlignment="1">
      <alignment horizontal="right" vertical="center"/>
    </xf>
    <xf numFmtId="0" fontId="2" fillId="2" borderId="0" xfId="3" applyFont="1" applyFill="1" applyAlignment="1">
      <alignment horizontal="right" vertical="center"/>
    </xf>
    <xf numFmtId="0" fontId="12" fillId="2" borderId="0" xfId="6" applyFont="1" applyFill="1" applyAlignment="1">
      <alignment horizontal="right" vertical="center"/>
    </xf>
    <xf numFmtId="0" fontId="2" fillId="2" borderId="0" xfId="3" applyFont="1" applyFill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3" fontId="3" fillId="2" borderId="0" xfId="3" applyNumberFormat="1" applyFont="1" applyFill="1" applyAlignment="1">
      <alignment horizontal="right" vertical="center"/>
    </xf>
    <xf numFmtId="3" fontId="3" fillId="2" borderId="0" xfId="3" applyNumberFormat="1" applyFont="1" applyFill="1" applyAlignment="1">
      <alignment vertical="center"/>
    </xf>
    <xf numFmtId="0" fontId="3" fillId="2" borderId="4" xfId="3" applyFont="1" applyFill="1" applyBorder="1" applyAlignment="1">
      <alignment horizontal="left" vertical="center"/>
    </xf>
    <xf numFmtId="3" fontId="3" fillId="2" borderId="4" xfId="3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3" fontId="2" fillId="2" borderId="0" xfId="3" applyNumberFormat="1" applyFont="1" applyFill="1" applyBorder="1" applyAlignment="1">
      <alignment horizontal="right" vertical="center"/>
    </xf>
    <xf numFmtId="3" fontId="3" fillId="2" borderId="0" xfId="3" applyNumberFormat="1" applyFont="1" applyFill="1" applyBorder="1" applyAlignment="1">
      <alignment horizontal="right" vertical="center"/>
    </xf>
    <xf numFmtId="0" fontId="3" fillId="2" borderId="0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left" vertical="center"/>
    </xf>
    <xf numFmtId="0" fontId="10" fillId="2" borderId="0" xfId="3" applyFont="1" applyFill="1" applyAlignment="1">
      <alignment horizontal="center" vertical="center"/>
    </xf>
    <xf numFmtId="0" fontId="2" fillId="2" borderId="1" xfId="3" applyFont="1" applyFill="1" applyBorder="1" applyAlignment="1">
      <alignment horizontal="center" vertical="top"/>
    </xf>
  </cellXfs>
  <cellStyles count="10">
    <cellStyle name="Comma 2" xfId="1"/>
    <cellStyle name="Comma 3" xfId="4"/>
    <cellStyle name="Comma 4" xfId="2"/>
    <cellStyle name="Comma 4 2" xfId="5"/>
    <cellStyle name="Normal" xfId="0" builtinId="0"/>
    <cellStyle name="Normal 2" xfId="3"/>
    <cellStyle name="Normal 2 2" xfId="7"/>
    <cellStyle name="Normal 3" xfId="8"/>
    <cellStyle name="Normal 4" xfId="9"/>
    <cellStyle name="Normal_X-5 (Electricity)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view="pageBreakPreview" zoomScale="112" zoomScaleSheetLayoutView="112" workbookViewId="0">
      <selection activeCell="D14" sqref="D14"/>
    </sheetView>
  </sheetViews>
  <sheetFormatPr defaultRowHeight="12.75"/>
  <cols>
    <col min="1" max="1" width="19.5703125" style="1" customWidth="1"/>
    <col min="2" max="4" width="9.28515625" style="1" bestFit="1" customWidth="1"/>
    <col min="5" max="5" width="9.42578125" style="1" bestFit="1" customWidth="1"/>
    <col min="6" max="6" width="9.28515625" style="1" bestFit="1" customWidth="1"/>
    <col min="7" max="7" width="9.85546875" style="1" bestFit="1" customWidth="1"/>
    <col min="8" max="8" width="9.7109375" style="1" bestFit="1" customWidth="1"/>
    <col min="9" max="9" width="27.85546875" style="1" customWidth="1"/>
    <col min="10" max="10" width="4.5703125" style="1" customWidth="1"/>
    <col min="11" max="16384" width="9.140625" style="1"/>
  </cols>
  <sheetData>
    <row r="1" spans="1:13" ht="21">
      <c r="A1" s="34" t="s">
        <v>17</v>
      </c>
      <c r="B1" s="34"/>
      <c r="C1" s="34"/>
      <c r="D1" s="34"/>
      <c r="E1" s="34"/>
      <c r="F1" s="34"/>
      <c r="G1" s="34"/>
      <c r="H1" s="34"/>
      <c r="I1" s="34"/>
      <c r="J1" s="17"/>
      <c r="K1" s="17"/>
      <c r="L1" s="17"/>
      <c r="M1" s="17"/>
    </row>
    <row r="2" spans="1:13" s="6" customFormat="1" ht="18.75" customHeight="1">
      <c r="A2" s="35" t="s">
        <v>16</v>
      </c>
      <c r="B2" s="35"/>
      <c r="C2" s="35"/>
      <c r="D2" s="35"/>
      <c r="E2" s="35"/>
      <c r="F2" s="35"/>
      <c r="G2" s="35"/>
      <c r="H2" s="35"/>
      <c r="I2" s="35"/>
    </row>
    <row r="3" spans="1:13" ht="15.75">
      <c r="A3" s="7" t="s">
        <v>4</v>
      </c>
      <c r="B3" s="9">
        <v>2006</v>
      </c>
      <c r="C3" s="9">
        <v>2007</v>
      </c>
      <c r="D3" s="9">
        <v>2008</v>
      </c>
      <c r="E3" s="9">
        <v>2009</v>
      </c>
      <c r="F3" s="9">
        <v>2010</v>
      </c>
      <c r="G3" s="9">
        <v>2011</v>
      </c>
      <c r="H3" s="9">
        <v>2012</v>
      </c>
      <c r="I3" s="12" t="s">
        <v>3</v>
      </c>
    </row>
    <row r="4" spans="1:13" ht="24.75" customHeight="1">
      <c r="A4" s="23" t="s">
        <v>15</v>
      </c>
      <c r="B4" s="10">
        <v>902</v>
      </c>
      <c r="C4" s="10">
        <v>979</v>
      </c>
      <c r="D4" s="10">
        <f>SUM(D5:D7)</f>
        <v>1040</v>
      </c>
      <c r="E4" s="18">
        <f>SUM(E5:E7)</f>
        <v>1139</v>
      </c>
      <c r="F4" s="18">
        <f>SUM(F5:F7)</f>
        <v>1197</v>
      </c>
      <c r="G4" s="18">
        <f>SUM(G5:G7)</f>
        <v>1300</v>
      </c>
      <c r="H4" s="18">
        <f>SUM(H5:H7)</f>
        <v>1365</v>
      </c>
      <c r="I4" s="13" t="s">
        <v>5</v>
      </c>
    </row>
    <row r="5" spans="1:13" ht="24.75" customHeight="1">
      <c r="A5" s="24" t="s">
        <v>6</v>
      </c>
      <c r="B5" s="25">
        <v>818</v>
      </c>
      <c r="C5" s="5">
        <v>885</v>
      </c>
      <c r="D5" s="26">
        <v>943</v>
      </c>
      <c r="E5" s="26">
        <v>1037</v>
      </c>
      <c r="F5" s="26">
        <v>1103</v>
      </c>
      <c r="G5" s="26">
        <v>1185</v>
      </c>
      <c r="H5" s="26">
        <v>1241</v>
      </c>
      <c r="I5" s="14" t="s">
        <v>7</v>
      </c>
    </row>
    <row r="6" spans="1:13" ht="24.75" customHeight="1">
      <c r="A6" s="24" t="s">
        <v>8</v>
      </c>
      <c r="B6" s="25">
        <v>62</v>
      </c>
      <c r="C6" s="19">
        <v>65</v>
      </c>
      <c r="D6" s="25">
        <v>66</v>
      </c>
      <c r="E6" s="19">
        <v>68</v>
      </c>
      <c r="F6" s="19">
        <v>57</v>
      </c>
      <c r="G6" s="19">
        <v>73</v>
      </c>
      <c r="H6" s="19">
        <v>72</v>
      </c>
      <c r="I6" s="14" t="s">
        <v>9</v>
      </c>
    </row>
    <row r="7" spans="1:13" ht="24.75" customHeight="1">
      <c r="A7" s="27" t="s">
        <v>10</v>
      </c>
      <c r="B7" s="28">
        <v>22</v>
      </c>
      <c r="C7" s="20">
        <v>29</v>
      </c>
      <c r="D7" s="28">
        <v>31</v>
      </c>
      <c r="E7" s="20">
        <v>34</v>
      </c>
      <c r="F7" s="20">
        <v>37</v>
      </c>
      <c r="G7" s="20">
        <v>42</v>
      </c>
      <c r="H7" s="20">
        <v>52</v>
      </c>
      <c r="I7" s="29" t="s">
        <v>11</v>
      </c>
    </row>
    <row r="8" spans="1:13" ht="24.75" customHeight="1">
      <c r="A8" s="23" t="s">
        <v>12</v>
      </c>
      <c r="B8" s="10">
        <v>100</v>
      </c>
      <c r="C8" s="10">
        <v>100</v>
      </c>
      <c r="D8" s="10">
        <f>SUM(D9:D11)</f>
        <v>99.999999999999986</v>
      </c>
      <c r="E8" s="21">
        <f>SUM(E9:E11)</f>
        <v>100</v>
      </c>
      <c r="F8" s="10">
        <f>SUM(F9:F11)</f>
        <v>100</v>
      </c>
      <c r="G8" s="10">
        <f>SUM(G9:G11)</f>
        <v>99.999999999999986</v>
      </c>
      <c r="H8" s="10">
        <f>SUM(H9:H11)</f>
        <v>100</v>
      </c>
      <c r="I8" s="13" t="s">
        <v>0</v>
      </c>
    </row>
    <row r="9" spans="1:13" ht="24.75" customHeight="1">
      <c r="A9" s="24" t="s">
        <v>6</v>
      </c>
      <c r="B9" s="25">
        <v>90.687361419068736</v>
      </c>
      <c r="C9" s="25">
        <v>90.398365679264558</v>
      </c>
      <c r="D9" s="25">
        <f>D5/D4*100</f>
        <v>90.67307692307692</v>
      </c>
      <c r="E9" s="25">
        <f>E5/E4*100</f>
        <v>91.044776119402982</v>
      </c>
      <c r="F9" s="25">
        <f>F5/F4*100</f>
        <v>92.147034252297416</v>
      </c>
      <c r="G9" s="25">
        <f>G5/G4*100</f>
        <v>91.153846153846146</v>
      </c>
      <c r="H9" s="25">
        <f>H5/H4*100</f>
        <v>90.91575091575092</v>
      </c>
      <c r="I9" s="14" t="s">
        <v>7</v>
      </c>
    </row>
    <row r="10" spans="1:13" ht="24.75" customHeight="1">
      <c r="A10" s="24" t="s">
        <v>8</v>
      </c>
      <c r="B10" s="25">
        <v>6.8736141906873618</v>
      </c>
      <c r="C10" s="25">
        <v>6.6394279877425948</v>
      </c>
      <c r="D10" s="25">
        <f>D6/D4*100</f>
        <v>6.3461538461538458</v>
      </c>
      <c r="E10" s="25">
        <f>E6/E4*100</f>
        <v>5.9701492537313428</v>
      </c>
      <c r="F10" s="25">
        <f>F6/F4*100</f>
        <v>4.7619047619047619</v>
      </c>
      <c r="G10" s="25">
        <f>G6/G4*100</f>
        <v>5.615384615384615</v>
      </c>
      <c r="H10" s="25">
        <f>H6/H4*100</f>
        <v>5.2747252747252746</v>
      </c>
      <c r="I10" s="14" t="s">
        <v>9</v>
      </c>
    </row>
    <row r="11" spans="1:13" ht="24.75" customHeight="1">
      <c r="A11" s="27" t="s">
        <v>10</v>
      </c>
      <c r="B11" s="28">
        <v>2.4390243902439024</v>
      </c>
      <c r="C11" s="28">
        <v>2.9622063329928499</v>
      </c>
      <c r="D11" s="28">
        <f>D7/D4*100</f>
        <v>2.9807692307692308</v>
      </c>
      <c r="E11" s="28">
        <f>E7/E4*100</f>
        <v>2.9850746268656714</v>
      </c>
      <c r="F11" s="28">
        <f>F7/F4*100</f>
        <v>3.091060985797828</v>
      </c>
      <c r="G11" s="28">
        <f>G7/G4*100</f>
        <v>3.2307692307692308</v>
      </c>
      <c r="H11" s="28">
        <f>H7/H4*100</f>
        <v>3.8095238095238098</v>
      </c>
      <c r="I11" s="15" t="s">
        <v>11</v>
      </c>
    </row>
    <row r="12" spans="1:13" ht="24.75" customHeight="1">
      <c r="A12" s="23" t="s">
        <v>1</v>
      </c>
      <c r="B12" s="30">
        <v>9.4660194174757279</v>
      </c>
      <c r="C12" s="10">
        <v>8.536585365853659</v>
      </c>
      <c r="D12" s="31">
        <f t="shared" ref="D12:H15" si="0">(D4-C4)/C4*100</f>
        <v>6.2308478038815114</v>
      </c>
      <c r="E12" s="30">
        <f t="shared" si="0"/>
        <v>9.5192307692307683</v>
      </c>
      <c r="F12" s="30">
        <f t="shared" si="0"/>
        <v>5.0921861281826164</v>
      </c>
      <c r="G12" s="30">
        <f t="shared" si="0"/>
        <v>8.6048454469507103</v>
      </c>
      <c r="H12" s="30">
        <f t="shared" si="0"/>
        <v>5</v>
      </c>
      <c r="I12" s="13" t="s">
        <v>2</v>
      </c>
    </row>
    <row r="13" spans="1:13" ht="24.75" customHeight="1">
      <c r="A13" s="32" t="s">
        <v>6</v>
      </c>
      <c r="B13" s="31">
        <v>10.242587601078167</v>
      </c>
      <c r="C13" s="25">
        <v>8.1907090464547672</v>
      </c>
      <c r="D13" s="31">
        <f t="shared" si="0"/>
        <v>6.5536723163841808</v>
      </c>
      <c r="E13" s="31">
        <f t="shared" si="0"/>
        <v>9.9681866383881221</v>
      </c>
      <c r="F13" s="31">
        <f t="shared" si="0"/>
        <v>6.3645130183220839</v>
      </c>
      <c r="G13" s="31">
        <f t="shared" si="0"/>
        <v>7.43427017225748</v>
      </c>
      <c r="H13" s="31">
        <f t="shared" si="0"/>
        <v>4.7257383966244726</v>
      </c>
      <c r="I13" s="14" t="s">
        <v>7</v>
      </c>
    </row>
    <row r="14" spans="1:13" ht="24.75" customHeight="1">
      <c r="A14" s="32" t="s">
        <v>8</v>
      </c>
      <c r="B14" s="31">
        <v>3.3333333333333335</v>
      </c>
      <c r="C14" s="25">
        <v>4.838709677419355</v>
      </c>
      <c r="D14" s="31">
        <f t="shared" si="0"/>
        <v>1.5384615384615385</v>
      </c>
      <c r="E14" s="31">
        <f t="shared" si="0"/>
        <v>3.0303030303030303</v>
      </c>
      <c r="F14" s="31">
        <f t="shared" si="0"/>
        <v>-16.176470588235293</v>
      </c>
      <c r="G14" s="31">
        <f t="shared" si="0"/>
        <v>28.07017543859649</v>
      </c>
      <c r="H14" s="31">
        <f t="shared" si="0"/>
        <v>-1.3698630136986301</v>
      </c>
      <c r="I14" s="14" t="s">
        <v>9</v>
      </c>
    </row>
    <row r="15" spans="1:13" ht="24.75" customHeight="1">
      <c r="A15" s="33" t="s">
        <v>10</v>
      </c>
      <c r="B15" s="11">
        <v>0</v>
      </c>
      <c r="C15" s="11">
        <v>31.818181818181817</v>
      </c>
      <c r="D15" s="11">
        <f t="shared" si="0"/>
        <v>6.8965517241379306</v>
      </c>
      <c r="E15" s="11">
        <f t="shared" si="0"/>
        <v>9.67741935483871</v>
      </c>
      <c r="F15" s="11">
        <f t="shared" si="0"/>
        <v>8.8235294117647065</v>
      </c>
      <c r="G15" s="11">
        <f t="shared" si="0"/>
        <v>13.513513513513514</v>
      </c>
      <c r="H15" s="11">
        <f t="shared" si="0"/>
        <v>23.809523809523807</v>
      </c>
      <c r="I15" s="16" t="s">
        <v>11</v>
      </c>
    </row>
    <row r="16" spans="1:13" ht="15.75">
      <c r="A16" s="4" t="s">
        <v>14</v>
      </c>
      <c r="B16" s="3"/>
      <c r="C16" s="3"/>
      <c r="D16" s="3"/>
      <c r="E16" s="3"/>
      <c r="F16" s="3"/>
      <c r="G16" s="3"/>
      <c r="H16" s="2"/>
      <c r="I16" s="22" t="s">
        <v>13</v>
      </c>
    </row>
    <row r="18" spans="3:8">
      <c r="C18" s="8"/>
      <c r="D18" s="8"/>
      <c r="E18" s="8"/>
      <c r="F18" s="8"/>
      <c r="G18" s="8"/>
      <c r="H18" s="8"/>
    </row>
    <row r="19" spans="3:8">
      <c r="C19" s="8"/>
      <c r="D19" s="8"/>
      <c r="E19" s="8"/>
      <c r="F19" s="8"/>
      <c r="G19" s="8"/>
      <c r="H19" s="8"/>
    </row>
    <row r="20" spans="3:8">
      <c r="C20" s="8"/>
      <c r="D20" s="8"/>
      <c r="E20" s="8"/>
      <c r="F20" s="8"/>
      <c r="G20" s="8"/>
      <c r="H20" s="8"/>
    </row>
    <row r="21" spans="3:8">
      <c r="C21" s="8"/>
      <c r="D21" s="8"/>
      <c r="E21" s="8"/>
      <c r="F21" s="8"/>
      <c r="G21" s="8"/>
      <c r="H21" s="8"/>
    </row>
    <row r="22" spans="3:8">
      <c r="C22" s="8"/>
      <c r="D22" s="8"/>
      <c r="E22" s="8"/>
      <c r="F22" s="8"/>
      <c r="G22" s="8"/>
      <c r="H22" s="8"/>
    </row>
  </sheetData>
  <mergeCells count="2">
    <mergeCell ref="A1:I1"/>
    <mergeCell ref="A2:I2"/>
  </mergeCells>
  <pageMargins left="0.17" right="0.16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12.15</vt:lpstr>
      <vt:lpstr>'12.15'!Print_Area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2013-07-03T04:35:09Z</dcterms:modified>
</cp:coreProperties>
</file>