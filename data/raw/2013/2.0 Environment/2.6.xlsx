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 tabRatio="817"/>
  </bookViews>
  <sheets>
    <sheet name="2.6" sheetId="6" r:id="rId1"/>
  </sheets>
  <definedNames>
    <definedName name="_xlnm.Print_Area" localSheetId="0">'2.6'!$A$1:$L$31</definedName>
  </definedNames>
  <calcPr calcId="124519"/>
</workbook>
</file>

<file path=xl/calcChain.xml><?xml version="1.0" encoding="utf-8"?>
<calcChain xmlns="http://schemas.openxmlformats.org/spreadsheetml/2006/main">
  <c r="B29" i="6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K9"/>
  <c r="J9"/>
  <c r="I9"/>
  <c r="H9"/>
  <c r="G9"/>
  <c r="F9"/>
  <c r="E9"/>
  <c r="D9"/>
  <c r="B9"/>
  <c r="K7"/>
  <c r="J7"/>
  <c r="I7"/>
  <c r="H7"/>
  <c r="G7"/>
  <c r="F7"/>
  <c r="E7"/>
  <c r="D7"/>
  <c r="B7"/>
</calcChain>
</file>

<file path=xl/sharedStrings.xml><?xml version="1.0" encoding="utf-8"?>
<sst xmlns="http://schemas.openxmlformats.org/spreadsheetml/2006/main" count="72" uniqueCount="69">
  <si>
    <t>Male'</t>
  </si>
  <si>
    <t>-</t>
  </si>
  <si>
    <t>WrukuncnWywb</t>
  </si>
  <si>
    <t>cnwt</t>
  </si>
  <si>
    <t>Total households</t>
  </si>
  <si>
    <t>Not stated</t>
  </si>
  <si>
    <t>Republic</t>
  </si>
  <si>
    <t>ejcaWriLum</t>
  </si>
  <si>
    <t>elWm</t>
  </si>
  <si>
    <t>Atolls</t>
  </si>
  <si>
    <t>cawtuLotwa</t>
  </si>
  <si>
    <t>HA</t>
  </si>
  <si>
    <t>ah</t>
  </si>
  <si>
    <t>HDh</t>
  </si>
  <si>
    <t>dh</t>
  </si>
  <si>
    <t>Sh</t>
  </si>
  <si>
    <t>S</t>
  </si>
  <si>
    <t>N</t>
  </si>
  <si>
    <t>n</t>
  </si>
  <si>
    <t>R</t>
  </si>
  <si>
    <t>r</t>
  </si>
  <si>
    <t>B</t>
  </si>
  <si>
    <t>b</t>
  </si>
  <si>
    <t>Lh</t>
  </si>
  <si>
    <t>L</t>
  </si>
  <si>
    <t>K</t>
  </si>
  <si>
    <t>k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</si>
  <si>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</si>
  <si>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</si>
  <si>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</si>
  <si>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</si>
  <si>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</si>
  <si>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</si>
  <si>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</si>
  <si>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</si>
  <si>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</si>
  <si>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</si>
  <si>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</si>
  <si>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</si>
  <si>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</si>
  <si>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</si>
  <si>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>l</t>
  </si>
  <si>
    <t>GA</t>
  </si>
  <si>
    <t>ag</t>
  </si>
  <si>
    <t>GDh</t>
  </si>
  <si>
    <t>dg</t>
  </si>
  <si>
    <t>Gn</t>
  </si>
  <si>
    <t>s</t>
  </si>
  <si>
    <t xml:space="preserve"> 2006 cnunemihOb ,ctogEvelWtcawninuk cnutogegunwt : 2.6 ulwvWt</t>
  </si>
  <si>
    <t>Table 2.6 : METHOD OF WASTE DISPOSAL BY LOCALITY, CENSUS 2006</t>
  </si>
  <si>
    <t>Ways of disposal</t>
  </si>
  <si>
    <t>WLwainuk cSwdcawhwrws</t>
  </si>
  <si>
    <t>itwmiritwa</t>
  </si>
  <si>
    <t>cSwdcawhwrwsWkcaih</t>
  </si>
  <si>
    <t>cSwaeretulwv cnulWkua</t>
  </si>
  <si>
    <t>EretitOg cnuluLwviawg</t>
  </si>
  <si>
    <t>EretitOg cnudcneaiawg</t>
  </si>
  <si>
    <t>cnunixemWdcnwainuk</t>
  </si>
  <si>
    <t xml:space="preserve"> Locality </t>
  </si>
  <si>
    <t xml:space="preserve">Garbage compound </t>
  </si>
  <si>
    <t xml:space="preserve"> Seaside</t>
  </si>
  <si>
    <t>Land reclamination site</t>
  </si>
  <si>
    <t>Throwing it into the bushes</t>
  </si>
  <si>
    <t>Bury in the living area</t>
  </si>
  <si>
    <t>Burn in the living area</t>
  </si>
  <si>
    <t xml:space="preserve">Use a waste disposal machine </t>
  </si>
  <si>
    <t xml:space="preserve">ގޭބިސީގެ ޖުމްލަ އަދަދު </t>
  </si>
  <si>
    <t xml:space="preserve">Source: Department of National  Planning  </t>
  </si>
  <si>
    <t>މަޢުލޫމާތު ދެއްވި ފަރާތް: ޑިޕާޓްމަންޓް އޮފް ނޭޝަނަލް ޕްލޭނިންގ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</si>
</sst>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5" formatCode="General_)"/>
  </numFmts>
  <fonts count="16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name val="Faruma"/>
    </font>
    <font>
      <sz val="10"/>
      <name val="Arial"/>
      <family val="2"/>
    </font>
    <font>
      <sz val="9"/>
      <name val="Arial"/>
      <family val="2"/>
    </font>
    <font>
      <sz val="9"/>
      <name val="Faruma"/>
    </font>
    <font>
      <b/>
      <sz val="12"/>
      <color theme="1"/>
      <name val="A_Randhoo"/>
    </font>
    <font>
      <b/>
      <sz val="10"/>
      <name val="Calibri"/>
      <family val="2"/>
      <scheme val="minor"/>
    </font>
    <font>
      <b/>
      <sz val="10"/>
      <name val="A_Randhoo"/>
    </font>
    <font>
      <b/>
      <sz val="9"/>
      <name val="A_Randhoo"/>
    </font>
    <font>
      <sz val="10"/>
      <name val="Courier"/>
      <family val="3"/>
    </font>
    <font>
      <i/>
      <sz val="9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A_Randhoo"/>
    </font>
    <font>
      <sz val="11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5">
    <xf numFmtId="0" fontId="0" fillId="0" borderId="0"/>
    <xf numFmtId="0" fontId="3" fillId="0" borderId="0"/>
    <xf numFmtId="43" fontId="3" fillId="0" borderId="0" applyFont="0" applyFill="0" applyBorder="0" applyAlignment="0" applyProtection="0"/>
    <xf numFmtId="0" fontId="10" fillId="0" borderId="0"/>
    <xf numFmtId="0" fontId="10" fillId="0" borderId="0"/>
  </cellStyleXfs>
  <cellXfs count="37">
    <xf numFmtId="0" fontId="0" fillId="0" borderId="0" xfId="0"/>
    <xf numFmtId="0" fontId="0" fillId="2" borderId="0" xfId="0" applyFill="1"/>
    <xf numFmtId="0" fontId="0" fillId="2" borderId="0" xfId="0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right" vertical="center" wrapText="1"/>
    </xf>
    <xf numFmtId="0" fontId="0" fillId="2" borderId="0" xfId="0" applyFill="1" applyAlignment="1">
      <alignment horizontal="center"/>
    </xf>
    <xf numFmtId="37" fontId="4" fillId="2" borderId="0" xfId="2" applyNumberFormat="1" applyFont="1" applyFill="1" applyAlignment="1">
      <alignment horizontal="center"/>
    </xf>
    <xf numFmtId="0" fontId="8" fillId="2" borderId="4" xfId="0" applyFont="1" applyFill="1" applyBorder="1" applyAlignment="1">
      <alignment horizontal="right" vertical="center" wrapText="1"/>
    </xf>
    <xf numFmtId="0" fontId="9" fillId="2" borderId="4" xfId="1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right" vertical="center" wrapText="1"/>
    </xf>
    <xf numFmtId="0" fontId="2" fillId="2" borderId="0" xfId="0" applyFont="1" applyFill="1" applyBorder="1" applyAlignment="1">
      <alignment horizontal="right" vertical="center" wrapText="1"/>
    </xf>
    <xf numFmtId="165" fontId="5" fillId="2" borderId="0" xfId="4" applyNumberFormat="1" applyFont="1" applyFill="1" applyAlignment="1">
      <alignment horizontal="right" vertical="center"/>
    </xf>
    <xf numFmtId="0" fontId="12" fillId="2" borderId="0" xfId="0" applyFont="1" applyFill="1"/>
    <xf numFmtId="165" fontId="11" fillId="2" borderId="0" xfId="4" applyNumberFormat="1" applyFont="1" applyFill="1" applyAlignment="1" applyProtection="1">
      <alignment horizontal="left" vertical="center"/>
    </xf>
    <xf numFmtId="37" fontId="12" fillId="2" borderId="0" xfId="2" applyNumberFormat="1" applyFont="1" applyFill="1" applyAlignment="1">
      <alignment horizontal="right" vertical="center"/>
    </xf>
    <xf numFmtId="165" fontId="14" fillId="2" borderId="0" xfId="3" applyNumberFormat="1" applyFont="1" applyFill="1" applyAlignment="1">
      <alignment horizontal="right" vertical="center"/>
    </xf>
    <xf numFmtId="37" fontId="12" fillId="2" borderId="0" xfId="2" applyNumberFormat="1" applyFont="1" applyFill="1" applyAlignment="1">
      <alignment horizontal="right"/>
    </xf>
    <xf numFmtId="0" fontId="13" fillId="2" borderId="0" xfId="0" applyFont="1" applyFill="1" applyAlignment="1" applyProtection="1">
      <alignment horizontal="left" vertical="center"/>
    </xf>
    <xf numFmtId="37" fontId="13" fillId="2" borderId="0" xfId="2" applyNumberFormat="1" applyFont="1" applyFill="1" applyAlignment="1">
      <alignment horizontal="right" vertical="center"/>
    </xf>
    <xf numFmtId="37" fontId="13" fillId="2" borderId="0" xfId="2" applyNumberFormat="1" applyFont="1" applyFill="1" applyAlignment="1">
      <alignment horizontal="right"/>
    </xf>
    <xf numFmtId="0" fontId="15" fillId="2" borderId="0" xfId="0" applyFont="1" applyFill="1" applyBorder="1" applyAlignment="1">
      <alignment horizontal="right" vertical="center"/>
    </xf>
    <xf numFmtId="37" fontId="13" fillId="2" borderId="0" xfId="2" applyNumberFormat="1" applyFont="1" applyFill="1" applyBorder="1" applyAlignment="1">
      <alignment horizontal="right"/>
    </xf>
    <xf numFmtId="0" fontId="13" fillId="2" borderId="2" xfId="0" applyFont="1" applyFill="1" applyBorder="1" applyAlignment="1" applyProtection="1">
      <alignment horizontal="left" vertical="center"/>
    </xf>
    <xf numFmtId="37" fontId="13" fillId="2" borderId="2" xfId="2" applyNumberFormat="1" applyFont="1" applyFill="1" applyBorder="1" applyAlignment="1">
      <alignment horizontal="right" vertical="center"/>
    </xf>
    <xf numFmtId="37" fontId="13" fillId="2" borderId="2" xfId="2" applyNumberFormat="1" applyFont="1" applyFill="1" applyBorder="1" applyAlignment="1">
      <alignment horizontal="right"/>
    </xf>
    <xf numFmtId="0" fontId="15" fillId="2" borderId="2" xfId="0" applyFont="1" applyFill="1" applyBorder="1" applyAlignment="1">
      <alignment horizontal="right" vertical="center"/>
    </xf>
    <xf numFmtId="0" fontId="6" fillId="2" borderId="0" xfId="0" applyFont="1" applyFill="1" applyAlignment="1" applyProtection="1">
      <alignment horizontal="center" vertical="center" wrapText="1"/>
      <protection hidden="1"/>
    </xf>
    <xf numFmtId="0" fontId="1" fillId="2" borderId="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right" vertical="center" wrapText="1"/>
    </xf>
    <xf numFmtId="0" fontId="2" fillId="2" borderId="0" xfId="0" applyFont="1" applyFill="1" applyBorder="1" applyAlignment="1">
      <alignment horizontal="right" vertical="center" wrapText="1"/>
    </xf>
    <xf numFmtId="0" fontId="7" fillId="2" borderId="3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0" fontId="9" fillId="2" borderId="3" xfId="1" applyFont="1" applyFill="1" applyBorder="1" applyAlignment="1">
      <alignment horizontal="right" vertical="center"/>
    </xf>
    <xf numFmtId="0" fontId="9" fillId="2" borderId="2" xfId="1" applyFont="1" applyFill="1" applyBorder="1" applyAlignment="1">
      <alignment horizontal="right" vertical="center"/>
    </xf>
  </cellXfs>
  <cellStyles count="5">
    <cellStyle name="Comma 2" xfId="2"/>
    <cellStyle name="Normal" xfId="0" builtinId="0"/>
    <cellStyle name="Normal_3 Population." xfId="4"/>
    <cellStyle name="Normal_Housing - 3" xfId="1"/>
    <cellStyle name="Normal_Stat Year Book 2007 tables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1</xdr:col>
      <xdr:colOff>76200</xdr:colOff>
      <xdr:row>10</xdr:row>
      <xdr:rowOff>190500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590550" y="2724150"/>
          <a:ext cx="7620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4"/>
  <sheetViews>
    <sheetView tabSelected="1" workbookViewId="0">
      <selection activeCell="F10" sqref="F10"/>
    </sheetView>
  </sheetViews>
  <sheetFormatPr defaultRowHeight="15"/>
  <cols>
    <col min="1" max="1" width="12" style="1" customWidth="1"/>
    <col min="2" max="2" width="11.140625" style="1" customWidth="1"/>
    <col min="3" max="3" width="1.42578125" style="1" customWidth="1"/>
    <col min="4" max="4" width="13.42578125" style="1" customWidth="1"/>
    <col min="5" max="5" width="12.140625" style="1" customWidth="1"/>
    <col min="6" max="6" width="16.5703125" style="1" customWidth="1"/>
    <col min="7" max="9" width="12.140625" style="1" customWidth="1"/>
    <col min="10" max="10" width="16.140625" style="1" customWidth="1"/>
    <col min="11" max="11" width="12.140625" style="1" customWidth="1"/>
    <col min="12" max="12" width="16.28515625" style="1" customWidth="1"/>
    <col min="13" max="16384" width="9.140625" style="1"/>
  </cols>
  <sheetData>
    <row r="1" spans="1:12" ht="19.5">
      <c r="A1" s="27" t="s">
        <v>48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s="2" customFormat="1">
      <c r="A2" s="28" t="s">
        <v>49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3" spans="1:1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18.75">
      <c r="A4" s="32" t="s">
        <v>58</v>
      </c>
      <c r="B4" s="30" t="s">
        <v>66</v>
      </c>
      <c r="C4" s="10"/>
      <c r="D4" s="29" t="s">
        <v>50</v>
      </c>
      <c r="E4" s="29"/>
      <c r="F4" s="29"/>
      <c r="G4" s="29"/>
      <c r="H4" s="29"/>
      <c r="I4" s="29"/>
      <c r="J4" s="29"/>
      <c r="K4" s="29"/>
      <c r="L4" s="4"/>
    </row>
    <row r="5" spans="1:12" ht="40.5" customHeight="1">
      <c r="A5" s="33"/>
      <c r="B5" s="31"/>
      <c r="C5" s="11"/>
      <c r="D5" s="8" t="s">
        <v>51</v>
      </c>
      <c r="E5" s="8" t="s">
        <v>52</v>
      </c>
      <c r="F5" s="8" t="s">
        <v>53</v>
      </c>
      <c r="G5" s="8" t="s">
        <v>54</v>
      </c>
      <c r="H5" s="8" t="s">
        <v>55</v>
      </c>
      <c r="I5" s="8" t="s">
        <v>56</v>
      </c>
      <c r="J5" s="8" t="s">
        <v>57</v>
      </c>
      <c r="K5" s="9" t="s">
        <v>2</v>
      </c>
      <c r="L5" s="35" t="s">
        <v>3</v>
      </c>
    </row>
    <row r="6" spans="1:12" ht="38.25">
      <c r="A6" s="34"/>
      <c r="B6" s="5" t="s">
        <v>4</v>
      </c>
      <c r="C6" s="5"/>
      <c r="D6" s="5" t="s">
        <v>59</v>
      </c>
      <c r="E6" s="5" t="s">
        <v>60</v>
      </c>
      <c r="F6" s="5" t="s">
        <v>61</v>
      </c>
      <c r="G6" s="5" t="s">
        <v>62</v>
      </c>
      <c r="H6" s="5" t="s">
        <v>63</v>
      </c>
      <c r="I6" s="5" t="s">
        <v>64</v>
      </c>
      <c r="J6" s="5" t="s">
        <v>65</v>
      </c>
      <c r="K6" s="5" t="s">
        <v>5</v>
      </c>
      <c r="L6" s="36"/>
    </row>
    <row r="7" spans="1:12" ht="18">
      <c r="A7" s="13" t="s">
        <v>6</v>
      </c>
      <c r="B7" s="15">
        <f>SUM(B8:B9)</f>
        <v>46194</v>
      </c>
      <c r="C7" s="15"/>
      <c r="D7" s="15">
        <f t="shared" ref="D7:K7" si="0">SUM(D8:D9)</f>
        <v>32168</v>
      </c>
      <c r="E7" s="15">
        <f t="shared" si="0"/>
        <v>3284</v>
      </c>
      <c r="F7" s="15">
        <f t="shared" si="0"/>
        <v>185</v>
      </c>
      <c r="G7" s="15">
        <f t="shared" si="0"/>
        <v>4007</v>
      </c>
      <c r="H7" s="15">
        <f t="shared" si="0"/>
        <v>182</v>
      </c>
      <c r="I7" s="15">
        <f t="shared" si="0"/>
        <v>4025</v>
      </c>
      <c r="J7" s="15">
        <f t="shared" si="0"/>
        <v>122</v>
      </c>
      <c r="K7" s="15">
        <f t="shared" si="0"/>
        <v>2221</v>
      </c>
      <c r="L7" s="16" t="s">
        <v>7</v>
      </c>
    </row>
    <row r="8" spans="1:12" ht="18">
      <c r="A8" s="13" t="s">
        <v>0</v>
      </c>
      <c r="B8" s="15">
        <v>14107</v>
      </c>
      <c r="C8" s="15"/>
      <c r="D8" s="17">
        <v>12655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1452</v>
      </c>
      <c r="L8" s="16" t="s">
        <v>8</v>
      </c>
    </row>
    <row r="9" spans="1:12" ht="18">
      <c r="A9" s="13" t="s">
        <v>9</v>
      </c>
      <c r="B9" s="15">
        <f t="shared" ref="B9:K9" si="1">SUM(B10:B29)</f>
        <v>32087</v>
      </c>
      <c r="C9" s="15"/>
      <c r="D9" s="15">
        <f t="shared" si="1"/>
        <v>19513</v>
      </c>
      <c r="E9" s="15">
        <f t="shared" si="1"/>
        <v>3284</v>
      </c>
      <c r="F9" s="15">
        <f t="shared" si="1"/>
        <v>185</v>
      </c>
      <c r="G9" s="15">
        <f t="shared" si="1"/>
        <v>4007</v>
      </c>
      <c r="H9" s="15">
        <f t="shared" si="1"/>
        <v>182</v>
      </c>
      <c r="I9" s="15">
        <f t="shared" si="1"/>
        <v>4025</v>
      </c>
      <c r="J9" s="15">
        <f t="shared" si="1"/>
        <v>122</v>
      </c>
      <c r="K9" s="15">
        <f t="shared" si="1"/>
        <v>769</v>
      </c>
      <c r="L9" s="16" t="s">
        <v>10</v>
      </c>
    </row>
    <row r="10" spans="1:12" ht="18">
      <c r="A10" s="18" t="s">
        <v>11</v>
      </c>
      <c r="B10" s="19">
        <f>SUM(D10:K10)</f>
        <v>2425</v>
      </c>
      <c r="C10" s="19"/>
      <c r="D10" s="20">
        <v>1536</v>
      </c>
      <c r="E10" s="20">
        <v>243</v>
      </c>
      <c r="F10" s="20">
        <v>1</v>
      </c>
      <c r="G10" s="20">
        <v>491</v>
      </c>
      <c r="H10" s="20">
        <v>14</v>
      </c>
      <c r="I10" s="20">
        <v>112</v>
      </c>
      <c r="J10" s="20">
        <v>0</v>
      </c>
      <c r="K10" s="20">
        <v>28</v>
      </c>
      <c r="L10" s="21" t="s">
        <v>12</v>
      </c>
    </row>
    <row r="11" spans="1:12" ht="18">
      <c r="A11" s="18" t="s">
        <v>13</v>
      </c>
      <c r="B11" s="19">
        <f t="shared" ref="B11:B28" si="2">SUM(D11:K11)</f>
        <v>2988</v>
      </c>
      <c r="C11" s="19"/>
      <c r="D11" s="20">
        <v>1654</v>
      </c>
      <c r="E11" s="20">
        <v>8</v>
      </c>
      <c r="F11" s="20">
        <v>23</v>
      </c>
      <c r="G11" s="20">
        <v>1175</v>
      </c>
      <c r="H11" s="20">
        <v>18</v>
      </c>
      <c r="I11" s="20">
        <v>98</v>
      </c>
      <c r="J11" s="20">
        <v>0</v>
      </c>
      <c r="K11" s="20">
        <v>12</v>
      </c>
      <c r="L11" s="21" t="s">
        <v>14</v>
      </c>
    </row>
    <row r="12" spans="1:12" ht="18">
      <c r="A12" s="18" t="s">
        <v>15</v>
      </c>
      <c r="B12" s="19">
        <f t="shared" si="2"/>
        <v>2099</v>
      </c>
      <c r="C12" s="19"/>
      <c r="D12" s="20">
        <v>688</v>
      </c>
      <c r="E12" s="20">
        <v>214</v>
      </c>
      <c r="F12" s="20">
        <v>56</v>
      </c>
      <c r="G12" s="20">
        <v>1086</v>
      </c>
      <c r="H12" s="20">
        <v>8</v>
      </c>
      <c r="I12" s="20">
        <v>37</v>
      </c>
      <c r="J12" s="20">
        <v>1</v>
      </c>
      <c r="K12" s="20">
        <v>9</v>
      </c>
      <c r="L12" s="21" t="s">
        <v>16</v>
      </c>
    </row>
    <row r="13" spans="1:12" ht="18">
      <c r="A13" s="18" t="s">
        <v>17</v>
      </c>
      <c r="B13" s="19">
        <f t="shared" si="2"/>
        <v>1811</v>
      </c>
      <c r="C13" s="19"/>
      <c r="D13" s="20">
        <v>1115</v>
      </c>
      <c r="E13" s="20">
        <v>162</v>
      </c>
      <c r="F13" s="20">
        <v>33</v>
      </c>
      <c r="G13" s="20">
        <v>347</v>
      </c>
      <c r="H13" s="20">
        <v>7</v>
      </c>
      <c r="I13" s="20">
        <v>130</v>
      </c>
      <c r="J13" s="20">
        <v>0</v>
      </c>
      <c r="K13" s="20">
        <v>17</v>
      </c>
      <c r="L13" s="21" t="s">
        <v>18</v>
      </c>
    </row>
    <row r="14" spans="1:12" ht="18">
      <c r="A14" s="18" t="s">
        <v>19</v>
      </c>
      <c r="B14" s="19">
        <f t="shared" si="2"/>
        <v>2538</v>
      </c>
      <c r="C14" s="19"/>
      <c r="D14" s="20">
        <v>2354</v>
      </c>
      <c r="E14" s="20">
        <v>26</v>
      </c>
      <c r="F14" s="20">
        <v>0</v>
      </c>
      <c r="G14" s="20">
        <v>2</v>
      </c>
      <c r="H14" s="20" t="s">
        <v>1</v>
      </c>
      <c r="I14" s="20">
        <v>145</v>
      </c>
      <c r="J14" s="20">
        <v>1</v>
      </c>
      <c r="K14" s="20">
        <v>10</v>
      </c>
      <c r="L14" s="21" t="s">
        <v>20</v>
      </c>
    </row>
    <row r="15" spans="1:12" ht="18">
      <c r="A15" s="18" t="s">
        <v>21</v>
      </c>
      <c r="B15" s="19">
        <f t="shared" si="2"/>
        <v>1552</v>
      </c>
      <c r="C15" s="19"/>
      <c r="D15" s="20">
        <v>1445</v>
      </c>
      <c r="E15" s="20">
        <v>7</v>
      </c>
      <c r="F15" s="20">
        <v>0</v>
      </c>
      <c r="G15" s="20">
        <v>20</v>
      </c>
      <c r="H15" s="20">
        <v>2</v>
      </c>
      <c r="I15" s="20">
        <v>51</v>
      </c>
      <c r="J15" s="20">
        <v>3</v>
      </c>
      <c r="K15" s="20">
        <v>24</v>
      </c>
      <c r="L15" s="21" t="s">
        <v>22</v>
      </c>
    </row>
    <row r="16" spans="1:12" ht="18">
      <c r="A16" s="18" t="s">
        <v>23</v>
      </c>
      <c r="B16" s="19">
        <f t="shared" si="2"/>
        <v>1449</v>
      </c>
      <c r="C16" s="19"/>
      <c r="D16" s="20">
        <v>1067</v>
      </c>
      <c r="E16" s="20">
        <v>304</v>
      </c>
      <c r="F16" s="20">
        <v>3</v>
      </c>
      <c r="G16" s="20">
        <v>0</v>
      </c>
      <c r="H16" s="20">
        <v>2</v>
      </c>
      <c r="I16" s="20">
        <v>52</v>
      </c>
      <c r="J16" s="20">
        <v>4</v>
      </c>
      <c r="K16" s="20">
        <v>17</v>
      </c>
      <c r="L16" s="21" t="s">
        <v>24</v>
      </c>
    </row>
    <row r="17" spans="1:12" ht="18">
      <c r="A17" s="18" t="s">
        <v>25</v>
      </c>
      <c r="B17" s="19">
        <f t="shared" si="2"/>
        <v>1526</v>
      </c>
      <c r="C17" s="19"/>
      <c r="D17" s="20">
        <v>1282</v>
      </c>
      <c r="E17" s="20">
        <v>2</v>
      </c>
      <c r="F17" s="20">
        <v>0</v>
      </c>
      <c r="G17" s="20">
        <v>144</v>
      </c>
      <c r="H17" s="20">
        <v>3</v>
      </c>
      <c r="I17" s="20">
        <v>19</v>
      </c>
      <c r="J17" s="20">
        <v>8</v>
      </c>
      <c r="K17" s="20">
        <v>68</v>
      </c>
      <c r="L17" s="21" t="s">
        <v>26</v>
      </c>
    </row>
    <row r="18" spans="1:12" ht="18">
      <c r="A18" s="18" t="s">
        <v>27</v>
      </c>
      <c r="B18" s="19">
        <f t="shared" si="2"/>
        <v>774</v>
      </c>
      <c r="C18" s="19"/>
      <c r="D18" s="20">
        <v>601</v>
      </c>
      <c r="E18" s="20">
        <v>2</v>
      </c>
      <c r="F18" s="20">
        <v>1</v>
      </c>
      <c r="G18" s="20">
        <v>1</v>
      </c>
      <c r="H18" s="20">
        <v>7</v>
      </c>
      <c r="I18" s="20">
        <v>145</v>
      </c>
      <c r="J18" s="20">
        <v>1</v>
      </c>
      <c r="K18" s="20">
        <v>16</v>
      </c>
      <c r="L18" s="21" t="s">
        <v>28</v>
      </c>
    </row>
    <row r="19" spans="1:12" ht="18">
      <c r="A19" s="18" t="s">
        <v>29</v>
      </c>
      <c r="B19" s="19">
        <f t="shared" si="2"/>
        <v>1060</v>
      </c>
      <c r="C19" s="19"/>
      <c r="D19" s="20">
        <v>794</v>
      </c>
      <c r="E19" s="20">
        <v>0</v>
      </c>
      <c r="F19" s="20">
        <v>0</v>
      </c>
      <c r="G19" s="20">
        <v>0</v>
      </c>
      <c r="H19" s="20">
        <v>3</v>
      </c>
      <c r="I19" s="20">
        <v>73</v>
      </c>
      <c r="J19" s="20">
        <v>86</v>
      </c>
      <c r="K19" s="20">
        <v>104</v>
      </c>
      <c r="L19" s="21" t="s">
        <v>30</v>
      </c>
    </row>
    <row r="20" spans="1:12" ht="18">
      <c r="A20" s="18" t="s">
        <v>31</v>
      </c>
      <c r="B20" s="19">
        <f t="shared" si="2"/>
        <v>260</v>
      </c>
      <c r="C20" s="19"/>
      <c r="D20" s="20">
        <v>214</v>
      </c>
      <c r="E20" s="20">
        <v>0</v>
      </c>
      <c r="F20" s="20">
        <v>0</v>
      </c>
      <c r="G20" s="20">
        <v>0</v>
      </c>
      <c r="H20" s="20">
        <v>0</v>
      </c>
      <c r="I20" s="20">
        <v>32</v>
      </c>
      <c r="J20" s="20">
        <v>1</v>
      </c>
      <c r="K20" s="20">
        <v>13</v>
      </c>
      <c r="L20" s="21" t="s">
        <v>32</v>
      </c>
    </row>
    <row r="21" spans="1:12" ht="18">
      <c r="A21" s="18" t="s">
        <v>33</v>
      </c>
      <c r="B21" s="19">
        <f t="shared" si="2"/>
        <v>793</v>
      </c>
      <c r="C21" s="19"/>
      <c r="D21" s="20">
        <v>670</v>
      </c>
      <c r="E21" s="20">
        <v>24</v>
      </c>
      <c r="F21" s="20">
        <v>1</v>
      </c>
      <c r="G21" s="20">
        <v>65</v>
      </c>
      <c r="H21" s="20">
        <v>1</v>
      </c>
      <c r="I21" s="20">
        <v>17</v>
      </c>
      <c r="J21" s="20">
        <v>1</v>
      </c>
      <c r="K21" s="20">
        <v>14</v>
      </c>
      <c r="L21" s="21" t="s">
        <v>34</v>
      </c>
    </row>
    <row r="22" spans="1:12" ht="18">
      <c r="A22" s="18" t="s">
        <v>35</v>
      </c>
      <c r="B22" s="19">
        <f t="shared" si="2"/>
        <v>567</v>
      </c>
      <c r="C22" s="19"/>
      <c r="D22" s="20">
        <v>515</v>
      </c>
      <c r="E22" s="20">
        <v>1</v>
      </c>
      <c r="F22" s="20">
        <v>0</v>
      </c>
      <c r="G22" s="20">
        <v>0</v>
      </c>
      <c r="H22" s="20">
        <v>2</v>
      </c>
      <c r="I22" s="20">
        <v>33</v>
      </c>
      <c r="J22" s="20">
        <v>1</v>
      </c>
      <c r="K22" s="20">
        <v>15</v>
      </c>
      <c r="L22" s="21" t="s">
        <v>36</v>
      </c>
    </row>
    <row r="23" spans="1:12" ht="18">
      <c r="A23" s="18" t="s">
        <v>37</v>
      </c>
      <c r="B23" s="19">
        <f t="shared" si="2"/>
        <v>768</v>
      </c>
      <c r="C23" s="19"/>
      <c r="D23" s="20">
        <v>616</v>
      </c>
      <c r="E23" s="20">
        <v>1</v>
      </c>
      <c r="F23" s="20">
        <v>0</v>
      </c>
      <c r="G23" s="20">
        <v>0</v>
      </c>
      <c r="H23" s="20">
        <v>2</v>
      </c>
      <c r="I23" s="20">
        <v>11</v>
      </c>
      <c r="J23" s="20">
        <v>2</v>
      </c>
      <c r="K23" s="20">
        <v>136</v>
      </c>
      <c r="L23" s="21" t="s">
        <v>38</v>
      </c>
    </row>
    <row r="24" spans="1:12" ht="18">
      <c r="A24" s="18" t="s">
        <v>39</v>
      </c>
      <c r="B24" s="19">
        <f t="shared" si="2"/>
        <v>1454</v>
      </c>
      <c r="C24" s="19"/>
      <c r="D24" s="20">
        <v>1090</v>
      </c>
      <c r="E24" s="20">
        <v>250</v>
      </c>
      <c r="F24" s="20">
        <v>1</v>
      </c>
      <c r="G24" s="20">
        <v>6</v>
      </c>
      <c r="H24" s="20">
        <v>4</v>
      </c>
      <c r="I24" s="20">
        <v>40</v>
      </c>
      <c r="J24" s="20">
        <v>3</v>
      </c>
      <c r="K24" s="20">
        <v>60</v>
      </c>
      <c r="L24" s="21" t="s">
        <v>40</v>
      </c>
    </row>
    <row r="25" spans="1:12" ht="18">
      <c r="A25" s="18" t="s">
        <v>24</v>
      </c>
      <c r="B25" s="19">
        <f t="shared" si="2"/>
        <v>1970</v>
      </c>
      <c r="C25" s="19"/>
      <c r="D25" s="20">
        <v>384</v>
      </c>
      <c r="E25" s="20">
        <v>1034</v>
      </c>
      <c r="F25" s="20">
        <v>14</v>
      </c>
      <c r="G25" s="20">
        <v>372</v>
      </c>
      <c r="H25" s="20">
        <v>9</v>
      </c>
      <c r="I25" s="20">
        <v>78</v>
      </c>
      <c r="J25" s="20">
        <v>0</v>
      </c>
      <c r="K25" s="20">
        <v>79</v>
      </c>
      <c r="L25" s="21" t="s">
        <v>41</v>
      </c>
    </row>
    <row r="26" spans="1:12" ht="18">
      <c r="A26" s="18" t="s">
        <v>42</v>
      </c>
      <c r="B26" s="19">
        <f t="shared" si="2"/>
        <v>1472</v>
      </c>
      <c r="C26" s="19"/>
      <c r="D26" s="20">
        <v>506</v>
      </c>
      <c r="E26" s="20">
        <v>663</v>
      </c>
      <c r="F26" s="20">
        <v>5</v>
      </c>
      <c r="G26" s="20">
        <v>38</v>
      </c>
      <c r="H26" s="20">
        <v>27</v>
      </c>
      <c r="I26" s="20">
        <v>197</v>
      </c>
      <c r="J26" s="20">
        <v>2</v>
      </c>
      <c r="K26" s="20">
        <v>34</v>
      </c>
      <c r="L26" s="21" t="s">
        <v>43</v>
      </c>
    </row>
    <row r="27" spans="1:12" ht="18">
      <c r="A27" s="18" t="s">
        <v>44</v>
      </c>
      <c r="B27" s="19">
        <f t="shared" si="2"/>
        <v>2145</v>
      </c>
      <c r="C27" s="19"/>
      <c r="D27" s="20">
        <v>975</v>
      </c>
      <c r="E27" s="20">
        <v>300</v>
      </c>
      <c r="F27" s="20">
        <v>3</v>
      </c>
      <c r="G27" s="20">
        <v>144</v>
      </c>
      <c r="H27" s="20">
        <v>32</v>
      </c>
      <c r="I27" s="20">
        <v>654</v>
      </c>
      <c r="J27" s="20">
        <v>1</v>
      </c>
      <c r="K27" s="20">
        <v>36</v>
      </c>
      <c r="L27" s="21" t="s">
        <v>45</v>
      </c>
    </row>
    <row r="28" spans="1:12" ht="18">
      <c r="A28" s="18" t="s">
        <v>46</v>
      </c>
      <c r="B28" s="19">
        <f t="shared" si="2"/>
        <v>1332</v>
      </c>
      <c r="C28" s="19"/>
      <c r="D28" s="22">
        <v>533</v>
      </c>
      <c r="E28" s="22">
        <v>4</v>
      </c>
      <c r="F28" s="22">
        <v>21</v>
      </c>
      <c r="G28" s="22">
        <v>37</v>
      </c>
      <c r="H28" s="22">
        <v>19</v>
      </c>
      <c r="I28" s="22">
        <v>679</v>
      </c>
      <c r="J28" s="22">
        <v>1</v>
      </c>
      <c r="K28" s="22">
        <v>38</v>
      </c>
      <c r="L28" s="21" t="s">
        <v>17</v>
      </c>
    </row>
    <row r="29" spans="1:12" ht="18">
      <c r="A29" s="23" t="s">
        <v>16</v>
      </c>
      <c r="B29" s="24">
        <f>SUM(D29:K29)</f>
        <v>3104</v>
      </c>
      <c r="C29" s="24"/>
      <c r="D29" s="25">
        <v>1474</v>
      </c>
      <c r="E29" s="25">
        <v>39</v>
      </c>
      <c r="F29" s="25">
        <v>23</v>
      </c>
      <c r="G29" s="25">
        <v>79</v>
      </c>
      <c r="H29" s="25">
        <v>22</v>
      </c>
      <c r="I29" s="25">
        <v>1422</v>
      </c>
      <c r="J29" s="25">
        <v>6</v>
      </c>
      <c r="K29" s="25">
        <v>39</v>
      </c>
      <c r="L29" s="26" t="s">
        <v>47</v>
      </c>
    </row>
    <row r="30" spans="1:12" ht="17.25">
      <c r="A30" s="14" t="s">
        <v>67</v>
      </c>
      <c r="B30" s="2"/>
      <c r="C30" s="2"/>
      <c r="L30" s="12" t="s">
        <v>68</v>
      </c>
    </row>
    <row r="33" spans="2:3">
      <c r="B33" s="6"/>
      <c r="C33" s="6"/>
    </row>
    <row r="34" spans="2:3">
      <c r="B34" s="7"/>
      <c r="C34" s="7"/>
    </row>
  </sheetData>
  <mergeCells count="6">
    <mergeCell ref="A1:L1"/>
    <mergeCell ref="A2:L2"/>
    <mergeCell ref="D4:K4"/>
    <mergeCell ref="B4:B5"/>
    <mergeCell ref="A4:A6"/>
    <mergeCell ref="L5:L6"/>
  </mergeCells>
  <pageMargins left="0.33" right="0.17" top="0.24" bottom="0.18" header="0.17" footer="0.3"/>
  <pageSetup paperSize="9" scale="96" orientation="landscape" r:id="rId1"/>
  <rowBreaks count="1" manualBreakCount="1">
    <brk id="3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2.6</vt:lpstr>
      <vt:lpstr>'2.6'!Print_Area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2013-07-02T05:48:06Z</cp:lastPrinted>
  <dcterms:created xsi:type="dcterms:W3CDTF">2013-04-22T05:31:10Z</dcterms:created>
  <dcterms:modified xsi:type="dcterms:W3CDTF">2013-07-02T05:52:29Z</dcterms:modified>
</cp:coreProperties>
</file>