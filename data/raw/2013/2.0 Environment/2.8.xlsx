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817"/>
  </bookViews>
  <sheets>
    <sheet name="2.8" sheetId="8" r:id="rId1"/>
  </sheets>
  <calcPr calcId="124519"/>
</workbook>
</file>

<file path=xl/calcChain.xml><?xml version="1.0" encoding="utf-8"?>
<calcChain xmlns="http://schemas.openxmlformats.org/spreadsheetml/2006/main">
  <c r="AA7" i="8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7"/>
  <c r="B29"/>
  <c r="B28"/>
  <c r="AA27"/>
  <c r="Z27"/>
  <c r="Y27"/>
  <c r="B27"/>
  <c r="AA26"/>
  <c r="Z26"/>
  <c r="Y26"/>
  <c r="B26"/>
  <c r="AA25"/>
  <c r="Z25"/>
  <c r="Y25"/>
  <c r="B25"/>
  <c r="AA24"/>
  <c r="Z24"/>
  <c r="Y24"/>
  <c r="B24"/>
  <c r="AA23"/>
  <c r="Z23"/>
  <c r="Y23"/>
  <c r="B23"/>
  <c r="AA22"/>
  <c r="Z22"/>
  <c r="Y22"/>
  <c r="B22"/>
  <c r="AA21"/>
  <c r="Z21"/>
  <c r="Y21"/>
  <c r="B21"/>
  <c r="AA20"/>
  <c r="Z20"/>
  <c r="Y20"/>
  <c r="B20"/>
  <c r="AA19"/>
  <c r="Z19"/>
  <c r="Y19"/>
  <c r="B19"/>
  <c r="AA18"/>
  <c r="Z18"/>
  <c r="Y18"/>
  <c r="B18"/>
  <c r="AA17"/>
  <c r="Z17"/>
  <c r="Y17"/>
  <c r="B17"/>
  <c r="AA16"/>
  <c r="Z16"/>
  <c r="Y16"/>
  <c r="B16"/>
  <c r="AA15"/>
  <c r="Z15"/>
  <c r="Y15"/>
  <c r="B15"/>
  <c r="AA14"/>
  <c r="Z14"/>
  <c r="Y14"/>
  <c r="B14"/>
  <c r="AA13"/>
  <c r="Z13"/>
  <c r="Y13"/>
  <c r="B13"/>
  <c r="AA12"/>
  <c r="Z12"/>
  <c r="Y12"/>
  <c r="B12"/>
  <c r="AA11"/>
  <c r="Z11"/>
  <c r="Y11"/>
  <c r="B11"/>
  <c r="AA10"/>
  <c r="Z10"/>
  <c r="Y10"/>
  <c r="B10"/>
  <c r="AA9"/>
  <c r="Z9"/>
  <c r="Y9"/>
  <c r="H9"/>
  <c r="G9"/>
  <c r="F9"/>
  <c r="E9"/>
  <c r="D9"/>
  <c r="B9"/>
  <c r="AA8"/>
  <c r="Z8"/>
  <c r="Y8"/>
  <c r="Z7"/>
  <c r="Y7"/>
  <c r="H7"/>
  <c r="G7"/>
  <c r="F7"/>
  <c r="E7"/>
  <c r="D7"/>
  <c r="B7"/>
</calcChain>
</file>

<file path=xl/sharedStrings.xml><?xml version="1.0" encoding="utf-8"?>
<sst xmlns="http://schemas.openxmlformats.org/spreadsheetml/2006/main" count="95" uniqueCount="63">
  <si>
    <t>Male'</t>
  </si>
  <si>
    <t>cnehinehea</t>
  </si>
  <si>
    <t>WrukuncnWywb</t>
  </si>
  <si>
    <t>cnwt</t>
  </si>
  <si>
    <t>Total households</t>
  </si>
  <si>
    <t>Not stated</t>
  </si>
  <si>
    <t>Republic</t>
  </si>
  <si>
    <t>ejcaWriLum</t>
  </si>
  <si>
    <t>elWm</t>
  </si>
  <si>
    <t>Atolls</t>
  </si>
  <si>
    <t>cawtuLotwa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</si>
  <si>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</si>
  <si>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</si>
  <si>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</si>
  <si>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</si>
  <si>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</si>
  <si>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</si>
  <si>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</si>
  <si>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</si>
  <si>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</si>
  <si>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</si>
  <si>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</si>
  <si>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</si>
  <si>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</si>
  <si>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</si>
  <si>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</si>
  <si>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</si>
  <si>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</si>
  <si>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</si>
  <si>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</si>
  <si>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</si>
  <si>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</si>
  <si>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</si>
  <si>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</si>
  <si>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</si>
  <si>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</si>
  <si>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</si>
  <si>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</si>
  <si>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</si>
  <si>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</si>
  <si>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</si>
  <si>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</si>
  <si>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</si>
  <si>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</si>
  <si>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</si>
  <si>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</si>
  <si>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</si>
  <si>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</si>
  <si>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 xml:space="preserve">Source:Department of National  Planning  </t>
  </si>
  <si>
    <t xml:space="preserve"> 2006 cnunemihOb , cawtctwvWb irukcnunEb cSwmukcaek : 2.8 ulwvWt</t>
  </si>
  <si>
    <t>Table 2.8 :TYPE OF FUEL USED FOR COOKING, CENSUS 2006</t>
  </si>
  <si>
    <t xml:space="preserve">Type </t>
  </si>
  <si>
    <t>cawtctwvWb</t>
  </si>
  <si>
    <t>Locality</t>
  </si>
  <si>
    <t>urwd</t>
  </si>
  <si>
    <t>oyet</t>
  </si>
  <si>
    <t>csEg</t>
  </si>
  <si>
    <t>Firewood</t>
  </si>
  <si>
    <t>Oil</t>
  </si>
  <si>
    <t>Gas</t>
  </si>
  <si>
    <t>Others</t>
  </si>
  <si>
    <t xml:space="preserve">ގޭބިސީގެ ޖުމްލަ އަދަދު </t>
  </si>
  <si>
    <t>މަޢުލޫމާތު ދެއްވި ފަރާތް: ޑިޕާޓްމަންޓް އޮފް ނޭޝަނަލް ޕްލޭނިންގ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</si>
</sst>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General_)"/>
  </numFmts>
  <fonts count="18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Faruma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Faruma"/>
    </font>
    <font>
      <sz val="9"/>
      <name val="A_Randhoo"/>
    </font>
    <font>
      <b/>
      <sz val="12"/>
      <color theme="1"/>
      <name val="A_Randhoo"/>
    </font>
    <font>
      <b/>
      <sz val="10"/>
      <name val="Calibri"/>
      <family val="2"/>
      <scheme val="minor"/>
    </font>
    <font>
      <b/>
      <sz val="10"/>
      <name val="A_Randhoo"/>
    </font>
    <font>
      <b/>
      <sz val="9"/>
      <name val="A_Randhoo"/>
    </font>
    <font>
      <b/>
      <sz val="9"/>
      <name val="Calibri"/>
      <family val="2"/>
      <scheme val="minor"/>
    </font>
    <font>
      <sz val="10"/>
      <name val="Courier"/>
      <family val="3"/>
    </font>
    <font>
      <sz val="9"/>
      <name val="Calibri"/>
      <family val="2"/>
      <scheme val="minor"/>
    </font>
    <font>
      <sz val="10"/>
      <color indexed="10"/>
      <name val="Arial"/>
      <family val="2"/>
    </font>
    <font>
      <b/>
      <sz val="10"/>
      <color rgb="FF000000"/>
      <name val="Arial"/>
      <family val="2"/>
    </font>
    <font>
      <i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13" fillId="0" borderId="0"/>
    <xf numFmtId="0" fontId="13" fillId="0" borderId="0"/>
  </cellStyleXfs>
  <cellXfs count="44">
    <xf numFmtId="0" fontId="0" fillId="0" borderId="0" xfId="0"/>
    <xf numFmtId="0" fontId="0" fillId="2" borderId="0" xfId="0" applyFill="1"/>
    <xf numFmtId="0" fontId="1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right" vertical="center" wrapText="1"/>
    </xf>
    <xf numFmtId="0" fontId="11" fillId="2" borderId="4" xfId="1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 wrapText="1"/>
    </xf>
    <xf numFmtId="0" fontId="9" fillId="2" borderId="1" xfId="0" applyFont="1" applyFill="1" applyBorder="1" applyAlignment="1"/>
    <xf numFmtId="0" fontId="9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5" fillId="2" borderId="0" xfId="0" applyFont="1" applyFill="1" applyAlignment="1" applyProtection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12" fillId="2" borderId="0" xfId="2" applyNumberFormat="1" applyFont="1" applyFill="1" applyAlignment="1">
      <alignment horizontal="right" vertical="center"/>
    </xf>
    <xf numFmtId="165" fontId="11" fillId="2" borderId="0" xfId="3" applyNumberFormat="1" applyFont="1" applyFill="1" applyAlignment="1">
      <alignment horizontal="right" vertical="center"/>
    </xf>
    <xf numFmtId="0" fontId="5" fillId="2" borderId="0" xfId="0" applyFont="1" applyFill="1" applyAlignment="1" applyProtection="1">
      <alignment horizontal="left" vertical="center"/>
    </xf>
    <xf numFmtId="0" fontId="1" fillId="2" borderId="0" xfId="0" applyFont="1" applyFill="1"/>
    <xf numFmtId="43" fontId="5" fillId="2" borderId="0" xfId="0" applyNumberFormat="1" applyFont="1" applyFill="1" applyAlignment="1" applyProtection="1">
      <alignment horizontal="left" vertical="center"/>
    </xf>
    <xf numFmtId="164" fontId="4" fillId="2" borderId="0" xfId="2" applyNumberFormat="1" applyFont="1" applyFill="1"/>
    <xf numFmtId="164" fontId="5" fillId="2" borderId="0" xfId="2" applyNumberFormat="1" applyFont="1" applyFill="1"/>
    <xf numFmtId="3" fontId="14" fillId="2" borderId="0" xfId="2" applyNumberFormat="1" applyFont="1" applyFill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0" fontId="5" fillId="2" borderId="2" xfId="0" applyFont="1" applyFill="1" applyBorder="1" applyAlignment="1" applyProtection="1">
      <alignment horizontal="left" vertical="center"/>
    </xf>
    <xf numFmtId="164" fontId="5" fillId="2" borderId="2" xfId="2" applyNumberFormat="1" applyFont="1" applyFill="1" applyBorder="1"/>
    <xf numFmtId="3" fontId="14" fillId="2" borderId="2" xfId="2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/>
    </xf>
    <xf numFmtId="0" fontId="15" fillId="2" borderId="0" xfId="0" applyFont="1" applyFill="1"/>
    <xf numFmtId="0" fontId="16" fillId="2" borderId="0" xfId="0" applyFont="1" applyFill="1" applyAlignment="1">
      <alignment horizontal="left" readingOrder="2"/>
    </xf>
    <xf numFmtId="165" fontId="6" fillId="2" borderId="0" xfId="4" applyNumberFormat="1" applyFont="1" applyFill="1" applyAlignment="1">
      <alignment horizontal="right" vertical="center"/>
    </xf>
    <xf numFmtId="164" fontId="5" fillId="2" borderId="0" xfId="0" applyNumberFormat="1" applyFont="1" applyFill="1" applyAlignment="1" applyProtection="1">
      <alignment horizontal="left" vertical="center"/>
    </xf>
    <xf numFmtId="43" fontId="5" fillId="2" borderId="2" xfId="0" applyNumberFormat="1" applyFont="1" applyFill="1" applyBorder="1" applyAlignment="1" applyProtection="1">
      <alignment horizontal="left" vertical="center"/>
    </xf>
    <xf numFmtId="165" fontId="17" fillId="2" borderId="0" xfId="4" applyNumberFormat="1" applyFont="1" applyFill="1" applyAlignment="1" applyProtection="1">
      <alignment horizontal="left" vertical="center"/>
    </xf>
    <xf numFmtId="0" fontId="9" fillId="2" borderId="1" xfId="0" applyFont="1" applyFill="1" applyBorder="1" applyAlignment="1">
      <alignment horizontal="left" indent="7"/>
    </xf>
    <xf numFmtId="165" fontId="11" fillId="2" borderId="3" xfId="3" applyNumberFormat="1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9" fillId="2" borderId="0" xfId="0" applyFont="1" applyFill="1" applyAlignment="1">
      <alignment horizontal="left" indent="1"/>
    </xf>
    <xf numFmtId="0" fontId="14" fillId="2" borderId="0" xfId="0" applyFont="1" applyFill="1" applyAlignment="1" applyProtection="1">
      <alignment horizontal="left" vertical="center" indent="1"/>
    </xf>
    <xf numFmtId="0" fontId="14" fillId="2" borderId="2" xfId="0" applyFont="1" applyFill="1" applyBorder="1" applyAlignment="1" applyProtection="1">
      <alignment horizontal="left" vertical="center" indent="1"/>
    </xf>
    <xf numFmtId="0" fontId="8" fillId="2" borderId="0" xfId="0" applyFont="1" applyFill="1" applyAlignment="1" applyProtection="1">
      <alignment horizontal="center" vertical="center" wrapText="1"/>
      <protection hidden="1"/>
    </xf>
    <xf numFmtId="0" fontId="1" fillId="2" borderId="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right" vertical="center" wrapText="1"/>
    </xf>
  </cellXfs>
  <cellStyles count="5">
    <cellStyle name="Comma 2" xfId="2"/>
    <cellStyle name="Normal" xfId="0" builtinId="0"/>
    <cellStyle name="Normal_3 Population." xfId="4"/>
    <cellStyle name="Normal_Housing - 3" xfId="1"/>
    <cellStyle name="Normal_Stat Year Book 2007 tables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2.2: Percentage of  fuel used for cooking by type, census 2006</a:t>
            </a:r>
          </a:p>
        </c:rich>
      </c:tx>
      <c:layout>
        <c:manualLayout>
          <c:xMode val="edge"/>
          <c:yMode val="edge"/>
          <c:x val="0.2377605727027316"/>
          <c:y val="3.157308039197803E-2"/>
        </c:manualLayout>
      </c:layout>
    </c:title>
    <c:plotArea>
      <c:layout>
        <c:manualLayout>
          <c:layoutTarget val="inner"/>
          <c:xMode val="edge"/>
          <c:yMode val="edge"/>
          <c:x val="5.4485446951083601E-2"/>
          <c:y val="0.13680744452398041"/>
          <c:w val="0.92947487946985363"/>
          <c:h val="0.62642771926236496"/>
        </c:manualLayout>
      </c:layout>
      <c:barChart>
        <c:barDir val="col"/>
        <c:grouping val="stacked"/>
        <c:ser>
          <c:idx val="0"/>
          <c:order val="0"/>
          <c:tx>
            <c:strRef>
              <c:f>'2.8'!$Y$6</c:f>
              <c:strCache>
                <c:ptCount val="1"/>
                <c:pt idx="0">
                  <c:v>Firewood</c:v>
                </c:pt>
              </c:strCache>
            </c:strRef>
          </c:tx>
          <c:cat>
            <c:strRef>
              <c:f>'2.8'!$X$7:$X$27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'2.8'!$Y$7:$Y$27</c:f>
              <c:numCache>
                <c:formatCode>_(* #,##0.00_);_(* \(#,##0.00\);_(* "-"??_);_(@_)</c:formatCode>
                <c:ptCount val="21"/>
                <c:pt idx="0">
                  <c:v>0.11868966608640608</c:v>
                </c:pt>
                <c:pt idx="1">
                  <c:v>33.208333333333336</c:v>
                </c:pt>
                <c:pt idx="2">
                  <c:v>42.344173441734419</c:v>
                </c:pt>
                <c:pt idx="3">
                  <c:v>28.976453628063432</c:v>
                </c:pt>
                <c:pt idx="4">
                  <c:v>24.264705882352942</c:v>
                </c:pt>
                <c:pt idx="5">
                  <c:v>23.538767395626241</c:v>
                </c:pt>
                <c:pt idx="6">
                  <c:v>17.557755775577558</c:v>
                </c:pt>
                <c:pt idx="7">
                  <c:v>9.9365750528541223</c:v>
                </c:pt>
                <c:pt idx="8">
                  <c:v>7.1184120465434635</c:v>
                </c:pt>
                <c:pt idx="9">
                  <c:v>11.155378486055776</c:v>
                </c:pt>
                <c:pt idx="10">
                  <c:v>13.18359375</c:v>
                </c:pt>
                <c:pt idx="11">
                  <c:v>26.459143968871597</c:v>
                </c:pt>
                <c:pt idx="12">
                  <c:v>10.70063694267516</c:v>
                </c:pt>
                <c:pt idx="13">
                  <c:v>22.043010752688172</c:v>
                </c:pt>
                <c:pt idx="14">
                  <c:v>18.073878627968337</c:v>
                </c:pt>
                <c:pt idx="15">
                  <c:v>17.456896551724139</c:v>
                </c:pt>
                <c:pt idx="16">
                  <c:v>10.875331564986737</c:v>
                </c:pt>
                <c:pt idx="17">
                  <c:v>9.8052851182197482</c:v>
                </c:pt>
                <c:pt idx="18">
                  <c:v>19.512195121951219</c:v>
                </c:pt>
                <c:pt idx="19">
                  <c:v>7.6388888888888893</c:v>
                </c:pt>
                <c:pt idx="20">
                  <c:v>12.001308044473511</c:v>
                </c:pt>
              </c:numCache>
            </c:numRef>
          </c:val>
        </c:ser>
        <c:ser>
          <c:idx val="1"/>
          <c:order val="1"/>
          <c:tx>
            <c:strRef>
              <c:f>'2.8'!$Z$6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'2.8'!$X$7:$X$27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'2.8'!$Z$7:$Z$27</c:f>
              <c:numCache>
                <c:formatCode>_(* #,##0.00_);_(* \(#,##0.00\);_(* "-"??_);_(@_)</c:formatCode>
                <c:ptCount val="21"/>
                <c:pt idx="0">
                  <c:v>2.8010761196391836</c:v>
                </c:pt>
                <c:pt idx="1">
                  <c:v>7.416666666666667</c:v>
                </c:pt>
                <c:pt idx="2">
                  <c:v>3.1842818428184283</c:v>
                </c:pt>
                <c:pt idx="3">
                  <c:v>2.0182604517059106</c:v>
                </c:pt>
                <c:pt idx="4">
                  <c:v>3.8461538461538463</c:v>
                </c:pt>
                <c:pt idx="5">
                  <c:v>2.9025844930417497</c:v>
                </c:pt>
                <c:pt idx="6">
                  <c:v>2.5742574257425743</c:v>
                </c:pt>
                <c:pt idx="7">
                  <c:v>18.2522903453136</c:v>
                </c:pt>
                <c:pt idx="8">
                  <c:v>4.1067761806981515</c:v>
                </c:pt>
                <c:pt idx="9">
                  <c:v>3.1872509960159361</c:v>
                </c:pt>
                <c:pt idx="10">
                  <c:v>1.85546875</c:v>
                </c:pt>
                <c:pt idx="11">
                  <c:v>10.505836575875486</c:v>
                </c:pt>
                <c:pt idx="12">
                  <c:v>3.6942675159235669</c:v>
                </c:pt>
                <c:pt idx="13">
                  <c:v>1.2544802867383513</c:v>
                </c:pt>
                <c:pt idx="14">
                  <c:v>3.6939313984168867</c:v>
                </c:pt>
                <c:pt idx="15">
                  <c:v>3.0172413793103448</c:v>
                </c:pt>
                <c:pt idx="16">
                  <c:v>2.8116710875331563</c:v>
                </c:pt>
                <c:pt idx="17">
                  <c:v>6.3977746870653691</c:v>
                </c:pt>
                <c:pt idx="18">
                  <c:v>7.2214251554280251</c:v>
                </c:pt>
                <c:pt idx="19">
                  <c:v>3.9351851851851851</c:v>
                </c:pt>
                <c:pt idx="20">
                  <c:v>11.085676913015043</c:v>
                </c:pt>
              </c:numCache>
            </c:numRef>
          </c:val>
        </c:ser>
        <c:ser>
          <c:idx val="2"/>
          <c:order val="2"/>
          <c:tx>
            <c:strRef>
              <c:f>'2.8'!$AA$6</c:f>
              <c:strCache>
                <c:ptCount val="1"/>
                <c:pt idx="0">
                  <c:v>Gas</c:v>
                </c:pt>
              </c:strCache>
            </c:strRef>
          </c:tx>
          <c:cat>
            <c:strRef>
              <c:f>'2.8'!$X$7:$X$27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'2.8'!$AA$7:$AA$27</c:f>
              <c:numCache>
                <c:formatCode>_(* #,##0.00_);_(* \(#,##0.00\);_(* "-"??_);_(@_)</c:formatCode>
                <c:ptCount val="21"/>
                <c:pt idx="0">
                  <c:v>96.304795062509896</c:v>
                </c:pt>
                <c:pt idx="1">
                  <c:v>59</c:v>
                </c:pt>
                <c:pt idx="2">
                  <c:v>54.200542005420047</c:v>
                </c:pt>
                <c:pt idx="3">
                  <c:v>68.765016818837097</c:v>
                </c:pt>
                <c:pt idx="4">
                  <c:v>71.266968325791851</c:v>
                </c:pt>
                <c:pt idx="5">
                  <c:v>72.723658051689867</c:v>
                </c:pt>
                <c:pt idx="6">
                  <c:v>79.471947194719476</c:v>
                </c:pt>
                <c:pt idx="7">
                  <c:v>70.965468639887234</c:v>
                </c:pt>
                <c:pt idx="8">
                  <c:v>88.021902806297064</c:v>
                </c:pt>
                <c:pt idx="9">
                  <c:v>85.391766268260298</c:v>
                </c:pt>
                <c:pt idx="10">
                  <c:v>84.27734375</c:v>
                </c:pt>
                <c:pt idx="11">
                  <c:v>63.035019455252915</c:v>
                </c:pt>
                <c:pt idx="12">
                  <c:v>85.350318471337587</c:v>
                </c:pt>
                <c:pt idx="13">
                  <c:v>76.702508960573482</c:v>
                </c:pt>
                <c:pt idx="14">
                  <c:v>77.836411609498683</c:v>
                </c:pt>
                <c:pt idx="15">
                  <c:v>79.238505747126439</c:v>
                </c:pt>
                <c:pt idx="16">
                  <c:v>85.9946949602122</c:v>
                </c:pt>
                <c:pt idx="17">
                  <c:v>82.962447844228095</c:v>
                </c:pt>
                <c:pt idx="18">
                  <c:v>72.979435676709699</c:v>
                </c:pt>
                <c:pt idx="19">
                  <c:v>87.885802469135797</c:v>
                </c:pt>
                <c:pt idx="20">
                  <c:v>76.422498364944417</c:v>
                </c:pt>
              </c:numCache>
            </c:numRef>
          </c:val>
        </c:ser>
        <c:ser>
          <c:idx val="3"/>
          <c:order val="3"/>
          <c:tx>
            <c:strRef>
              <c:f>'2.8'!$AB$6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</c:spPr>
          <c:cat>
            <c:strRef>
              <c:f>'2.8'!$X$7:$X$27</c:f>
              <c:strCache>
                <c:ptCount val="21"/>
                <c:pt idx="0">
                  <c:v>Male'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'2.8'!$AB$7:$AB$27</c:f>
              <c:numCache>
                <c:formatCode>_(* #,##0.00_);_(* \(#,##0.00\);_(* "-"??_);_(@_)</c:formatCode>
                <c:ptCount val="21"/>
                <c:pt idx="0">
                  <c:v>0.77543915176451972</c:v>
                </c:pt>
                <c:pt idx="1">
                  <c:v>0.375</c:v>
                </c:pt>
                <c:pt idx="2">
                  <c:v>0.27100271002710025</c:v>
                </c:pt>
                <c:pt idx="3">
                  <c:v>0.24026910139356081</c:v>
                </c:pt>
                <c:pt idx="4">
                  <c:v>0.62217194570135748</c:v>
                </c:pt>
                <c:pt idx="5">
                  <c:v>0.83499005964214712</c:v>
                </c:pt>
                <c:pt idx="6">
                  <c:v>0.39603960396039606</c:v>
                </c:pt>
                <c:pt idx="7">
                  <c:v>0.84566596194503174</c:v>
                </c:pt>
                <c:pt idx="8">
                  <c:v>0.75290896646132788</c:v>
                </c:pt>
                <c:pt idx="9">
                  <c:v>0.26560424966799467</c:v>
                </c:pt>
                <c:pt idx="10">
                  <c:v>0.68359375</c:v>
                </c:pt>
                <c:pt idx="11">
                  <c:v>0</c:v>
                </c:pt>
                <c:pt idx="12">
                  <c:v>0.25477707006369427</c:v>
                </c:pt>
                <c:pt idx="13">
                  <c:v>0</c:v>
                </c:pt>
                <c:pt idx="14">
                  <c:v>0.39577836411609502</c:v>
                </c:pt>
                <c:pt idx="15">
                  <c:v>0.28735632183908044</c:v>
                </c:pt>
                <c:pt idx="16">
                  <c:v>0.3183023872679045</c:v>
                </c:pt>
                <c:pt idx="17">
                  <c:v>0.83449235048678716</c:v>
                </c:pt>
                <c:pt idx="18">
                  <c:v>0.28694404591104739</c:v>
                </c:pt>
                <c:pt idx="19">
                  <c:v>0.54012345679012341</c:v>
                </c:pt>
                <c:pt idx="20">
                  <c:v>0.49051667756703726</c:v>
                </c:pt>
              </c:numCache>
            </c:numRef>
          </c:val>
        </c:ser>
        <c:gapWidth val="75"/>
        <c:overlap val="100"/>
        <c:axId val="105720832"/>
        <c:axId val="105730816"/>
      </c:barChart>
      <c:catAx>
        <c:axId val="10572083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5730816"/>
        <c:crosses val="autoZero"/>
        <c:auto val="1"/>
        <c:lblAlgn val="ctr"/>
        <c:lblOffset val="100"/>
      </c:catAx>
      <c:valAx>
        <c:axId val="105730816"/>
        <c:scaling>
          <c:orientation val="minMax"/>
          <c:max val="100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General" sourceLinked="0"/>
        <c:maj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572083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7991036609529011"/>
          <c:y val="0.89661305850282225"/>
          <c:w val="0.41225462964528575"/>
          <c:h val="7.7646915757151977E-2"/>
        </c:manualLayout>
      </c:layout>
    </c:legend>
    <c:plotVisOnly val="1"/>
    <c:dispBlanksAs val="gap"/>
  </c:chart>
  <c:printSettings>
    <c:headerFooter/>
    <c:pageMargins b="0.75000000000000178" l="0.70000000000000062" r="0.70000000000000062" t="0.75000000000000178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</xdr:col>
      <xdr:colOff>76200</xdr:colOff>
      <xdr:row>11</xdr:row>
      <xdr:rowOff>9525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95325" y="182880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161924</xdr:colOff>
      <xdr:row>30</xdr:row>
      <xdr:rowOff>95250</xdr:rowOff>
    </xdr:from>
    <xdr:to>
      <xdr:col>8</xdr:col>
      <xdr:colOff>942974</xdr:colOff>
      <xdr:row>43</xdr:row>
      <xdr:rowOff>85725</xdr:rowOff>
    </xdr:to>
    <xdr:graphicFrame macro="">
      <xdr:nvGraphicFramePr>
        <xdr:cNvPr id="3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247650</xdr:colOff>
      <xdr:row>42</xdr:row>
      <xdr:rowOff>76200</xdr:rowOff>
    </xdr:from>
    <xdr:to>
      <xdr:col>1</xdr:col>
      <xdr:colOff>1000125</xdr:colOff>
      <xdr:row>43</xdr:row>
      <xdr:rowOff>28575</xdr:rowOff>
    </xdr:to>
    <xdr:sp macro="" textlink="">
      <xdr:nvSpPr>
        <xdr:cNvPr id="4" name="TextBox 3"/>
        <xdr:cNvSpPr txBox="1"/>
      </xdr:nvSpPr>
      <xdr:spPr>
        <a:xfrm>
          <a:off x="247650" y="8353425"/>
          <a:ext cx="136207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i="1"/>
            <a:t>Note: Excludes</a:t>
          </a:r>
          <a:r>
            <a:rPr lang="en-US" sz="800" i="1" baseline="0"/>
            <a:t> "Not stated" </a:t>
          </a:r>
          <a:endParaRPr lang="en-US" sz="800" i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0.00187</cdr:x>
      <cdr:y>0.0488</cdr:y>
    </cdr:from>
    <cdr:to>
      <cdr:x>0.1323</cdr:x>
      <cdr:y>0.09846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76" y="118906"/>
          <a:ext cx="877954" cy="1209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800"/>
            <a:t>Percentage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1"/>
  <sheetViews>
    <sheetView tabSelected="1" workbookViewId="0">
      <selection activeCell="D46" sqref="D46"/>
    </sheetView>
  </sheetViews>
  <sheetFormatPr defaultRowHeight="15"/>
  <cols>
    <col min="1" max="1" width="9.140625" style="1"/>
    <col min="2" max="2" width="17" style="1" customWidth="1"/>
    <col min="3" max="3" width="0.85546875" style="1" customWidth="1"/>
    <col min="4" max="8" width="12.5703125" style="1" customWidth="1"/>
    <col min="9" max="9" width="16.5703125" style="1" customWidth="1"/>
    <col min="10" max="16384" width="9.140625" style="1"/>
  </cols>
  <sheetData>
    <row r="1" spans="1:33" ht="19.5">
      <c r="A1" s="40" t="s">
        <v>49</v>
      </c>
      <c r="B1" s="40"/>
      <c r="C1" s="40"/>
      <c r="D1" s="40"/>
      <c r="E1" s="40"/>
      <c r="F1" s="40"/>
      <c r="G1" s="40"/>
      <c r="H1" s="40"/>
      <c r="I1" s="40"/>
    </row>
    <row r="2" spans="1:33">
      <c r="A2" s="41" t="s">
        <v>50</v>
      </c>
      <c r="B2" s="41"/>
      <c r="C2" s="41"/>
      <c r="D2" s="41"/>
      <c r="E2" s="41"/>
      <c r="F2" s="41"/>
      <c r="G2" s="41"/>
      <c r="H2" s="41"/>
      <c r="I2" s="41"/>
    </row>
    <row r="3" spans="1:33">
      <c r="A3" s="2"/>
      <c r="B3" s="2"/>
      <c r="C3" s="2"/>
      <c r="D3" s="2"/>
      <c r="E3" s="2"/>
      <c r="F3" s="2"/>
      <c r="G3" s="2"/>
      <c r="H3" s="2"/>
      <c r="I3" s="2"/>
    </row>
    <row r="4" spans="1:33" ht="18.75">
      <c r="B4" s="42" t="s">
        <v>61</v>
      </c>
      <c r="C4" s="35"/>
      <c r="D4" s="33" t="s">
        <v>51</v>
      </c>
      <c r="E4" s="6"/>
      <c r="F4" s="6"/>
      <c r="G4" s="6"/>
      <c r="H4" s="34" t="s">
        <v>52</v>
      </c>
    </row>
    <row r="5" spans="1:33" s="8" customFormat="1" ht="21.75" customHeight="1">
      <c r="A5" s="7" t="s">
        <v>53</v>
      </c>
      <c r="B5" s="43"/>
      <c r="C5" s="36"/>
      <c r="D5" s="4" t="s">
        <v>54</v>
      </c>
      <c r="E5" s="4" t="s">
        <v>55</v>
      </c>
      <c r="F5" s="4" t="s">
        <v>56</v>
      </c>
      <c r="G5" s="4" t="s">
        <v>1</v>
      </c>
      <c r="H5" s="4" t="s">
        <v>2</v>
      </c>
      <c r="I5" s="5" t="s">
        <v>3</v>
      </c>
      <c r="AG5" s="14"/>
    </row>
    <row r="6" spans="1:33" s="8" customFormat="1" ht="19.5" customHeight="1">
      <c r="A6" s="9"/>
      <c r="B6" s="3" t="s">
        <v>4</v>
      </c>
      <c r="C6" s="3"/>
      <c r="D6" s="10" t="s">
        <v>57</v>
      </c>
      <c r="E6" s="10" t="s">
        <v>58</v>
      </c>
      <c r="F6" s="10" t="s">
        <v>59</v>
      </c>
      <c r="G6" s="10" t="s">
        <v>60</v>
      </c>
      <c r="H6" s="10" t="s">
        <v>5</v>
      </c>
      <c r="I6" s="11"/>
      <c r="W6" s="12"/>
      <c r="X6" s="12"/>
      <c r="Y6" s="13" t="s">
        <v>57</v>
      </c>
      <c r="Z6" s="13" t="s">
        <v>58</v>
      </c>
      <c r="AA6" s="13" t="s">
        <v>59</v>
      </c>
      <c r="AB6" s="10" t="s">
        <v>60</v>
      </c>
      <c r="AD6" s="13" t="s">
        <v>57</v>
      </c>
      <c r="AE6" s="13" t="s">
        <v>58</v>
      </c>
      <c r="AF6" s="13" t="s">
        <v>59</v>
      </c>
      <c r="AG6" s="10" t="s">
        <v>60</v>
      </c>
    </row>
    <row r="7" spans="1:33">
      <c r="A7" s="37" t="s">
        <v>6</v>
      </c>
      <c r="B7" s="14">
        <f t="shared" ref="B7:H7" si="0">SUM(B8:B9)</f>
        <v>46194</v>
      </c>
      <c r="C7" s="14"/>
      <c r="D7" s="14">
        <f t="shared" si="0"/>
        <v>6291</v>
      </c>
      <c r="E7" s="14">
        <f t="shared" si="0"/>
        <v>2029</v>
      </c>
      <c r="F7" s="14">
        <f t="shared" si="0"/>
        <v>35479</v>
      </c>
      <c r="G7" s="14">
        <f t="shared" si="0"/>
        <v>245</v>
      </c>
      <c r="H7" s="14">
        <f t="shared" si="0"/>
        <v>2150</v>
      </c>
      <c r="I7" s="15" t="s">
        <v>7</v>
      </c>
      <c r="W7" s="30">
        <f>SUM(AD7:AG7)</f>
        <v>12638</v>
      </c>
      <c r="X7" s="17" t="s">
        <v>0</v>
      </c>
      <c r="Y7" s="18">
        <f>AD7/W7*100</f>
        <v>0.11868966608640608</v>
      </c>
      <c r="Z7" s="18">
        <f>AE7/W7*100</f>
        <v>2.8010761196391836</v>
      </c>
      <c r="AA7" s="18">
        <f>AF7/W7*100</f>
        <v>96.304795062509896</v>
      </c>
      <c r="AB7" s="18">
        <f>AG7/W7*100</f>
        <v>0.77543915176451972</v>
      </c>
      <c r="AD7" s="19">
        <v>15</v>
      </c>
      <c r="AE7" s="19">
        <v>354</v>
      </c>
      <c r="AF7" s="19">
        <v>12171</v>
      </c>
      <c r="AG7" s="14">
        <v>98</v>
      </c>
    </row>
    <row r="8" spans="1:33">
      <c r="A8" s="37" t="s">
        <v>0</v>
      </c>
      <c r="B8" s="14">
        <v>14107</v>
      </c>
      <c r="C8" s="14"/>
      <c r="D8" s="14">
        <v>15</v>
      </c>
      <c r="E8" s="14">
        <v>354</v>
      </c>
      <c r="F8" s="14">
        <v>12171</v>
      </c>
      <c r="G8" s="14">
        <v>98</v>
      </c>
      <c r="H8" s="14">
        <v>1469</v>
      </c>
      <c r="I8" s="15" t="s">
        <v>8</v>
      </c>
      <c r="W8" s="30">
        <f t="shared" ref="W8:W27" si="1">SUM(AD8:AG8)</f>
        <v>2400</v>
      </c>
      <c r="X8" s="16" t="s">
        <v>11</v>
      </c>
      <c r="Y8" s="18">
        <f t="shared" ref="Y8:Y27" si="2">AD8/W8*100</f>
        <v>33.208333333333336</v>
      </c>
      <c r="Z8" s="18">
        <f t="shared" ref="Z8:Z27" si="3">AE8/W8*100</f>
        <v>7.416666666666667</v>
      </c>
      <c r="AA8" s="18">
        <f t="shared" ref="AA8:AA27" si="4">AF8/W8*100</f>
        <v>59</v>
      </c>
      <c r="AB8" s="18">
        <f t="shared" ref="AB8:AB27" si="5">AG8/W8*100</f>
        <v>0.375</v>
      </c>
      <c r="AC8" s="16"/>
      <c r="AD8" s="20">
        <v>797</v>
      </c>
      <c r="AE8" s="20">
        <v>178</v>
      </c>
      <c r="AF8" s="20">
        <v>1416</v>
      </c>
      <c r="AG8" s="21">
        <v>9</v>
      </c>
    </row>
    <row r="9" spans="1:33">
      <c r="A9" s="37" t="s">
        <v>9</v>
      </c>
      <c r="B9" s="14">
        <f t="shared" ref="B9:H9" si="6">SUM(B10:B29)</f>
        <v>32087</v>
      </c>
      <c r="C9" s="14"/>
      <c r="D9" s="14">
        <f t="shared" si="6"/>
        <v>6276</v>
      </c>
      <c r="E9" s="14">
        <f t="shared" si="6"/>
        <v>1675</v>
      </c>
      <c r="F9" s="14">
        <f t="shared" si="6"/>
        <v>23308</v>
      </c>
      <c r="G9" s="14">
        <f t="shared" si="6"/>
        <v>147</v>
      </c>
      <c r="H9" s="14">
        <f t="shared" si="6"/>
        <v>681</v>
      </c>
      <c r="I9" s="15" t="s">
        <v>10</v>
      </c>
      <c r="W9" s="30">
        <f t="shared" si="1"/>
        <v>2952</v>
      </c>
      <c r="X9" s="16" t="s">
        <v>13</v>
      </c>
      <c r="Y9" s="18">
        <f t="shared" si="2"/>
        <v>42.344173441734419</v>
      </c>
      <c r="Z9" s="18">
        <f t="shared" si="3"/>
        <v>3.1842818428184283</v>
      </c>
      <c r="AA9" s="18">
        <f t="shared" si="4"/>
        <v>54.200542005420047</v>
      </c>
      <c r="AB9" s="18">
        <f t="shared" si="5"/>
        <v>0.27100271002710025</v>
      </c>
      <c r="AC9" s="16"/>
      <c r="AD9" s="20">
        <v>1250</v>
      </c>
      <c r="AE9" s="20">
        <v>94</v>
      </c>
      <c r="AF9" s="20">
        <v>1600</v>
      </c>
      <c r="AG9" s="21">
        <v>8</v>
      </c>
    </row>
    <row r="10" spans="1:33">
      <c r="A10" s="38" t="s">
        <v>11</v>
      </c>
      <c r="B10" s="21">
        <f>SUM(D10:H10)</f>
        <v>2425</v>
      </c>
      <c r="C10" s="21"/>
      <c r="D10" s="21">
        <v>797</v>
      </c>
      <c r="E10" s="21">
        <v>178</v>
      </c>
      <c r="F10" s="21">
        <v>1416</v>
      </c>
      <c r="G10" s="21">
        <v>9</v>
      </c>
      <c r="H10" s="21">
        <v>25</v>
      </c>
      <c r="I10" s="22" t="s">
        <v>12</v>
      </c>
      <c r="W10" s="30">
        <f t="shared" si="1"/>
        <v>2081</v>
      </c>
      <c r="X10" s="16" t="s">
        <v>15</v>
      </c>
      <c r="Y10" s="18">
        <f t="shared" si="2"/>
        <v>28.976453628063432</v>
      </c>
      <c r="Z10" s="18">
        <f t="shared" si="3"/>
        <v>2.0182604517059106</v>
      </c>
      <c r="AA10" s="18">
        <f t="shared" si="4"/>
        <v>68.765016818837097</v>
      </c>
      <c r="AB10" s="18">
        <f t="shared" si="5"/>
        <v>0.24026910139356081</v>
      </c>
      <c r="AC10" s="16"/>
      <c r="AD10" s="20">
        <v>603</v>
      </c>
      <c r="AE10" s="20">
        <v>42</v>
      </c>
      <c r="AF10" s="20">
        <v>1431</v>
      </c>
      <c r="AG10" s="21">
        <v>5</v>
      </c>
    </row>
    <row r="11" spans="1:33">
      <c r="A11" s="38" t="s">
        <v>13</v>
      </c>
      <c r="B11" s="21">
        <f t="shared" ref="B11:B28" si="7">SUM(D11:H11)</f>
        <v>2988</v>
      </c>
      <c r="C11" s="21"/>
      <c r="D11" s="21">
        <v>1250</v>
      </c>
      <c r="E11" s="21">
        <v>94</v>
      </c>
      <c r="F11" s="21">
        <v>1600</v>
      </c>
      <c r="G11" s="21">
        <v>8</v>
      </c>
      <c r="H11" s="21">
        <v>36</v>
      </c>
      <c r="I11" s="22" t="s">
        <v>14</v>
      </c>
      <c r="W11" s="30">
        <f t="shared" si="1"/>
        <v>1768</v>
      </c>
      <c r="X11" s="16" t="s">
        <v>17</v>
      </c>
      <c r="Y11" s="18">
        <f t="shared" si="2"/>
        <v>24.264705882352942</v>
      </c>
      <c r="Z11" s="18">
        <f t="shared" si="3"/>
        <v>3.8461538461538463</v>
      </c>
      <c r="AA11" s="18">
        <f t="shared" si="4"/>
        <v>71.266968325791851</v>
      </c>
      <c r="AB11" s="18">
        <f t="shared" si="5"/>
        <v>0.62217194570135748</v>
      </c>
      <c r="AC11" s="16"/>
      <c r="AD11" s="20">
        <v>429</v>
      </c>
      <c r="AE11" s="20">
        <v>68</v>
      </c>
      <c r="AF11" s="20">
        <v>1260</v>
      </c>
      <c r="AG11" s="21">
        <v>11</v>
      </c>
    </row>
    <row r="12" spans="1:33">
      <c r="A12" s="38" t="s">
        <v>15</v>
      </c>
      <c r="B12" s="21">
        <f t="shared" si="7"/>
        <v>2099</v>
      </c>
      <c r="C12" s="21"/>
      <c r="D12" s="21">
        <v>603</v>
      </c>
      <c r="E12" s="21">
        <v>42</v>
      </c>
      <c r="F12" s="21">
        <v>1431</v>
      </c>
      <c r="G12" s="21">
        <v>5</v>
      </c>
      <c r="H12" s="21">
        <v>18</v>
      </c>
      <c r="I12" s="22" t="s">
        <v>16</v>
      </c>
      <c r="W12" s="30">
        <f t="shared" si="1"/>
        <v>2515</v>
      </c>
      <c r="X12" s="16" t="s">
        <v>19</v>
      </c>
      <c r="Y12" s="18">
        <f t="shared" si="2"/>
        <v>23.538767395626241</v>
      </c>
      <c r="Z12" s="18">
        <f t="shared" si="3"/>
        <v>2.9025844930417497</v>
      </c>
      <c r="AA12" s="18">
        <f t="shared" si="4"/>
        <v>72.723658051689867</v>
      </c>
      <c r="AB12" s="18">
        <f t="shared" si="5"/>
        <v>0.83499005964214712</v>
      </c>
      <c r="AC12" s="16"/>
      <c r="AD12" s="20">
        <v>592</v>
      </c>
      <c r="AE12" s="20">
        <v>73</v>
      </c>
      <c r="AF12" s="20">
        <v>1829</v>
      </c>
      <c r="AG12" s="21">
        <v>21</v>
      </c>
    </row>
    <row r="13" spans="1:33">
      <c r="A13" s="38" t="s">
        <v>17</v>
      </c>
      <c r="B13" s="21">
        <f t="shared" si="7"/>
        <v>1811</v>
      </c>
      <c r="C13" s="21"/>
      <c r="D13" s="21">
        <v>429</v>
      </c>
      <c r="E13" s="21">
        <v>68</v>
      </c>
      <c r="F13" s="21">
        <v>1260</v>
      </c>
      <c r="G13" s="21">
        <v>11</v>
      </c>
      <c r="H13" s="21">
        <v>43</v>
      </c>
      <c r="I13" s="22" t="s">
        <v>18</v>
      </c>
      <c r="W13" s="30">
        <f t="shared" si="1"/>
        <v>1515</v>
      </c>
      <c r="X13" s="16" t="s">
        <v>21</v>
      </c>
      <c r="Y13" s="18">
        <f t="shared" si="2"/>
        <v>17.557755775577558</v>
      </c>
      <c r="Z13" s="18">
        <f t="shared" si="3"/>
        <v>2.5742574257425743</v>
      </c>
      <c r="AA13" s="18">
        <f t="shared" si="4"/>
        <v>79.471947194719476</v>
      </c>
      <c r="AB13" s="18">
        <f t="shared" si="5"/>
        <v>0.39603960396039606</v>
      </c>
      <c r="AC13" s="16"/>
      <c r="AD13" s="20">
        <v>266</v>
      </c>
      <c r="AE13" s="20">
        <v>39</v>
      </c>
      <c r="AF13" s="20">
        <v>1204</v>
      </c>
      <c r="AG13" s="21">
        <v>6</v>
      </c>
    </row>
    <row r="14" spans="1:33">
      <c r="A14" s="38" t="s">
        <v>19</v>
      </c>
      <c r="B14" s="21">
        <f t="shared" si="7"/>
        <v>2538</v>
      </c>
      <c r="C14" s="21"/>
      <c r="D14" s="21">
        <v>592</v>
      </c>
      <c r="E14" s="21">
        <v>73</v>
      </c>
      <c r="F14" s="21">
        <v>1829</v>
      </c>
      <c r="G14" s="21">
        <v>21</v>
      </c>
      <c r="H14" s="21">
        <v>23</v>
      </c>
      <c r="I14" s="22" t="s">
        <v>20</v>
      </c>
      <c r="W14" s="30">
        <f t="shared" si="1"/>
        <v>1419</v>
      </c>
      <c r="X14" s="16" t="s">
        <v>23</v>
      </c>
      <c r="Y14" s="18">
        <f t="shared" si="2"/>
        <v>9.9365750528541223</v>
      </c>
      <c r="Z14" s="18">
        <f t="shared" si="3"/>
        <v>18.2522903453136</v>
      </c>
      <c r="AA14" s="18">
        <f t="shared" si="4"/>
        <v>70.965468639887234</v>
      </c>
      <c r="AB14" s="18">
        <f t="shared" si="5"/>
        <v>0.84566596194503174</v>
      </c>
      <c r="AC14" s="16"/>
      <c r="AD14" s="20">
        <v>141</v>
      </c>
      <c r="AE14" s="20">
        <v>259</v>
      </c>
      <c r="AF14" s="20">
        <v>1007</v>
      </c>
      <c r="AG14" s="21">
        <v>12</v>
      </c>
    </row>
    <row r="15" spans="1:33">
      <c r="A15" s="38" t="s">
        <v>21</v>
      </c>
      <c r="B15" s="21">
        <f t="shared" si="7"/>
        <v>1552</v>
      </c>
      <c r="C15" s="21"/>
      <c r="D15" s="21">
        <v>266</v>
      </c>
      <c r="E15" s="21">
        <v>39</v>
      </c>
      <c r="F15" s="21">
        <v>1204</v>
      </c>
      <c r="G15" s="21">
        <v>6</v>
      </c>
      <c r="H15" s="21">
        <v>37</v>
      </c>
      <c r="I15" s="22" t="s">
        <v>22</v>
      </c>
      <c r="W15" s="30">
        <f t="shared" si="1"/>
        <v>1461</v>
      </c>
      <c r="X15" s="16" t="s">
        <v>25</v>
      </c>
      <c r="Y15" s="18">
        <f t="shared" si="2"/>
        <v>7.1184120465434635</v>
      </c>
      <c r="Z15" s="18">
        <f t="shared" si="3"/>
        <v>4.1067761806981515</v>
      </c>
      <c r="AA15" s="18">
        <f t="shared" si="4"/>
        <v>88.021902806297064</v>
      </c>
      <c r="AB15" s="18">
        <f t="shared" si="5"/>
        <v>0.75290896646132788</v>
      </c>
      <c r="AC15" s="16"/>
      <c r="AD15" s="20">
        <v>104</v>
      </c>
      <c r="AE15" s="20">
        <v>60</v>
      </c>
      <c r="AF15" s="20">
        <v>1286</v>
      </c>
      <c r="AG15" s="21">
        <v>11</v>
      </c>
    </row>
    <row r="16" spans="1:33">
      <c r="A16" s="38" t="s">
        <v>23</v>
      </c>
      <c r="B16" s="21">
        <f t="shared" si="7"/>
        <v>1449</v>
      </c>
      <c r="C16" s="21"/>
      <c r="D16" s="21">
        <v>141</v>
      </c>
      <c r="E16" s="21">
        <v>259</v>
      </c>
      <c r="F16" s="21">
        <v>1007</v>
      </c>
      <c r="G16" s="21">
        <v>12</v>
      </c>
      <c r="H16" s="21">
        <v>30</v>
      </c>
      <c r="I16" s="22" t="s">
        <v>24</v>
      </c>
      <c r="W16" s="30">
        <f t="shared" si="1"/>
        <v>753</v>
      </c>
      <c r="X16" s="16" t="s">
        <v>27</v>
      </c>
      <c r="Y16" s="18">
        <f t="shared" si="2"/>
        <v>11.155378486055776</v>
      </c>
      <c r="Z16" s="18">
        <f t="shared" si="3"/>
        <v>3.1872509960159361</v>
      </c>
      <c r="AA16" s="18">
        <f t="shared" si="4"/>
        <v>85.391766268260298</v>
      </c>
      <c r="AB16" s="18">
        <f t="shared" si="5"/>
        <v>0.26560424966799467</v>
      </c>
      <c r="AC16" s="16"/>
      <c r="AD16" s="20">
        <v>84</v>
      </c>
      <c r="AE16" s="20">
        <v>24</v>
      </c>
      <c r="AF16" s="20">
        <v>643</v>
      </c>
      <c r="AG16" s="21">
        <v>2</v>
      </c>
    </row>
    <row r="17" spans="1:33">
      <c r="A17" s="38" t="s">
        <v>25</v>
      </c>
      <c r="B17" s="21">
        <f t="shared" si="7"/>
        <v>1526</v>
      </c>
      <c r="C17" s="21"/>
      <c r="D17" s="21">
        <v>104</v>
      </c>
      <c r="E17" s="21">
        <v>60</v>
      </c>
      <c r="F17" s="21">
        <v>1286</v>
      </c>
      <c r="G17" s="21">
        <v>11</v>
      </c>
      <c r="H17" s="21">
        <v>65</v>
      </c>
      <c r="I17" s="22" t="s">
        <v>26</v>
      </c>
      <c r="W17" s="30">
        <f t="shared" si="1"/>
        <v>1024</v>
      </c>
      <c r="X17" s="16" t="s">
        <v>29</v>
      </c>
      <c r="Y17" s="18">
        <f t="shared" si="2"/>
        <v>13.18359375</v>
      </c>
      <c r="Z17" s="18">
        <f t="shared" si="3"/>
        <v>1.85546875</v>
      </c>
      <c r="AA17" s="18">
        <f t="shared" si="4"/>
        <v>84.27734375</v>
      </c>
      <c r="AB17" s="18">
        <f t="shared" si="5"/>
        <v>0.68359375</v>
      </c>
      <c r="AC17" s="16"/>
      <c r="AD17" s="20">
        <v>135</v>
      </c>
      <c r="AE17" s="20">
        <v>19</v>
      </c>
      <c r="AF17" s="20">
        <v>863</v>
      </c>
      <c r="AG17" s="21">
        <v>7</v>
      </c>
    </row>
    <row r="18" spans="1:33">
      <c r="A18" s="38" t="s">
        <v>27</v>
      </c>
      <c r="B18" s="21">
        <f t="shared" si="7"/>
        <v>774</v>
      </c>
      <c r="C18" s="21"/>
      <c r="D18" s="21">
        <v>84</v>
      </c>
      <c r="E18" s="21">
        <v>24</v>
      </c>
      <c r="F18" s="21">
        <v>643</v>
      </c>
      <c r="G18" s="21">
        <v>2</v>
      </c>
      <c r="H18" s="21">
        <v>21</v>
      </c>
      <c r="I18" s="22" t="s">
        <v>28</v>
      </c>
      <c r="W18" s="30">
        <f t="shared" si="1"/>
        <v>257</v>
      </c>
      <c r="X18" s="16" t="s">
        <v>31</v>
      </c>
      <c r="Y18" s="18">
        <f t="shared" si="2"/>
        <v>26.459143968871597</v>
      </c>
      <c r="Z18" s="18">
        <f t="shared" si="3"/>
        <v>10.505836575875486</v>
      </c>
      <c r="AA18" s="18">
        <f t="shared" si="4"/>
        <v>63.035019455252915</v>
      </c>
      <c r="AB18" s="18">
        <f t="shared" si="5"/>
        <v>0</v>
      </c>
      <c r="AC18" s="16"/>
      <c r="AD18" s="20">
        <v>68</v>
      </c>
      <c r="AE18" s="20">
        <v>27</v>
      </c>
      <c r="AF18" s="20">
        <v>162</v>
      </c>
      <c r="AG18" s="21">
        <v>0</v>
      </c>
    </row>
    <row r="19" spans="1:33">
      <c r="A19" s="38" t="s">
        <v>29</v>
      </c>
      <c r="B19" s="21">
        <f t="shared" si="7"/>
        <v>1060</v>
      </c>
      <c r="C19" s="21"/>
      <c r="D19" s="21">
        <v>135</v>
      </c>
      <c r="E19" s="21">
        <v>19</v>
      </c>
      <c r="F19" s="21">
        <v>863</v>
      </c>
      <c r="G19" s="21">
        <v>7</v>
      </c>
      <c r="H19" s="21">
        <v>36</v>
      </c>
      <c r="I19" s="22" t="s">
        <v>30</v>
      </c>
      <c r="W19" s="30">
        <f t="shared" si="1"/>
        <v>785</v>
      </c>
      <c r="X19" s="16" t="s">
        <v>33</v>
      </c>
      <c r="Y19" s="18">
        <f t="shared" si="2"/>
        <v>10.70063694267516</v>
      </c>
      <c r="Z19" s="18">
        <f t="shared" si="3"/>
        <v>3.6942675159235669</v>
      </c>
      <c r="AA19" s="18">
        <f t="shared" si="4"/>
        <v>85.350318471337587</v>
      </c>
      <c r="AB19" s="18">
        <f t="shared" si="5"/>
        <v>0.25477707006369427</v>
      </c>
      <c r="AC19" s="16"/>
      <c r="AD19" s="20">
        <v>84</v>
      </c>
      <c r="AE19" s="20">
        <v>29</v>
      </c>
      <c r="AF19" s="20">
        <v>670</v>
      </c>
      <c r="AG19" s="21">
        <v>2</v>
      </c>
    </row>
    <row r="20" spans="1:33">
      <c r="A20" s="38" t="s">
        <v>31</v>
      </c>
      <c r="B20" s="21">
        <f t="shared" si="7"/>
        <v>260</v>
      </c>
      <c r="C20" s="21"/>
      <c r="D20" s="21">
        <v>68</v>
      </c>
      <c r="E20" s="21">
        <v>27</v>
      </c>
      <c r="F20" s="21">
        <v>162</v>
      </c>
      <c r="G20" s="21">
        <v>0</v>
      </c>
      <c r="H20" s="21">
        <v>3</v>
      </c>
      <c r="I20" s="22" t="s">
        <v>32</v>
      </c>
      <c r="W20" s="30">
        <f t="shared" si="1"/>
        <v>558</v>
      </c>
      <c r="X20" s="16" t="s">
        <v>35</v>
      </c>
      <c r="Y20" s="18">
        <f t="shared" si="2"/>
        <v>22.043010752688172</v>
      </c>
      <c r="Z20" s="18">
        <f t="shared" si="3"/>
        <v>1.2544802867383513</v>
      </c>
      <c r="AA20" s="18">
        <f t="shared" si="4"/>
        <v>76.702508960573482</v>
      </c>
      <c r="AB20" s="18">
        <f t="shared" si="5"/>
        <v>0</v>
      </c>
      <c r="AC20" s="16"/>
      <c r="AD20" s="20">
        <v>123</v>
      </c>
      <c r="AE20" s="20">
        <v>7</v>
      </c>
      <c r="AF20" s="20">
        <v>428</v>
      </c>
      <c r="AG20" s="21">
        <v>0</v>
      </c>
    </row>
    <row r="21" spans="1:33">
      <c r="A21" s="38" t="s">
        <v>33</v>
      </c>
      <c r="B21" s="21">
        <f t="shared" si="7"/>
        <v>793</v>
      </c>
      <c r="C21" s="21"/>
      <c r="D21" s="21">
        <v>84</v>
      </c>
      <c r="E21" s="21">
        <v>29</v>
      </c>
      <c r="F21" s="21">
        <v>670</v>
      </c>
      <c r="G21" s="21">
        <v>2</v>
      </c>
      <c r="H21" s="21">
        <v>8</v>
      </c>
      <c r="I21" s="22" t="s">
        <v>34</v>
      </c>
      <c r="W21" s="30">
        <f t="shared" si="1"/>
        <v>758</v>
      </c>
      <c r="X21" s="16" t="s">
        <v>37</v>
      </c>
      <c r="Y21" s="18">
        <f t="shared" si="2"/>
        <v>18.073878627968337</v>
      </c>
      <c r="Z21" s="18">
        <f t="shared" si="3"/>
        <v>3.6939313984168867</v>
      </c>
      <c r="AA21" s="18">
        <f t="shared" si="4"/>
        <v>77.836411609498683</v>
      </c>
      <c r="AB21" s="18">
        <f t="shared" si="5"/>
        <v>0.39577836411609502</v>
      </c>
      <c r="AC21" s="16"/>
      <c r="AD21" s="20">
        <v>137</v>
      </c>
      <c r="AE21" s="20">
        <v>28</v>
      </c>
      <c r="AF21" s="20">
        <v>590</v>
      </c>
      <c r="AG21" s="21">
        <v>3</v>
      </c>
    </row>
    <row r="22" spans="1:33">
      <c r="A22" s="38" t="s">
        <v>35</v>
      </c>
      <c r="B22" s="21">
        <f t="shared" si="7"/>
        <v>567</v>
      </c>
      <c r="C22" s="21"/>
      <c r="D22" s="21">
        <v>123</v>
      </c>
      <c r="E22" s="21">
        <v>7</v>
      </c>
      <c r="F22" s="21">
        <v>428</v>
      </c>
      <c r="G22" s="21">
        <v>0</v>
      </c>
      <c r="H22" s="21">
        <v>9</v>
      </c>
      <c r="I22" s="22" t="s">
        <v>36</v>
      </c>
      <c r="W22" s="30">
        <f t="shared" si="1"/>
        <v>1392</v>
      </c>
      <c r="X22" s="16" t="s">
        <v>39</v>
      </c>
      <c r="Y22" s="18">
        <f t="shared" si="2"/>
        <v>17.456896551724139</v>
      </c>
      <c r="Z22" s="18">
        <f t="shared" si="3"/>
        <v>3.0172413793103448</v>
      </c>
      <c r="AA22" s="18">
        <f t="shared" si="4"/>
        <v>79.238505747126439</v>
      </c>
      <c r="AB22" s="18">
        <f t="shared" si="5"/>
        <v>0.28735632183908044</v>
      </c>
      <c r="AC22" s="16"/>
      <c r="AD22" s="20">
        <v>243</v>
      </c>
      <c r="AE22" s="20">
        <v>42</v>
      </c>
      <c r="AF22" s="20">
        <v>1103</v>
      </c>
      <c r="AG22" s="21">
        <v>4</v>
      </c>
    </row>
    <row r="23" spans="1:33">
      <c r="A23" s="38" t="s">
        <v>37</v>
      </c>
      <c r="B23" s="21">
        <f t="shared" si="7"/>
        <v>768</v>
      </c>
      <c r="C23" s="21"/>
      <c r="D23" s="21">
        <v>137</v>
      </c>
      <c r="E23" s="21">
        <v>28</v>
      </c>
      <c r="F23" s="21">
        <v>590</v>
      </c>
      <c r="G23" s="21">
        <v>3</v>
      </c>
      <c r="H23" s="21">
        <v>10</v>
      </c>
      <c r="I23" s="22" t="s">
        <v>38</v>
      </c>
      <c r="W23" s="30">
        <f t="shared" si="1"/>
        <v>1885</v>
      </c>
      <c r="X23" s="16" t="s">
        <v>24</v>
      </c>
      <c r="Y23" s="18">
        <f t="shared" si="2"/>
        <v>10.875331564986737</v>
      </c>
      <c r="Z23" s="18">
        <f t="shared" si="3"/>
        <v>2.8116710875331563</v>
      </c>
      <c r="AA23" s="18">
        <f t="shared" si="4"/>
        <v>85.9946949602122</v>
      </c>
      <c r="AB23" s="18">
        <f t="shared" si="5"/>
        <v>0.3183023872679045</v>
      </c>
      <c r="AC23" s="16"/>
      <c r="AD23" s="20">
        <v>205</v>
      </c>
      <c r="AE23" s="20">
        <v>53</v>
      </c>
      <c r="AF23" s="20">
        <v>1621</v>
      </c>
      <c r="AG23" s="21">
        <v>6</v>
      </c>
    </row>
    <row r="24" spans="1:33">
      <c r="A24" s="38" t="s">
        <v>39</v>
      </c>
      <c r="B24" s="21">
        <f t="shared" si="7"/>
        <v>1454</v>
      </c>
      <c r="C24" s="21"/>
      <c r="D24" s="21">
        <v>243</v>
      </c>
      <c r="E24" s="21">
        <v>42</v>
      </c>
      <c r="F24" s="21">
        <v>1103</v>
      </c>
      <c r="G24" s="21">
        <v>4</v>
      </c>
      <c r="H24" s="21">
        <v>62</v>
      </c>
      <c r="I24" s="22" t="s">
        <v>40</v>
      </c>
      <c r="W24" s="30">
        <f t="shared" si="1"/>
        <v>1438</v>
      </c>
      <c r="X24" s="16" t="s">
        <v>42</v>
      </c>
      <c r="Y24" s="18">
        <f t="shared" si="2"/>
        <v>9.8052851182197482</v>
      </c>
      <c r="Z24" s="18">
        <f t="shared" si="3"/>
        <v>6.3977746870653691</v>
      </c>
      <c r="AA24" s="18">
        <f t="shared" si="4"/>
        <v>82.962447844228095</v>
      </c>
      <c r="AB24" s="18">
        <f t="shared" si="5"/>
        <v>0.83449235048678716</v>
      </c>
      <c r="AC24" s="16"/>
      <c r="AD24" s="20">
        <v>141</v>
      </c>
      <c r="AE24" s="20">
        <v>92</v>
      </c>
      <c r="AF24" s="20">
        <v>1193</v>
      </c>
      <c r="AG24" s="21">
        <v>12</v>
      </c>
    </row>
    <row r="25" spans="1:33">
      <c r="A25" s="38" t="s">
        <v>24</v>
      </c>
      <c r="B25" s="21">
        <f t="shared" si="7"/>
        <v>1970</v>
      </c>
      <c r="C25" s="21"/>
      <c r="D25" s="21">
        <v>205</v>
      </c>
      <c r="E25" s="21">
        <v>53</v>
      </c>
      <c r="F25" s="21">
        <v>1621</v>
      </c>
      <c r="G25" s="21">
        <v>6</v>
      </c>
      <c r="H25" s="21">
        <v>85</v>
      </c>
      <c r="I25" s="22" t="s">
        <v>41</v>
      </c>
      <c r="W25" s="30">
        <f t="shared" si="1"/>
        <v>2091</v>
      </c>
      <c r="X25" s="16" t="s">
        <v>44</v>
      </c>
      <c r="Y25" s="18">
        <f t="shared" si="2"/>
        <v>19.512195121951219</v>
      </c>
      <c r="Z25" s="18">
        <f t="shared" si="3"/>
        <v>7.2214251554280251</v>
      </c>
      <c r="AA25" s="18">
        <f t="shared" si="4"/>
        <v>72.979435676709699</v>
      </c>
      <c r="AB25" s="18">
        <f t="shared" si="5"/>
        <v>0.28694404591104739</v>
      </c>
      <c r="AC25" s="16"/>
      <c r="AD25" s="20">
        <v>408</v>
      </c>
      <c r="AE25" s="20">
        <v>151</v>
      </c>
      <c r="AF25" s="20">
        <v>1526</v>
      </c>
      <c r="AG25" s="21">
        <v>6</v>
      </c>
    </row>
    <row r="26" spans="1:33">
      <c r="A26" s="38" t="s">
        <v>42</v>
      </c>
      <c r="B26" s="21">
        <f t="shared" si="7"/>
        <v>1472</v>
      </c>
      <c r="C26" s="21"/>
      <c r="D26" s="21">
        <v>141</v>
      </c>
      <c r="E26" s="21">
        <v>92</v>
      </c>
      <c r="F26" s="21">
        <v>1193</v>
      </c>
      <c r="G26" s="21">
        <v>12</v>
      </c>
      <c r="H26" s="21">
        <v>34</v>
      </c>
      <c r="I26" s="22" t="s">
        <v>43</v>
      </c>
      <c r="W26" s="30">
        <f t="shared" si="1"/>
        <v>1296</v>
      </c>
      <c r="X26" s="16" t="s">
        <v>46</v>
      </c>
      <c r="Y26" s="18">
        <f t="shared" si="2"/>
        <v>7.6388888888888893</v>
      </c>
      <c r="Z26" s="18">
        <f t="shared" si="3"/>
        <v>3.9351851851851851</v>
      </c>
      <c r="AA26" s="18">
        <f t="shared" si="4"/>
        <v>87.885802469135797</v>
      </c>
      <c r="AB26" s="18">
        <f t="shared" si="5"/>
        <v>0.54012345679012341</v>
      </c>
      <c r="AC26" s="16"/>
      <c r="AD26" s="20">
        <v>99</v>
      </c>
      <c r="AE26" s="20">
        <v>51</v>
      </c>
      <c r="AF26" s="20">
        <v>1139</v>
      </c>
      <c r="AG26" s="21">
        <v>7</v>
      </c>
    </row>
    <row r="27" spans="1:33">
      <c r="A27" s="38" t="s">
        <v>44</v>
      </c>
      <c r="B27" s="21">
        <f t="shared" si="7"/>
        <v>2145</v>
      </c>
      <c r="C27" s="21"/>
      <c r="D27" s="21">
        <v>408</v>
      </c>
      <c r="E27" s="21">
        <v>151</v>
      </c>
      <c r="F27" s="21">
        <v>1526</v>
      </c>
      <c r="G27" s="21">
        <v>6</v>
      </c>
      <c r="H27" s="21">
        <v>54</v>
      </c>
      <c r="I27" s="22" t="s">
        <v>45</v>
      </c>
      <c r="W27" s="30">
        <f t="shared" si="1"/>
        <v>3058</v>
      </c>
      <c r="X27" s="23" t="s">
        <v>16</v>
      </c>
      <c r="Y27" s="31">
        <f t="shared" si="2"/>
        <v>12.001308044473511</v>
      </c>
      <c r="Z27" s="31">
        <f t="shared" si="3"/>
        <v>11.085676913015043</v>
      </c>
      <c r="AA27" s="31">
        <f t="shared" si="4"/>
        <v>76.422498364944417</v>
      </c>
      <c r="AB27" s="31">
        <f t="shared" si="5"/>
        <v>0.49051667756703726</v>
      </c>
      <c r="AC27" s="23"/>
      <c r="AD27" s="24">
        <v>367</v>
      </c>
      <c r="AE27" s="24">
        <v>339</v>
      </c>
      <c r="AF27" s="24">
        <v>2337</v>
      </c>
      <c r="AG27" s="25">
        <v>15</v>
      </c>
    </row>
    <row r="28" spans="1:33">
      <c r="A28" s="38" t="s">
        <v>46</v>
      </c>
      <c r="B28" s="21">
        <f t="shared" si="7"/>
        <v>1332</v>
      </c>
      <c r="C28" s="21"/>
      <c r="D28" s="21">
        <v>99</v>
      </c>
      <c r="E28" s="21">
        <v>51</v>
      </c>
      <c r="F28" s="21">
        <v>1139</v>
      </c>
      <c r="G28" s="21">
        <v>7</v>
      </c>
      <c r="H28" s="21">
        <v>36</v>
      </c>
      <c r="I28" s="22" t="s">
        <v>17</v>
      </c>
    </row>
    <row r="29" spans="1:33">
      <c r="A29" s="39" t="s">
        <v>16</v>
      </c>
      <c r="B29" s="25">
        <f>SUM(D29:H29)</f>
        <v>3104</v>
      </c>
      <c r="C29" s="25"/>
      <c r="D29" s="25">
        <v>367</v>
      </c>
      <c r="E29" s="25">
        <v>339</v>
      </c>
      <c r="F29" s="25">
        <v>2337</v>
      </c>
      <c r="G29" s="25">
        <v>15</v>
      </c>
      <c r="H29" s="25">
        <v>46</v>
      </c>
      <c r="I29" s="26" t="s">
        <v>47</v>
      </c>
    </row>
    <row r="30" spans="1:33" ht="17.25">
      <c r="A30" s="32" t="s">
        <v>48</v>
      </c>
      <c r="I30" s="29" t="s">
        <v>62</v>
      </c>
    </row>
    <row r="40" spans="19:20">
      <c r="S40" s="27"/>
    </row>
    <row r="41" spans="19:20">
      <c r="T41" s="28"/>
    </row>
  </sheetData>
  <mergeCells count="3">
    <mergeCell ref="A1:I1"/>
    <mergeCell ref="A2:I2"/>
    <mergeCell ref="B4:B5"/>
  </mergeCells>
  <pageMargins left="0.3" right="0.17" top="0.75" bottom="0.69" header="0.3" footer="0.3"/>
  <pageSetup scale="97" orientation="portrait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2.8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2013-07-02T05:48:06Z</cp:lastPrinted>
  <dcterms:created xsi:type="dcterms:W3CDTF">2013-04-22T05:31:10Z</dcterms:created>
  <dcterms:modified xsi:type="dcterms:W3CDTF">2013-07-02T05:53:40Z</dcterms:modified>
</cp:coreProperties>
</file>