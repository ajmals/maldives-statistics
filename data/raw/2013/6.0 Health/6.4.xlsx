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4" sheetId="5" r:id="rId1"/>
  </sheets>
  <definedNames>
    <definedName name="_xlnm.Print_Area" localSheetId="0">'6.4'!$A$1:$J$32</definedName>
  </definedNames>
  <calcPr calcId="124519"/>
</workbook>
</file>

<file path=xl/calcChain.xml><?xml version="1.0" encoding="utf-8"?>
<calcChain xmlns="http://schemas.openxmlformats.org/spreadsheetml/2006/main">
  <c r="C8" i="5"/>
  <c r="D8"/>
  <c r="E8"/>
  <c r="F8"/>
  <c r="G8"/>
  <c r="H8"/>
  <c r="I8"/>
  <c r="B8"/>
  <c r="C14"/>
  <c r="D14"/>
  <c r="E14"/>
  <c r="F14"/>
  <c r="G14"/>
  <c r="H14"/>
  <c r="I14"/>
  <c r="B14"/>
  <c r="N30" l="1"/>
</calcChain>
</file>

<file path=xl/sharedStrings.xml><?xml version="1.0" encoding="utf-8"?>
<sst xmlns="http://schemas.openxmlformats.org/spreadsheetml/2006/main" count="26" uniqueCount="17">
  <si>
    <t>2012-2005 ,cnuhIm unuvedWvurwf cnegiawbcaitiawb iawgulwTipcsoh clwairOmem IdcnWgWridcnia : 6.4 ulwvWt</t>
  </si>
  <si>
    <t>Table 6.4 : IN - PATIENT HEALTH CARE IN INDIRA GANDHI MEMORIAL HOSPITAL,  2005-2012</t>
  </si>
  <si>
    <t>ctwvWb  clIBcfwt</t>
  </si>
  <si>
    <t>In-patients</t>
  </si>
  <si>
    <t>cnuhImilwb unubcaitEb iawgulwTipcsoh</t>
  </si>
  <si>
    <t>In-patient Days</t>
  </si>
  <si>
    <t>udwdwA eguhwvud ivwdEh cnuhImilwb</t>
  </si>
  <si>
    <t>utwdcaum ctoa iawgulwTipcsoh cSokcjercvea</t>
  </si>
  <si>
    <t>Average Occupancy Ratio</t>
  </si>
  <si>
    <t>urwvcnim unubcaitEb cnuhIm cSokcjercvea cnutwbcsin egudnea</t>
  </si>
  <si>
    <t>Source: Indira Gandhi Memorial Hospital</t>
  </si>
  <si>
    <t>clwTipcsoh clwairOmem IdcnWg Wridcnia :ctWrwf ivcaedutWmUluAwm</t>
  </si>
  <si>
    <t>Average Duration of Stay</t>
  </si>
  <si>
    <t>Indira Gandhi Memorial Hospital</t>
  </si>
  <si>
    <t>Villingili Health Centre</t>
  </si>
  <si>
    <t>ވިލިނގިލީ ޞިއްޙީ މަރުކަޒު</t>
  </si>
  <si>
    <t>clwTipcsoh clwairOmem IdcnWg Wridcnia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</si>
</sst>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#,##0.0"/>
    <numFmt numFmtId="167" formatCode="0.0"/>
    <numFmt numFmtId="170" formatCode="#,##0.0_);[Red]\(#,##0.0\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10"/>
      <name val="A_Randhoo"/>
    </font>
    <font>
      <sz val="9"/>
      <name val="Arial"/>
      <family val="2"/>
    </font>
    <font>
      <i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2"/>
      <name val="A_Randhoo"/>
    </font>
    <font>
      <sz val="10"/>
      <color theme="1"/>
      <name val="Arial"/>
      <family val="2"/>
    </font>
    <font>
      <sz val="10"/>
      <color theme="1"/>
      <name val="A_Randhoo"/>
    </font>
    <font>
      <sz val="10"/>
      <color theme="1"/>
      <name val="Calibri"/>
      <family val="2"/>
      <scheme val="minor"/>
    </font>
    <font>
      <b/>
      <sz val="9"/>
      <name val="Faruma"/>
    </font>
    <font>
      <b/>
      <sz val="9"/>
      <name val="Calibri"/>
      <family val="2"/>
      <scheme val="minor"/>
    </font>
    <font>
      <sz val="10.5"/>
      <color theme="1"/>
      <name val="Faruma"/>
    </font>
    <font>
      <sz val="10.5"/>
      <name val="Faruma"/>
    </font>
    <font>
      <sz val="9"/>
      <color theme="1"/>
      <name val="Faruma"/>
    </font>
    <font>
      <sz val="10"/>
      <color rgb="FFFF0000"/>
      <name val="Calibri"/>
      <family val="2"/>
      <scheme val="minor"/>
    </font>
    <font>
      <sz val="10"/>
      <color rgb="FFFF0000"/>
      <name val="A_Randhoo"/>
    </font>
    <font>
      <sz val="10.5"/>
      <color rgb="FFFF0000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5" fillId="0" borderId="0"/>
    <xf numFmtId="164" fontId="5" fillId="0" borderId="0"/>
    <xf numFmtId="0" fontId="1" fillId="0" borderId="0"/>
    <xf numFmtId="164" fontId="5" fillId="0" borderId="0"/>
  </cellStyleXfs>
  <cellXfs count="67">
    <xf numFmtId="0" fontId="0" fillId="0" borderId="0" xfId="0"/>
    <xf numFmtId="164" fontId="13" fillId="2" borderId="5" xfId="0" applyNumberFormat="1" applyFont="1" applyFill="1" applyBorder="1"/>
    <xf numFmtId="164" fontId="13" fillId="2" borderId="1" xfId="0" applyNumberFormat="1" applyFont="1" applyFill="1" applyBorder="1"/>
    <xf numFmtId="38" fontId="17" fillId="2" borderId="1" xfId="1" applyNumberFormat="1" applyFont="1" applyFill="1" applyBorder="1" applyAlignment="1">
      <alignment horizontal="right" vertical="center"/>
    </xf>
    <xf numFmtId="38" fontId="17" fillId="2" borderId="5" xfId="1" applyNumberFormat="1" applyFont="1" applyFill="1" applyBorder="1" applyAlignment="1" applyProtection="1">
      <alignment horizontal="right" vertical="center"/>
    </xf>
    <xf numFmtId="38" fontId="2" fillId="2" borderId="1" xfId="1" applyNumberFormat="1" applyFont="1" applyFill="1" applyBorder="1" applyAlignment="1">
      <alignment horizontal="right"/>
    </xf>
    <xf numFmtId="38" fontId="2" fillId="2" borderId="6" xfId="1" applyNumberFormat="1" applyFont="1" applyFill="1" applyBorder="1" applyAlignment="1">
      <alignment horizontal="right" vertical="center"/>
    </xf>
    <xf numFmtId="164" fontId="6" fillId="2" borderId="6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 applyProtection="1">
      <alignment horizontal="center"/>
    </xf>
    <xf numFmtId="164" fontId="6" fillId="2" borderId="1" xfId="0" applyNumberFormat="1" applyFont="1" applyFill="1" applyBorder="1" applyAlignment="1">
      <alignment vertical="center"/>
    </xf>
    <xf numFmtId="164" fontId="8" fillId="2" borderId="2" xfId="0" applyNumberFormat="1" applyFont="1" applyFill="1" applyBorder="1" applyAlignment="1" applyProtection="1">
      <alignment horizontal="left" vertical="center"/>
    </xf>
    <xf numFmtId="164" fontId="8" fillId="2" borderId="2" xfId="0" applyNumberFormat="1" applyFont="1" applyFill="1" applyBorder="1" applyAlignment="1">
      <alignment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>
      <alignment horizontal="right" vertical="center"/>
    </xf>
    <xf numFmtId="164" fontId="11" fillId="2" borderId="5" xfId="0" applyNumberFormat="1" applyFont="1" applyFill="1" applyBorder="1" applyAlignment="1" applyProtection="1">
      <alignment horizontal="left" vertical="center"/>
    </xf>
    <xf numFmtId="164" fontId="10" fillId="2" borderId="1" xfId="0" applyNumberFormat="1" applyFont="1" applyFill="1" applyBorder="1" applyAlignment="1">
      <alignment vertical="center"/>
    </xf>
    <xf numFmtId="164" fontId="15" fillId="2" borderId="1" xfId="0" applyNumberFormat="1" applyFont="1" applyFill="1" applyBorder="1"/>
    <xf numFmtId="164" fontId="16" fillId="2" borderId="5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 applyProtection="1">
      <alignment horizontal="left" vertical="center"/>
    </xf>
    <xf numFmtId="164" fontId="17" fillId="2" borderId="5" xfId="0" applyNumberFormat="1" applyFont="1" applyFill="1" applyBorder="1" applyAlignment="1" applyProtection="1">
      <alignment horizontal="left" vertical="center"/>
    </xf>
    <xf numFmtId="164" fontId="2" fillId="2" borderId="1" xfId="0" applyNumberFormat="1" applyFont="1" applyFill="1" applyBorder="1" applyAlignment="1" applyProtection="1">
      <alignment horizontal="left" vertical="center"/>
    </xf>
    <xf numFmtId="38" fontId="2" fillId="2" borderId="1" xfId="1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/>
    <xf numFmtId="164" fontId="10" fillId="2" borderId="5" xfId="0" applyNumberFormat="1" applyFont="1" applyFill="1" applyBorder="1" applyAlignment="1" applyProtection="1">
      <alignment horizontal="left" vertical="center"/>
    </xf>
    <xf numFmtId="3" fontId="10" fillId="2" borderId="5" xfId="0" applyNumberFormat="1" applyFont="1" applyFill="1" applyBorder="1" applyAlignment="1">
      <alignment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/>
    <xf numFmtId="164" fontId="4" fillId="2" borderId="5" xfId="0" applyNumberFormat="1" applyFont="1" applyFill="1" applyBorder="1" applyAlignment="1" applyProtection="1">
      <alignment horizontal="left" vertical="center"/>
    </xf>
    <xf numFmtId="164" fontId="2" fillId="2" borderId="5" xfId="0" applyNumberFormat="1" applyFont="1" applyFill="1" applyBorder="1" applyAlignment="1" applyProtection="1">
      <alignment horizontal="left" vertical="center"/>
    </xf>
    <xf numFmtId="164" fontId="9" fillId="2" borderId="4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0" fillId="2" borderId="0" xfId="0" applyNumberFormat="1" applyFont="1" applyFill="1"/>
    <xf numFmtId="164" fontId="8" fillId="2" borderId="7" xfId="0" applyNumberFormat="1" applyFont="1" applyFill="1" applyBorder="1" applyAlignment="1">
      <alignment vertical="center"/>
    </xf>
    <xf numFmtId="0" fontId="4" fillId="2" borderId="0" xfId="0" applyNumberFormat="1" applyFont="1" applyFill="1" applyAlignment="1">
      <alignment horizontal="left" vertical="center"/>
    </xf>
    <xf numFmtId="0" fontId="22" fillId="2" borderId="0" xfId="0" applyNumberFormat="1" applyFont="1" applyFill="1"/>
    <xf numFmtId="164" fontId="19" fillId="2" borderId="2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 applyProtection="1">
      <alignment horizontal="left" vertical="center"/>
    </xf>
    <xf numFmtId="164" fontId="7" fillId="2" borderId="7" xfId="0" applyNumberFormat="1" applyFont="1" applyFill="1" applyBorder="1" applyAlignment="1">
      <alignment horizontal="right"/>
    </xf>
    <xf numFmtId="170" fontId="2" fillId="2" borderId="1" xfId="1" applyNumberFormat="1" applyFont="1" applyFill="1" applyBorder="1" applyAlignment="1">
      <alignment horizontal="right"/>
    </xf>
    <xf numFmtId="167" fontId="21" fillId="2" borderId="0" xfId="0" applyNumberFormat="1" applyFont="1" applyFill="1" applyAlignment="1">
      <alignment horizontal="center" vertical="center"/>
    </xf>
    <xf numFmtId="167" fontId="13" fillId="2" borderId="5" xfId="0" applyNumberFormat="1" applyFont="1" applyFill="1" applyBorder="1"/>
    <xf numFmtId="164" fontId="2" fillId="3" borderId="7" xfId="0" applyNumberFormat="1" applyFont="1" applyFill="1" applyBorder="1" applyAlignment="1" applyProtection="1">
      <alignment horizontal="left" vertical="center"/>
    </xf>
    <xf numFmtId="165" fontId="2" fillId="3" borderId="7" xfId="0" applyNumberFormat="1" applyFont="1" applyFill="1" applyBorder="1" applyAlignment="1">
      <alignment horizontal="right" vertical="center"/>
    </xf>
    <xf numFmtId="164" fontId="9" fillId="3" borderId="7" xfId="0" applyNumberFormat="1" applyFont="1" applyFill="1" applyBorder="1" applyAlignment="1">
      <alignment horizontal="right" vertical="center"/>
    </xf>
    <xf numFmtId="164" fontId="6" fillId="3" borderId="6" xfId="0" applyNumberFormat="1" applyFont="1" applyFill="1" applyBorder="1" applyAlignment="1">
      <alignment vertical="center"/>
    </xf>
    <xf numFmtId="164" fontId="19" fillId="3" borderId="7" xfId="0" applyNumberFormat="1" applyFont="1" applyFill="1" applyBorder="1" applyAlignment="1" applyProtection="1">
      <alignment horizontal="left" vertical="center"/>
    </xf>
    <xf numFmtId="164" fontId="11" fillId="3" borderId="7" xfId="0" applyNumberFormat="1" applyFont="1" applyFill="1" applyBorder="1" applyAlignment="1" applyProtection="1">
      <alignment horizontal="left" vertical="center"/>
    </xf>
    <xf numFmtId="164" fontId="18" fillId="3" borderId="7" xfId="0" applyNumberFormat="1" applyFont="1" applyFill="1" applyBorder="1" applyAlignment="1" applyProtection="1">
      <alignment horizontal="right" vertical="center"/>
    </xf>
    <xf numFmtId="164" fontId="10" fillId="3" borderId="6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 applyProtection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9" fillId="3" borderId="5" xfId="0" applyNumberFormat="1" applyFont="1" applyFill="1" applyBorder="1" applyAlignment="1">
      <alignment horizontal="right" vertical="center"/>
    </xf>
    <xf numFmtId="0" fontId="20" fillId="3" borderId="0" xfId="0" applyNumberFormat="1" applyFont="1" applyFill="1" applyBorder="1"/>
    <xf numFmtId="164" fontId="2" fillId="3" borderId="1" xfId="0" applyNumberFormat="1" applyFont="1" applyFill="1" applyBorder="1" applyAlignment="1" applyProtection="1">
      <alignment horizontal="left" vertical="center"/>
    </xf>
    <xf numFmtId="164" fontId="9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23" fillId="3" borderId="4" xfId="0" applyNumberFormat="1" applyFont="1" applyFill="1" applyBorder="1" applyAlignment="1" applyProtection="1">
      <alignment horizontal="left" vertical="center"/>
    </xf>
    <xf numFmtId="165" fontId="23" fillId="3" borderId="4" xfId="0" applyNumberFormat="1" applyFont="1" applyFill="1" applyBorder="1" applyAlignment="1">
      <alignment horizontal="right" vertical="center"/>
    </xf>
    <xf numFmtId="164" fontId="24" fillId="3" borderId="4" xfId="0" applyNumberFormat="1" applyFont="1" applyFill="1" applyBorder="1" applyAlignment="1">
      <alignment horizontal="right" vertical="center"/>
    </xf>
    <xf numFmtId="0" fontId="25" fillId="3" borderId="0" xfId="0" applyNumberFormat="1" applyFont="1" applyFill="1" applyBorder="1"/>
    <xf numFmtId="164" fontId="2" fillId="2" borderId="4" xfId="0" applyNumberFormat="1" applyFont="1" applyFill="1" applyBorder="1" applyAlignment="1" applyProtection="1">
      <alignment horizontal="left" vertical="center"/>
    </xf>
    <xf numFmtId="165" fontId="2" fillId="2" borderId="4" xfId="0" applyNumberFormat="1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 applyProtection="1">
      <alignment horizontal="center"/>
    </xf>
  </cellXfs>
  <cellStyles count="7">
    <cellStyle name="Comma" xfId="1" builtinId="3"/>
    <cellStyle name="Normal" xfId="0" builtinId="0"/>
    <cellStyle name="Normal 16" xfId="4"/>
    <cellStyle name="Normal 17" xfId="5"/>
    <cellStyle name="Normal 2" xfId="2"/>
    <cellStyle name="Normal 3" xfId="6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r>
              <a:rPr lang="en-US" sz="900" b="1" i="0" baseline="0">
                <a:solidFill>
                  <a:sysClr val="windowText" lastClr="000000"/>
                </a:solidFill>
                <a:effectLst/>
              </a:rPr>
              <a:t>Figure 6.1:  IN - PATIENT HEALTH CARE  IN  INDIRA GANDHI MEMORIAL HOSPITAL,  2005-2012</a:t>
            </a:r>
            <a:endParaRPr lang="en-US" sz="900">
              <a:solidFill>
                <a:sysClr val="windowText" lastClr="000000"/>
              </a:solidFill>
              <a:effectLst/>
            </a:endParaRPr>
          </a:p>
        </c:rich>
      </c:tx>
      <c:layout>
        <c:manualLayout>
          <c:xMode val="edge"/>
          <c:yMode val="edge"/>
          <c:x val="0.16799144647344247"/>
          <c:y val="3.3383013566120792E-2"/>
        </c:manualLayout>
      </c:layout>
    </c:title>
    <c:plotArea>
      <c:layout>
        <c:manualLayout>
          <c:layoutTarget val="inner"/>
          <c:xMode val="edge"/>
          <c:yMode val="edge"/>
          <c:x val="0.10327628414593397"/>
          <c:y val="0.14363297433457167"/>
          <c:w val="0.85681670772421037"/>
          <c:h val="0.70629659380461551"/>
        </c:manualLayout>
      </c:layout>
      <c:barChart>
        <c:barDir val="col"/>
        <c:grouping val="clustered"/>
        <c:ser>
          <c:idx val="0"/>
          <c:order val="0"/>
          <c:tx>
            <c:strRef>
              <c:f>'6.4'!$A$6</c:f>
              <c:strCache>
                <c:ptCount val="1"/>
                <c:pt idx="0">
                  <c:v>In-patients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'6.4'!$B$4:$I$4</c:f>
              <c:numCache>
                <c:formatCode>General_)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'6.4'!$B$6:$I$6</c:f>
              <c:numCache>
                <c:formatCode>#,##0</c:formatCode>
                <c:ptCount val="8"/>
                <c:pt idx="0">
                  <c:v>11876</c:v>
                </c:pt>
                <c:pt idx="1">
                  <c:v>13455</c:v>
                </c:pt>
                <c:pt idx="2">
                  <c:v>12488</c:v>
                </c:pt>
                <c:pt idx="3">
                  <c:v>14041</c:v>
                </c:pt>
                <c:pt idx="4">
                  <c:v>13752</c:v>
                </c:pt>
                <c:pt idx="5">
                  <c:v>13568</c:v>
                </c:pt>
                <c:pt idx="6">
                  <c:v>13996</c:v>
                </c:pt>
                <c:pt idx="7">
                  <c:v>13935</c:v>
                </c:pt>
              </c:numCache>
            </c:numRef>
          </c:val>
        </c:ser>
        <c:axId val="68698496"/>
        <c:axId val="68700032"/>
      </c:barChart>
      <c:catAx>
        <c:axId val="68698496"/>
        <c:scaling>
          <c:orientation val="minMax"/>
        </c:scaling>
        <c:axPos val="b"/>
        <c:numFmt formatCode="General_)" sourceLinked="1"/>
        <c:tickLblPos val="nextTo"/>
        <c:crossAx val="68700032"/>
        <c:crosses val="autoZero"/>
        <c:auto val="1"/>
        <c:lblAlgn val="ctr"/>
        <c:lblOffset val="100"/>
      </c:catAx>
      <c:valAx>
        <c:axId val="68700032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1"/>
        <c:tickLblPos val="nextTo"/>
        <c:crossAx val="6869849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109935</xdr:colOff>
      <xdr:row>16</xdr:row>
      <xdr:rowOff>127394</xdr:rowOff>
    </xdr:from>
    <xdr:to>
      <xdr:col>9</xdr:col>
      <xdr:colOff>1524000</xdr:colOff>
      <xdr:row>27</xdr:row>
      <xdr:rowOff>76200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>
      <selection activeCell="A18" sqref="A18"/>
    </sheetView>
  </sheetViews>
  <sheetFormatPr defaultColWidth="14.28515625" defaultRowHeight="12.75"/>
  <cols>
    <col min="1" max="1" width="22.28515625" style="2" customWidth="1"/>
    <col min="2" max="2" width="9.85546875" style="2" bestFit="1" customWidth="1"/>
    <col min="3" max="3" width="8.5703125" style="2" customWidth="1"/>
    <col min="4" max="4" width="9.28515625" style="2" customWidth="1"/>
    <col min="5" max="6" width="9.7109375" style="2" customWidth="1"/>
    <col min="7" max="7" width="10.140625" style="2" customWidth="1"/>
    <col min="8" max="9" width="9.42578125" style="2" customWidth="1"/>
    <col min="10" max="10" width="40.85546875" style="2" customWidth="1"/>
    <col min="11" max="16384" width="14.28515625" style="2"/>
  </cols>
  <sheetData>
    <row r="1" spans="1:10" ht="19.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s="7" customFormat="1" ht="1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</row>
    <row r="3" spans="1:10" s="9" customFormat="1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s="13" customFormat="1" ht="16.5" customHeight="1">
      <c r="A4" s="10"/>
      <c r="B4" s="38">
        <v>2005</v>
      </c>
      <c r="C4" s="38">
        <v>2006</v>
      </c>
      <c r="D4" s="38">
        <v>2007</v>
      </c>
      <c r="E4" s="38">
        <v>2008</v>
      </c>
      <c r="F4" s="38">
        <v>2009</v>
      </c>
      <c r="G4" s="38">
        <v>2010</v>
      </c>
      <c r="H4" s="38">
        <v>2011</v>
      </c>
      <c r="I4" s="38">
        <v>2012</v>
      </c>
      <c r="J4" s="12" t="s">
        <v>2</v>
      </c>
    </row>
    <row r="5" spans="1:10" s="13" customFormat="1" ht="15">
      <c r="A5" s="39" t="s">
        <v>13</v>
      </c>
      <c r="B5" s="35"/>
      <c r="C5" s="35"/>
      <c r="D5" s="35"/>
      <c r="E5" s="35"/>
      <c r="F5" s="35"/>
      <c r="G5" s="35"/>
      <c r="H5" s="35"/>
      <c r="I5" s="35"/>
      <c r="J5" s="40" t="s">
        <v>16</v>
      </c>
    </row>
    <row r="6" spans="1:10" s="9" customFormat="1" ht="21.75" customHeight="1">
      <c r="A6" s="30" t="s">
        <v>3</v>
      </c>
      <c r="B6" s="32">
        <v>11876</v>
      </c>
      <c r="C6" s="32">
        <v>13455</v>
      </c>
      <c r="D6" s="32">
        <v>12488</v>
      </c>
      <c r="E6" s="32">
        <v>14041</v>
      </c>
      <c r="F6" s="32">
        <v>13752</v>
      </c>
      <c r="G6" s="32">
        <v>13568</v>
      </c>
      <c r="H6" s="32">
        <v>13996</v>
      </c>
      <c r="I6" s="32">
        <v>13935</v>
      </c>
      <c r="J6" s="23" t="s">
        <v>4</v>
      </c>
    </row>
    <row r="7" spans="1:10" s="9" customFormat="1" ht="21.75" customHeight="1">
      <c r="A7" s="21" t="s">
        <v>5</v>
      </c>
      <c r="B7" s="32">
        <v>64943</v>
      </c>
      <c r="C7" s="32">
        <v>72231</v>
      </c>
      <c r="D7" s="32">
        <v>69645</v>
      </c>
      <c r="E7" s="32">
        <v>80768</v>
      </c>
      <c r="F7" s="32">
        <v>80377</v>
      </c>
      <c r="G7" s="32">
        <v>79813</v>
      </c>
      <c r="H7" s="32">
        <v>81674</v>
      </c>
      <c r="I7" s="32">
        <v>79657</v>
      </c>
      <c r="J7" s="27" t="s">
        <v>6</v>
      </c>
    </row>
    <row r="8" spans="1:10" s="9" customFormat="1" ht="21.75" customHeight="1">
      <c r="A8" s="21" t="s">
        <v>12</v>
      </c>
      <c r="B8" s="33">
        <f>B7/B6</f>
        <v>5.4684237116874366</v>
      </c>
      <c r="C8" s="33">
        <f t="shared" ref="C8:I8" si="0">C7/C6</f>
        <v>5.3683389074693419</v>
      </c>
      <c r="D8" s="33">
        <f t="shared" si="0"/>
        <v>5.576953875720692</v>
      </c>
      <c r="E8" s="33">
        <f t="shared" si="0"/>
        <v>5.7522968449540635</v>
      </c>
      <c r="F8" s="33">
        <f t="shared" si="0"/>
        <v>5.8447498545666088</v>
      </c>
      <c r="G8" s="33">
        <f t="shared" si="0"/>
        <v>5.8824439858490569</v>
      </c>
      <c r="H8" s="33">
        <f t="shared" si="0"/>
        <v>5.8355244355530154</v>
      </c>
      <c r="I8" s="33">
        <f t="shared" si="0"/>
        <v>5.7163257983494793</v>
      </c>
      <c r="J8" s="27" t="s">
        <v>7</v>
      </c>
    </row>
    <row r="9" spans="1:10" s="9" customFormat="1" ht="21.75" customHeight="1">
      <c r="A9" s="63" t="s">
        <v>8</v>
      </c>
      <c r="B9" s="64">
        <v>77.7</v>
      </c>
      <c r="C9" s="64">
        <v>83.5</v>
      </c>
      <c r="D9" s="64">
        <v>74.83</v>
      </c>
      <c r="E9" s="64">
        <v>84.5</v>
      </c>
      <c r="F9" s="64">
        <v>84.4</v>
      </c>
      <c r="G9" s="64">
        <v>80.69</v>
      </c>
      <c r="H9" s="64">
        <v>82.57</v>
      </c>
      <c r="I9" s="64">
        <v>76.84</v>
      </c>
      <c r="J9" s="31" t="s">
        <v>9</v>
      </c>
    </row>
    <row r="10" spans="1:10" s="47" customFormat="1" ht="14.25" hidden="1" customHeight="1">
      <c r="A10" s="44"/>
      <c r="B10" s="45"/>
      <c r="C10" s="45"/>
      <c r="D10" s="45"/>
      <c r="E10" s="45"/>
      <c r="F10" s="45"/>
      <c r="G10" s="45"/>
      <c r="H10" s="45"/>
      <c r="I10" s="45"/>
      <c r="J10" s="46"/>
    </row>
    <row r="11" spans="1:10" s="51" customFormat="1" ht="17.25" hidden="1" customHeight="1">
      <c r="A11" s="48" t="s">
        <v>14</v>
      </c>
      <c r="B11" s="49"/>
      <c r="C11" s="49"/>
      <c r="D11" s="49"/>
      <c r="E11" s="49"/>
      <c r="F11" s="49"/>
      <c r="G11" s="49"/>
      <c r="H11" s="49"/>
      <c r="I11" s="49"/>
      <c r="J11" s="50" t="s">
        <v>15</v>
      </c>
    </row>
    <row r="12" spans="1:10" s="55" customFormat="1" ht="15.75" hidden="1" customHeight="1">
      <c r="A12" s="52" t="s">
        <v>3</v>
      </c>
      <c r="B12" s="53">
        <v>159</v>
      </c>
      <c r="C12" s="53">
        <v>342</v>
      </c>
      <c r="D12" s="53">
        <v>57</v>
      </c>
      <c r="E12" s="53">
        <v>50</v>
      </c>
      <c r="F12" s="53">
        <v>23</v>
      </c>
      <c r="G12" s="53">
        <v>20</v>
      </c>
      <c r="H12" s="53">
        <v>16</v>
      </c>
      <c r="I12" s="53">
        <v>15</v>
      </c>
      <c r="J12" s="54" t="s">
        <v>4</v>
      </c>
    </row>
    <row r="13" spans="1:10" s="55" customFormat="1" ht="21" hidden="1" customHeight="1">
      <c r="A13" s="56" t="s">
        <v>5</v>
      </c>
      <c r="B13" s="53">
        <v>155</v>
      </c>
      <c r="C13" s="53">
        <v>100</v>
      </c>
      <c r="D13" s="53">
        <v>57</v>
      </c>
      <c r="E13" s="53">
        <v>95</v>
      </c>
      <c r="F13" s="53">
        <v>75</v>
      </c>
      <c r="G13" s="53">
        <v>32</v>
      </c>
      <c r="H13" s="53">
        <v>195</v>
      </c>
      <c r="I13" s="53">
        <v>326</v>
      </c>
      <c r="J13" s="57" t="s">
        <v>6</v>
      </c>
    </row>
    <row r="14" spans="1:10" s="55" customFormat="1" ht="21" hidden="1" customHeight="1">
      <c r="A14" s="56" t="s">
        <v>12</v>
      </c>
      <c r="B14" s="58">
        <f>B13/B12</f>
        <v>0.97484276729559749</v>
      </c>
      <c r="C14" s="58">
        <f t="shared" ref="C14:I14" si="1">C13/C12</f>
        <v>0.29239766081871343</v>
      </c>
      <c r="D14" s="58">
        <f t="shared" si="1"/>
        <v>1</v>
      </c>
      <c r="E14" s="58">
        <f t="shared" si="1"/>
        <v>1.9</v>
      </c>
      <c r="F14" s="58">
        <f t="shared" si="1"/>
        <v>3.2608695652173911</v>
      </c>
      <c r="G14" s="58">
        <f t="shared" si="1"/>
        <v>1.6</v>
      </c>
      <c r="H14" s="58">
        <f t="shared" si="1"/>
        <v>12.1875</v>
      </c>
      <c r="I14" s="58">
        <f t="shared" si="1"/>
        <v>21.733333333333334</v>
      </c>
      <c r="J14" s="57" t="s">
        <v>7</v>
      </c>
    </row>
    <row r="15" spans="1:10" s="62" customFormat="1" ht="21" hidden="1" customHeight="1">
      <c r="A15" s="59" t="s">
        <v>8</v>
      </c>
      <c r="B15" s="60">
        <v>23.5</v>
      </c>
      <c r="C15" s="60">
        <v>36.5</v>
      </c>
      <c r="D15" s="60">
        <v>64</v>
      </c>
      <c r="E15" s="60">
        <v>38.4</v>
      </c>
      <c r="F15" s="60">
        <v>48.6</v>
      </c>
      <c r="G15" s="60">
        <v>114.06</v>
      </c>
      <c r="H15" s="60">
        <v>57</v>
      </c>
      <c r="I15" s="60">
        <v>74</v>
      </c>
      <c r="J15" s="61" t="s">
        <v>9</v>
      </c>
    </row>
    <row r="16" spans="1:10" ht="15">
      <c r="A16" s="29" t="s">
        <v>10</v>
      </c>
      <c r="B16" s="1"/>
      <c r="C16" s="43"/>
      <c r="D16" s="43"/>
      <c r="E16" s="43"/>
      <c r="F16" s="43"/>
      <c r="G16" s="43"/>
      <c r="H16" s="43"/>
      <c r="I16" s="43"/>
      <c r="J16" s="14" t="s">
        <v>11</v>
      </c>
    </row>
    <row r="17" spans="1:14" s="34" customFormat="1" ht="15.75" customHeight="1">
      <c r="A17" s="36"/>
      <c r="B17" s="42"/>
      <c r="C17" s="42"/>
      <c r="D17" s="42"/>
      <c r="E17" s="42"/>
      <c r="F17" s="42"/>
      <c r="G17" s="42"/>
      <c r="H17" s="42"/>
      <c r="I17" s="42"/>
      <c r="J17" s="37"/>
    </row>
    <row r="18" spans="1:14" s="17" customFormat="1" ht="19.5" customHeight="1">
      <c r="A18" s="19"/>
      <c r="B18" s="3"/>
      <c r="C18" s="3"/>
      <c r="D18" s="3"/>
      <c r="E18" s="3"/>
      <c r="F18" s="3"/>
      <c r="G18" s="3"/>
      <c r="H18" s="3"/>
      <c r="I18" s="3"/>
      <c r="J18" s="18"/>
    </row>
    <row r="19" spans="1:14" s="17" customFormat="1" ht="19.5" customHeight="1">
      <c r="A19" s="20"/>
      <c r="B19" s="4"/>
      <c r="C19" s="4"/>
      <c r="D19" s="4"/>
      <c r="E19" s="4"/>
      <c r="F19" s="4"/>
      <c r="G19" s="4"/>
      <c r="H19" s="4"/>
      <c r="I19" s="4"/>
      <c r="J19" s="18"/>
    </row>
    <row r="20" spans="1:14" s="16" customFormat="1" ht="12">
      <c r="B20" s="15"/>
      <c r="C20" s="15"/>
      <c r="D20" s="15"/>
      <c r="E20" s="15"/>
      <c r="F20" s="15"/>
      <c r="G20" s="15"/>
      <c r="H20" s="15"/>
      <c r="I20" s="15"/>
    </row>
    <row r="21" spans="1:14" ht="19.5" customHeight="1">
      <c r="A21" s="24"/>
      <c r="B21" s="5"/>
      <c r="C21" s="5"/>
      <c r="D21" s="5"/>
      <c r="E21" s="5"/>
      <c r="F21" s="5"/>
      <c r="G21" s="5"/>
      <c r="H21" s="5"/>
      <c r="I21" s="5"/>
      <c r="J21" s="23"/>
      <c r="L21" s="10"/>
      <c r="M21" s="25" t="s">
        <v>3</v>
      </c>
    </row>
    <row r="22" spans="1:14" ht="19.5" customHeight="1">
      <c r="A22" s="24"/>
      <c r="B22" s="5"/>
      <c r="C22" s="5"/>
      <c r="D22" s="5"/>
      <c r="E22" s="5"/>
      <c r="F22" s="5"/>
      <c r="G22" s="5"/>
      <c r="H22" s="5"/>
      <c r="I22" s="5"/>
      <c r="J22" s="23"/>
      <c r="L22" s="11">
        <v>2005</v>
      </c>
      <c r="M22" s="26">
        <v>11876</v>
      </c>
    </row>
    <row r="23" spans="1:14" ht="19.5" customHeight="1">
      <c r="A23" s="24"/>
      <c r="B23" s="5"/>
      <c r="C23" s="5"/>
      <c r="D23" s="22"/>
      <c r="E23" s="5"/>
      <c r="F23" s="5"/>
      <c r="G23" s="5"/>
      <c r="H23" s="5"/>
      <c r="I23" s="5"/>
      <c r="J23" s="23"/>
      <c r="L23" s="11">
        <v>2006</v>
      </c>
      <c r="M23" s="26">
        <v>13455</v>
      </c>
    </row>
    <row r="24" spans="1:14" ht="19.5" customHeight="1">
      <c r="A24" s="24"/>
      <c r="B24" s="5"/>
      <c r="C24" s="5"/>
      <c r="D24" s="5"/>
      <c r="E24" s="5"/>
      <c r="F24" s="5"/>
      <c r="G24" s="5"/>
      <c r="H24" s="5"/>
      <c r="I24" s="5"/>
      <c r="J24" s="23"/>
      <c r="L24" s="11">
        <v>2007</v>
      </c>
      <c r="M24" s="26">
        <v>12488</v>
      </c>
    </row>
    <row r="25" spans="1:14" ht="19.5" customHeight="1">
      <c r="A25" s="24"/>
      <c r="B25" s="5"/>
      <c r="C25" s="5"/>
      <c r="D25" s="5"/>
      <c r="E25" s="5"/>
      <c r="F25" s="5"/>
      <c r="G25" s="5"/>
      <c r="H25" s="5"/>
      <c r="I25" s="5"/>
      <c r="J25" s="23"/>
      <c r="L25" s="11">
        <v>2008</v>
      </c>
      <c r="M25" s="26">
        <v>14041</v>
      </c>
    </row>
    <row r="26" spans="1:14" ht="19.5" customHeight="1">
      <c r="A26" s="24"/>
      <c r="B26" s="5"/>
      <c r="C26" s="5"/>
      <c r="D26" s="5"/>
      <c r="E26" s="5"/>
      <c r="F26" s="5"/>
      <c r="G26" s="5"/>
      <c r="H26" s="5"/>
      <c r="I26" s="5"/>
      <c r="J26" s="23"/>
      <c r="L26" s="11">
        <v>2009</v>
      </c>
      <c r="M26" s="26">
        <v>13752</v>
      </c>
    </row>
    <row r="27" spans="1:14" ht="19.5" customHeight="1">
      <c r="A27" s="24"/>
      <c r="B27" s="5"/>
      <c r="C27" s="5"/>
      <c r="D27" s="5"/>
      <c r="E27" s="5"/>
      <c r="F27" s="5"/>
      <c r="G27" s="5"/>
      <c r="H27" s="5"/>
      <c r="I27" s="5"/>
      <c r="J27" s="27"/>
      <c r="L27" s="11">
        <v>2010</v>
      </c>
      <c r="M27" s="26">
        <v>13568</v>
      </c>
    </row>
    <row r="28" spans="1:14" ht="19.5" customHeight="1">
      <c r="A28" s="24"/>
      <c r="B28" s="5"/>
      <c r="C28" s="5"/>
      <c r="D28" s="5"/>
      <c r="E28" s="5"/>
      <c r="F28" s="5"/>
      <c r="G28" s="5"/>
      <c r="H28" s="5"/>
      <c r="I28" s="5"/>
      <c r="J28" s="27"/>
      <c r="L28" s="11">
        <v>2011</v>
      </c>
      <c r="M28" s="26">
        <v>13996</v>
      </c>
    </row>
    <row r="29" spans="1:14" ht="19.5" customHeight="1">
      <c r="A29" s="24"/>
      <c r="B29" s="41"/>
      <c r="C29" s="41"/>
      <c r="D29" s="41"/>
      <c r="E29" s="41"/>
      <c r="F29" s="41"/>
      <c r="G29" s="41"/>
      <c r="H29" s="41"/>
      <c r="I29" s="41"/>
      <c r="J29" s="27"/>
      <c r="L29" s="11">
        <v>2012</v>
      </c>
    </row>
    <row r="30" spans="1:14" ht="19.5" customHeight="1">
      <c r="A30" s="24"/>
      <c r="B30" s="5"/>
      <c r="C30" s="5"/>
      <c r="D30" s="5"/>
      <c r="E30" s="5"/>
      <c r="F30" s="5"/>
      <c r="G30" s="6"/>
      <c r="H30" s="6"/>
      <c r="I30" s="6"/>
      <c r="J30" s="27"/>
      <c r="N30" s="2">
        <f>((M28/M27)-1)*100</f>
        <v>3.1544811320754818</v>
      </c>
    </row>
    <row r="31" spans="1:14" ht="19.5" customHeight="1">
      <c r="A31" s="24"/>
      <c r="B31" s="5"/>
      <c r="C31" s="5"/>
      <c r="D31" s="5"/>
      <c r="E31" s="5"/>
      <c r="F31" s="5"/>
      <c r="G31" s="6"/>
      <c r="H31" s="6"/>
      <c r="I31" s="6"/>
      <c r="J31" s="27"/>
      <c r="K31" s="28"/>
    </row>
    <row r="32" spans="1:14" ht="15.75">
      <c r="A32" s="24"/>
      <c r="B32" s="5"/>
      <c r="C32" s="5"/>
      <c r="D32" s="5"/>
      <c r="E32" s="5"/>
      <c r="F32" s="5"/>
      <c r="G32" s="6"/>
      <c r="H32" s="6"/>
      <c r="I32" s="6"/>
      <c r="J32" s="27"/>
    </row>
  </sheetData>
  <mergeCells count="2">
    <mergeCell ref="A1:J1"/>
    <mergeCell ref="A2:J2"/>
  </mergeCells>
  <pageMargins left="0.12" right="0.12" top="0.75" bottom="0.75" header="0.3" footer="0.3"/>
  <pageSetup paperSize="9" orientation="landscape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6.4</vt:lpstr>
      <vt:lpstr>'6.4'!Print_Area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2013-08-15T08:24:03Z</dcterms:modified>
</cp:coreProperties>
</file>