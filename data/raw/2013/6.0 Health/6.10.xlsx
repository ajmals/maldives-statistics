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905"/>
  </bookViews>
  <sheets>
    <sheet name="6.10" sheetId="16" r:id="rId1"/>
  </sheets>
  <definedNames>
    <definedName name="_xlnm.Print_Area" localSheetId="0">'6.10'!$A$1:$T$48</definedName>
  </definedNames>
  <calcPr calcId="124519"/>
</workbook>
</file>

<file path=xl/calcChain.xml><?xml version="1.0" encoding="utf-8"?>
<calcChain xmlns="http://schemas.openxmlformats.org/spreadsheetml/2006/main">
  <c r="S34" i="16"/>
  <c r="R34"/>
  <c r="Q34"/>
  <c r="P34"/>
  <c r="O34"/>
  <c r="N34"/>
  <c r="M34"/>
  <c r="G34"/>
  <c r="F34"/>
  <c r="E34"/>
  <c r="D34"/>
  <c r="C34"/>
  <c r="B34"/>
  <c r="L32"/>
  <c r="L34" s="1"/>
  <c r="K32"/>
  <c r="K34" s="1"/>
  <c r="J32"/>
  <c r="J34" s="1"/>
  <c r="I32"/>
  <c r="I34" s="1"/>
  <c r="H32"/>
  <c r="H34" s="1"/>
  <c r="B9" l="1"/>
  <c r="C9"/>
  <c r="D9"/>
  <c r="E9"/>
  <c r="F9"/>
  <c r="G9"/>
  <c r="H9"/>
  <c r="I9"/>
  <c r="J9"/>
  <c r="K9"/>
  <c r="L9"/>
  <c r="M9"/>
  <c r="N9"/>
  <c r="O9"/>
  <c r="P9"/>
  <c r="Q9"/>
  <c r="R9"/>
  <c r="S9"/>
</calcChain>
</file>

<file path=xl/sharedStrings.xml><?xml version="1.0" encoding="utf-8"?>
<sst xmlns="http://schemas.openxmlformats.org/spreadsheetml/2006/main" count="113" uniqueCount="103">
  <si>
    <t>Republic</t>
  </si>
  <si>
    <t>N</t>
  </si>
  <si>
    <t>L</t>
  </si>
  <si>
    <t>S</t>
  </si>
  <si>
    <t>Male'</t>
  </si>
  <si>
    <t>Atolls</t>
  </si>
  <si>
    <t>elWm</t>
  </si>
  <si>
    <t>cawtuLotwa</t>
  </si>
  <si>
    <t>Locality</t>
  </si>
  <si>
    <t>ejcaWriLum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</si>
  <si>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</si>
  <si>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</si>
  <si>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</si>
  <si>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</si>
  <si>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</si>
  <si>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</si>
  <si>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</si>
  <si>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</si>
  <si>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</si>
  <si>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</si>
  <si>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</si>
  <si>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</si>
  <si>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</si>
  <si>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</si>
  <si>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</si>
  <si>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</si>
  <si>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s</t>
  </si>
  <si>
    <t>csclcsIm</t>
  </si>
  <si>
    <t>އެމް އެމް އާރް</t>
  </si>
  <si>
    <t xml:space="preserve">Measles </t>
  </si>
  <si>
    <t>MMR</t>
  </si>
  <si>
    <t>Hepatitis B</t>
  </si>
  <si>
    <t>(BCG) Dozes</t>
  </si>
  <si>
    <t>1st</t>
  </si>
  <si>
    <t>2nd</t>
  </si>
  <si>
    <t>3rd</t>
  </si>
  <si>
    <t>4th</t>
  </si>
  <si>
    <t>5th</t>
  </si>
  <si>
    <t xml:space="preserve"> North Thiladhunmathi (H.A)</t>
  </si>
  <si>
    <t xml:space="preserve"> South Thiladhunmathi (H.Dh)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</si>
  <si>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</si>
  <si>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</si>
  <si>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</si>
  <si>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</si>
  <si>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</si>
  <si>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</si>
  <si>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</si>
  <si>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</si>
  <si>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</si>
  <si>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</si>
  <si>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</si>
  <si>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</si>
  <si>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</si>
  <si>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</si>
  <si>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</si>
  <si>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</si>
  <si>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</si>
  <si>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</si>
  <si>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Children vaccinated</t>
  </si>
  <si>
    <t>cniduk unuvedcnisckev</t>
  </si>
  <si>
    <t>Eligible children</t>
  </si>
  <si>
    <t>cniduk EhejcnEdcnisckev</t>
  </si>
  <si>
    <t>Coverage</t>
  </si>
  <si>
    <t>urwvcnim unuvedcnisckev</t>
  </si>
  <si>
    <t>* TT Dose is given to 15 - 49 yrs woman</t>
  </si>
  <si>
    <t>Note: BCG -Bacillus Climate Guerin</t>
  </si>
  <si>
    <t xml:space="preserve">           OPV - Oral Polio Vaccine</t>
  </si>
  <si>
    <t>.eveSwnunehcnwa egudemed iaWrwhwa 45 iawWrwhwa 15 Ineved czOD cDiawsckoT cswncTeT</t>
  </si>
  <si>
    <t>Estimated coverage based on data's received from atoll health facilities</t>
  </si>
  <si>
    <t xml:space="preserve">             DPT - Diptheria Partasis Tatnus</t>
  </si>
  <si>
    <t xml:space="preserve">             TT - Tetanus Toxide</t>
  </si>
  <si>
    <t>ސިއްޚީ ފަރުވާދޭ ތަންތަނުން ލިބިފައިވާ މަޢުލޫމާތަށް ބިނާކޮށް ހަދާފައިވާ އަންދާޒީއެކެވެ.</t>
  </si>
  <si>
    <t>Source: Health Protection Agency / EPI program</t>
  </si>
  <si>
    <t>cTEmiawlckcswliseb</t>
  </si>
  <si>
    <t>cswnwTeT csiseTrWp WairItcpiD</t>
  </si>
  <si>
    <t>cnisckev OailOp clwrOa</t>
  </si>
  <si>
    <t>uzOD (IjIsIb) cnireaug</t>
  </si>
  <si>
    <t>uzOD (ITIpID)</t>
  </si>
  <si>
    <t>uzOD (ITIT)</t>
  </si>
  <si>
    <t>uzOD (IvIpOa)</t>
  </si>
  <si>
    <t>Bacillus</t>
  </si>
  <si>
    <t>Diptheria Partasis Tatnus</t>
  </si>
  <si>
    <t>Tetanus Toxide</t>
  </si>
  <si>
    <t>Oral Polio Vaccine</t>
  </si>
  <si>
    <t>Climate Guerin</t>
  </si>
  <si>
    <t>(DPT) Dozes</t>
  </si>
  <si>
    <t>(TT) Dozes *</t>
  </si>
  <si>
    <t>(OPV) Dozes</t>
  </si>
  <si>
    <t>2012 ,WzWdcnwa egurwvcnim Wviawfivedcnisckev  :6.10 ulwvWt</t>
  </si>
  <si>
    <t>އަތޮޅު</t>
  </si>
  <si>
    <t>ހެޕަޓައިޓިސް ބީ</t>
  </si>
  <si>
    <t>ޓެޓްނަސް ޓޮކްސައިޑް</t>
  </si>
  <si>
    <t xml:space="preserve">މަޢުލޫމާތު ދެއްވީ: ހެލްތް ޕްރޮޓެކްޝަން އޭޖެންސީ </t>
  </si>
  <si>
    <r>
      <rPr>
        <b/>
        <i/>
        <sz val="10"/>
        <rFont val="Calibri"/>
        <family val="2"/>
        <scheme val="minor"/>
      </rPr>
      <t>At Birth:</t>
    </r>
    <r>
      <rPr>
        <i/>
        <sz val="10"/>
        <rFont val="Calibri"/>
        <family val="2"/>
        <scheme val="minor"/>
      </rPr>
      <t xml:space="preserve"> BCG, Hepatitis B1, OPV0       </t>
    </r>
  </si>
  <si>
    <r>
      <rPr>
        <b/>
        <i/>
        <sz val="10"/>
        <rFont val="Calibri"/>
        <family val="2"/>
        <scheme val="minor"/>
      </rPr>
      <t>6 week:</t>
    </r>
    <r>
      <rPr>
        <i/>
        <sz val="10"/>
        <rFont val="Calibri"/>
        <family val="2"/>
        <scheme val="minor"/>
      </rPr>
      <t xml:space="preserve"> OPV1, Hepatitis B2, DPT1  </t>
    </r>
  </si>
  <si>
    <r>
      <rPr>
        <b/>
        <i/>
        <sz val="10"/>
        <rFont val="Calibri"/>
        <family val="2"/>
        <scheme val="minor"/>
      </rPr>
      <t>10 week:</t>
    </r>
    <r>
      <rPr>
        <i/>
        <sz val="10"/>
        <rFont val="Calibri"/>
        <family val="2"/>
        <scheme val="minor"/>
      </rPr>
      <t xml:space="preserve"> OPV2, Hepatitis B3, DPT2</t>
    </r>
  </si>
  <si>
    <r>
      <rPr>
        <b/>
        <i/>
        <sz val="10"/>
        <rFont val="Calibri"/>
        <family val="2"/>
        <scheme val="minor"/>
      </rPr>
      <t>14 week:</t>
    </r>
    <r>
      <rPr>
        <i/>
        <sz val="10"/>
        <rFont val="Calibri"/>
        <family val="2"/>
        <scheme val="minor"/>
      </rPr>
      <t xml:space="preserve"> OPV3, DPT3</t>
    </r>
  </si>
  <si>
    <r>
      <rPr>
        <b/>
        <i/>
        <sz val="10"/>
        <rFont val="Calibri"/>
        <family val="2"/>
        <scheme val="minor"/>
      </rPr>
      <t>9 Months:</t>
    </r>
    <r>
      <rPr>
        <i/>
        <sz val="10"/>
        <rFont val="Calibri"/>
        <family val="2"/>
        <scheme val="minor"/>
      </rPr>
      <t xml:space="preserve"> Measles, Vitamin A  1</t>
    </r>
  </si>
  <si>
    <r>
      <rPr>
        <b/>
        <i/>
        <sz val="10"/>
        <rFont val="Calibri"/>
        <family val="2"/>
        <scheme val="minor"/>
      </rPr>
      <t>18 Months:</t>
    </r>
    <r>
      <rPr>
        <i/>
        <sz val="10"/>
        <rFont val="Calibri"/>
        <family val="2"/>
        <scheme val="minor"/>
      </rPr>
      <t xml:space="preserve"> Measles-Mumps-Rubella (MMR), Vitamin A 2</t>
    </r>
  </si>
  <si>
    <r>
      <rPr>
        <b/>
        <i/>
        <sz val="10"/>
        <rFont val="Calibri"/>
        <family val="2"/>
        <scheme val="minor"/>
      </rPr>
      <t>Childhood vaccine not completed:</t>
    </r>
    <r>
      <rPr>
        <i/>
        <sz val="10"/>
        <rFont val="Calibri"/>
        <family val="2"/>
        <scheme val="minor"/>
      </rPr>
      <t xml:space="preserve"> TT1st dose, TT2nd dose, TT3rd dose, TT4th dose, TT5th dose                                                                                               </t>
    </r>
  </si>
  <si>
    <r>
      <rPr>
        <b/>
        <i/>
        <sz val="10"/>
        <color theme="1"/>
        <rFont val="Times New Roman"/>
        <family val="1"/>
      </rPr>
      <t>Childhood vaccine completed:</t>
    </r>
    <r>
      <rPr>
        <i/>
        <sz val="10"/>
        <color theme="1"/>
        <rFont val="Times New Roman"/>
        <family val="1"/>
      </rPr>
      <t xml:space="preserve"> TT3rd dose, TT4th dose , TT5th dose</t>
    </r>
  </si>
  <si>
    <r>
      <rPr>
        <b/>
        <i/>
        <sz val="10"/>
        <rFont val="Calibri"/>
        <family val="2"/>
        <scheme val="minor"/>
      </rPr>
      <t>1st Pregnancy:</t>
    </r>
    <r>
      <rPr>
        <i/>
        <sz val="10"/>
        <rFont val="Calibri"/>
        <family val="2"/>
        <scheme val="minor"/>
      </rPr>
      <t xml:space="preserve"> TT1, TT2 </t>
    </r>
  </si>
  <si>
    <t>Table 6.10: ESTIMATED IMMUNIZATION COVERAGE, 2012</t>
  </si>
</sst>
</file>

<file path=xl/styles.xml><?xml version="1.0" encoding="utf-8"?>
<styleSheet xmlns="http://schemas.openxmlformats.org/spreadsheetml/2006/main">
  <numFmts count="4">
    <numFmt numFmtId="164" formatCode="General_)"/>
    <numFmt numFmtId="165" formatCode="#,##0.0"/>
    <numFmt numFmtId="167" formatCode="0.0"/>
    <numFmt numFmtId="169" formatCode="0.0%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9"/>
      <name val="A_Randhoo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name val="Faruma"/>
    </font>
    <font>
      <b/>
      <sz val="9"/>
      <name val="Faruma"/>
    </font>
    <font>
      <b/>
      <sz val="10"/>
      <name val="Faruma"/>
    </font>
    <font>
      <b/>
      <i/>
      <sz val="10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sz val="8"/>
      <name val="Faruma"/>
    </font>
    <font>
      <b/>
      <sz val="8"/>
      <name val="A_Ilham"/>
    </font>
    <font>
      <sz val="8"/>
      <name val="A_Huraa"/>
    </font>
    <font>
      <b/>
      <sz val="8"/>
      <name val="A_Huraa"/>
    </font>
    <font>
      <sz val="10"/>
      <color theme="1"/>
      <name val="Faruma"/>
    </font>
    <font>
      <sz val="9"/>
      <name val="A_Faseyha"/>
    </font>
    <font>
      <b/>
      <sz val="8"/>
      <name val="Faruma"/>
    </font>
    <font>
      <b/>
      <sz val="11"/>
      <color theme="1"/>
      <name val="A_Faseyha"/>
    </font>
    <font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sz val="8"/>
      <name val="Arial"/>
      <family val="2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theme="0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hair">
        <color indexed="64"/>
      </right>
      <top style="thin">
        <color theme="0"/>
      </top>
      <bottom/>
      <diagonal/>
    </border>
    <border>
      <left style="hair">
        <color indexed="64"/>
      </left>
      <right style="thin">
        <color theme="0"/>
      </right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hair">
        <color indexed="64"/>
      </top>
      <bottom/>
      <diagonal/>
    </border>
    <border>
      <left style="thin">
        <color theme="0"/>
      </left>
      <right style="hair">
        <color indexed="64"/>
      </right>
      <top style="hair">
        <color indexed="64"/>
      </top>
      <bottom/>
      <diagonal/>
    </border>
    <border>
      <left style="thin">
        <color theme="0"/>
      </left>
      <right style="hair">
        <color theme="1"/>
      </right>
      <top style="hair">
        <color indexed="64"/>
      </top>
      <bottom/>
      <diagonal/>
    </border>
    <border>
      <left/>
      <right style="thin">
        <color theme="0"/>
      </right>
      <top style="hair">
        <color indexed="64"/>
      </top>
      <bottom/>
      <diagonal/>
    </border>
    <border>
      <left style="hair">
        <color indexed="64"/>
      </left>
      <right style="thin">
        <color theme="0"/>
      </right>
      <top/>
      <bottom/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hair">
        <color theme="1"/>
      </left>
      <right/>
      <top style="thin">
        <color theme="0"/>
      </top>
      <bottom style="hair">
        <color indexed="64"/>
      </bottom>
      <diagonal/>
    </border>
    <border>
      <left style="hair">
        <color indexed="64"/>
      </left>
      <right/>
      <top style="thin">
        <color theme="0"/>
      </top>
      <bottom style="hair">
        <color indexed="64"/>
      </bottom>
      <diagonal/>
    </border>
    <border>
      <left/>
      <right style="hair">
        <color indexed="64"/>
      </right>
      <top style="thin">
        <color theme="0"/>
      </top>
      <bottom style="hair">
        <color indexed="64"/>
      </bottom>
      <diagonal/>
    </border>
    <border>
      <left style="hair">
        <color theme="1"/>
      </left>
      <right/>
      <top style="hair">
        <color theme="1" tint="4.9989318521683403E-2"/>
      </top>
      <bottom style="thin">
        <color theme="0"/>
      </bottom>
      <diagonal/>
    </border>
    <border>
      <left/>
      <right/>
      <top style="hair">
        <color theme="1" tint="4.9989318521683403E-2"/>
      </top>
      <bottom style="thin">
        <color theme="0"/>
      </bottom>
      <diagonal/>
    </border>
    <border>
      <left style="hair">
        <color indexed="64"/>
      </left>
      <right/>
      <top style="hair">
        <color theme="1" tint="4.9989318521683403E-2"/>
      </top>
      <bottom style="thin">
        <color theme="0"/>
      </bottom>
      <diagonal/>
    </border>
    <border>
      <left/>
      <right style="hair">
        <color indexed="64"/>
      </right>
      <top style="hair">
        <color theme="1" tint="4.9989318521683403E-2"/>
      </top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hair">
        <color theme="1" tint="4.9989318521683403E-2"/>
      </bottom>
      <diagonal/>
    </border>
    <border>
      <left/>
      <right/>
      <top style="thin">
        <color theme="0"/>
      </top>
      <bottom style="hair">
        <color theme="1" tint="4.9989318521683403E-2"/>
      </bottom>
      <diagonal/>
    </border>
    <border>
      <left style="hair">
        <color indexed="64"/>
      </left>
      <right/>
      <top style="thin">
        <color theme="0"/>
      </top>
      <bottom style="hair">
        <color theme="1" tint="4.9989318521683403E-2"/>
      </bottom>
      <diagonal/>
    </border>
    <border>
      <left/>
      <right style="hair">
        <color indexed="64"/>
      </right>
      <top style="thin">
        <color theme="0"/>
      </top>
      <bottom style="hair">
        <color theme="1" tint="4.9989318521683403E-2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/>
      <diagonal/>
    </border>
    <border>
      <left style="hair">
        <color theme="1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theme="1"/>
      </right>
      <top style="hair">
        <color theme="1" tint="4.9989318521683403E-2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theme="1"/>
      </right>
      <top/>
      <bottom style="hair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theme="1" tint="4.9989318521683403E-2"/>
      </bottom>
      <diagonal/>
    </border>
    <border>
      <left/>
      <right/>
      <top/>
      <bottom style="hair">
        <color theme="1" tint="4.9989318521683403E-2"/>
      </bottom>
      <diagonal/>
    </border>
    <border>
      <left/>
      <right style="hair">
        <color theme="1"/>
      </right>
      <top/>
      <bottom style="hair">
        <color theme="1" tint="4.9989318521683403E-2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4" fontId="8" fillId="0" borderId="0"/>
    <xf numFmtId="164" fontId="8" fillId="0" borderId="0"/>
    <xf numFmtId="0" fontId="1" fillId="0" borderId="0"/>
    <xf numFmtId="164" fontId="8" fillId="0" borderId="0"/>
    <xf numFmtId="0" fontId="12" fillId="0" borderId="0"/>
  </cellStyleXfs>
  <cellXfs count="131">
    <xf numFmtId="0" fontId="0" fillId="0" borderId="0" xfId="0"/>
    <xf numFmtId="164" fontId="11" fillId="2" borderId="0" xfId="0" applyNumberFormat="1" applyFont="1" applyFill="1" applyBorder="1" applyAlignment="1">
      <alignment horizontal="right" vertical="center"/>
    </xf>
    <xf numFmtId="3" fontId="21" fillId="0" borderId="16" xfId="7" applyNumberFormat="1" applyFont="1" applyFill="1" applyBorder="1" applyAlignment="1" applyProtection="1">
      <alignment horizontal="left" vertical="center"/>
    </xf>
    <xf numFmtId="3" fontId="21" fillId="0" borderId="18" xfId="7" applyNumberFormat="1" applyFont="1" applyBorder="1" applyAlignment="1">
      <alignment horizontal="center" vertical="center"/>
    </xf>
    <xf numFmtId="3" fontId="21" fillId="0" borderId="1" xfId="7" applyNumberFormat="1" applyFont="1" applyBorder="1" applyAlignment="1">
      <alignment vertical="center"/>
    </xf>
    <xf numFmtId="3" fontId="22" fillId="0" borderId="19" xfId="7" applyNumberFormat="1" applyFont="1" applyFill="1" applyBorder="1" applyAlignment="1">
      <alignment vertical="center"/>
    </xf>
    <xf numFmtId="3" fontId="23" fillId="0" borderId="21" xfId="7" applyNumberFormat="1" applyFont="1" applyBorder="1" applyAlignment="1">
      <alignment horizontal="center" vertical="center"/>
    </xf>
    <xf numFmtId="3" fontId="23" fillId="0" borderId="1" xfId="7" applyNumberFormat="1" applyFont="1" applyBorder="1" applyAlignment="1">
      <alignment vertical="center"/>
    </xf>
    <xf numFmtId="3" fontId="12" fillId="2" borderId="0" xfId="7" applyNumberFormat="1" applyFont="1" applyFill="1" applyBorder="1" applyAlignment="1">
      <alignment vertical="center"/>
    </xf>
    <xf numFmtId="3" fontId="18" fillId="2" borderId="0" xfId="7" applyNumberFormat="1" applyFont="1" applyFill="1" applyBorder="1" applyAlignment="1">
      <alignment vertical="center"/>
    </xf>
    <xf numFmtId="3" fontId="9" fillId="2" borderId="0" xfId="7" applyNumberFormat="1" applyFont="1" applyFill="1" applyBorder="1" applyAlignment="1">
      <alignment vertical="center"/>
    </xf>
    <xf numFmtId="3" fontId="7" fillId="2" borderId="0" xfId="7" applyNumberFormat="1" applyFont="1" applyFill="1" applyBorder="1" applyAlignment="1" applyProtection="1">
      <alignment horizontal="left" vertical="center"/>
    </xf>
    <xf numFmtId="9" fontId="15" fillId="2" borderId="0" xfId="7" applyNumberFormat="1" applyFont="1" applyFill="1" applyBorder="1" applyAlignment="1">
      <alignment horizontal="center" vertical="center"/>
    </xf>
    <xf numFmtId="169" fontId="15" fillId="2" borderId="0" xfId="7" applyNumberFormat="1" applyFont="1" applyFill="1" applyBorder="1" applyAlignment="1">
      <alignment horizontal="center" vertical="center"/>
    </xf>
    <xf numFmtId="3" fontId="14" fillId="2" borderId="0" xfId="7" applyNumberFormat="1" applyFont="1" applyFill="1" applyBorder="1" applyAlignment="1">
      <alignment horizontal="right" vertical="center"/>
    </xf>
    <xf numFmtId="3" fontId="6" fillId="2" borderId="0" xfId="7" applyNumberFormat="1" applyFont="1" applyFill="1" applyBorder="1" applyAlignment="1" applyProtection="1">
      <alignment horizontal="left" vertical="center"/>
    </xf>
    <xf numFmtId="3" fontId="14" fillId="2" borderId="0" xfId="7" applyNumberFormat="1" applyFont="1" applyFill="1" applyBorder="1" applyAlignment="1">
      <alignment vertical="center"/>
    </xf>
    <xf numFmtId="0" fontId="3" fillId="2" borderId="9" xfId="0" applyNumberFormat="1" applyFont="1" applyFill="1" applyBorder="1" applyAlignment="1">
      <alignment horizontal="right" vertical="center"/>
    </xf>
    <xf numFmtId="0" fontId="3" fillId="2" borderId="0" xfId="0" applyNumberFormat="1" applyFont="1" applyFill="1" applyBorder="1" applyAlignment="1">
      <alignment horizontal="right" vertical="center"/>
    </xf>
    <xf numFmtId="9" fontId="19" fillId="2" borderId="0" xfId="7" applyNumberFormat="1" applyFont="1" applyFill="1" applyBorder="1" applyAlignment="1">
      <alignment horizontal="center" vertical="center"/>
    </xf>
    <xf numFmtId="9" fontId="19" fillId="2" borderId="0" xfId="7" applyNumberFormat="1" applyFont="1" applyFill="1" applyBorder="1" applyAlignment="1">
      <alignment horizontal="left" vertical="center"/>
    </xf>
    <xf numFmtId="169" fontId="19" fillId="2" borderId="0" xfId="7" applyNumberFormat="1" applyFont="1" applyFill="1" applyBorder="1" applyAlignment="1">
      <alignment horizontal="left" vertical="center"/>
    </xf>
    <xf numFmtId="3" fontId="7" fillId="2" borderId="0" xfId="7" applyNumberFormat="1" applyFont="1" applyFill="1" applyBorder="1" applyAlignment="1">
      <alignment horizontal="left" vertical="center"/>
    </xf>
    <xf numFmtId="3" fontId="7" fillId="2" borderId="0" xfId="7" applyNumberFormat="1" applyFont="1" applyFill="1" applyBorder="1" applyAlignment="1">
      <alignment vertical="center"/>
    </xf>
    <xf numFmtId="3" fontId="25" fillId="2" borderId="0" xfId="7" applyNumberFormat="1" applyFont="1" applyFill="1" applyBorder="1" applyAlignment="1">
      <alignment horizontal="right" vertical="center"/>
    </xf>
    <xf numFmtId="3" fontId="11" fillId="2" borderId="0" xfId="7" applyNumberFormat="1" applyFont="1" applyFill="1" applyBorder="1" applyAlignment="1">
      <alignment horizontal="right" vertical="center"/>
    </xf>
    <xf numFmtId="3" fontId="10" fillId="2" borderId="0" xfId="7" applyNumberFormat="1" applyFont="1" applyFill="1" applyBorder="1" applyAlignment="1">
      <alignment horizontal="right" vertical="center"/>
    </xf>
    <xf numFmtId="3" fontId="10" fillId="2" borderId="4" xfId="7" applyNumberFormat="1" applyFont="1" applyFill="1" applyBorder="1" applyAlignment="1">
      <alignment horizontal="right" vertical="center"/>
    </xf>
    <xf numFmtId="3" fontId="2" fillId="0" borderId="19" xfId="7" applyNumberFormat="1" applyFont="1" applyFill="1" applyBorder="1" applyAlignment="1" applyProtection="1">
      <alignment horizontal="left" vertical="center"/>
    </xf>
    <xf numFmtId="3" fontId="2" fillId="0" borderId="21" xfId="7" applyNumberFormat="1" applyFont="1" applyBorder="1" applyAlignment="1" applyProtection="1">
      <alignment horizontal="center" vertical="center"/>
    </xf>
    <xf numFmtId="3" fontId="2" fillId="0" borderId="1" xfId="7" applyNumberFormat="1" applyFont="1" applyBorder="1" applyAlignment="1">
      <alignment vertical="center"/>
    </xf>
    <xf numFmtId="3" fontId="2" fillId="0" borderId="23" xfId="7" applyNumberFormat="1" applyFont="1" applyFill="1" applyBorder="1" applyAlignment="1">
      <alignment vertical="center"/>
    </xf>
    <xf numFmtId="3" fontId="2" fillId="0" borderId="24" xfId="7" applyNumberFormat="1" applyFont="1" applyBorder="1" applyAlignment="1" applyProtection="1">
      <alignment horizontal="center" vertical="center"/>
    </xf>
    <xf numFmtId="3" fontId="21" fillId="0" borderId="16" xfId="7" applyNumberFormat="1" applyFont="1" applyBorder="1" applyAlignment="1">
      <alignment horizontal="right" vertical="center" wrapText="1"/>
    </xf>
    <xf numFmtId="3" fontId="21" fillId="0" borderId="17" xfId="7" applyNumberFormat="1" applyFont="1" applyBorder="1" applyAlignment="1">
      <alignment horizontal="right" vertical="center" wrapText="1"/>
    </xf>
    <xf numFmtId="3" fontId="23" fillId="0" borderId="19" xfId="7" applyNumberFormat="1" applyFont="1" applyBorder="1" applyAlignment="1">
      <alignment horizontal="right" vertical="center"/>
    </xf>
    <xf numFmtId="3" fontId="2" fillId="0" borderId="19" xfId="7" applyNumberFormat="1" applyFont="1" applyBorder="1" applyAlignment="1" applyProtection="1">
      <alignment horizontal="right" vertical="center"/>
    </xf>
    <xf numFmtId="3" fontId="2" fillId="0" borderId="20" xfId="7" applyNumberFormat="1" applyFont="1" applyBorder="1" applyAlignment="1" applyProtection="1">
      <alignment horizontal="right" vertical="center"/>
    </xf>
    <xf numFmtId="3" fontId="2" fillId="0" borderId="23" xfId="7" applyNumberFormat="1" applyFont="1" applyBorder="1" applyAlignment="1" applyProtection="1">
      <alignment horizontal="right" vertical="center"/>
    </xf>
    <xf numFmtId="3" fontId="2" fillId="0" borderId="22" xfId="7" applyNumberFormat="1" applyFont="1" applyBorder="1" applyAlignment="1" applyProtection="1">
      <alignment horizontal="right" vertical="center"/>
    </xf>
    <xf numFmtId="3" fontId="2" fillId="0" borderId="25" xfId="7" applyNumberFormat="1" applyFont="1" applyBorder="1" applyAlignment="1" applyProtection="1">
      <alignment horizontal="right" vertical="center"/>
    </xf>
    <xf numFmtId="3" fontId="2" fillId="0" borderId="26" xfId="7" applyNumberFormat="1" applyFont="1" applyBorder="1" applyAlignment="1" applyProtection="1">
      <alignment horizontal="right" vertical="center"/>
    </xf>
    <xf numFmtId="3" fontId="2" fillId="0" borderId="26" xfId="7" applyNumberFormat="1" applyFont="1" applyBorder="1" applyAlignment="1" applyProtection="1">
      <alignment horizontal="right" vertical="center" wrapText="1"/>
    </xf>
    <xf numFmtId="3" fontId="2" fillId="0" borderId="27" xfId="7" applyNumberFormat="1" applyFont="1" applyBorder="1" applyAlignment="1" applyProtection="1">
      <alignment horizontal="right" vertical="center" wrapText="1"/>
    </xf>
    <xf numFmtId="3" fontId="2" fillId="0" borderId="28" xfId="7" applyNumberFormat="1" applyFont="1" applyBorder="1" applyAlignment="1" applyProtection="1">
      <alignment horizontal="right" vertical="center" wrapText="1"/>
    </xf>
    <xf numFmtId="3" fontId="2" fillId="0" borderId="29" xfId="7" applyNumberFormat="1" applyFont="1" applyBorder="1" applyAlignment="1" applyProtection="1">
      <alignment horizontal="right" vertical="center"/>
    </xf>
    <xf numFmtId="3" fontId="2" fillId="2" borderId="9" xfId="7" applyNumberFormat="1" applyFont="1" applyFill="1" applyBorder="1" applyAlignment="1" applyProtection="1">
      <alignment horizontal="right" vertical="center"/>
    </xf>
    <xf numFmtId="3" fontId="2" fillId="2" borderId="0" xfId="7" applyNumberFormat="1" applyFont="1" applyFill="1" applyBorder="1" applyAlignment="1" applyProtection="1">
      <alignment horizontal="right" vertical="center"/>
    </xf>
    <xf numFmtId="3" fontId="2" fillId="2" borderId="10" xfId="7" applyNumberFormat="1" applyFont="1" applyFill="1" applyBorder="1" applyAlignment="1" applyProtection="1">
      <alignment horizontal="right" vertical="center"/>
    </xf>
    <xf numFmtId="3" fontId="2" fillId="2" borderId="9" xfId="7" applyNumberFormat="1" applyFont="1" applyFill="1" applyBorder="1" applyAlignment="1">
      <alignment horizontal="right" vertical="center"/>
    </xf>
    <xf numFmtId="3" fontId="2" fillId="2" borderId="10" xfId="7" applyNumberFormat="1" applyFont="1" applyFill="1" applyBorder="1" applyAlignment="1">
      <alignment horizontal="right" vertical="center"/>
    </xf>
    <xf numFmtId="3" fontId="26" fillId="0" borderId="20" xfId="7" applyNumberFormat="1" applyFont="1" applyBorder="1" applyAlignment="1">
      <alignment horizontal="center" vertical="center"/>
    </xf>
    <xf numFmtId="3" fontId="2" fillId="2" borderId="15" xfId="7" applyNumberFormat="1" applyFont="1" applyFill="1" applyBorder="1" applyAlignment="1" applyProtection="1">
      <alignment horizontal="left" vertical="center"/>
    </xf>
    <xf numFmtId="3" fontId="2" fillId="2" borderId="14" xfId="7" applyNumberFormat="1" applyFont="1" applyFill="1" applyBorder="1" applyAlignment="1" applyProtection="1">
      <alignment horizontal="right" vertical="center"/>
    </xf>
    <xf numFmtId="3" fontId="2" fillId="2" borderId="57" xfId="7" applyNumberFormat="1" applyFont="1" applyFill="1" applyBorder="1" applyAlignment="1" applyProtection="1">
      <alignment horizontal="right" vertical="center"/>
    </xf>
    <xf numFmtId="3" fontId="2" fillId="2" borderId="6" xfId="7" applyNumberFormat="1" applyFont="1" applyFill="1" applyBorder="1" applyAlignment="1" applyProtection="1">
      <alignment horizontal="right" vertical="center"/>
    </xf>
    <xf numFmtId="3" fontId="2" fillId="2" borderId="5" xfId="7" applyNumberFormat="1" applyFont="1" applyFill="1" applyBorder="1" applyAlignment="1" applyProtection="1">
      <alignment horizontal="right" vertical="center"/>
    </xf>
    <xf numFmtId="3" fontId="2" fillId="2" borderId="12" xfId="7" applyNumberFormat="1" applyFont="1" applyFill="1" applyBorder="1" applyAlignment="1" applyProtection="1">
      <alignment horizontal="left" vertical="center"/>
    </xf>
    <xf numFmtId="3" fontId="2" fillId="2" borderId="58" xfId="7" applyNumberFormat="1" applyFont="1" applyFill="1" applyBorder="1" applyAlignment="1" applyProtection="1">
      <alignment horizontal="right" vertical="center"/>
    </xf>
    <xf numFmtId="3" fontId="2" fillId="2" borderId="58" xfId="7" applyNumberFormat="1" applyFont="1" applyFill="1" applyBorder="1" applyAlignment="1">
      <alignment horizontal="right" vertical="center"/>
    </xf>
    <xf numFmtId="0" fontId="3" fillId="2" borderId="12" xfId="7" applyFont="1" applyFill="1" applyBorder="1" applyAlignment="1" applyProtection="1">
      <alignment horizontal="left" vertical="center"/>
    </xf>
    <xf numFmtId="164" fontId="13" fillId="2" borderId="9" xfId="0" applyNumberFormat="1" applyFont="1" applyFill="1" applyBorder="1" applyAlignment="1">
      <alignment horizontal="right"/>
    </xf>
    <xf numFmtId="164" fontId="13" fillId="2" borderId="58" xfId="0" applyNumberFormat="1" applyFont="1" applyFill="1" applyBorder="1" applyAlignment="1">
      <alignment horizontal="right"/>
    </xf>
    <xf numFmtId="164" fontId="13" fillId="2" borderId="10" xfId="0" applyNumberFormat="1" applyFont="1" applyFill="1" applyBorder="1" applyAlignment="1">
      <alignment horizontal="right"/>
    </xf>
    <xf numFmtId="164" fontId="13" fillId="2" borderId="0" xfId="0" applyNumberFormat="1" applyFont="1" applyFill="1" applyBorder="1" applyAlignment="1">
      <alignment horizontal="right"/>
    </xf>
    <xf numFmtId="164" fontId="3" fillId="2" borderId="9" xfId="0" applyNumberFormat="1" applyFont="1" applyFill="1" applyBorder="1" applyAlignment="1">
      <alignment horizontal="right"/>
    </xf>
    <xf numFmtId="164" fontId="3" fillId="2" borderId="58" xfId="0" applyNumberFormat="1" applyFont="1" applyFill="1" applyBorder="1" applyAlignment="1">
      <alignment horizontal="right"/>
    </xf>
    <xf numFmtId="164" fontId="3" fillId="2" borderId="10" xfId="0" applyNumberFormat="1" applyFont="1" applyFill="1" applyBorder="1" applyAlignment="1">
      <alignment horizontal="right"/>
    </xf>
    <xf numFmtId="164" fontId="3" fillId="2" borderId="0" xfId="0" applyNumberFormat="1" applyFont="1" applyFill="1" applyBorder="1" applyAlignment="1">
      <alignment horizontal="right"/>
    </xf>
    <xf numFmtId="164" fontId="3" fillId="2" borderId="10" xfId="0" applyNumberFormat="1" applyFont="1" applyFill="1" applyBorder="1" applyAlignment="1">
      <alignment horizontal="right" vertical="center"/>
    </xf>
    <xf numFmtId="164" fontId="3" fillId="2" borderId="9" xfId="0" applyNumberFormat="1" applyFont="1" applyFill="1" applyBorder="1" applyAlignment="1">
      <alignment horizontal="right" vertical="center"/>
    </xf>
    <xf numFmtId="3" fontId="2" fillId="2" borderId="13" xfId="7" applyNumberFormat="1" applyFont="1" applyFill="1" applyBorder="1" applyAlignment="1" applyProtection="1">
      <alignment horizontal="left" vertical="center"/>
    </xf>
    <xf numFmtId="165" fontId="2" fillId="2" borderId="59" xfId="7" applyNumberFormat="1" applyFont="1" applyFill="1" applyBorder="1" applyAlignment="1">
      <alignment horizontal="right" vertical="center"/>
    </xf>
    <xf numFmtId="2" fontId="2" fillId="2" borderId="59" xfId="1" applyNumberFormat="1" applyFont="1" applyFill="1" applyBorder="1" applyAlignment="1">
      <alignment horizontal="right" vertical="center"/>
    </xf>
    <xf numFmtId="165" fontId="2" fillId="2" borderId="8" xfId="7" applyNumberFormat="1" applyFont="1" applyFill="1" applyBorder="1" applyAlignment="1">
      <alignment horizontal="right" vertical="center"/>
    </xf>
    <xf numFmtId="165" fontId="2" fillId="2" borderId="4" xfId="7" applyNumberFormat="1" applyFont="1" applyFill="1" applyBorder="1" applyAlignment="1">
      <alignment horizontal="right" vertical="center"/>
    </xf>
    <xf numFmtId="167" fontId="2" fillId="2" borderId="7" xfId="1" applyNumberFormat="1" applyFont="1" applyFill="1" applyBorder="1" applyAlignment="1">
      <alignment horizontal="right" vertical="center"/>
    </xf>
    <xf numFmtId="3" fontId="2" fillId="2" borderId="8" xfId="7" applyNumberFormat="1" applyFont="1" applyFill="1" applyBorder="1" applyAlignment="1">
      <alignment horizontal="right" vertical="center"/>
    </xf>
    <xf numFmtId="3" fontId="2" fillId="2" borderId="4" xfId="7" applyNumberFormat="1" applyFont="1" applyFill="1" applyBorder="1" applyAlignment="1">
      <alignment horizontal="right" vertical="center"/>
    </xf>
    <xf numFmtId="3" fontId="2" fillId="2" borderId="7" xfId="7" applyNumberFormat="1" applyFont="1" applyFill="1" applyBorder="1" applyAlignment="1">
      <alignment horizontal="right" vertical="center"/>
    </xf>
    <xf numFmtId="164" fontId="24" fillId="2" borderId="0" xfId="2" applyNumberFormat="1" applyFont="1" applyFill="1" applyBorder="1" applyAlignment="1">
      <alignment vertical="center"/>
    </xf>
    <xf numFmtId="3" fontId="30" fillId="2" borderId="0" xfId="7" applyNumberFormat="1" applyFont="1" applyFill="1" applyBorder="1" applyAlignment="1">
      <alignment vertical="center"/>
    </xf>
    <xf numFmtId="3" fontId="20" fillId="2" borderId="0" xfId="7" applyNumberFormat="1" applyFont="1" applyFill="1" applyBorder="1" applyAlignment="1">
      <alignment vertical="center"/>
    </xf>
    <xf numFmtId="3" fontId="4" fillId="2" borderId="0" xfId="7" applyNumberFormat="1" applyFont="1" applyFill="1" applyBorder="1" applyAlignment="1">
      <alignment vertical="center"/>
    </xf>
    <xf numFmtId="0" fontId="28" fillId="2" borderId="0" xfId="0" applyFont="1" applyFill="1" applyBorder="1" applyAlignment="1">
      <alignment wrapText="1"/>
    </xf>
    <xf numFmtId="0" fontId="28" fillId="2" borderId="0" xfId="0" applyFont="1" applyFill="1" applyBorder="1" applyAlignment="1"/>
    <xf numFmtId="3" fontId="2" fillId="0" borderId="61" xfId="7" applyNumberFormat="1" applyFont="1" applyBorder="1" applyAlignment="1" applyProtection="1">
      <alignment horizontal="right" vertical="center"/>
    </xf>
    <xf numFmtId="3" fontId="2" fillId="0" borderId="62" xfId="7" applyNumberFormat="1" applyFont="1" applyBorder="1" applyAlignment="1" applyProtection="1">
      <alignment horizontal="right" vertical="center" wrapText="1"/>
    </xf>
    <xf numFmtId="3" fontId="2" fillId="2" borderId="60" xfId="7" applyNumberFormat="1" applyFont="1" applyFill="1" applyBorder="1" applyAlignment="1" applyProtection="1">
      <alignment horizontal="right" vertical="center"/>
    </xf>
    <xf numFmtId="3" fontId="27" fillId="2" borderId="0" xfId="7" applyNumberFormat="1" applyFont="1" applyFill="1" applyBorder="1" applyAlignment="1">
      <alignment horizontal="center" vertical="center"/>
    </xf>
    <xf numFmtId="3" fontId="21" fillId="0" borderId="56" xfId="7" applyNumberFormat="1" applyFont="1" applyBorder="1" applyAlignment="1">
      <alignment horizontal="center" vertical="center"/>
    </xf>
    <xf numFmtId="3" fontId="21" fillId="0" borderId="2" xfId="7" applyNumberFormat="1" applyFont="1" applyBorder="1" applyAlignment="1">
      <alignment horizontal="center" vertical="center"/>
    </xf>
    <xf numFmtId="3" fontId="21" fillId="0" borderId="18" xfId="7" applyNumberFormat="1" applyFont="1" applyBorder="1" applyAlignment="1">
      <alignment horizontal="center" vertical="center"/>
    </xf>
    <xf numFmtId="3" fontId="15" fillId="0" borderId="56" xfId="7" applyNumberFormat="1" applyFont="1" applyBorder="1" applyAlignment="1">
      <alignment horizontal="center" vertical="center"/>
    </xf>
    <xf numFmtId="3" fontId="15" fillId="0" borderId="2" xfId="7" applyNumberFormat="1" applyFont="1" applyBorder="1" applyAlignment="1">
      <alignment horizontal="center" vertical="center"/>
    </xf>
    <xf numFmtId="3" fontId="15" fillId="0" borderId="18" xfId="7" applyNumberFormat="1" applyFont="1" applyBorder="1" applyAlignment="1">
      <alignment horizontal="center" vertical="center"/>
    </xf>
    <xf numFmtId="3" fontId="21" fillId="0" borderId="45" xfId="7" applyNumberFormat="1" applyFont="1" applyBorder="1" applyAlignment="1">
      <alignment horizontal="center" vertical="center"/>
    </xf>
    <xf numFmtId="3" fontId="23" fillId="0" borderId="39" xfId="7" applyNumberFormat="1" applyFont="1" applyBorder="1" applyAlignment="1">
      <alignment horizontal="center" vertical="center"/>
    </xf>
    <xf numFmtId="3" fontId="23" fillId="0" borderId="3" xfId="7" applyNumberFormat="1" applyFont="1" applyBorder="1" applyAlignment="1">
      <alignment horizontal="center" vertical="center"/>
    </xf>
    <xf numFmtId="3" fontId="23" fillId="0" borderId="21" xfId="7" applyNumberFormat="1" applyFont="1" applyBorder="1" applyAlignment="1">
      <alignment horizontal="center" vertical="center"/>
    </xf>
    <xf numFmtId="3" fontId="23" fillId="0" borderId="42" xfId="7" applyNumberFormat="1" applyFont="1" applyBorder="1" applyAlignment="1">
      <alignment horizontal="center" vertical="center"/>
    </xf>
    <xf numFmtId="3" fontId="23" fillId="0" borderId="41" xfId="7" applyNumberFormat="1" applyFont="1" applyBorder="1" applyAlignment="1">
      <alignment horizontal="center" vertical="center"/>
    </xf>
    <xf numFmtId="3" fontId="23" fillId="0" borderId="43" xfId="7" applyNumberFormat="1" applyFont="1" applyBorder="1" applyAlignment="1">
      <alignment horizontal="center" vertical="center"/>
    </xf>
    <xf numFmtId="3" fontId="23" fillId="0" borderId="40" xfId="7" applyNumberFormat="1" applyFont="1" applyBorder="1" applyAlignment="1">
      <alignment horizontal="center" vertical="center"/>
    </xf>
    <xf numFmtId="3" fontId="2" fillId="0" borderId="33" xfId="7" applyNumberFormat="1" applyFont="1" applyBorder="1" applyAlignment="1" applyProtection="1">
      <alignment horizontal="center" vertical="center"/>
    </xf>
    <xf numFmtId="3" fontId="2" fillId="0" borderId="11" xfId="7" applyNumberFormat="1" applyFont="1" applyBorder="1" applyAlignment="1" applyProtection="1">
      <alignment horizontal="center" vertical="center"/>
    </xf>
    <xf numFmtId="3" fontId="2" fillId="0" borderId="34" xfId="7" applyNumberFormat="1" applyFont="1" applyBorder="1" applyAlignment="1" applyProtection="1">
      <alignment horizontal="center" vertical="center"/>
    </xf>
    <xf numFmtId="3" fontId="2" fillId="0" borderId="32" xfId="7" applyNumberFormat="1" applyFont="1" applyBorder="1" applyAlignment="1" applyProtection="1">
      <alignment horizontal="center" vertical="center"/>
    </xf>
    <xf numFmtId="3" fontId="5" fillId="2" borderId="0" xfId="7" applyNumberFormat="1" applyFont="1" applyFill="1" applyBorder="1" applyAlignment="1" applyProtection="1">
      <alignment horizontal="center" vertical="center"/>
    </xf>
    <xf numFmtId="3" fontId="16" fillId="0" borderId="44" xfId="7" applyNumberFormat="1" applyFont="1" applyBorder="1" applyAlignment="1">
      <alignment horizontal="right" vertical="center"/>
    </xf>
    <xf numFmtId="3" fontId="16" fillId="0" borderId="30" xfId="7" applyNumberFormat="1" applyFont="1" applyBorder="1" applyAlignment="1">
      <alignment horizontal="right" vertical="center"/>
    </xf>
    <xf numFmtId="3" fontId="16" fillId="0" borderId="31" xfId="7" applyNumberFormat="1" applyFont="1" applyBorder="1" applyAlignment="1">
      <alignment horizontal="right" vertical="center"/>
    </xf>
    <xf numFmtId="3" fontId="2" fillId="0" borderId="46" xfId="7" applyNumberFormat="1" applyFont="1" applyBorder="1" applyAlignment="1" applyProtection="1">
      <alignment horizontal="center" vertical="center"/>
    </xf>
    <xf numFmtId="3" fontId="2" fillId="0" borderId="47" xfId="7" applyNumberFormat="1" applyFont="1" applyBorder="1" applyAlignment="1" applyProtection="1">
      <alignment horizontal="center" vertical="center"/>
    </xf>
    <xf numFmtId="3" fontId="2" fillId="0" borderId="48" xfId="7" applyNumberFormat="1" applyFont="1" applyBorder="1" applyAlignment="1" applyProtection="1">
      <alignment horizontal="center" vertical="center"/>
    </xf>
    <xf numFmtId="3" fontId="2" fillId="0" borderId="49" xfId="7" applyNumberFormat="1" applyFont="1" applyBorder="1" applyAlignment="1" applyProtection="1">
      <alignment horizontal="center" vertical="center"/>
    </xf>
    <xf numFmtId="3" fontId="2" fillId="0" borderId="50" xfId="7" applyNumberFormat="1" applyFont="1" applyBorder="1" applyAlignment="1" applyProtection="1">
      <alignment horizontal="center" vertical="center"/>
    </xf>
    <xf numFmtId="3" fontId="2" fillId="0" borderId="51" xfId="7" applyNumberFormat="1" applyFont="1" applyBorder="1" applyAlignment="1" applyProtection="1">
      <alignment horizontal="center" vertical="center"/>
    </xf>
    <xf numFmtId="3" fontId="26" fillId="0" borderId="14" xfId="7" applyNumberFormat="1" applyFont="1" applyBorder="1" applyAlignment="1">
      <alignment horizontal="center" vertical="center"/>
    </xf>
    <xf numFmtId="3" fontId="26" fillId="0" borderId="5" xfId="7" applyNumberFormat="1" applyFont="1" applyBorder="1" applyAlignment="1">
      <alignment horizontal="center" vertical="center"/>
    </xf>
    <xf numFmtId="3" fontId="26" fillId="0" borderId="52" xfId="7" applyNumberFormat="1" applyFont="1" applyBorder="1" applyAlignment="1">
      <alignment horizontal="center" vertical="center"/>
    </xf>
    <xf numFmtId="3" fontId="26" fillId="0" borderId="53" xfId="7" applyNumberFormat="1" applyFont="1" applyBorder="1" applyAlignment="1">
      <alignment horizontal="center" vertical="center"/>
    </xf>
    <xf numFmtId="3" fontId="26" fillId="0" borderId="54" xfId="7" applyNumberFormat="1" applyFont="1" applyBorder="1" applyAlignment="1">
      <alignment horizontal="center" vertical="center"/>
    </xf>
    <xf numFmtId="3" fontId="26" fillId="0" borderId="55" xfId="7" applyNumberFormat="1" applyFont="1" applyBorder="1" applyAlignment="1">
      <alignment horizontal="center" vertical="center"/>
    </xf>
    <xf numFmtId="3" fontId="2" fillId="0" borderId="39" xfId="7" applyNumberFormat="1" applyFont="1" applyBorder="1" applyAlignment="1" applyProtection="1">
      <alignment horizontal="center" vertical="center"/>
    </xf>
    <xf numFmtId="3" fontId="2" fillId="0" borderId="3" xfId="7" applyNumberFormat="1" applyFont="1" applyBorder="1" applyAlignment="1" applyProtection="1">
      <alignment horizontal="center" vertical="center"/>
    </xf>
    <xf numFmtId="3" fontId="2" fillId="0" borderId="21" xfId="7" applyNumberFormat="1" applyFont="1" applyBorder="1" applyAlignment="1" applyProtection="1">
      <alignment horizontal="center" vertical="center"/>
    </xf>
    <xf numFmtId="3" fontId="2" fillId="0" borderId="37" xfId="7" applyNumberFormat="1" applyFont="1" applyBorder="1" applyAlignment="1" applyProtection="1">
      <alignment horizontal="center" vertical="center"/>
    </xf>
    <xf numFmtId="3" fontId="2" fillId="0" borderId="36" xfId="7" applyNumberFormat="1" applyFont="1" applyBorder="1" applyAlignment="1" applyProtection="1">
      <alignment horizontal="center" vertical="center"/>
    </xf>
    <xf numFmtId="3" fontId="2" fillId="0" borderId="38" xfId="7" applyNumberFormat="1" applyFont="1" applyBorder="1" applyAlignment="1" applyProtection="1">
      <alignment horizontal="center" vertical="center"/>
    </xf>
    <xf numFmtId="3" fontId="2" fillId="0" borderId="35" xfId="7" applyNumberFormat="1" applyFont="1" applyBorder="1" applyAlignment="1" applyProtection="1">
      <alignment horizontal="center" vertical="center"/>
    </xf>
  </cellXfs>
  <cellStyles count="8">
    <cellStyle name="Normal" xfId="0" builtinId="0"/>
    <cellStyle name="Normal 16" xfId="4"/>
    <cellStyle name="Normal 17" xfId="5"/>
    <cellStyle name="Normal 2" xfId="2"/>
    <cellStyle name="Normal 3" xfId="6"/>
    <cellStyle name="Normal 9" xfId="3"/>
    <cellStyle name="Normal_immunization" xfId="7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2"/>
  <sheetViews>
    <sheetView tabSelected="1" workbookViewId="0">
      <selection activeCell="A3" sqref="A3:T3"/>
    </sheetView>
  </sheetViews>
  <sheetFormatPr defaultColWidth="11.140625" defaultRowHeight="18.75"/>
  <cols>
    <col min="1" max="1" width="24.5703125" style="8" customWidth="1"/>
    <col min="2" max="2" width="9.5703125" style="9" customWidth="1"/>
    <col min="3" max="3" width="8.85546875" style="9" customWidth="1"/>
    <col min="4" max="4" width="16.7109375" style="9" customWidth="1"/>
    <col min="5" max="5" width="10.28515625" style="9" customWidth="1"/>
    <col min="6" max="6" width="11.28515625" style="9" customWidth="1"/>
    <col min="7" max="7" width="8.85546875" style="9" customWidth="1"/>
    <col min="8" max="8" width="8.28515625" style="9" customWidth="1"/>
    <col min="9" max="12" width="7.85546875" style="9" customWidth="1"/>
    <col min="13" max="15" width="8.5703125" style="9" customWidth="1"/>
    <col min="16" max="19" width="9.42578125" style="9" customWidth="1"/>
    <col min="20" max="20" width="19.5703125" style="9" customWidth="1"/>
    <col min="21" max="16384" width="11.140625" style="8"/>
  </cols>
  <sheetData>
    <row r="1" spans="1:20" ht="12.7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18">
      <c r="A2" s="89" t="s">
        <v>88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</row>
    <row r="3" spans="1:20" ht="22.5" customHeight="1">
      <c r="A3" s="108" t="s">
        <v>102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spans="1:20" s="4" customFormat="1" ht="15" customHeight="1">
      <c r="A4" s="2"/>
      <c r="B4" s="33"/>
      <c r="C4" s="34"/>
      <c r="D4" s="3" t="s">
        <v>73</v>
      </c>
      <c r="E4" s="90" t="s">
        <v>74</v>
      </c>
      <c r="F4" s="91"/>
      <c r="G4" s="92"/>
      <c r="H4" s="93" t="s">
        <v>91</v>
      </c>
      <c r="I4" s="94"/>
      <c r="J4" s="94"/>
      <c r="K4" s="94"/>
      <c r="L4" s="95"/>
      <c r="M4" s="118" t="s">
        <v>90</v>
      </c>
      <c r="N4" s="119"/>
      <c r="O4" s="120"/>
      <c r="P4" s="96" t="s">
        <v>75</v>
      </c>
      <c r="Q4" s="91"/>
      <c r="R4" s="91"/>
      <c r="S4" s="92"/>
      <c r="T4" s="109" t="s">
        <v>89</v>
      </c>
    </row>
    <row r="5" spans="1:20" s="7" customFormat="1" ht="15" customHeight="1">
      <c r="A5" s="5"/>
      <c r="B5" s="35" t="s">
        <v>27</v>
      </c>
      <c r="C5" s="51" t="s">
        <v>28</v>
      </c>
      <c r="D5" s="6" t="s">
        <v>76</v>
      </c>
      <c r="E5" s="97" t="s">
        <v>77</v>
      </c>
      <c r="F5" s="98"/>
      <c r="G5" s="99"/>
      <c r="H5" s="100" t="s">
        <v>78</v>
      </c>
      <c r="I5" s="101"/>
      <c r="J5" s="101"/>
      <c r="K5" s="101"/>
      <c r="L5" s="102"/>
      <c r="M5" s="121"/>
      <c r="N5" s="122"/>
      <c r="O5" s="123"/>
      <c r="P5" s="103" t="s">
        <v>79</v>
      </c>
      <c r="Q5" s="101"/>
      <c r="R5" s="101"/>
      <c r="S5" s="102"/>
      <c r="T5" s="110"/>
    </row>
    <row r="6" spans="1:20" s="30" customFormat="1" ht="15" customHeight="1">
      <c r="A6" s="28" t="s">
        <v>8</v>
      </c>
      <c r="B6" s="36"/>
      <c r="C6" s="37"/>
      <c r="D6" s="29" t="s">
        <v>80</v>
      </c>
      <c r="E6" s="124" t="s">
        <v>81</v>
      </c>
      <c r="F6" s="125"/>
      <c r="G6" s="126"/>
      <c r="H6" s="127" t="s">
        <v>82</v>
      </c>
      <c r="I6" s="128"/>
      <c r="J6" s="128"/>
      <c r="K6" s="128"/>
      <c r="L6" s="129"/>
      <c r="M6" s="112" t="s">
        <v>31</v>
      </c>
      <c r="N6" s="113"/>
      <c r="O6" s="114"/>
      <c r="P6" s="130" t="s">
        <v>83</v>
      </c>
      <c r="Q6" s="128"/>
      <c r="R6" s="128"/>
      <c r="S6" s="129"/>
      <c r="T6" s="110"/>
    </row>
    <row r="7" spans="1:20" s="30" customFormat="1" ht="15" customHeight="1">
      <c r="A7" s="28"/>
      <c r="B7" s="36" t="s">
        <v>29</v>
      </c>
      <c r="C7" s="37" t="s">
        <v>30</v>
      </c>
      <c r="D7" s="29" t="s">
        <v>84</v>
      </c>
      <c r="E7" s="104" t="s">
        <v>85</v>
      </c>
      <c r="F7" s="105"/>
      <c r="G7" s="106"/>
      <c r="H7" s="104" t="s">
        <v>86</v>
      </c>
      <c r="I7" s="105"/>
      <c r="J7" s="105"/>
      <c r="K7" s="105"/>
      <c r="L7" s="106"/>
      <c r="M7" s="115"/>
      <c r="N7" s="116"/>
      <c r="O7" s="117"/>
      <c r="P7" s="107" t="s">
        <v>87</v>
      </c>
      <c r="Q7" s="105"/>
      <c r="R7" s="105"/>
      <c r="S7" s="106"/>
      <c r="T7" s="110"/>
    </row>
    <row r="8" spans="1:20" s="30" customFormat="1" ht="12.75">
      <c r="A8" s="31"/>
      <c r="B8" s="38"/>
      <c r="C8" s="39"/>
      <c r="D8" s="32" t="s">
        <v>32</v>
      </c>
      <c r="E8" s="86" t="s">
        <v>33</v>
      </c>
      <c r="F8" s="88" t="s">
        <v>34</v>
      </c>
      <c r="G8" s="87" t="s">
        <v>35</v>
      </c>
      <c r="H8" s="40" t="s">
        <v>33</v>
      </c>
      <c r="I8" s="41" t="s">
        <v>34</v>
      </c>
      <c r="J8" s="42" t="s">
        <v>35</v>
      </c>
      <c r="K8" s="42" t="s">
        <v>36</v>
      </c>
      <c r="L8" s="43" t="s">
        <v>37</v>
      </c>
      <c r="M8" s="40" t="s">
        <v>33</v>
      </c>
      <c r="N8" s="41" t="s">
        <v>34</v>
      </c>
      <c r="O8" s="44" t="s">
        <v>35</v>
      </c>
      <c r="P8" s="45" t="s">
        <v>33</v>
      </c>
      <c r="Q8" s="41" t="s">
        <v>34</v>
      </c>
      <c r="R8" s="42" t="s">
        <v>35</v>
      </c>
      <c r="S8" s="43" t="s">
        <v>36</v>
      </c>
      <c r="T8" s="111"/>
    </row>
    <row r="9" spans="1:20" s="10" customFormat="1" ht="23.25" customHeight="1">
      <c r="A9" s="52" t="s">
        <v>0</v>
      </c>
      <c r="B9" s="53">
        <f>B10+B11</f>
        <v>7516</v>
      </c>
      <c r="C9" s="54">
        <f t="shared" ref="C9:S9" si="0">C10+C11</f>
        <v>7430</v>
      </c>
      <c r="D9" s="55">
        <f t="shared" si="0"/>
        <v>6517</v>
      </c>
      <c r="E9" s="53">
        <f t="shared" si="0"/>
        <v>6640</v>
      </c>
      <c r="F9" s="56">
        <f t="shared" si="0"/>
        <v>6801</v>
      </c>
      <c r="G9" s="55">
        <f t="shared" si="0"/>
        <v>6804</v>
      </c>
      <c r="H9" s="53">
        <f t="shared" si="0"/>
        <v>2705</v>
      </c>
      <c r="I9" s="56">
        <f t="shared" si="0"/>
        <v>2244</v>
      </c>
      <c r="J9" s="56">
        <f t="shared" si="0"/>
        <v>1591</v>
      </c>
      <c r="K9" s="56">
        <f t="shared" si="0"/>
        <v>1349</v>
      </c>
      <c r="L9" s="55">
        <f t="shared" si="0"/>
        <v>1131</v>
      </c>
      <c r="M9" s="56">
        <f t="shared" si="0"/>
        <v>6517</v>
      </c>
      <c r="N9" s="56">
        <f t="shared" si="0"/>
        <v>6717</v>
      </c>
      <c r="O9" s="55">
        <f t="shared" si="0"/>
        <v>6893</v>
      </c>
      <c r="P9" s="56">
        <f t="shared" si="0"/>
        <v>6454</v>
      </c>
      <c r="Q9" s="56">
        <f t="shared" si="0"/>
        <v>6593</v>
      </c>
      <c r="R9" s="56">
        <f t="shared" si="0"/>
        <v>6782</v>
      </c>
      <c r="S9" s="55">
        <f t="shared" si="0"/>
        <v>6948</v>
      </c>
      <c r="T9" s="26" t="s">
        <v>9</v>
      </c>
    </row>
    <row r="10" spans="1:20" s="10" customFormat="1" ht="23.25" customHeight="1">
      <c r="A10" s="57" t="s">
        <v>4</v>
      </c>
      <c r="B10" s="46">
        <v>2792</v>
      </c>
      <c r="C10" s="58">
        <v>2740</v>
      </c>
      <c r="D10" s="48">
        <v>3643</v>
      </c>
      <c r="E10" s="46">
        <v>2071</v>
      </c>
      <c r="F10" s="47">
        <v>2205</v>
      </c>
      <c r="G10" s="48">
        <v>2190</v>
      </c>
      <c r="H10" s="46">
        <v>1044</v>
      </c>
      <c r="I10" s="47">
        <v>852</v>
      </c>
      <c r="J10" s="47">
        <v>25</v>
      </c>
      <c r="K10" s="47">
        <v>0</v>
      </c>
      <c r="L10" s="48">
        <v>1</v>
      </c>
      <c r="M10" s="47">
        <v>3688</v>
      </c>
      <c r="N10" s="47">
        <v>2069</v>
      </c>
      <c r="O10" s="48">
        <v>2227</v>
      </c>
      <c r="P10" s="47">
        <v>3683</v>
      </c>
      <c r="Q10" s="47">
        <v>2041</v>
      </c>
      <c r="R10" s="47">
        <v>2188</v>
      </c>
      <c r="S10" s="48">
        <v>2343</v>
      </c>
      <c r="T10" s="26" t="s">
        <v>6</v>
      </c>
    </row>
    <row r="11" spans="1:20" s="10" customFormat="1" ht="23.25" customHeight="1">
      <c r="A11" s="57" t="s">
        <v>5</v>
      </c>
      <c r="B11" s="49">
        <v>4724</v>
      </c>
      <c r="C11" s="59">
        <v>4690</v>
      </c>
      <c r="D11" s="50">
        <v>2874</v>
      </c>
      <c r="E11" s="46">
        <v>4569</v>
      </c>
      <c r="F11" s="47">
        <v>4596</v>
      </c>
      <c r="G11" s="48">
        <v>4614</v>
      </c>
      <c r="H11" s="46">
        <v>1661</v>
      </c>
      <c r="I11" s="47">
        <v>1392</v>
      </c>
      <c r="J11" s="47">
        <v>1566</v>
      </c>
      <c r="K11" s="47">
        <v>1349</v>
      </c>
      <c r="L11" s="48">
        <v>1130</v>
      </c>
      <c r="M11" s="47">
        <v>2829</v>
      </c>
      <c r="N11" s="47">
        <v>4648</v>
      </c>
      <c r="O11" s="48">
        <v>4666</v>
      </c>
      <c r="P11" s="47">
        <v>2771</v>
      </c>
      <c r="Q11" s="47">
        <v>4552</v>
      </c>
      <c r="R11" s="47">
        <v>4594</v>
      </c>
      <c r="S11" s="48">
        <v>4605</v>
      </c>
      <c r="T11" s="26" t="s">
        <v>7</v>
      </c>
    </row>
    <row r="12" spans="1:20" ht="23.25" customHeight="1">
      <c r="A12" s="60" t="s">
        <v>38</v>
      </c>
      <c r="B12" s="61">
        <v>343</v>
      </c>
      <c r="C12" s="62">
        <v>329</v>
      </c>
      <c r="D12" s="63">
        <v>108</v>
      </c>
      <c r="E12" s="61">
        <v>299</v>
      </c>
      <c r="F12" s="64">
        <v>324</v>
      </c>
      <c r="G12" s="63">
        <v>323</v>
      </c>
      <c r="H12" s="61">
        <v>164</v>
      </c>
      <c r="I12" s="64">
        <v>135</v>
      </c>
      <c r="J12" s="64">
        <v>173</v>
      </c>
      <c r="K12" s="64">
        <v>116</v>
      </c>
      <c r="L12" s="64">
        <v>102</v>
      </c>
      <c r="M12" s="61">
        <v>117</v>
      </c>
      <c r="N12" s="64">
        <v>300</v>
      </c>
      <c r="O12" s="63">
        <v>347</v>
      </c>
      <c r="P12" s="61">
        <v>112</v>
      </c>
      <c r="Q12" s="64">
        <v>301</v>
      </c>
      <c r="R12" s="64">
        <v>329</v>
      </c>
      <c r="S12" s="63">
        <v>338</v>
      </c>
      <c r="T12" s="1" t="s">
        <v>10</v>
      </c>
    </row>
    <row r="13" spans="1:20" ht="23.25" customHeight="1">
      <c r="A13" s="60" t="s">
        <v>39</v>
      </c>
      <c r="B13" s="65">
        <v>620</v>
      </c>
      <c r="C13" s="66">
        <v>619</v>
      </c>
      <c r="D13" s="67">
        <v>708</v>
      </c>
      <c r="E13" s="65">
        <v>605</v>
      </c>
      <c r="F13" s="68">
        <v>495</v>
      </c>
      <c r="G13" s="67">
        <v>524</v>
      </c>
      <c r="H13" s="65">
        <v>354</v>
      </c>
      <c r="I13" s="68">
        <v>189</v>
      </c>
      <c r="J13" s="68">
        <v>153</v>
      </c>
      <c r="K13" s="68">
        <v>130</v>
      </c>
      <c r="L13" s="68">
        <v>92</v>
      </c>
      <c r="M13" s="65">
        <v>683</v>
      </c>
      <c r="N13" s="68">
        <v>529</v>
      </c>
      <c r="O13" s="67">
        <v>493</v>
      </c>
      <c r="P13" s="65">
        <v>693</v>
      </c>
      <c r="Q13" s="68">
        <v>515</v>
      </c>
      <c r="R13" s="68">
        <v>480</v>
      </c>
      <c r="S13" s="67">
        <v>510</v>
      </c>
      <c r="T13" s="1" t="s">
        <v>11</v>
      </c>
    </row>
    <row r="14" spans="1:20" ht="23.25" customHeight="1">
      <c r="A14" s="60" t="s">
        <v>40</v>
      </c>
      <c r="B14" s="65">
        <v>283</v>
      </c>
      <c r="C14" s="66">
        <v>311</v>
      </c>
      <c r="D14" s="67">
        <v>65</v>
      </c>
      <c r="E14" s="65">
        <v>266</v>
      </c>
      <c r="F14" s="68">
        <v>278</v>
      </c>
      <c r="G14" s="67">
        <v>280</v>
      </c>
      <c r="H14" s="65">
        <v>3</v>
      </c>
      <c r="I14" s="68">
        <v>0</v>
      </c>
      <c r="J14" s="68">
        <v>130</v>
      </c>
      <c r="K14" s="68">
        <v>137</v>
      </c>
      <c r="L14" s="68">
        <v>107</v>
      </c>
      <c r="M14" s="65">
        <v>70</v>
      </c>
      <c r="N14" s="68">
        <v>274</v>
      </c>
      <c r="O14" s="67">
        <v>280</v>
      </c>
      <c r="P14" s="65">
        <v>65</v>
      </c>
      <c r="Q14" s="68">
        <v>274</v>
      </c>
      <c r="R14" s="68">
        <v>278</v>
      </c>
      <c r="S14" s="67">
        <v>278</v>
      </c>
      <c r="T14" s="1" t="s">
        <v>3</v>
      </c>
    </row>
    <row r="15" spans="1:20" ht="23.25" customHeight="1">
      <c r="A15" s="60" t="s">
        <v>41</v>
      </c>
      <c r="B15" s="65">
        <v>235</v>
      </c>
      <c r="C15" s="66">
        <v>312</v>
      </c>
      <c r="D15" s="67">
        <v>133</v>
      </c>
      <c r="E15" s="65">
        <v>229</v>
      </c>
      <c r="F15" s="68">
        <v>237</v>
      </c>
      <c r="G15" s="67">
        <v>250</v>
      </c>
      <c r="H15" s="65">
        <v>319</v>
      </c>
      <c r="I15" s="68">
        <v>51</v>
      </c>
      <c r="J15" s="68">
        <v>80</v>
      </c>
      <c r="K15" s="68">
        <v>92</v>
      </c>
      <c r="L15" s="68">
        <v>49</v>
      </c>
      <c r="M15" s="65">
        <v>74</v>
      </c>
      <c r="N15" s="68">
        <v>224</v>
      </c>
      <c r="O15" s="67">
        <v>250</v>
      </c>
      <c r="P15" s="65">
        <v>65</v>
      </c>
      <c r="Q15" s="68">
        <v>228</v>
      </c>
      <c r="R15" s="68">
        <v>237</v>
      </c>
      <c r="S15" s="67">
        <v>264</v>
      </c>
      <c r="T15" s="1" t="s">
        <v>12</v>
      </c>
    </row>
    <row r="16" spans="1:20" ht="23.25" customHeight="1">
      <c r="A16" s="60" t="s">
        <v>42</v>
      </c>
      <c r="B16" s="65">
        <v>397</v>
      </c>
      <c r="C16" s="66">
        <v>463</v>
      </c>
      <c r="D16" s="67">
        <v>235</v>
      </c>
      <c r="E16" s="65">
        <v>384</v>
      </c>
      <c r="F16" s="68">
        <v>395</v>
      </c>
      <c r="G16" s="67">
        <v>395</v>
      </c>
      <c r="H16" s="65">
        <v>210</v>
      </c>
      <c r="I16" s="68">
        <v>152</v>
      </c>
      <c r="J16" s="68">
        <v>156</v>
      </c>
      <c r="K16" s="68">
        <v>134</v>
      </c>
      <c r="L16" s="68">
        <v>135</v>
      </c>
      <c r="M16" s="65">
        <v>243</v>
      </c>
      <c r="N16" s="68">
        <v>401</v>
      </c>
      <c r="O16" s="67">
        <v>395</v>
      </c>
      <c r="P16" s="65">
        <v>237</v>
      </c>
      <c r="Q16" s="68">
        <v>393</v>
      </c>
      <c r="R16" s="68">
        <v>397</v>
      </c>
      <c r="S16" s="67">
        <v>417</v>
      </c>
      <c r="T16" s="1" t="s">
        <v>13</v>
      </c>
    </row>
    <row r="17" spans="1:20" ht="23.25" customHeight="1">
      <c r="A17" s="60" t="s">
        <v>43</v>
      </c>
      <c r="B17" s="65">
        <v>222</v>
      </c>
      <c r="C17" s="66">
        <v>207</v>
      </c>
      <c r="D17" s="67">
        <v>95</v>
      </c>
      <c r="E17" s="65">
        <v>198</v>
      </c>
      <c r="F17" s="68">
        <v>232</v>
      </c>
      <c r="G17" s="67">
        <v>219</v>
      </c>
      <c r="H17" s="65">
        <v>15</v>
      </c>
      <c r="I17" s="68">
        <v>30</v>
      </c>
      <c r="J17" s="68">
        <v>120</v>
      </c>
      <c r="K17" s="68">
        <v>129</v>
      </c>
      <c r="L17" s="68">
        <v>119</v>
      </c>
      <c r="M17" s="65">
        <v>84</v>
      </c>
      <c r="N17" s="68">
        <v>203</v>
      </c>
      <c r="O17" s="67">
        <v>234</v>
      </c>
      <c r="P17" s="65">
        <v>94</v>
      </c>
      <c r="Q17" s="68">
        <v>203</v>
      </c>
      <c r="R17" s="68">
        <v>222</v>
      </c>
      <c r="S17" s="67">
        <v>214</v>
      </c>
      <c r="T17" s="1" t="s">
        <v>14</v>
      </c>
    </row>
    <row r="18" spans="1:20" ht="23.25" customHeight="1">
      <c r="A18" s="60" t="s">
        <v>44</v>
      </c>
      <c r="B18" s="65">
        <v>169</v>
      </c>
      <c r="C18" s="66">
        <v>155</v>
      </c>
      <c r="D18" s="67">
        <v>145</v>
      </c>
      <c r="E18" s="65">
        <v>209</v>
      </c>
      <c r="F18" s="68">
        <v>209</v>
      </c>
      <c r="G18" s="67">
        <v>203</v>
      </c>
      <c r="H18" s="65">
        <v>70</v>
      </c>
      <c r="I18" s="68">
        <v>66</v>
      </c>
      <c r="J18" s="68">
        <v>92</v>
      </c>
      <c r="K18" s="68">
        <v>106</v>
      </c>
      <c r="L18" s="68">
        <v>111</v>
      </c>
      <c r="M18" s="65">
        <v>148</v>
      </c>
      <c r="N18" s="68">
        <v>204</v>
      </c>
      <c r="O18" s="67">
        <v>210</v>
      </c>
      <c r="P18" s="65">
        <v>153</v>
      </c>
      <c r="Q18" s="68">
        <v>211</v>
      </c>
      <c r="R18" s="68">
        <v>192</v>
      </c>
      <c r="S18" s="67">
        <v>197</v>
      </c>
      <c r="T18" s="1" t="s">
        <v>2</v>
      </c>
    </row>
    <row r="19" spans="1:20" ht="23.25" customHeight="1">
      <c r="A19" s="60" t="s">
        <v>45</v>
      </c>
      <c r="B19" s="65">
        <v>181</v>
      </c>
      <c r="C19" s="66">
        <v>147</v>
      </c>
      <c r="D19" s="67">
        <v>12</v>
      </c>
      <c r="E19" s="65">
        <v>127</v>
      </c>
      <c r="F19" s="68">
        <v>131</v>
      </c>
      <c r="G19" s="67">
        <v>138</v>
      </c>
      <c r="H19" s="65">
        <v>48</v>
      </c>
      <c r="I19" s="68">
        <v>47</v>
      </c>
      <c r="J19" s="68">
        <v>46</v>
      </c>
      <c r="K19" s="68">
        <v>55</v>
      </c>
      <c r="L19" s="68">
        <v>27</v>
      </c>
      <c r="M19" s="65">
        <v>12</v>
      </c>
      <c r="N19" s="68">
        <v>123</v>
      </c>
      <c r="O19" s="67">
        <v>143</v>
      </c>
      <c r="P19" s="65">
        <v>11</v>
      </c>
      <c r="Q19" s="68">
        <v>111</v>
      </c>
      <c r="R19" s="68">
        <v>152</v>
      </c>
      <c r="S19" s="67">
        <v>140</v>
      </c>
      <c r="T19" s="1" t="s">
        <v>15</v>
      </c>
    </row>
    <row r="20" spans="1:20" ht="23.25" customHeight="1">
      <c r="A20" s="60" t="s">
        <v>46</v>
      </c>
      <c r="B20" s="65">
        <v>175</v>
      </c>
      <c r="C20" s="66">
        <v>135</v>
      </c>
      <c r="D20" s="67">
        <v>27</v>
      </c>
      <c r="E20" s="65">
        <v>185</v>
      </c>
      <c r="F20" s="68">
        <v>189</v>
      </c>
      <c r="G20" s="67">
        <v>200</v>
      </c>
      <c r="H20" s="65">
        <v>27</v>
      </c>
      <c r="I20" s="68">
        <v>16</v>
      </c>
      <c r="J20" s="68">
        <v>62</v>
      </c>
      <c r="K20" s="68">
        <v>61</v>
      </c>
      <c r="L20" s="68">
        <v>81</v>
      </c>
      <c r="M20" s="65">
        <v>31</v>
      </c>
      <c r="N20" s="68">
        <v>188</v>
      </c>
      <c r="O20" s="67">
        <v>184</v>
      </c>
      <c r="P20" s="65">
        <v>26</v>
      </c>
      <c r="Q20" s="68">
        <v>187</v>
      </c>
      <c r="R20" s="68">
        <v>192</v>
      </c>
      <c r="S20" s="67">
        <v>186</v>
      </c>
      <c r="T20" s="1" t="s">
        <v>16</v>
      </c>
    </row>
    <row r="21" spans="1:20" ht="23.25" customHeight="1">
      <c r="A21" s="60" t="s">
        <v>47</v>
      </c>
      <c r="B21" s="65">
        <v>204</v>
      </c>
      <c r="C21" s="66">
        <v>202</v>
      </c>
      <c r="D21" s="69">
        <v>125</v>
      </c>
      <c r="E21" s="65">
        <v>185</v>
      </c>
      <c r="F21" s="68">
        <v>199</v>
      </c>
      <c r="G21" s="67">
        <v>189</v>
      </c>
      <c r="H21" s="65">
        <v>1</v>
      </c>
      <c r="I21" s="68">
        <v>1</v>
      </c>
      <c r="J21" s="68">
        <v>21</v>
      </c>
      <c r="K21" s="68">
        <v>18</v>
      </c>
      <c r="L21" s="68">
        <v>18</v>
      </c>
      <c r="M21" s="70">
        <v>125</v>
      </c>
      <c r="N21" s="68">
        <v>187</v>
      </c>
      <c r="O21" s="67">
        <v>194</v>
      </c>
      <c r="P21" s="70">
        <v>124</v>
      </c>
      <c r="Q21" s="68">
        <v>182</v>
      </c>
      <c r="R21" s="68">
        <v>195</v>
      </c>
      <c r="S21" s="67">
        <v>214</v>
      </c>
      <c r="T21" s="1" t="s">
        <v>17</v>
      </c>
    </row>
    <row r="22" spans="1:20" ht="23.25" customHeight="1">
      <c r="A22" s="60" t="s">
        <v>48</v>
      </c>
      <c r="B22" s="65">
        <v>46</v>
      </c>
      <c r="C22" s="66">
        <v>37</v>
      </c>
      <c r="D22" s="67">
        <v>0</v>
      </c>
      <c r="E22" s="65">
        <v>35</v>
      </c>
      <c r="F22" s="68">
        <v>40</v>
      </c>
      <c r="G22" s="67">
        <v>47</v>
      </c>
      <c r="H22" s="65">
        <v>5</v>
      </c>
      <c r="I22" s="68">
        <v>2</v>
      </c>
      <c r="J22" s="68">
        <v>11</v>
      </c>
      <c r="K22" s="68">
        <v>0</v>
      </c>
      <c r="L22" s="68">
        <v>3</v>
      </c>
      <c r="M22" s="65">
        <v>12</v>
      </c>
      <c r="N22" s="68">
        <v>43</v>
      </c>
      <c r="O22" s="67">
        <v>41</v>
      </c>
      <c r="P22" s="65">
        <v>0</v>
      </c>
      <c r="Q22" s="68">
        <v>44</v>
      </c>
      <c r="R22" s="68">
        <v>37</v>
      </c>
      <c r="S22" s="67">
        <v>45</v>
      </c>
      <c r="T22" s="1" t="s">
        <v>18</v>
      </c>
    </row>
    <row r="23" spans="1:20" ht="23.25" customHeight="1">
      <c r="A23" s="60" t="s">
        <v>49</v>
      </c>
      <c r="B23" s="65">
        <v>99</v>
      </c>
      <c r="C23" s="66">
        <v>96</v>
      </c>
      <c r="D23" s="67">
        <v>28</v>
      </c>
      <c r="E23" s="65">
        <v>82</v>
      </c>
      <c r="F23" s="68">
        <v>89</v>
      </c>
      <c r="G23" s="67">
        <v>89</v>
      </c>
      <c r="H23" s="65">
        <v>51</v>
      </c>
      <c r="I23" s="68">
        <v>51</v>
      </c>
      <c r="J23" s="68">
        <v>54</v>
      </c>
      <c r="K23" s="68">
        <v>48</v>
      </c>
      <c r="L23" s="68">
        <v>45</v>
      </c>
      <c r="M23" s="65">
        <v>30</v>
      </c>
      <c r="N23" s="68">
        <v>75</v>
      </c>
      <c r="O23" s="67">
        <v>77</v>
      </c>
      <c r="P23" s="65">
        <v>29</v>
      </c>
      <c r="Q23" s="68">
        <v>83</v>
      </c>
      <c r="R23" s="68">
        <v>83</v>
      </c>
      <c r="S23" s="67">
        <v>83</v>
      </c>
      <c r="T23" s="1" t="s">
        <v>19</v>
      </c>
    </row>
    <row r="24" spans="1:20" ht="23.25" customHeight="1">
      <c r="A24" s="60" t="s">
        <v>50</v>
      </c>
      <c r="B24" s="65">
        <v>144</v>
      </c>
      <c r="C24" s="66">
        <v>117</v>
      </c>
      <c r="D24" s="67">
        <v>53</v>
      </c>
      <c r="E24" s="65">
        <v>104</v>
      </c>
      <c r="F24" s="68">
        <v>139</v>
      </c>
      <c r="G24" s="67">
        <v>103</v>
      </c>
      <c r="H24" s="61">
        <v>60</v>
      </c>
      <c r="I24" s="64">
        <v>143</v>
      </c>
      <c r="J24" s="64">
        <v>57</v>
      </c>
      <c r="K24" s="64">
        <v>49</v>
      </c>
      <c r="L24" s="64">
        <v>25</v>
      </c>
      <c r="M24" s="65">
        <v>78</v>
      </c>
      <c r="N24" s="68">
        <v>151</v>
      </c>
      <c r="O24" s="67">
        <v>113</v>
      </c>
      <c r="P24" s="65">
        <v>56</v>
      </c>
      <c r="Q24" s="68">
        <v>135</v>
      </c>
      <c r="R24" s="68">
        <v>123</v>
      </c>
      <c r="S24" s="67">
        <v>119</v>
      </c>
      <c r="T24" s="1" t="s">
        <v>20</v>
      </c>
    </row>
    <row r="25" spans="1:20" ht="23.25" customHeight="1">
      <c r="A25" s="60" t="s">
        <v>51</v>
      </c>
      <c r="B25" s="65">
        <v>126</v>
      </c>
      <c r="C25" s="66">
        <v>157</v>
      </c>
      <c r="D25" s="67">
        <v>79</v>
      </c>
      <c r="E25" s="65">
        <v>129</v>
      </c>
      <c r="F25" s="68">
        <v>125</v>
      </c>
      <c r="G25" s="67">
        <v>122</v>
      </c>
      <c r="H25" s="65">
        <v>104</v>
      </c>
      <c r="I25" s="68">
        <v>57</v>
      </c>
      <c r="J25" s="68">
        <v>84</v>
      </c>
      <c r="K25" s="68">
        <v>36</v>
      </c>
      <c r="L25" s="68">
        <v>37</v>
      </c>
      <c r="M25" s="65">
        <v>36</v>
      </c>
      <c r="N25" s="68">
        <v>130</v>
      </c>
      <c r="O25" s="67">
        <v>124</v>
      </c>
      <c r="P25" s="65">
        <v>36</v>
      </c>
      <c r="Q25" s="68">
        <v>122</v>
      </c>
      <c r="R25" s="68">
        <v>131</v>
      </c>
      <c r="S25" s="67">
        <v>129</v>
      </c>
      <c r="T25" s="1" t="s">
        <v>21</v>
      </c>
    </row>
    <row r="26" spans="1:20" ht="23.25" customHeight="1">
      <c r="A26" s="60" t="s">
        <v>52</v>
      </c>
      <c r="B26" s="65">
        <v>252</v>
      </c>
      <c r="C26" s="66">
        <v>273</v>
      </c>
      <c r="D26" s="67">
        <v>98</v>
      </c>
      <c r="E26" s="65">
        <v>209</v>
      </c>
      <c r="F26" s="68">
        <v>219</v>
      </c>
      <c r="G26" s="67">
        <v>237</v>
      </c>
      <c r="H26" s="65">
        <v>124</v>
      </c>
      <c r="I26" s="68">
        <v>125</v>
      </c>
      <c r="J26" s="68">
        <v>83</v>
      </c>
      <c r="K26" s="68">
        <v>52</v>
      </c>
      <c r="L26" s="68">
        <v>69</v>
      </c>
      <c r="M26" s="65">
        <v>98</v>
      </c>
      <c r="N26" s="68">
        <v>239</v>
      </c>
      <c r="O26" s="67">
        <v>234</v>
      </c>
      <c r="P26" s="65">
        <v>100</v>
      </c>
      <c r="Q26" s="68">
        <v>223</v>
      </c>
      <c r="R26" s="68">
        <v>227</v>
      </c>
      <c r="S26" s="67">
        <v>246</v>
      </c>
      <c r="T26" s="1" t="s">
        <v>22</v>
      </c>
    </row>
    <row r="27" spans="1:20" ht="23.25" customHeight="1">
      <c r="A27" s="60" t="s">
        <v>53</v>
      </c>
      <c r="B27" s="65">
        <v>272</v>
      </c>
      <c r="C27" s="66">
        <v>225</v>
      </c>
      <c r="D27" s="67">
        <v>215</v>
      </c>
      <c r="E27" s="65">
        <v>298</v>
      </c>
      <c r="F27" s="68">
        <v>258</v>
      </c>
      <c r="G27" s="67">
        <v>327</v>
      </c>
      <c r="H27" s="65">
        <v>81</v>
      </c>
      <c r="I27" s="68">
        <v>85</v>
      </c>
      <c r="J27" s="68">
        <v>106</v>
      </c>
      <c r="K27" s="68">
        <v>112</v>
      </c>
      <c r="L27" s="68">
        <v>68</v>
      </c>
      <c r="M27" s="65">
        <v>216</v>
      </c>
      <c r="N27" s="68">
        <v>320</v>
      </c>
      <c r="O27" s="67">
        <v>287</v>
      </c>
      <c r="P27" s="65">
        <v>216</v>
      </c>
      <c r="Q27" s="68">
        <v>272</v>
      </c>
      <c r="R27" s="68">
        <v>289</v>
      </c>
      <c r="S27" s="67">
        <v>264</v>
      </c>
      <c r="T27" s="1" t="s">
        <v>23</v>
      </c>
    </row>
    <row r="28" spans="1:20" ht="23.25" customHeight="1">
      <c r="A28" s="60" t="s">
        <v>54</v>
      </c>
      <c r="B28" s="65">
        <v>182</v>
      </c>
      <c r="C28" s="66">
        <v>202</v>
      </c>
      <c r="D28" s="67">
        <v>40</v>
      </c>
      <c r="E28" s="65">
        <v>202</v>
      </c>
      <c r="F28" s="68">
        <v>189</v>
      </c>
      <c r="G28" s="67">
        <v>208</v>
      </c>
      <c r="H28" s="61">
        <v>72</v>
      </c>
      <c r="I28" s="64">
        <v>125</v>
      </c>
      <c r="J28" s="64">
        <v>49</v>
      </c>
      <c r="K28" s="64">
        <v>40</v>
      </c>
      <c r="L28" s="64">
        <v>29</v>
      </c>
      <c r="M28" s="65">
        <v>52</v>
      </c>
      <c r="N28" s="68">
        <v>202</v>
      </c>
      <c r="O28" s="67">
        <v>208</v>
      </c>
      <c r="P28" s="65">
        <v>41</v>
      </c>
      <c r="Q28" s="68">
        <v>202</v>
      </c>
      <c r="R28" s="68">
        <v>203</v>
      </c>
      <c r="S28" s="67">
        <v>202</v>
      </c>
      <c r="T28" s="1" t="s">
        <v>24</v>
      </c>
    </row>
    <row r="29" spans="1:20" ht="23.25" customHeight="1">
      <c r="A29" s="60" t="s">
        <v>55</v>
      </c>
      <c r="B29" s="65">
        <v>263</v>
      </c>
      <c r="C29" s="66">
        <v>264</v>
      </c>
      <c r="D29" s="67">
        <v>229</v>
      </c>
      <c r="E29" s="65">
        <v>245</v>
      </c>
      <c r="F29" s="68">
        <v>277</v>
      </c>
      <c r="G29" s="67">
        <v>251</v>
      </c>
      <c r="H29" s="65">
        <v>148</v>
      </c>
      <c r="I29" s="68">
        <v>94</v>
      </c>
      <c r="J29" s="68">
        <v>64</v>
      </c>
      <c r="K29" s="68">
        <v>19</v>
      </c>
      <c r="L29" s="68">
        <v>3</v>
      </c>
      <c r="M29" s="65">
        <v>246</v>
      </c>
      <c r="N29" s="68">
        <v>267</v>
      </c>
      <c r="O29" s="67">
        <v>276</v>
      </c>
      <c r="P29" s="65">
        <v>230</v>
      </c>
      <c r="Q29" s="68">
        <v>281</v>
      </c>
      <c r="R29" s="68">
        <v>259</v>
      </c>
      <c r="S29" s="67">
        <v>250</v>
      </c>
      <c r="T29" s="1" t="s">
        <v>25</v>
      </c>
    </row>
    <row r="30" spans="1:20" ht="23.25" customHeight="1">
      <c r="A30" s="60" t="s">
        <v>56</v>
      </c>
      <c r="B30" s="61">
        <v>206</v>
      </c>
      <c r="C30" s="62">
        <v>119</v>
      </c>
      <c r="D30" s="63">
        <v>203</v>
      </c>
      <c r="E30" s="61">
        <v>197</v>
      </c>
      <c r="F30" s="64">
        <v>211</v>
      </c>
      <c r="G30" s="63">
        <v>194</v>
      </c>
      <c r="H30" s="61">
        <v>48</v>
      </c>
      <c r="I30" s="64">
        <v>21</v>
      </c>
      <c r="J30" s="64">
        <v>19</v>
      </c>
      <c r="K30" s="64">
        <v>8</v>
      </c>
      <c r="L30" s="64">
        <v>5</v>
      </c>
      <c r="M30" s="61">
        <v>204</v>
      </c>
      <c r="N30" s="64">
        <v>202</v>
      </c>
      <c r="O30" s="63">
        <v>223</v>
      </c>
      <c r="P30" s="61">
        <v>203</v>
      </c>
      <c r="Q30" s="64">
        <v>203</v>
      </c>
      <c r="R30" s="64">
        <v>209</v>
      </c>
      <c r="S30" s="63">
        <v>190</v>
      </c>
      <c r="T30" s="1" t="s">
        <v>1</v>
      </c>
    </row>
    <row r="31" spans="1:20" ht="23.25" customHeight="1">
      <c r="A31" s="60" t="s">
        <v>57</v>
      </c>
      <c r="B31" s="65">
        <v>305</v>
      </c>
      <c r="C31" s="66">
        <v>320</v>
      </c>
      <c r="D31" s="67">
        <v>276</v>
      </c>
      <c r="E31" s="65">
        <v>381</v>
      </c>
      <c r="F31" s="68">
        <v>360</v>
      </c>
      <c r="G31" s="67">
        <v>315</v>
      </c>
      <c r="H31" s="17">
        <v>0</v>
      </c>
      <c r="I31" s="18">
        <v>0</v>
      </c>
      <c r="J31" s="18">
        <v>0</v>
      </c>
      <c r="K31" s="18">
        <v>0</v>
      </c>
      <c r="L31" s="18">
        <v>0</v>
      </c>
      <c r="M31" s="65">
        <v>270</v>
      </c>
      <c r="N31" s="68">
        <v>386</v>
      </c>
      <c r="O31" s="67">
        <v>353</v>
      </c>
      <c r="P31" s="65">
        <v>280</v>
      </c>
      <c r="Q31" s="68">
        <v>382</v>
      </c>
      <c r="R31" s="68">
        <v>359</v>
      </c>
      <c r="S31" s="67">
        <v>319</v>
      </c>
      <c r="T31" s="1" t="s">
        <v>26</v>
      </c>
    </row>
    <row r="32" spans="1:20" s="10" customFormat="1" ht="23.25" customHeight="1">
      <c r="A32" s="57" t="s">
        <v>58</v>
      </c>
      <c r="B32" s="49">
        <v>7516</v>
      </c>
      <c r="C32" s="59">
        <v>7430</v>
      </c>
      <c r="D32" s="50">
        <v>6517</v>
      </c>
      <c r="E32" s="46">
        <v>6640</v>
      </c>
      <c r="F32" s="47">
        <v>6801</v>
      </c>
      <c r="G32" s="48">
        <v>6804</v>
      </c>
      <c r="H32" s="46">
        <f>SUM(H11+H10)</f>
        <v>2705</v>
      </c>
      <c r="I32" s="47">
        <f t="shared" ref="I32:L32" si="1">SUM(I11+I10)</f>
        <v>2244</v>
      </c>
      <c r="J32" s="47">
        <f t="shared" si="1"/>
        <v>1591</v>
      </c>
      <c r="K32" s="47">
        <f t="shared" si="1"/>
        <v>1349</v>
      </c>
      <c r="L32" s="48">
        <f t="shared" si="1"/>
        <v>1131</v>
      </c>
      <c r="M32" s="47">
        <v>6517</v>
      </c>
      <c r="N32" s="47">
        <v>6717</v>
      </c>
      <c r="O32" s="48">
        <v>6893</v>
      </c>
      <c r="P32" s="47">
        <v>6454</v>
      </c>
      <c r="Q32" s="47">
        <v>6593</v>
      </c>
      <c r="R32" s="47">
        <v>6782</v>
      </c>
      <c r="S32" s="48">
        <v>6948</v>
      </c>
      <c r="T32" s="26" t="s">
        <v>59</v>
      </c>
    </row>
    <row r="33" spans="1:20" s="10" customFormat="1" ht="23.25" customHeight="1">
      <c r="A33" s="57" t="s">
        <v>60</v>
      </c>
      <c r="B33" s="49">
        <v>7566</v>
      </c>
      <c r="C33" s="59">
        <v>7501</v>
      </c>
      <c r="D33" s="50">
        <v>6535</v>
      </c>
      <c r="E33" s="46">
        <v>6670</v>
      </c>
      <c r="F33" s="47">
        <v>6840</v>
      </c>
      <c r="G33" s="48">
        <v>6836</v>
      </c>
      <c r="H33" s="46">
        <v>2720</v>
      </c>
      <c r="I33" s="47">
        <v>2260</v>
      </c>
      <c r="J33" s="47">
        <v>1600</v>
      </c>
      <c r="K33" s="47">
        <v>1380</v>
      </c>
      <c r="L33" s="48">
        <v>1150</v>
      </c>
      <c r="M33" s="47">
        <v>6537</v>
      </c>
      <c r="N33" s="47">
        <v>6745</v>
      </c>
      <c r="O33" s="48">
        <v>6935</v>
      </c>
      <c r="P33" s="47">
        <v>6478</v>
      </c>
      <c r="Q33" s="47">
        <v>6626</v>
      </c>
      <c r="R33" s="47">
        <v>6822</v>
      </c>
      <c r="S33" s="48">
        <v>6996</v>
      </c>
      <c r="T33" s="26" t="s">
        <v>61</v>
      </c>
    </row>
    <row r="34" spans="1:20" s="10" customFormat="1" ht="23.25" customHeight="1">
      <c r="A34" s="71" t="s">
        <v>62</v>
      </c>
      <c r="B34" s="72">
        <f t="shared" ref="B34:G34" si="2">B32/B33*100</f>
        <v>99.339148823684909</v>
      </c>
      <c r="C34" s="72">
        <f t="shared" si="2"/>
        <v>99.053459538728177</v>
      </c>
      <c r="D34" s="73">
        <f t="shared" si="2"/>
        <v>99.724560061208877</v>
      </c>
      <c r="E34" s="74">
        <f t="shared" si="2"/>
        <v>99.550224887556226</v>
      </c>
      <c r="F34" s="75">
        <f t="shared" si="2"/>
        <v>99.429824561403507</v>
      </c>
      <c r="G34" s="76">
        <f t="shared" si="2"/>
        <v>99.531889994148628</v>
      </c>
      <c r="H34" s="77">
        <f>H32/H33*100</f>
        <v>99.44852941176471</v>
      </c>
      <c r="I34" s="78">
        <f>I32/I33*100</f>
        <v>99.292035398230084</v>
      </c>
      <c r="J34" s="78">
        <f>J32/J33*100</f>
        <v>99.4375</v>
      </c>
      <c r="K34" s="78">
        <f>K32/K33*100</f>
        <v>97.753623188405797</v>
      </c>
      <c r="L34" s="79">
        <f>L32/L33*100</f>
        <v>98.34782608695653</v>
      </c>
      <c r="M34" s="74">
        <f t="shared" ref="M34:S34" si="3">M32/M33*100</f>
        <v>99.694049258069455</v>
      </c>
      <c r="N34" s="75">
        <f t="shared" si="3"/>
        <v>99.584877687175691</v>
      </c>
      <c r="O34" s="76">
        <f t="shared" si="3"/>
        <v>99.394376351838503</v>
      </c>
      <c r="P34" s="74">
        <f t="shared" si="3"/>
        <v>99.629515282494594</v>
      </c>
      <c r="Q34" s="75">
        <f t="shared" si="3"/>
        <v>99.501961968004821</v>
      </c>
      <c r="R34" s="75">
        <f t="shared" si="3"/>
        <v>99.413661682790959</v>
      </c>
      <c r="S34" s="76">
        <f t="shared" si="3"/>
        <v>99.313893653516288</v>
      </c>
      <c r="T34" s="27" t="s">
        <v>63</v>
      </c>
    </row>
    <row r="35" spans="1:20" ht="17.25">
      <c r="A35" s="11" t="s">
        <v>64</v>
      </c>
      <c r="B35" s="19"/>
      <c r="C35" s="19"/>
      <c r="D35" s="19"/>
      <c r="E35" s="23"/>
      <c r="F35" s="11" t="s">
        <v>65</v>
      </c>
      <c r="G35" s="20"/>
      <c r="H35" s="21"/>
      <c r="I35" s="11" t="s">
        <v>66</v>
      </c>
      <c r="J35" s="20"/>
      <c r="K35" s="19"/>
      <c r="L35" s="19"/>
      <c r="M35" s="12"/>
      <c r="N35" s="12"/>
      <c r="O35" s="13"/>
      <c r="P35" s="12"/>
      <c r="Q35" s="12"/>
      <c r="R35" s="13"/>
      <c r="S35" s="12"/>
      <c r="T35" s="24" t="s">
        <v>67</v>
      </c>
    </row>
    <row r="36" spans="1:20" ht="14.25" customHeight="1">
      <c r="A36" s="15" t="s">
        <v>68</v>
      </c>
      <c r="B36" s="19"/>
      <c r="C36" s="19"/>
      <c r="D36" s="19"/>
      <c r="E36" s="23"/>
      <c r="F36" s="11" t="s">
        <v>69</v>
      </c>
      <c r="G36" s="22"/>
      <c r="H36" s="21"/>
      <c r="I36" s="11" t="s">
        <v>70</v>
      </c>
      <c r="J36" s="22"/>
      <c r="K36" s="19"/>
      <c r="L36" s="19"/>
      <c r="M36" s="12"/>
      <c r="N36" s="12"/>
      <c r="O36" s="13"/>
      <c r="P36" s="12"/>
      <c r="Q36" s="12"/>
      <c r="R36" s="13"/>
      <c r="S36" s="12"/>
      <c r="T36" s="14" t="s">
        <v>71</v>
      </c>
    </row>
    <row r="37" spans="1:20" ht="18" customHeight="1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16"/>
      <c r="N37" s="16"/>
      <c r="O37" s="16"/>
      <c r="P37" s="16"/>
      <c r="Q37" s="16"/>
      <c r="R37" s="16"/>
      <c r="S37" s="14"/>
      <c r="T37" s="80" t="s">
        <v>92</v>
      </c>
    </row>
    <row r="38" spans="1:20" ht="16.5" customHeight="1">
      <c r="A38" s="83" t="s">
        <v>93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16"/>
      <c r="N38" s="16"/>
      <c r="O38" s="16"/>
      <c r="P38" s="16"/>
      <c r="Q38" s="16"/>
      <c r="R38" s="16"/>
      <c r="S38" s="14"/>
      <c r="T38" s="25"/>
    </row>
    <row r="39" spans="1:20" ht="16.5" customHeight="1">
      <c r="A39" s="83" t="s">
        <v>94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16"/>
      <c r="N39" s="16"/>
      <c r="O39" s="16"/>
      <c r="P39" s="16"/>
      <c r="Q39" s="16"/>
      <c r="R39" s="16"/>
      <c r="S39" s="14"/>
      <c r="T39" s="25"/>
    </row>
    <row r="40" spans="1:20" ht="16.5" customHeight="1">
      <c r="A40" s="83" t="s">
        <v>95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16"/>
      <c r="N40" s="16"/>
      <c r="O40" s="16"/>
      <c r="P40" s="16"/>
      <c r="Q40" s="16"/>
      <c r="R40" s="16"/>
      <c r="S40" s="14"/>
      <c r="T40" s="25"/>
    </row>
    <row r="41" spans="1:20" ht="16.5" customHeight="1">
      <c r="A41" s="83" t="s">
        <v>96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16"/>
      <c r="N41" s="16"/>
      <c r="O41" s="16"/>
      <c r="P41" s="16"/>
      <c r="Q41" s="16"/>
      <c r="R41" s="16"/>
      <c r="S41" s="14"/>
      <c r="T41" s="25"/>
    </row>
    <row r="42" spans="1:20" ht="16.5" customHeight="1">
      <c r="A42" s="83" t="s">
        <v>97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16"/>
      <c r="N42" s="16"/>
      <c r="O42" s="16"/>
      <c r="P42" s="16"/>
      <c r="Q42" s="16"/>
      <c r="R42" s="16"/>
      <c r="S42" s="14"/>
      <c r="T42" s="25"/>
    </row>
    <row r="43" spans="1:20" ht="16.5" customHeight="1">
      <c r="A43" s="83" t="s">
        <v>98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16"/>
      <c r="N43" s="16"/>
      <c r="O43" s="16"/>
      <c r="P43" s="16"/>
      <c r="Q43" s="16"/>
      <c r="R43" s="16"/>
      <c r="S43" s="14"/>
      <c r="T43" s="25"/>
    </row>
    <row r="44" spans="1:20" ht="16.5" customHeight="1">
      <c r="A44" s="83" t="s">
        <v>99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16"/>
      <c r="N44" s="16"/>
      <c r="O44" s="16"/>
      <c r="P44" s="16"/>
      <c r="Q44" s="16"/>
      <c r="R44" s="16"/>
      <c r="S44" s="14"/>
      <c r="T44" s="25"/>
    </row>
    <row r="45" spans="1:20" ht="16.5" customHeight="1">
      <c r="A45" s="83" t="s">
        <v>100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16"/>
      <c r="N45" s="16"/>
      <c r="O45" s="16"/>
      <c r="P45" s="16"/>
      <c r="Q45" s="16"/>
      <c r="R45" s="16"/>
      <c r="S45" s="14"/>
      <c r="T45" s="25"/>
    </row>
    <row r="46" spans="1:20" ht="16.5" customHeight="1">
      <c r="A46" s="83" t="s">
        <v>101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16"/>
      <c r="N46" s="16"/>
      <c r="O46" s="16"/>
      <c r="P46" s="16"/>
      <c r="Q46" s="16"/>
      <c r="R46" s="16"/>
      <c r="S46" s="14"/>
      <c r="T46" s="25"/>
    </row>
    <row r="47" spans="1:20" ht="16.5" customHeight="1">
      <c r="A47" s="11" t="s">
        <v>72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16"/>
      <c r="N47" s="16"/>
      <c r="O47" s="16"/>
      <c r="P47" s="16"/>
      <c r="Q47" s="16"/>
      <c r="R47" s="16"/>
      <c r="S47" s="14"/>
      <c r="T47" s="25"/>
    </row>
    <row r="48" spans="1:20" ht="16.5" customHeight="1">
      <c r="A48" s="11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16"/>
      <c r="N48" s="16"/>
      <c r="O48" s="16"/>
      <c r="P48" s="16"/>
      <c r="Q48" s="16"/>
      <c r="R48" s="16"/>
      <c r="S48" s="14"/>
      <c r="T48" s="25"/>
    </row>
    <row r="49" spans="1:20" ht="16.5" customHeight="1">
      <c r="A49" s="11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16"/>
      <c r="N49" s="16"/>
      <c r="O49" s="16"/>
      <c r="P49" s="16"/>
      <c r="Q49" s="16"/>
      <c r="R49" s="16"/>
      <c r="S49" s="14"/>
      <c r="T49" s="25"/>
    </row>
    <row r="50" spans="1:20">
      <c r="A50" s="85"/>
      <c r="B50" s="84"/>
    </row>
    <row r="51" spans="1:20">
      <c r="A51" s="81"/>
      <c r="B51" s="82"/>
    </row>
    <row r="52" spans="1:20">
      <c r="A52" s="81"/>
      <c r="B52" s="82"/>
    </row>
  </sheetData>
  <mergeCells count="17">
    <mergeCell ref="H7:L7"/>
    <mergeCell ref="P7:S7"/>
    <mergeCell ref="A3:T3"/>
    <mergeCell ref="T4:T8"/>
    <mergeCell ref="M6:O7"/>
    <mergeCell ref="M4:O5"/>
    <mergeCell ref="E6:G6"/>
    <mergeCell ref="H6:L6"/>
    <mergeCell ref="P6:S6"/>
    <mergeCell ref="E7:G7"/>
    <mergeCell ref="A2:T2"/>
    <mergeCell ref="E4:G4"/>
    <mergeCell ref="H4:L4"/>
    <mergeCell ref="P4:S4"/>
    <mergeCell ref="E5:G5"/>
    <mergeCell ref="H5:L5"/>
    <mergeCell ref="P5:S5"/>
  </mergeCells>
  <pageMargins left="0.2" right="0.16" top="0.26" bottom="0.08" header="0.16" footer="0.16"/>
  <pageSetup paperSize="9" scale="68" orientation="landscape" r:id="rId1"/>
  <rowBreaks count="2" manualBreakCount="2">
    <brk id="37" max="19" man="1"/>
    <brk id="48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6.10</vt:lpstr>
      <vt:lpstr>'6.10'!Print_Area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2013-08-15T08:12:48Z</cp:lastPrinted>
  <dcterms:created xsi:type="dcterms:W3CDTF">2013-04-22T09:35:08Z</dcterms:created>
  <dcterms:modified xsi:type="dcterms:W3CDTF">2013-08-15T08:25:29Z</dcterms:modified>
</cp:coreProperties>
</file>