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8" sheetId="18" r:id="rId1"/>
  </sheets>
  <definedNames>
    <definedName name="_xlnm.Print_Area" localSheetId="0">'6.18'!$A$1:$M$61</definedName>
  </definedNames>
  <calcPr calcId="124519"/>
</workbook>
</file>

<file path=xl/calcChain.xml><?xml version="1.0" encoding="utf-8"?>
<calcChain xmlns="http://schemas.openxmlformats.org/spreadsheetml/2006/main">
  <c r="K39" i="18"/>
  <c r="J39"/>
  <c r="M37"/>
  <c r="L37"/>
  <c r="K37"/>
  <c r="J37"/>
  <c r="I37"/>
  <c r="H37"/>
  <c r="G37"/>
  <c r="F37"/>
  <c r="E37"/>
  <c r="D37"/>
  <c r="C37"/>
  <c r="B37"/>
  <c r="M6"/>
  <c r="L6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<sst xmlns="http://schemas.openxmlformats.org/spreadsheetml/2006/main" count="197" uniqueCount="40">
  <si>
    <t>-</t>
  </si>
  <si>
    <r>
      <t xml:space="preserve">Table 6.18: TOTAL NO. OF REPORTED CASES BY SELECTED </t>
    </r>
    <r>
      <rPr>
        <b/>
        <sz val="11"/>
        <color indexed="8"/>
        <rFont val="Calibri"/>
        <family val="2"/>
      </rPr>
      <t xml:space="preserve"> DISEASES BY LOCALITY, 2012</t>
    </r>
  </si>
  <si>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</si>
  <si>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</si>
  <si>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</si>
  <si>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</si>
  <si>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</si>
  <si>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</si>
  <si>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</si>
  <si>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</si>
  <si>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</si>
  <si>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>Republic</t>
  </si>
  <si>
    <t xml:space="preserve">Male' </t>
  </si>
  <si>
    <t xml:space="preserve">Atoll </t>
  </si>
  <si>
    <t>HA</t>
  </si>
  <si>
    <t>Sh</t>
  </si>
  <si>
    <t>N</t>
  </si>
  <si>
    <t>R</t>
  </si>
  <si>
    <t>B</t>
  </si>
  <si>
    <t>Lh</t>
  </si>
  <si>
    <t>K</t>
  </si>
  <si>
    <t>A Dh</t>
  </si>
  <si>
    <t>V</t>
  </si>
  <si>
    <t>M</t>
  </si>
  <si>
    <t>F</t>
  </si>
  <si>
    <t>Dh</t>
  </si>
  <si>
    <t>Th</t>
  </si>
  <si>
    <t>L</t>
  </si>
  <si>
    <t>GA</t>
  </si>
  <si>
    <t>S</t>
  </si>
  <si>
    <r>
      <t xml:space="preserve">Table 6.18: TOTAL NO. OF REPORTED CASES BY SELECTED </t>
    </r>
    <r>
      <rPr>
        <b/>
        <sz val="11"/>
        <color indexed="8"/>
        <rFont val="Calibri"/>
        <family val="2"/>
      </rPr>
      <t xml:space="preserve"> DISEASES BY LOCALITY, 2011</t>
    </r>
  </si>
  <si>
    <t>GDh</t>
  </si>
  <si>
    <t>Gn</t>
  </si>
  <si>
    <t>Source: Health Protection Agency</t>
  </si>
  <si>
    <t>މަޢުލޫމާތު ދެއްވި ފަރާތް: ހެލްތް ޕްރޮޓެކްޝަން އޭޖެންސީ</t>
  </si>
  <si>
    <t>HDh</t>
  </si>
  <si>
    <t>AA</t>
  </si>
  <si>
    <t>ތާވަލު 6.18: ތަނުގެ ގޮތުން ރިޕޯޓްކުރެވިފައިވާ ބަލިތައް، 2012</t>
  </si>
  <si>
    <t>ތާވަލު 6.18: ތަނުގެ ގޮތުން ރިޕޯޓްކުރެވިފައިވާ ބަލިތައް، 2011</t>
  </si>
  <si>
    <t>* Include DHF and DSS cases / * vital positive cases only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</si>
</sst>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8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Faruma"/>
    </font>
    <font>
      <sz val="10"/>
      <color theme="1"/>
      <name val="Faruma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theme="1" tint="4.9989318521683403E-2"/>
      </right>
      <top style="thin">
        <color indexed="64"/>
      </top>
      <bottom/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theme="1" tint="4.9989318521683403E-2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hair">
        <color theme="1" tint="4.9989318521683403E-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hair">
        <color indexed="64"/>
      </right>
      <top style="hair">
        <color theme="1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6" fillId="0" borderId="0"/>
    <xf numFmtId="164" fontId="6" fillId="0" borderId="0"/>
    <xf numFmtId="0" fontId="1" fillId="0" borderId="0"/>
    <xf numFmtId="164" fontId="6" fillId="0" borderId="0"/>
  </cellStyleXfs>
  <cellXfs count="86">
    <xf numFmtId="0" fontId="0" fillId="0" borderId="0" xfId="0"/>
    <xf numFmtId="164" fontId="3" fillId="2" borderId="0" xfId="2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9" fillId="2" borderId="0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/>
    <xf numFmtId="164" fontId="10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right"/>
    </xf>
    <xf numFmtId="164" fontId="10" fillId="2" borderId="0" xfId="0" applyNumberFormat="1" applyFont="1" applyFill="1" applyBorder="1"/>
    <xf numFmtId="164" fontId="9" fillId="2" borderId="0" xfId="0" applyNumberFormat="1" applyFont="1" applyFill="1" applyBorder="1"/>
    <xf numFmtId="164" fontId="10" fillId="2" borderId="0" xfId="0" applyNumberFormat="1" applyFont="1" applyFill="1" applyBorder="1" applyAlignment="1">
      <alignment horizontal="center"/>
    </xf>
    <xf numFmtId="168" fontId="5" fillId="2" borderId="0" xfId="1" applyNumberFormat="1" applyFont="1" applyFill="1" applyBorder="1" applyAlignment="1">
      <alignment horizontal="center" vertical="center" wrapText="1"/>
    </xf>
    <xf numFmtId="168" fontId="5" fillId="2" borderId="1" xfId="1" applyNumberFormat="1" applyFont="1" applyFill="1" applyBorder="1" applyAlignment="1">
      <alignment horizontal="center" vertical="center" wrapText="1"/>
    </xf>
    <xf numFmtId="168" fontId="5" fillId="2" borderId="13" xfId="1" applyNumberFormat="1" applyFont="1" applyFill="1" applyBorder="1" applyAlignment="1">
      <alignment horizontal="center" vertical="center" wrapText="1"/>
    </xf>
    <xf numFmtId="168" fontId="5" fillId="2" borderId="14" xfId="1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8" fontId="5" fillId="2" borderId="10" xfId="1" applyNumberFormat="1" applyFont="1" applyFill="1" applyBorder="1" applyAlignment="1">
      <alignment horizontal="center" vertical="center" wrapText="1"/>
    </xf>
    <xf numFmtId="168" fontId="5" fillId="2" borderId="7" xfId="1" applyNumberFormat="1" applyFont="1" applyFill="1" applyBorder="1" applyAlignment="1">
      <alignment horizontal="center" vertical="center" wrapText="1"/>
    </xf>
    <xf numFmtId="168" fontId="5" fillId="2" borderId="9" xfId="1" applyNumberFormat="1" applyFont="1" applyFill="1" applyBorder="1" applyAlignment="1">
      <alignment horizontal="center" vertical="center" wrapText="1"/>
    </xf>
    <xf numFmtId="168" fontId="5" fillId="2" borderId="8" xfId="1" applyNumberFormat="1" applyFont="1" applyFill="1" applyBorder="1" applyAlignment="1">
      <alignment horizontal="center" vertical="center" wrapText="1"/>
    </xf>
    <xf numFmtId="168" fontId="1" fillId="2" borderId="9" xfId="1" applyNumberFormat="1" applyFont="1" applyFill="1" applyBorder="1" applyAlignment="1">
      <alignment horizontal="right" vertical="center"/>
    </xf>
    <xf numFmtId="168" fontId="5" fillId="2" borderId="10" xfId="1" applyNumberFormat="1" applyFont="1" applyFill="1" applyBorder="1" applyAlignment="1">
      <alignment horizontal="right" vertical="center" wrapText="1"/>
    </xf>
    <xf numFmtId="168" fontId="5" fillId="2" borderId="9" xfId="1" applyNumberFormat="1" applyFont="1" applyFill="1" applyBorder="1" applyAlignment="1">
      <alignment horizontal="right" vertical="center" wrapText="1"/>
    </xf>
    <xf numFmtId="168" fontId="5" fillId="2" borderId="8" xfId="1" applyNumberFormat="1" applyFont="1" applyFill="1" applyBorder="1" applyAlignment="1">
      <alignment horizontal="right" vertical="center" wrapText="1"/>
    </xf>
    <xf numFmtId="168" fontId="5" fillId="2" borderId="7" xfId="1" applyNumberFormat="1" applyFont="1" applyFill="1" applyBorder="1" applyAlignment="1">
      <alignment horizontal="right" vertical="center" wrapText="1"/>
    </xf>
    <xf numFmtId="168" fontId="1" fillId="2" borderId="0" xfId="1" applyNumberFormat="1" applyFont="1" applyFill="1" applyBorder="1" applyAlignment="1">
      <alignment horizontal="right" vertical="center"/>
    </xf>
    <xf numFmtId="168" fontId="2" fillId="2" borderId="9" xfId="1" applyNumberFormat="1" applyFont="1" applyFill="1" applyBorder="1" applyAlignment="1">
      <alignment horizontal="right"/>
    </xf>
    <xf numFmtId="168" fontId="2" fillId="2" borderId="10" xfId="1" applyNumberFormat="1" applyFont="1" applyFill="1" applyBorder="1" applyAlignment="1">
      <alignment horizontal="right"/>
    </xf>
    <xf numFmtId="168" fontId="5" fillId="2" borderId="0" xfId="1" applyNumberFormat="1" applyFont="1" applyFill="1" applyBorder="1" applyAlignment="1">
      <alignment horizontal="right" vertical="center" wrapText="1"/>
    </xf>
    <xf numFmtId="168" fontId="1" fillId="2" borderId="9" xfId="1" applyNumberFormat="1" applyFont="1" applyFill="1" applyBorder="1" applyAlignment="1">
      <alignment horizontal="right"/>
    </xf>
    <xf numFmtId="168" fontId="1" fillId="2" borderId="10" xfId="1" applyNumberFormat="1" applyFont="1" applyFill="1" applyBorder="1" applyAlignment="1">
      <alignment horizontal="right"/>
    </xf>
    <xf numFmtId="168" fontId="1" fillId="2" borderId="8" xfId="1" applyNumberFormat="1" applyFont="1" applyFill="1" applyBorder="1" applyAlignment="1">
      <alignment horizontal="right"/>
    </xf>
    <xf numFmtId="168" fontId="1" fillId="2" borderId="7" xfId="1" applyNumberFormat="1" applyFont="1" applyFill="1" applyBorder="1" applyAlignment="1">
      <alignment horizontal="right"/>
    </xf>
    <xf numFmtId="168" fontId="5" fillId="2" borderId="1" xfId="1" applyNumberFormat="1" applyFont="1" applyFill="1" applyBorder="1" applyAlignment="1">
      <alignment horizontal="right" vertical="center" wrapText="1"/>
    </xf>
    <xf numFmtId="168" fontId="1" fillId="2" borderId="8" xfId="1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center"/>
    </xf>
    <xf numFmtId="168" fontId="5" fillId="2" borderId="9" xfId="1" applyNumberFormat="1" applyFont="1" applyFill="1" applyBorder="1" applyAlignment="1">
      <alignment horizontal="center"/>
    </xf>
    <xf numFmtId="168" fontId="5" fillId="2" borderId="10" xfId="1" applyNumberFormat="1" applyFont="1" applyFill="1" applyBorder="1" applyAlignment="1">
      <alignment horizontal="center"/>
    </xf>
    <xf numFmtId="168" fontId="5" fillId="2" borderId="8" xfId="1" applyNumberFormat="1" applyFont="1" applyFill="1" applyBorder="1" applyAlignment="1">
      <alignment horizontal="center"/>
    </xf>
    <xf numFmtId="168" fontId="5" fillId="2" borderId="7" xfId="1" applyNumberFormat="1" applyFont="1" applyFill="1" applyBorder="1" applyAlignment="1">
      <alignment horizontal="center"/>
    </xf>
    <xf numFmtId="164" fontId="2" fillId="2" borderId="17" xfId="0" applyNumberFormat="1" applyFont="1" applyFill="1" applyBorder="1" applyAlignment="1">
      <alignment horizontal="right" vertical="center" wrapText="1"/>
    </xf>
    <xf numFmtId="164" fontId="2" fillId="2" borderId="18" xfId="0" applyNumberFormat="1" applyFont="1" applyFill="1" applyBorder="1" applyAlignment="1">
      <alignment horizontal="right" vertical="center" wrapText="1"/>
    </xf>
    <xf numFmtId="164" fontId="2" fillId="2" borderId="19" xfId="0" applyNumberFormat="1" applyFont="1" applyFill="1" applyBorder="1" applyAlignment="1">
      <alignment horizontal="right" vertical="center" wrapText="1"/>
    </xf>
    <xf numFmtId="164" fontId="12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Border="1"/>
    <xf numFmtId="164" fontId="0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/>
    <xf numFmtId="164" fontId="0" fillId="2" borderId="1" xfId="0" applyNumberFormat="1" applyFont="1" applyFill="1" applyBorder="1"/>
    <xf numFmtId="168" fontId="2" fillId="2" borderId="2" xfId="1" applyNumberFormat="1" applyFont="1" applyFill="1" applyBorder="1" applyAlignment="1">
      <alignment horizontal="center" vertical="center"/>
    </xf>
    <xf numFmtId="168" fontId="2" fillId="2" borderId="12" xfId="1" applyNumberFormat="1" applyFont="1" applyFill="1" applyBorder="1" applyAlignment="1">
      <alignment horizontal="center" vertical="center"/>
    </xf>
    <xf numFmtId="168" fontId="2" fillId="2" borderId="0" xfId="1" applyNumberFormat="1" applyFont="1" applyFill="1" applyBorder="1" applyAlignment="1">
      <alignment horizontal="center" vertical="center"/>
    </xf>
    <xf numFmtId="168" fontId="2" fillId="2" borderId="10" xfId="1" applyNumberFormat="1" applyFont="1" applyFill="1" applyBorder="1" applyAlignment="1">
      <alignment horizontal="center" vertical="center"/>
    </xf>
    <xf numFmtId="168" fontId="2" fillId="2" borderId="9" xfId="1" applyNumberFormat="1" applyFont="1" applyFill="1" applyBorder="1" applyAlignment="1">
      <alignment horizontal="center" vertical="center"/>
    </xf>
    <xf numFmtId="168" fontId="2" fillId="2" borderId="11" xfId="1" applyNumberFormat="1" applyFont="1" applyFill="1" applyBorder="1" applyAlignment="1">
      <alignment horizontal="right" vertical="center"/>
    </xf>
    <xf numFmtId="168" fontId="2" fillId="2" borderId="9" xfId="1" applyNumberFormat="1" applyFont="1" applyFill="1" applyBorder="1" applyAlignment="1">
      <alignment horizontal="right" vertical="center"/>
    </xf>
    <xf numFmtId="168" fontId="2" fillId="2" borderId="10" xfId="1" applyNumberFormat="1" applyFont="1" applyFill="1" applyBorder="1" applyAlignment="1">
      <alignment horizontal="right" vertical="center"/>
    </xf>
    <xf numFmtId="168" fontId="2" fillId="2" borderId="0" xfId="1" applyNumberFormat="1" applyFont="1" applyFill="1" applyBorder="1" applyAlignment="1">
      <alignment horizontal="right" vertical="center"/>
    </xf>
    <xf numFmtId="168" fontId="4" fillId="2" borderId="0" xfId="1" applyNumberFormat="1" applyFont="1" applyFill="1" applyBorder="1" applyAlignment="1">
      <alignment horizontal="center" vertical="center" wrapText="1"/>
    </xf>
    <xf numFmtId="168" fontId="4" fillId="2" borderId="13" xfId="1" applyNumberFormat="1" applyFont="1" applyFill="1" applyBorder="1" applyAlignment="1">
      <alignment horizontal="center" vertical="center" wrapText="1"/>
    </xf>
    <xf numFmtId="168" fontId="4" fillId="2" borderId="10" xfId="1" applyNumberFormat="1" applyFont="1" applyFill="1" applyBorder="1" applyAlignment="1">
      <alignment horizontal="center" vertical="center" wrapText="1"/>
    </xf>
    <xf numFmtId="168" fontId="4" fillId="2" borderId="9" xfId="1" applyNumberFormat="1" applyFont="1" applyFill="1" applyBorder="1" applyAlignment="1">
      <alignment horizontal="center" vertical="center" wrapText="1"/>
    </xf>
    <xf numFmtId="168" fontId="4" fillId="2" borderId="10" xfId="1" applyNumberFormat="1" applyFont="1" applyFill="1" applyBorder="1" applyAlignment="1">
      <alignment horizontal="right" vertical="center" wrapText="1"/>
    </xf>
    <xf numFmtId="168" fontId="2" fillId="2" borderId="13" xfId="1" applyNumberFormat="1" applyFont="1" applyFill="1" applyBorder="1" applyAlignment="1">
      <alignment horizontal="center" vertical="center"/>
    </xf>
    <xf numFmtId="168" fontId="4" fillId="2" borderId="9" xfId="1" applyNumberFormat="1" applyFont="1" applyFill="1" applyBorder="1" applyAlignment="1">
      <alignment horizontal="right" vertical="center" wrapText="1"/>
    </xf>
    <xf numFmtId="164" fontId="0" fillId="2" borderId="0" xfId="0" applyNumberFormat="1" applyFill="1" applyBorder="1"/>
    <xf numFmtId="168" fontId="4" fillId="2" borderId="9" xfId="1" applyNumberFormat="1" applyFont="1" applyFill="1" applyBorder="1" applyAlignment="1">
      <alignment horizontal="center"/>
    </xf>
    <xf numFmtId="168" fontId="4" fillId="2" borderId="10" xfId="1" applyNumberFormat="1" applyFont="1" applyFill="1" applyBorder="1" applyAlignment="1">
      <alignment horizontal="center"/>
    </xf>
    <xf numFmtId="168" fontId="4" fillId="2" borderId="0" xfId="1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>
      <selection activeCell="B18" sqref="B18"/>
    </sheetView>
  </sheetViews>
  <sheetFormatPr defaultRowHeight="20.25" customHeight="1"/>
  <cols>
    <col min="1" max="1" width="11" style="14" customWidth="1"/>
    <col min="2" max="7" width="11.5703125" style="15" customWidth="1"/>
    <col min="8" max="13" width="8.7109375" style="15" customWidth="1"/>
    <col min="14" max="14" width="3.140625" style="13" customWidth="1"/>
    <col min="15" max="16384" width="9.140625" style="13"/>
  </cols>
  <sheetData>
    <row r="1" spans="1:16" ht="20.25" customHeight="1">
      <c r="A1" s="73" t="s">
        <v>37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6" s="3" customFormat="1" ht="14.25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2"/>
      <c r="O2" s="2"/>
      <c r="P2" s="2"/>
    </row>
    <row r="3" spans="1:16" s="3" customFormat="1" ht="1.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</row>
    <row r="4" spans="1:16" s="6" customFormat="1" ht="30" customHeight="1">
      <c r="A4" s="80" t="s">
        <v>2</v>
      </c>
      <c r="B4" s="82" t="s">
        <v>3</v>
      </c>
      <c r="C4" s="83"/>
      <c r="D4" s="78" t="s">
        <v>4</v>
      </c>
      <c r="E4" s="77"/>
      <c r="F4" s="76" t="s">
        <v>5</v>
      </c>
      <c r="G4" s="77"/>
      <c r="H4" s="76" t="s">
        <v>6</v>
      </c>
      <c r="I4" s="77"/>
      <c r="J4" s="76" t="s">
        <v>7</v>
      </c>
      <c r="K4" s="77"/>
      <c r="L4" s="76" t="s">
        <v>8</v>
      </c>
      <c r="M4" s="78"/>
    </row>
    <row r="5" spans="1:16" s="3" customFormat="1" ht="37.5" customHeight="1">
      <c r="A5" s="81"/>
      <c r="B5" s="8" t="s">
        <v>9</v>
      </c>
      <c r="C5" s="8" t="s">
        <v>10</v>
      </c>
      <c r="D5" s="7" t="s">
        <v>9</v>
      </c>
      <c r="E5" s="20" t="s">
        <v>10</v>
      </c>
      <c r="F5" s="7" t="s">
        <v>9</v>
      </c>
      <c r="G5" s="20" t="s">
        <v>10</v>
      </c>
      <c r="H5" s="7" t="s">
        <v>9</v>
      </c>
      <c r="I5" s="20" t="s">
        <v>10</v>
      </c>
      <c r="J5" s="7" t="s">
        <v>9</v>
      </c>
      <c r="K5" s="20" t="s">
        <v>10</v>
      </c>
      <c r="L5" s="7" t="s">
        <v>9</v>
      </c>
      <c r="M5" s="8" t="s">
        <v>10</v>
      </c>
      <c r="N5" s="2"/>
      <c r="O5" s="2"/>
      <c r="P5" s="2"/>
    </row>
    <row r="6" spans="1:16" s="3" customFormat="1" ht="20.25" customHeight="1">
      <c r="A6" s="9" t="s">
        <v>11</v>
      </c>
      <c r="B6" s="53">
        <f>SUM(B7:B8)</f>
        <v>44160</v>
      </c>
      <c r="C6" s="54">
        <f t="shared" ref="C6:M6" si="0">SUM(C7:C8)</f>
        <v>117949</v>
      </c>
      <c r="D6" s="55">
        <f t="shared" si="0"/>
        <v>23836</v>
      </c>
      <c r="E6" s="56">
        <f t="shared" si="0"/>
        <v>52501</v>
      </c>
      <c r="F6" s="57">
        <f t="shared" si="0"/>
        <v>7386</v>
      </c>
      <c r="G6" s="56">
        <f>SUM(G7:G8)</f>
        <v>13654</v>
      </c>
      <c r="H6" s="59">
        <f t="shared" si="0"/>
        <v>9</v>
      </c>
      <c r="I6" s="60">
        <f t="shared" si="0"/>
        <v>66</v>
      </c>
      <c r="J6" s="59">
        <f t="shared" si="0"/>
        <v>188</v>
      </c>
      <c r="K6" s="60">
        <f>SUM(K7:K8)</f>
        <v>895</v>
      </c>
      <c r="L6" s="58">
        <f t="shared" si="0"/>
        <v>29</v>
      </c>
      <c r="M6" s="61">
        <f t="shared" si="0"/>
        <v>95</v>
      </c>
      <c r="N6" s="2"/>
      <c r="O6" s="2"/>
      <c r="P6" s="2"/>
    </row>
    <row r="7" spans="1:16" s="3" customFormat="1" ht="20.25" customHeight="1">
      <c r="A7" s="9" t="s">
        <v>12</v>
      </c>
      <c r="B7" s="62">
        <v>6277</v>
      </c>
      <c r="C7" s="63">
        <v>49808</v>
      </c>
      <c r="D7" s="62">
        <v>2724</v>
      </c>
      <c r="E7" s="64">
        <v>21427</v>
      </c>
      <c r="F7" s="65">
        <v>807</v>
      </c>
      <c r="G7" s="64">
        <v>2255</v>
      </c>
      <c r="H7" s="59" t="s">
        <v>0</v>
      </c>
      <c r="I7" s="61" t="s">
        <v>0</v>
      </c>
      <c r="J7" s="31">
        <v>94</v>
      </c>
      <c r="K7" s="32">
        <v>403</v>
      </c>
      <c r="L7" s="59" t="s">
        <v>0</v>
      </c>
      <c r="M7" s="61" t="s">
        <v>0</v>
      </c>
      <c r="N7" s="2"/>
      <c r="O7" s="2"/>
      <c r="P7" s="2"/>
    </row>
    <row r="8" spans="1:16" s="3" customFormat="1" ht="20.25" customHeight="1">
      <c r="A8" s="9" t="s">
        <v>13</v>
      </c>
      <c r="B8" s="55">
        <v>37883</v>
      </c>
      <c r="C8" s="67">
        <v>68141</v>
      </c>
      <c r="D8" s="55">
        <v>21112</v>
      </c>
      <c r="E8" s="56">
        <v>31074</v>
      </c>
      <c r="F8" s="57">
        <v>6579</v>
      </c>
      <c r="G8" s="56">
        <v>11399</v>
      </c>
      <c r="H8" s="59">
        <v>9</v>
      </c>
      <c r="I8" s="60">
        <v>66</v>
      </c>
      <c r="J8" s="31">
        <v>94</v>
      </c>
      <c r="K8" s="32">
        <v>492</v>
      </c>
      <c r="L8" s="59">
        <v>29</v>
      </c>
      <c r="M8" s="61">
        <v>95</v>
      </c>
      <c r="N8" s="2"/>
      <c r="O8" s="2"/>
      <c r="P8" s="2"/>
    </row>
    <row r="9" spans="1:16" s="3" customFormat="1" ht="20.25" customHeight="1">
      <c r="A9" s="51" t="s">
        <v>14</v>
      </c>
      <c r="B9" s="16">
        <v>1288</v>
      </c>
      <c r="C9" s="18">
        <v>2516</v>
      </c>
      <c r="D9" s="16">
        <v>1080</v>
      </c>
      <c r="E9" s="21">
        <v>1929</v>
      </c>
      <c r="F9" s="23">
        <v>300</v>
      </c>
      <c r="G9" s="21">
        <v>658</v>
      </c>
      <c r="H9" s="25" t="s">
        <v>0</v>
      </c>
      <c r="I9" s="26">
        <v>1</v>
      </c>
      <c r="J9" s="34">
        <v>4</v>
      </c>
      <c r="K9" s="35">
        <v>27</v>
      </c>
      <c r="L9" s="25" t="s">
        <v>0</v>
      </c>
      <c r="M9" s="33">
        <v>1</v>
      </c>
      <c r="N9" s="2"/>
      <c r="O9" s="2"/>
      <c r="P9" s="2"/>
    </row>
    <row r="10" spans="1:16" s="3" customFormat="1" ht="20.25" customHeight="1">
      <c r="A10" s="69" t="s">
        <v>35</v>
      </c>
      <c r="B10" s="16">
        <v>3587</v>
      </c>
      <c r="C10" s="18">
        <v>5385</v>
      </c>
      <c r="D10" s="16">
        <v>3327</v>
      </c>
      <c r="E10" s="21">
        <v>3925</v>
      </c>
      <c r="F10" s="23">
        <v>626</v>
      </c>
      <c r="G10" s="21">
        <v>703</v>
      </c>
      <c r="H10" s="27">
        <v>1</v>
      </c>
      <c r="I10" s="26">
        <v>10</v>
      </c>
      <c r="J10" s="34">
        <v>16</v>
      </c>
      <c r="K10" s="35">
        <v>69</v>
      </c>
      <c r="L10" s="27">
        <v>13</v>
      </c>
      <c r="M10" s="33">
        <v>10</v>
      </c>
      <c r="N10" s="2"/>
      <c r="O10" s="2"/>
      <c r="P10" s="2"/>
    </row>
    <row r="11" spans="1:16" s="3" customFormat="1" ht="20.25" customHeight="1">
      <c r="A11" s="51" t="s">
        <v>15</v>
      </c>
      <c r="B11" s="16">
        <v>1926</v>
      </c>
      <c r="C11" s="18">
        <v>3149</v>
      </c>
      <c r="D11" s="16">
        <v>1165</v>
      </c>
      <c r="E11" s="21">
        <v>1523</v>
      </c>
      <c r="F11" s="23">
        <v>433</v>
      </c>
      <c r="G11" s="21">
        <v>626</v>
      </c>
      <c r="H11" s="25" t="s">
        <v>0</v>
      </c>
      <c r="I11" s="30" t="s">
        <v>0</v>
      </c>
      <c r="J11" s="25" t="s">
        <v>0</v>
      </c>
      <c r="K11" s="35">
        <v>3</v>
      </c>
      <c r="L11" s="25" t="s">
        <v>0</v>
      </c>
      <c r="M11" s="33">
        <v>2</v>
      </c>
      <c r="N11" s="2"/>
      <c r="O11" s="2"/>
      <c r="P11" s="2"/>
    </row>
    <row r="12" spans="1:16" s="3" customFormat="1" ht="20.25" customHeight="1">
      <c r="A12" s="51" t="s">
        <v>16</v>
      </c>
      <c r="B12" s="16">
        <v>1137</v>
      </c>
      <c r="C12" s="18">
        <v>1826</v>
      </c>
      <c r="D12" s="16">
        <v>926</v>
      </c>
      <c r="E12" s="21">
        <v>1358</v>
      </c>
      <c r="F12" s="23">
        <v>291</v>
      </c>
      <c r="G12" s="21">
        <v>526</v>
      </c>
      <c r="H12" s="27">
        <v>4</v>
      </c>
      <c r="I12" s="26">
        <v>9</v>
      </c>
      <c r="J12" s="34">
        <v>4</v>
      </c>
      <c r="K12" s="35">
        <v>25</v>
      </c>
      <c r="L12" s="27">
        <v>2</v>
      </c>
      <c r="M12" s="33">
        <v>1</v>
      </c>
      <c r="N12" s="2"/>
      <c r="O12" s="2"/>
      <c r="P12" s="2"/>
    </row>
    <row r="13" spans="1:16" s="3" customFormat="1" ht="20.25" customHeight="1">
      <c r="A13" s="51" t="s">
        <v>17</v>
      </c>
      <c r="B13" s="16">
        <v>2353</v>
      </c>
      <c r="C13" s="18">
        <v>4334</v>
      </c>
      <c r="D13" s="16">
        <v>780</v>
      </c>
      <c r="E13" s="21">
        <v>1043</v>
      </c>
      <c r="F13" s="23">
        <v>495</v>
      </c>
      <c r="G13" s="21">
        <v>726</v>
      </c>
      <c r="H13" s="27">
        <v>1</v>
      </c>
      <c r="I13" s="26">
        <v>14</v>
      </c>
      <c r="J13" s="34">
        <v>3</v>
      </c>
      <c r="K13" s="35">
        <v>52</v>
      </c>
      <c r="L13" s="27">
        <v>3</v>
      </c>
      <c r="M13" s="33">
        <v>10</v>
      </c>
      <c r="N13" s="2"/>
      <c r="O13" s="2"/>
      <c r="P13" s="2"/>
    </row>
    <row r="14" spans="1:16" s="11" customFormat="1" ht="20.25" customHeight="1">
      <c r="A14" s="51" t="s">
        <v>18</v>
      </c>
      <c r="B14" s="16">
        <v>2020</v>
      </c>
      <c r="C14" s="18">
        <v>4487</v>
      </c>
      <c r="D14" s="16">
        <v>1539</v>
      </c>
      <c r="E14" s="21">
        <v>2037</v>
      </c>
      <c r="F14" s="23">
        <v>329</v>
      </c>
      <c r="G14" s="21">
        <v>707</v>
      </c>
      <c r="H14" s="25" t="s">
        <v>0</v>
      </c>
      <c r="I14" s="30" t="s">
        <v>0</v>
      </c>
      <c r="J14" s="25" t="s">
        <v>0</v>
      </c>
      <c r="K14" s="35">
        <v>2</v>
      </c>
      <c r="L14" s="25" t="s">
        <v>0</v>
      </c>
      <c r="M14" s="30" t="s">
        <v>0</v>
      </c>
      <c r="N14" s="10"/>
      <c r="O14" s="10"/>
      <c r="P14" s="10"/>
    </row>
    <row r="15" spans="1:16" s="11" customFormat="1" ht="20.25" customHeight="1">
      <c r="A15" s="51" t="s">
        <v>19</v>
      </c>
      <c r="B15" s="16">
        <v>1973</v>
      </c>
      <c r="C15" s="18">
        <v>3798</v>
      </c>
      <c r="D15" s="16">
        <v>491</v>
      </c>
      <c r="E15" s="21">
        <v>828</v>
      </c>
      <c r="F15" s="23">
        <v>191</v>
      </c>
      <c r="G15" s="21">
        <v>375</v>
      </c>
      <c r="H15" s="25" t="s">
        <v>0</v>
      </c>
      <c r="I15" s="30" t="s">
        <v>0</v>
      </c>
      <c r="J15" s="25" t="s">
        <v>0</v>
      </c>
      <c r="K15" s="35">
        <v>5</v>
      </c>
      <c r="L15" s="27">
        <v>8</v>
      </c>
      <c r="M15" s="33">
        <v>41</v>
      </c>
      <c r="N15" s="10"/>
      <c r="O15" s="10"/>
      <c r="P15" s="10"/>
    </row>
    <row r="16" spans="1:16" s="11" customFormat="1" ht="20.25" customHeight="1">
      <c r="A16" s="51" t="s">
        <v>20</v>
      </c>
      <c r="B16" s="16">
        <v>3172</v>
      </c>
      <c r="C16" s="18">
        <v>6749</v>
      </c>
      <c r="D16" s="16">
        <v>2502</v>
      </c>
      <c r="E16" s="21">
        <v>4618</v>
      </c>
      <c r="F16" s="23">
        <v>662</v>
      </c>
      <c r="G16" s="21">
        <v>1264</v>
      </c>
      <c r="H16" s="25" t="s">
        <v>0</v>
      </c>
      <c r="I16" s="30" t="s">
        <v>0</v>
      </c>
      <c r="J16" s="34">
        <v>3</v>
      </c>
      <c r="K16" s="35">
        <v>7</v>
      </c>
      <c r="L16" s="25" t="s">
        <v>0</v>
      </c>
      <c r="M16" s="30" t="s">
        <v>0</v>
      </c>
      <c r="N16" s="10"/>
      <c r="O16" s="10"/>
      <c r="P16" s="10"/>
    </row>
    <row r="17" spans="1:16" s="11" customFormat="1" ht="20.25" customHeight="1">
      <c r="A17" s="69" t="s">
        <v>36</v>
      </c>
      <c r="B17" s="16">
        <v>929</v>
      </c>
      <c r="C17" s="18">
        <v>1550</v>
      </c>
      <c r="D17" s="16">
        <v>648</v>
      </c>
      <c r="E17" s="21">
        <v>583</v>
      </c>
      <c r="F17" s="23">
        <v>173</v>
      </c>
      <c r="G17" s="21">
        <v>390</v>
      </c>
      <c r="H17" s="25" t="s">
        <v>0</v>
      </c>
      <c r="I17" s="26">
        <v>2</v>
      </c>
      <c r="J17" s="34">
        <v>4</v>
      </c>
      <c r="K17" s="35">
        <v>6</v>
      </c>
      <c r="L17" s="25" t="s">
        <v>0</v>
      </c>
      <c r="M17" s="33">
        <v>4</v>
      </c>
      <c r="N17" s="10"/>
      <c r="O17" s="10"/>
      <c r="P17" s="10"/>
    </row>
    <row r="18" spans="1:16" s="11" customFormat="1" ht="20.25" customHeight="1">
      <c r="A18" s="51" t="s">
        <v>21</v>
      </c>
      <c r="B18" s="16">
        <v>3089</v>
      </c>
      <c r="C18" s="18">
        <v>5111</v>
      </c>
      <c r="D18" s="16">
        <v>1130</v>
      </c>
      <c r="E18" s="21">
        <v>1530</v>
      </c>
      <c r="F18" s="23">
        <v>522</v>
      </c>
      <c r="G18" s="21">
        <v>923</v>
      </c>
      <c r="H18" s="25" t="s">
        <v>0</v>
      </c>
      <c r="I18" s="26">
        <v>1</v>
      </c>
      <c r="J18" s="34">
        <v>26</v>
      </c>
      <c r="K18" s="35">
        <v>128</v>
      </c>
      <c r="L18" s="25" t="s">
        <v>0</v>
      </c>
      <c r="M18" s="30" t="s">
        <v>0</v>
      </c>
      <c r="N18" s="10"/>
      <c r="O18" s="10"/>
      <c r="P18" s="10"/>
    </row>
    <row r="19" spans="1:16" s="11" customFormat="1" ht="20.25" customHeight="1">
      <c r="A19" s="51" t="s">
        <v>22</v>
      </c>
      <c r="B19" s="16">
        <v>27</v>
      </c>
      <c r="C19" s="18">
        <v>54</v>
      </c>
      <c r="D19" s="16">
        <v>24</v>
      </c>
      <c r="E19" s="21">
        <v>37</v>
      </c>
      <c r="F19" s="23">
        <v>30</v>
      </c>
      <c r="G19" s="21">
        <v>97</v>
      </c>
      <c r="H19" s="25" t="s">
        <v>0</v>
      </c>
      <c r="I19" s="30" t="s">
        <v>0</v>
      </c>
      <c r="J19" s="31" t="s">
        <v>0</v>
      </c>
      <c r="K19" s="32" t="s">
        <v>0</v>
      </c>
      <c r="L19" s="25" t="s">
        <v>0</v>
      </c>
      <c r="M19" s="33">
        <v>1</v>
      </c>
      <c r="N19" s="10"/>
      <c r="O19" s="10"/>
      <c r="P19" s="10"/>
    </row>
    <row r="20" spans="1:16" s="11" customFormat="1" ht="20.25" customHeight="1">
      <c r="A20" s="51" t="s">
        <v>23</v>
      </c>
      <c r="B20" s="16">
        <v>924</v>
      </c>
      <c r="C20" s="18">
        <v>1730</v>
      </c>
      <c r="D20" s="16">
        <v>615</v>
      </c>
      <c r="E20" s="21">
        <v>822</v>
      </c>
      <c r="F20" s="23">
        <v>98</v>
      </c>
      <c r="G20" s="21">
        <v>237</v>
      </c>
      <c r="H20" s="25" t="s">
        <v>0</v>
      </c>
      <c r="I20" s="30" t="s">
        <v>0</v>
      </c>
      <c r="J20" s="34">
        <v>6</v>
      </c>
      <c r="K20" s="35">
        <v>34</v>
      </c>
      <c r="L20" s="27">
        <v>1</v>
      </c>
      <c r="M20" s="30" t="s">
        <v>0</v>
      </c>
      <c r="N20" s="10"/>
      <c r="O20" s="10"/>
      <c r="P20" s="10"/>
    </row>
    <row r="21" spans="1:16" ht="20.25" customHeight="1">
      <c r="A21" s="51" t="s">
        <v>24</v>
      </c>
      <c r="B21" s="16">
        <v>962</v>
      </c>
      <c r="C21" s="18">
        <v>1418</v>
      </c>
      <c r="D21" s="16">
        <v>548</v>
      </c>
      <c r="E21" s="21">
        <v>866</v>
      </c>
      <c r="F21" s="23">
        <v>260</v>
      </c>
      <c r="G21" s="21">
        <v>332</v>
      </c>
      <c r="H21" s="25" t="s">
        <v>0</v>
      </c>
      <c r="I21" s="30" t="s">
        <v>0</v>
      </c>
      <c r="J21" s="34">
        <v>9</v>
      </c>
      <c r="K21" s="35">
        <v>17</v>
      </c>
      <c r="L21" s="25" t="s">
        <v>0</v>
      </c>
      <c r="M21" s="30" t="s">
        <v>0</v>
      </c>
      <c r="N21" s="12"/>
      <c r="O21" s="12"/>
      <c r="P21" s="12"/>
    </row>
    <row r="22" spans="1:16" ht="20.25" customHeight="1">
      <c r="A22" s="51" t="s">
        <v>25</v>
      </c>
      <c r="B22" s="16">
        <v>1954</v>
      </c>
      <c r="C22" s="18">
        <v>2598</v>
      </c>
      <c r="D22" s="16">
        <v>919</v>
      </c>
      <c r="E22" s="21">
        <v>1058</v>
      </c>
      <c r="F22" s="23">
        <v>67</v>
      </c>
      <c r="G22" s="21">
        <v>128</v>
      </c>
      <c r="H22" s="25" t="s">
        <v>0</v>
      </c>
      <c r="I22" s="30" t="s">
        <v>0</v>
      </c>
      <c r="J22" s="34">
        <v>8</v>
      </c>
      <c r="K22" s="35">
        <v>26</v>
      </c>
      <c r="L22" s="25" t="s">
        <v>0</v>
      </c>
      <c r="M22" s="33">
        <v>2</v>
      </c>
      <c r="N22" s="12"/>
      <c r="O22" s="12"/>
      <c r="P22" s="12"/>
    </row>
    <row r="23" spans="1:16" ht="20.25" customHeight="1">
      <c r="A23" s="51" t="s">
        <v>26</v>
      </c>
      <c r="B23" s="16">
        <v>1364</v>
      </c>
      <c r="C23" s="18">
        <v>1899</v>
      </c>
      <c r="D23" s="16">
        <v>968</v>
      </c>
      <c r="E23" s="21">
        <v>1237</v>
      </c>
      <c r="F23" s="23">
        <v>416</v>
      </c>
      <c r="G23" s="21">
        <v>558</v>
      </c>
      <c r="H23" s="25" t="s">
        <v>0</v>
      </c>
      <c r="I23" s="26">
        <v>2</v>
      </c>
      <c r="J23" s="34">
        <v>4</v>
      </c>
      <c r="K23" s="35">
        <v>4</v>
      </c>
      <c r="L23" s="25" t="s">
        <v>0</v>
      </c>
      <c r="M23" s="33">
        <v>8</v>
      </c>
    </row>
    <row r="24" spans="1:16" ht="20.25" customHeight="1">
      <c r="A24" s="51" t="s">
        <v>27</v>
      </c>
      <c r="B24" s="16">
        <v>2344</v>
      </c>
      <c r="C24" s="18">
        <v>4102</v>
      </c>
      <c r="D24" s="16">
        <v>1301</v>
      </c>
      <c r="E24" s="21">
        <v>2228</v>
      </c>
      <c r="F24" s="23">
        <v>298</v>
      </c>
      <c r="G24" s="21">
        <v>552</v>
      </c>
      <c r="H24" s="25" t="s">
        <v>0</v>
      </c>
      <c r="I24" s="30" t="s">
        <v>0</v>
      </c>
      <c r="J24" s="34">
        <v>2</v>
      </c>
      <c r="K24" s="35">
        <v>12</v>
      </c>
      <c r="L24" s="25" t="s">
        <v>0</v>
      </c>
      <c r="M24" s="30" t="s">
        <v>0</v>
      </c>
    </row>
    <row r="25" spans="1:16" ht="20.25" customHeight="1">
      <c r="A25" s="51" t="s">
        <v>28</v>
      </c>
      <c r="B25" s="16">
        <v>1779</v>
      </c>
      <c r="C25" s="18">
        <v>3144</v>
      </c>
      <c r="D25" s="16">
        <v>840</v>
      </c>
      <c r="E25" s="21">
        <v>1330</v>
      </c>
      <c r="F25" s="23">
        <v>369</v>
      </c>
      <c r="G25" s="21">
        <v>808</v>
      </c>
      <c r="H25" s="25" t="s">
        <v>0</v>
      </c>
      <c r="I25" s="30" t="s">
        <v>0</v>
      </c>
      <c r="J25" s="34">
        <v>2</v>
      </c>
      <c r="K25" s="35">
        <v>15</v>
      </c>
      <c r="L25" s="27">
        <v>2</v>
      </c>
      <c r="M25" s="33">
        <v>9</v>
      </c>
    </row>
    <row r="26" spans="1:16" ht="22.5" customHeight="1">
      <c r="A26" s="69" t="s">
        <v>31</v>
      </c>
      <c r="B26" s="16">
        <v>1618</v>
      </c>
      <c r="C26" s="18">
        <v>2668</v>
      </c>
      <c r="D26" s="16">
        <v>1260</v>
      </c>
      <c r="E26" s="21">
        <v>2312</v>
      </c>
      <c r="F26" s="23">
        <v>268</v>
      </c>
      <c r="G26" s="21">
        <v>335</v>
      </c>
      <c r="H26" s="27">
        <v>2</v>
      </c>
      <c r="I26" s="26">
        <v>20</v>
      </c>
      <c r="J26" s="25" t="s">
        <v>0</v>
      </c>
      <c r="K26" s="35">
        <v>5</v>
      </c>
      <c r="L26" s="25" t="s">
        <v>0</v>
      </c>
      <c r="M26" s="33">
        <v>3</v>
      </c>
    </row>
    <row r="27" spans="1:16" ht="20.25" customHeight="1">
      <c r="A27" s="69" t="s">
        <v>32</v>
      </c>
      <c r="B27" s="16">
        <v>1863</v>
      </c>
      <c r="C27" s="18">
        <v>2960</v>
      </c>
      <c r="D27" s="16">
        <v>331</v>
      </c>
      <c r="E27" s="21">
        <v>653</v>
      </c>
      <c r="F27" s="23">
        <v>236</v>
      </c>
      <c r="G27" s="21">
        <v>299</v>
      </c>
      <c r="H27" s="25" t="s">
        <v>0</v>
      </c>
      <c r="I27" s="26">
        <v>4</v>
      </c>
      <c r="J27" s="34">
        <v>1</v>
      </c>
      <c r="K27" s="35">
        <v>12</v>
      </c>
      <c r="L27" s="25" t="s">
        <v>0</v>
      </c>
      <c r="M27" s="33">
        <v>1</v>
      </c>
    </row>
    <row r="28" spans="1:16" ht="20.25" customHeight="1">
      <c r="A28" s="52" t="s">
        <v>29</v>
      </c>
      <c r="B28" s="17">
        <v>3574</v>
      </c>
      <c r="C28" s="19">
        <v>8663</v>
      </c>
      <c r="D28" s="17">
        <v>718</v>
      </c>
      <c r="E28" s="22">
        <v>1157</v>
      </c>
      <c r="F28" s="24">
        <v>515</v>
      </c>
      <c r="G28" s="22">
        <v>1155</v>
      </c>
      <c r="H28" s="28">
        <v>1</v>
      </c>
      <c r="I28" s="29">
        <v>3</v>
      </c>
      <c r="J28" s="36">
        <v>2</v>
      </c>
      <c r="K28" s="37">
        <v>43</v>
      </c>
      <c r="L28" s="39" t="s">
        <v>0</v>
      </c>
      <c r="M28" s="38">
        <v>2</v>
      </c>
    </row>
    <row r="29" spans="1:16" ht="12" customHeight="1">
      <c r="A29" s="49" t="s">
        <v>39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spans="1:16" ht="12" customHeight="1">
      <c r="A30" s="1" t="s">
        <v>33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48" t="s">
        <v>34</v>
      </c>
    </row>
    <row r="31" spans="1:16" ht="12" customHeight="1">
      <c r="A31" s="1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6" ht="18" customHeight="1">
      <c r="A32" s="74" t="s">
        <v>38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</row>
    <row r="33" spans="1:16" s="3" customFormat="1" ht="20.25" customHeight="1">
      <c r="A33" s="75" t="s">
        <v>30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"/>
      <c r="O33" s="2"/>
      <c r="P33" s="2"/>
    </row>
    <row r="34" spans="1:16" s="3" customFormat="1" ht="7.5" customHeight="1">
      <c r="A34" s="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2"/>
      <c r="O34" s="2"/>
      <c r="P34" s="2"/>
    </row>
    <row r="35" spans="1:16" s="3" customFormat="1" ht="27" customHeight="1">
      <c r="A35" s="84" t="s">
        <v>2</v>
      </c>
      <c r="B35" s="82" t="s">
        <v>3</v>
      </c>
      <c r="C35" s="83"/>
      <c r="D35" s="78" t="s">
        <v>4</v>
      </c>
      <c r="E35" s="77"/>
      <c r="F35" s="76" t="s">
        <v>5</v>
      </c>
      <c r="G35" s="77"/>
      <c r="H35" s="76" t="s">
        <v>6</v>
      </c>
      <c r="I35" s="77"/>
      <c r="J35" s="76" t="s">
        <v>7</v>
      </c>
      <c r="K35" s="77"/>
      <c r="L35" s="78" t="s">
        <v>8</v>
      </c>
      <c r="M35" s="78"/>
      <c r="N35" s="2"/>
      <c r="O35" s="2"/>
      <c r="P35" s="2"/>
    </row>
    <row r="36" spans="1:16" s="3" customFormat="1" ht="36.75" customHeight="1">
      <c r="A36" s="85"/>
      <c r="B36" s="45" t="s">
        <v>9</v>
      </c>
      <c r="C36" s="46" t="s">
        <v>10</v>
      </c>
      <c r="D36" s="45" t="s">
        <v>9</v>
      </c>
      <c r="E36" s="47" t="s">
        <v>10</v>
      </c>
      <c r="F36" s="45" t="s">
        <v>9</v>
      </c>
      <c r="G36" s="47" t="s">
        <v>10</v>
      </c>
      <c r="H36" s="45" t="s">
        <v>9</v>
      </c>
      <c r="I36" s="47" t="s">
        <v>10</v>
      </c>
      <c r="J36" s="45" t="s">
        <v>9</v>
      </c>
      <c r="K36" s="47" t="s">
        <v>10</v>
      </c>
      <c r="L36" s="46" t="s">
        <v>9</v>
      </c>
      <c r="M36" s="46" t="s">
        <v>10</v>
      </c>
      <c r="N36" s="2"/>
      <c r="O36" s="2"/>
      <c r="P36" s="2"/>
    </row>
    <row r="37" spans="1:16" s="3" customFormat="1" ht="20.25" customHeight="1">
      <c r="A37" s="9" t="s">
        <v>11</v>
      </c>
      <c r="B37" s="53">
        <f>SUM(B38:B39)</f>
        <v>37598</v>
      </c>
      <c r="C37" s="54">
        <f t="shared" ref="C37:M37" si="1">SUM(C38:C39)</f>
        <v>75106</v>
      </c>
      <c r="D37" s="55">
        <f t="shared" si="1"/>
        <v>24683</v>
      </c>
      <c r="E37" s="56">
        <f t="shared" si="1"/>
        <v>47030</v>
      </c>
      <c r="F37" s="57">
        <f t="shared" si="1"/>
        <v>8052</v>
      </c>
      <c r="G37" s="56">
        <f t="shared" si="1"/>
        <v>12162</v>
      </c>
      <c r="H37" s="57">
        <f t="shared" si="1"/>
        <v>12</v>
      </c>
      <c r="I37" s="56">
        <f t="shared" si="1"/>
        <v>80</v>
      </c>
      <c r="J37" s="57">
        <f t="shared" si="1"/>
        <v>756</v>
      </c>
      <c r="K37" s="56">
        <f t="shared" si="1"/>
        <v>2153</v>
      </c>
      <c r="L37" s="55">
        <f t="shared" si="1"/>
        <v>23</v>
      </c>
      <c r="M37" s="55">
        <f t="shared" si="1"/>
        <v>78</v>
      </c>
      <c r="N37" s="2"/>
      <c r="O37" s="2"/>
      <c r="P37" s="2"/>
    </row>
    <row r="38" spans="1:16" s="3" customFormat="1" ht="20.25" customHeight="1">
      <c r="A38" s="9" t="s">
        <v>12</v>
      </c>
      <c r="B38" s="62">
        <v>4406</v>
      </c>
      <c r="C38" s="63">
        <v>23623</v>
      </c>
      <c r="D38" s="62">
        <v>1139</v>
      </c>
      <c r="E38" s="64">
        <v>9515</v>
      </c>
      <c r="F38" s="65">
        <v>799</v>
      </c>
      <c r="G38" s="64">
        <v>1645</v>
      </c>
      <c r="H38" s="68" t="s">
        <v>0</v>
      </c>
      <c r="I38" s="66" t="s">
        <v>0</v>
      </c>
      <c r="J38" s="70">
        <v>441</v>
      </c>
      <c r="K38" s="71">
        <v>1123</v>
      </c>
      <c r="L38" s="68" t="s">
        <v>0</v>
      </c>
      <c r="M38" s="72" t="s">
        <v>0</v>
      </c>
      <c r="N38" s="2"/>
      <c r="O38" s="2"/>
      <c r="P38" s="2"/>
    </row>
    <row r="39" spans="1:16" s="3" customFormat="1" ht="16.5" customHeight="1">
      <c r="A39" s="9" t="s">
        <v>13</v>
      </c>
      <c r="B39" s="55">
        <v>33192</v>
      </c>
      <c r="C39" s="67">
        <v>51483</v>
      </c>
      <c r="D39" s="55">
        <v>23544</v>
      </c>
      <c r="E39" s="56">
        <v>37515</v>
      </c>
      <c r="F39" s="57">
        <v>7253</v>
      </c>
      <c r="G39" s="56">
        <v>10517</v>
      </c>
      <c r="H39" s="57">
        <v>12</v>
      </c>
      <c r="I39" s="56">
        <v>80</v>
      </c>
      <c r="J39" s="70">
        <f>SUM(J40:J59)</f>
        <v>315</v>
      </c>
      <c r="K39" s="71">
        <f>SUM(K40:K59)</f>
        <v>1030</v>
      </c>
      <c r="L39" s="55">
        <v>23</v>
      </c>
      <c r="M39" s="55">
        <v>78</v>
      </c>
      <c r="N39" s="2"/>
      <c r="O39" s="2"/>
      <c r="P39" s="2"/>
    </row>
    <row r="40" spans="1:16" s="3" customFormat="1" ht="20.25" customHeight="1">
      <c r="A40" s="51" t="s">
        <v>14</v>
      </c>
      <c r="B40" s="16">
        <v>808</v>
      </c>
      <c r="C40" s="18">
        <v>1219</v>
      </c>
      <c r="D40" s="16">
        <v>1540</v>
      </c>
      <c r="E40" s="21">
        <v>2310</v>
      </c>
      <c r="F40" s="23">
        <v>435</v>
      </c>
      <c r="G40" s="21">
        <v>460</v>
      </c>
      <c r="H40" s="27" t="s">
        <v>0</v>
      </c>
      <c r="I40" s="21">
        <v>1</v>
      </c>
      <c r="J40" s="41">
        <v>17</v>
      </c>
      <c r="K40" s="42">
        <v>55</v>
      </c>
      <c r="L40" s="27" t="s">
        <v>0</v>
      </c>
      <c r="M40" s="16">
        <v>2</v>
      </c>
      <c r="N40" s="2"/>
      <c r="O40" s="2"/>
      <c r="P40" s="2"/>
    </row>
    <row r="41" spans="1:16" s="3" customFormat="1" ht="20.25" customHeight="1">
      <c r="A41" s="69" t="s">
        <v>35</v>
      </c>
      <c r="B41" s="16">
        <v>2532</v>
      </c>
      <c r="C41" s="18">
        <v>3243</v>
      </c>
      <c r="D41" s="16">
        <v>1902</v>
      </c>
      <c r="E41" s="21">
        <v>2415</v>
      </c>
      <c r="F41" s="23">
        <v>610</v>
      </c>
      <c r="G41" s="21">
        <v>770</v>
      </c>
      <c r="H41" s="27" t="s">
        <v>0</v>
      </c>
      <c r="I41" s="21">
        <v>8</v>
      </c>
      <c r="J41" s="41">
        <v>21</v>
      </c>
      <c r="K41" s="42">
        <v>65</v>
      </c>
      <c r="L41" s="27" t="s">
        <v>0</v>
      </c>
      <c r="M41" s="16">
        <v>8</v>
      </c>
      <c r="N41" s="2"/>
      <c r="O41" s="2"/>
      <c r="P41" s="2"/>
    </row>
    <row r="42" spans="1:16" s="3" customFormat="1" ht="20.25" customHeight="1">
      <c r="A42" s="51" t="s">
        <v>15</v>
      </c>
      <c r="B42" s="16">
        <v>1386</v>
      </c>
      <c r="C42" s="18">
        <v>2036</v>
      </c>
      <c r="D42" s="16">
        <v>1235</v>
      </c>
      <c r="E42" s="21">
        <v>1697</v>
      </c>
      <c r="F42" s="23">
        <v>480</v>
      </c>
      <c r="G42" s="21">
        <v>694</v>
      </c>
      <c r="H42" s="27" t="s">
        <v>0</v>
      </c>
      <c r="I42" s="26" t="s">
        <v>0</v>
      </c>
      <c r="J42" s="41">
        <v>2</v>
      </c>
      <c r="K42" s="42">
        <v>20</v>
      </c>
      <c r="L42" s="27" t="s">
        <v>0</v>
      </c>
      <c r="M42" s="16">
        <v>1</v>
      </c>
      <c r="N42" s="2"/>
      <c r="O42" s="2"/>
      <c r="P42" s="2"/>
    </row>
    <row r="43" spans="1:16" s="3" customFormat="1" ht="20.25" customHeight="1">
      <c r="A43" s="51" t="s">
        <v>16</v>
      </c>
      <c r="B43" s="16">
        <v>1341</v>
      </c>
      <c r="C43" s="18">
        <v>1985</v>
      </c>
      <c r="D43" s="16">
        <v>1271</v>
      </c>
      <c r="E43" s="21">
        <v>1437</v>
      </c>
      <c r="F43" s="23">
        <v>414</v>
      </c>
      <c r="G43" s="21">
        <v>542</v>
      </c>
      <c r="H43" s="27" t="s">
        <v>0</v>
      </c>
      <c r="I43" s="21">
        <v>7</v>
      </c>
      <c r="J43" s="41">
        <v>10</v>
      </c>
      <c r="K43" s="42">
        <v>42</v>
      </c>
      <c r="L43" s="27" t="s">
        <v>0</v>
      </c>
      <c r="M43" s="16">
        <v>5</v>
      </c>
      <c r="N43" s="2"/>
      <c r="O43" s="2"/>
      <c r="P43" s="2"/>
    </row>
    <row r="44" spans="1:16" s="3" customFormat="1" ht="20.25" customHeight="1">
      <c r="A44" s="51" t="s">
        <v>17</v>
      </c>
      <c r="B44" s="16">
        <v>2798</v>
      </c>
      <c r="C44" s="18">
        <v>4613</v>
      </c>
      <c r="D44" s="16">
        <v>1017</v>
      </c>
      <c r="E44" s="21">
        <v>1220</v>
      </c>
      <c r="F44" s="23">
        <v>560</v>
      </c>
      <c r="G44" s="21">
        <v>592</v>
      </c>
      <c r="H44" s="27" t="s">
        <v>0</v>
      </c>
      <c r="I44" s="21">
        <v>19</v>
      </c>
      <c r="J44" s="41">
        <v>5</v>
      </c>
      <c r="K44" s="42">
        <v>12</v>
      </c>
      <c r="L44" s="16">
        <v>3</v>
      </c>
      <c r="M44" s="16">
        <v>16</v>
      </c>
      <c r="N44" s="2"/>
      <c r="O44" s="2"/>
      <c r="P44" s="2"/>
    </row>
    <row r="45" spans="1:16" s="11" customFormat="1" ht="20.25" customHeight="1">
      <c r="A45" s="51" t="s">
        <v>18</v>
      </c>
      <c r="B45" s="16">
        <v>1948</v>
      </c>
      <c r="C45" s="18">
        <v>3864</v>
      </c>
      <c r="D45" s="16">
        <v>1946</v>
      </c>
      <c r="E45" s="21">
        <v>3383</v>
      </c>
      <c r="F45" s="23">
        <v>486</v>
      </c>
      <c r="G45" s="21">
        <v>810</v>
      </c>
      <c r="H45" s="27" t="s">
        <v>0</v>
      </c>
      <c r="I45" s="26" t="s">
        <v>0</v>
      </c>
      <c r="J45" s="41">
        <v>15</v>
      </c>
      <c r="K45" s="42">
        <v>45</v>
      </c>
      <c r="L45" s="27" t="s">
        <v>0</v>
      </c>
      <c r="M45" s="33" t="s">
        <v>0</v>
      </c>
      <c r="N45" s="10"/>
      <c r="O45" s="10"/>
      <c r="P45" s="10"/>
    </row>
    <row r="46" spans="1:16" s="11" customFormat="1" ht="20.25" customHeight="1">
      <c r="A46" s="51" t="s">
        <v>19</v>
      </c>
      <c r="B46" s="16">
        <v>1334</v>
      </c>
      <c r="C46" s="18">
        <v>2001</v>
      </c>
      <c r="D46" s="16">
        <v>784</v>
      </c>
      <c r="E46" s="21">
        <v>1236</v>
      </c>
      <c r="F46" s="23">
        <v>190</v>
      </c>
      <c r="G46" s="21">
        <v>393</v>
      </c>
      <c r="H46" s="27" t="s">
        <v>0</v>
      </c>
      <c r="I46" s="21">
        <v>1</v>
      </c>
      <c r="J46" s="41">
        <v>27</v>
      </c>
      <c r="K46" s="42">
        <v>82</v>
      </c>
      <c r="L46" s="16">
        <v>4</v>
      </c>
      <c r="M46" s="16">
        <v>21</v>
      </c>
      <c r="N46" s="10"/>
      <c r="O46" s="10"/>
      <c r="P46" s="10"/>
    </row>
    <row r="47" spans="1:16" s="11" customFormat="1" ht="20.25" customHeight="1">
      <c r="A47" s="51" t="s">
        <v>20</v>
      </c>
      <c r="B47" s="16">
        <v>3067</v>
      </c>
      <c r="C47" s="18">
        <v>5513</v>
      </c>
      <c r="D47" s="16">
        <v>2880</v>
      </c>
      <c r="E47" s="21">
        <v>5662</v>
      </c>
      <c r="F47" s="23">
        <v>805</v>
      </c>
      <c r="G47" s="21">
        <v>1331</v>
      </c>
      <c r="H47" s="27" t="s">
        <v>0</v>
      </c>
      <c r="I47" s="26" t="s">
        <v>0</v>
      </c>
      <c r="J47" s="41">
        <v>23</v>
      </c>
      <c r="K47" s="42">
        <v>68</v>
      </c>
      <c r="L47" s="27" t="s">
        <v>0</v>
      </c>
      <c r="M47" s="33" t="s">
        <v>0</v>
      </c>
      <c r="N47" s="10"/>
      <c r="O47" s="10"/>
      <c r="P47" s="10"/>
    </row>
    <row r="48" spans="1:16" s="11" customFormat="1" ht="20.25" customHeight="1">
      <c r="A48" s="69" t="s">
        <v>36</v>
      </c>
      <c r="B48" s="16">
        <v>1052</v>
      </c>
      <c r="C48" s="18">
        <v>1544</v>
      </c>
      <c r="D48" s="16">
        <v>871</v>
      </c>
      <c r="E48" s="21">
        <v>1061</v>
      </c>
      <c r="F48" s="23">
        <v>204</v>
      </c>
      <c r="G48" s="21">
        <v>340</v>
      </c>
      <c r="H48" s="23">
        <v>3</v>
      </c>
      <c r="I48" s="21">
        <v>11</v>
      </c>
      <c r="J48" s="41">
        <v>36</v>
      </c>
      <c r="K48" s="42">
        <v>112</v>
      </c>
      <c r="L48" s="27" t="s">
        <v>0</v>
      </c>
      <c r="M48" s="33" t="s">
        <v>0</v>
      </c>
      <c r="N48" s="10"/>
      <c r="O48" s="10"/>
      <c r="P48" s="10"/>
    </row>
    <row r="49" spans="1:16" s="11" customFormat="1" ht="20.25" customHeight="1">
      <c r="A49" s="51" t="s">
        <v>21</v>
      </c>
      <c r="B49" s="16">
        <v>3201</v>
      </c>
      <c r="C49" s="18">
        <v>4685</v>
      </c>
      <c r="D49" s="16">
        <v>1009</v>
      </c>
      <c r="E49" s="21">
        <v>1447</v>
      </c>
      <c r="F49" s="23">
        <v>530</v>
      </c>
      <c r="G49" s="21">
        <v>847</v>
      </c>
      <c r="H49" s="27" t="s">
        <v>0</v>
      </c>
      <c r="I49" s="21">
        <v>1</v>
      </c>
      <c r="J49" s="41">
        <v>45</v>
      </c>
      <c r="K49" s="42">
        <v>62</v>
      </c>
      <c r="L49" s="27" t="s">
        <v>0</v>
      </c>
      <c r="M49" s="33" t="s">
        <v>0</v>
      </c>
      <c r="N49" s="10"/>
      <c r="O49" s="10"/>
      <c r="P49" s="10"/>
    </row>
    <row r="50" spans="1:16" s="11" customFormat="1" ht="20.25" customHeight="1">
      <c r="A50" s="51" t="s">
        <v>22</v>
      </c>
      <c r="B50" s="16">
        <v>51</v>
      </c>
      <c r="C50" s="18">
        <v>113</v>
      </c>
      <c r="D50" s="16">
        <v>59</v>
      </c>
      <c r="E50" s="21">
        <v>125</v>
      </c>
      <c r="F50" s="23">
        <v>44</v>
      </c>
      <c r="G50" s="21">
        <v>129</v>
      </c>
      <c r="H50" s="27" t="s">
        <v>0</v>
      </c>
      <c r="I50" s="21">
        <v>3</v>
      </c>
      <c r="J50" s="41">
        <v>3</v>
      </c>
      <c r="K50" s="42">
        <v>3</v>
      </c>
      <c r="L50" s="27" t="s">
        <v>0</v>
      </c>
      <c r="M50" s="16">
        <v>5</v>
      </c>
      <c r="N50" s="10"/>
      <c r="O50" s="10"/>
      <c r="P50" s="10"/>
    </row>
    <row r="51" spans="1:16" s="11" customFormat="1" ht="20.25" customHeight="1">
      <c r="A51" s="51" t="s">
        <v>23</v>
      </c>
      <c r="B51" s="16">
        <v>1168</v>
      </c>
      <c r="C51" s="18">
        <v>1675</v>
      </c>
      <c r="D51" s="16">
        <v>754</v>
      </c>
      <c r="E51" s="21">
        <v>1009</v>
      </c>
      <c r="F51" s="23">
        <v>227</v>
      </c>
      <c r="G51" s="21">
        <v>266</v>
      </c>
      <c r="H51" s="27" t="s">
        <v>0</v>
      </c>
      <c r="I51" s="26" t="s">
        <v>0</v>
      </c>
      <c r="J51" s="41">
        <v>7</v>
      </c>
      <c r="K51" s="42">
        <v>15</v>
      </c>
      <c r="L51" s="27" t="s">
        <v>0</v>
      </c>
      <c r="M51" s="16">
        <v>1</v>
      </c>
      <c r="N51" s="10"/>
      <c r="O51" s="10"/>
      <c r="P51" s="10"/>
    </row>
    <row r="52" spans="1:16" ht="20.25" customHeight="1">
      <c r="A52" s="51" t="s">
        <v>24</v>
      </c>
      <c r="B52" s="16">
        <v>912</v>
      </c>
      <c r="C52" s="18">
        <v>980</v>
      </c>
      <c r="D52" s="16">
        <v>698</v>
      </c>
      <c r="E52" s="21">
        <v>1103</v>
      </c>
      <c r="F52" s="23">
        <v>298</v>
      </c>
      <c r="G52" s="21">
        <v>336</v>
      </c>
      <c r="H52" s="27" t="s">
        <v>0</v>
      </c>
      <c r="I52" s="26" t="s">
        <v>0</v>
      </c>
      <c r="J52" s="41">
        <v>6</v>
      </c>
      <c r="K52" s="42">
        <v>37</v>
      </c>
      <c r="L52" s="27" t="s">
        <v>0</v>
      </c>
      <c r="M52" s="33" t="s">
        <v>0</v>
      </c>
      <c r="N52" s="12"/>
      <c r="O52" s="12"/>
      <c r="P52" s="12"/>
    </row>
    <row r="53" spans="1:16" ht="20.25" customHeight="1">
      <c r="A53" s="51" t="s">
        <v>25</v>
      </c>
      <c r="B53" s="16">
        <v>1822</v>
      </c>
      <c r="C53" s="18">
        <v>2701</v>
      </c>
      <c r="D53" s="16">
        <v>662</v>
      </c>
      <c r="E53" s="21">
        <v>1080</v>
      </c>
      <c r="F53" s="23">
        <v>143</v>
      </c>
      <c r="G53" s="21">
        <v>174</v>
      </c>
      <c r="H53" s="27" t="s">
        <v>0</v>
      </c>
      <c r="I53" s="26" t="s">
        <v>0</v>
      </c>
      <c r="J53" s="41">
        <v>6</v>
      </c>
      <c r="K53" s="42">
        <v>15</v>
      </c>
      <c r="L53" s="27" t="s">
        <v>0</v>
      </c>
      <c r="M53" s="33" t="s">
        <v>0</v>
      </c>
      <c r="N53" s="12"/>
      <c r="O53" s="12"/>
      <c r="P53" s="12"/>
    </row>
    <row r="54" spans="1:16" ht="20.25" customHeight="1">
      <c r="A54" s="51" t="s">
        <v>26</v>
      </c>
      <c r="B54" s="16">
        <v>1476</v>
      </c>
      <c r="C54" s="18">
        <v>1727</v>
      </c>
      <c r="D54" s="16">
        <v>1654</v>
      </c>
      <c r="E54" s="21">
        <v>2254</v>
      </c>
      <c r="F54" s="23">
        <v>376</v>
      </c>
      <c r="G54" s="21">
        <v>521</v>
      </c>
      <c r="H54" s="23">
        <v>1</v>
      </c>
      <c r="I54" s="21">
        <v>1</v>
      </c>
      <c r="J54" s="41">
        <v>35</v>
      </c>
      <c r="K54" s="42">
        <v>120</v>
      </c>
      <c r="L54" s="16">
        <v>6</v>
      </c>
      <c r="M54" s="16">
        <v>6</v>
      </c>
    </row>
    <row r="55" spans="1:16" ht="20.25" customHeight="1">
      <c r="A55" s="51" t="s">
        <v>27</v>
      </c>
      <c r="B55" s="16">
        <v>2371</v>
      </c>
      <c r="C55" s="18">
        <v>2921</v>
      </c>
      <c r="D55" s="16">
        <v>863</v>
      </c>
      <c r="E55" s="21">
        <v>1370</v>
      </c>
      <c r="F55" s="23">
        <v>433</v>
      </c>
      <c r="G55" s="21">
        <v>526</v>
      </c>
      <c r="H55" s="27" t="s">
        <v>0</v>
      </c>
      <c r="I55" s="21">
        <v>2</v>
      </c>
      <c r="J55" s="41">
        <v>7</v>
      </c>
      <c r="K55" s="42">
        <v>27</v>
      </c>
      <c r="L55" s="27" t="s">
        <v>0</v>
      </c>
      <c r="M55" s="16">
        <v>2</v>
      </c>
    </row>
    <row r="56" spans="1:16" ht="20.25" customHeight="1">
      <c r="A56" s="51" t="s">
        <v>28</v>
      </c>
      <c r="B56" s="16">
        <v>1135</v>
      </c>
      <c r="C56" s="18">
        <v>2433</v>
      </c>
      <c r="D56" s="16">
        <v>1707</v>
      </c>
      <c r="E56" s="21">
        <v>3358</v>
      </c>
      <c r="F56" s="23">
        <v>245</v>
      </c>
      <c r="G56" s="21">
        <v>555</v>
      </c>
      <c r="H56" s="27" t="s">
        <v>0</v>
      </c>
      <c r="I56" s="21">
        <v>8</v>
      </c>
      <c r="J56" s="41">
        <v>24</v>
      </c>
      <c r="K56" s="42">
        <v>96</v>
      </c>
      <c r="L56" s="16">
        <v>6</v>
      </c>
      <c r="M56" s="16">
        <v>8</v>
      </c>
    </row>
    <row r="57" spans="1:16" ht="20.25" customHeight="1">
      <c r="A57" s="69" t="s">
        <v>31</v>
      </c>
      <c r="B57" s="16">
        <v>1539</v>
      </c>
      <c r="C57" s="18">
        <v>2355</v>
      </c>
      <c r="D57" s="16">
        <v>1568</v>
      </c>
      <c r="E57" s="21">
        <v>3180</v>
      </c>
      <c r="F57" s="23">
        <v>224</v>
      </c>
      <c r="G57" s="21">
        <v>343</v>
      </c>
      <c r="H57" s="23">
        <v>8</v>
      </c>
      <c r="I57" s="21">
        <v>17</v>
      </c>
      <c r="J57" s="41">
        <v>13</v>
      </c>
      <c r="K57" s="42">
        <v>72</v>
      </c>
      <c r="L57" s="16">
        <v>2</v>
      </c>
      <c r="M57" s="16">
        <v>2</v>
      </c>
    </row>
    <row r="58" spans="1:16" ht="20.25" customHeight="1">
      <c r="A58" s="69" t="s">
        <v>32</v>
      </c>
      <c r="B58" s="16">
        <v>961</v>
      </c>
      <c r="C58" s="18">
        <v>1561</v>
      </c>
      <c r="D58" s="16">
        <v>595</v>
      </c>
      <c r="E58" s="21">
        <v>1055</v>
      </c>
      <c r="F58" s="23">
        <v>233</v>
      </c>
      <c r="G58" s="21">
        <v>287</v>
      </c>
      <c r="H58" s="27" t="s">
        <v>0</v>
      </c>
      <c r="I58" s="26" t="s">
        <v>0</v>
      </c>
      <c r="J58" s="41">
        <v>5</v>
      </c>
      <c r="K58" s="42">
        <v>17</v>
      </c>
      <c r="L58" s="16">
        <v>1</v>
      </c>
      <c r="M58" s="33" t="s">
        <v>0</v>
      </c>
    </row>
    <row r="59" spans="1:16" ht="20.25" customHeight="1">
      <c r="A59" s="52" t="s">
        <v>29</v>
      </c>
      <c r="B59" s="17">
        <v>2290</v>
      </c>
      <c r="C59" s="19">
        <v>4314</v>
      </c>
      <c r="D59" s="17">
        <v>529</v>
      </c>
      <c r="E59" s="22">
        <v>1113</v>
      </c>
      <c r="F59" s="24">
        <v>316</v>
      </c>
      <c r="G59" s="22">
        <v>601</v>
      </c>
      <c r="H59" s="28" t="s">
        <v>0</v>
      </c>
      <c r="I59" s="22">
        <v>1</v>
      </c>
      <c r="J59" s="43">
        <v>8</v>
      </c>
      <c r="K59" s="44">
        <v>65</v>
      </c>
      <c r="L59" s="17">
        <v>1</v>
      </c>
      <c r="M59" s="17">
        <v>1</v>
      </c>
    </row>
    <row r="60" spans="1:16" ht="15.75" customHeight="1">
      <c r="A60" s="49" t="s">
        <v>39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8" t="s">
        <v>34</v>
      </c>
    </row>
    <row r="61" spans="1:16" ht="15.75" customHeight="1">
      <c r="A61" s="1" t="s">
        <v>33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1:16" ht="20.25" customHeight="1">
      <c r="A62" s="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</sheetData>
  <mergeCells count="18">
    <mergeCell ref="J4:K4"/>
    <mergeCell ref="L4:M4"/>
    <mergeCell ref="A1:M1"/>
    <mergeCell ref="A32:M32"/>
    <mergeCell ref="A33:M33"/>
    <mergeCell ref="J35:K35"/>
    <mergeCell ref="L35:M35"/>
    <mergeCell ref="A2:M2"/>
    <mergeCell ref="A4:A5"/>
    <mergeCell ref="B4:C4"/>
    <mergeCell ref="D4:E4"/>
    <mergeCell ref="F4:G4"/>
    <mergeCell ref="H4:I4"/>
    <mergeCell ref="A35:A36"/>
    <mergeCell ref="B35:C35"/>
    <mergeCell ref="D35:E35"/>
    <mergeCell ref="F35:G35"/>
    <mergeCell ref="H35:I35"/>
  </mergeCells>
  <pageMargins left="0.21" right="0.21" top="0.27" bottom="0.32" header="0.54" footer="0.3"/>
  <pageSetup paperSize="9" scale="95" orientation="landscape" r:id="rId1"/>
  <rowBreaks count="1" manualBreakCount="1">
    <brk id="31" max="12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6.18</vt:lpstr>
      <vt:lpstr>'6.18'!Print_Area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2013-08-15T08:28:07Z</dcterms:modified>
</cp:coreProperties>
</file>