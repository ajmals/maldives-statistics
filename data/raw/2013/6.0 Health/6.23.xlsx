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23" sheetId="26" r:id="rId1"/>
  </sheets>
  <definedNames>
    <definedName name="_xlnm.Print_Area" localSheetId="0">'6.23'!$A$1:$Q$68</definedName>
  </definedNames>
  <calcPr calcId="124519"/>
</workbook>
</file>

<file path=xl/calcChain.xml><?xml version="1.0" encoding="utf-8"?>
<calcChain xmlns="http://schemas.openxmlformats.org/spreadsheetml/2006/main">
  <c r="D20" i="26"/>
  <c r="E20"/>
  <c r="F20"/>
  <c r="G20"/>
  <c r="H20"/>
  <c r="I20"/>
  <c r="C20"/>
  <c r="B20"/>
  <c r="B33"/>
  <c r="B32"/>
  <c r="B31"/>
  <c r="B30"/>
  <c r="B29"/>
  <c r="B28"/>
  <c r="B27"/>
  <c r="B26"/>
  <c r="B25"/>
  <c r="B24"/>
  <c r="B23"/>
  <c r="B22"/>
  <c r="B21"/>
  <c r="B19"/>
  <c r="B18"/>
  <c r="B17"/>
  <c r="B16"/>
  <c r="B15"/>
  <c r="I14"/>
  <c r="H14"/>
  <c r="G14"/>
  <c r="F14"/>
  <c r="E14"/>
  <c r="D14"/>
  <c r="C14"/>
  <c r="B14"/>
  <c r="B13"/>
  <c r="B12"/>
  <c r="I11"/>
  <c r="H11"/>
  <c r="G11"/>
  <c r="F11"/>
  <c r="E11"/>
  <c r="D11"/>
  <c r="C11"/>
  <c r="B11"/>
  <c r="B10"/>
  <c r="B9"/>
  <c r="B8"/>
  <c r="I7"/>
  <c r="H7"/>
  <c r="G7"/>
  <c r="F7"/>
  <c r="E7"/>
  <c r="D7"/>
  <c r="C7"/>
  <c r="C6" s="1"/>
  <c r="B7"/>
  <c r="I6"/>
  <c r="H6"/>
  <c r="G6"/>
  <c r="F6"/>
  <c r="E6"/>
  <c r="D6"/>
  <c r="B6" l="1"/>
</calcChain>
</file>

<file path=xl/sharedStrings.xml><?xml version="1.0" encoding="utf-8"?>
<sst xmlns="http://schemas.openxmlformats.org/spreadsheetml/2006/main" count="164" uniqueCount="78">
  <si>
    <t>Total</t>
  </si>
  <si>
    <t>-</t>
  </si>
  <si>
    <t>ޖުމްލަ</t>
  </si>
  <si>
    <t>Type of issue</t>
  </si>
  <si>
    <t>މައްސަލައިގެ ބާވަތް</t>
  </si>
  <si>
    <t>Family</t>
  </si>
  <si>
    <t>އާއިލީ މައްސަލަތައް</t>
  </si>
  <si>
    <t xml:space="preserve">   އާއިލާ ތެރޭގައި މަސްތުވާތަކެތި ބޭނުންކުރުމުން ދިމާވާ މައްސަލަތައް</t>
  </si>
  <si>
    <t xml:space="preserve">   އާއިލާތެރޭގައި/ ބެލެނިވެރިންނާއި މައްސަލަޖެހުން</t>
  </si>
  <si>
    <t xml:space="preserve">   ކައިވެނީގައި ދިމާވާ މައްސަލަތައް</t>
  </si>
  <si>
    <t>Abuse</t>
  </si>
  <si>
    <t>ހާނިކަ</t>
  </si>
  <si>
    <t xml:space="preserve">   Emotional abuse</t>
  </si>
  <si>
    <t xml:space="preserve">   ނަފްސާނީ ހާނިކަ/ އަނިޔާ</t>
  </si>
  <si>
    <t xml:space="preserve">   Sexual abuse</t>
  </si>
  <si>
    <t xml:space="preserve">   ޖިންސީ ހާނިކަ/ އަނިޔާ</t>
  </si>
  <si>
    <t>Psychological</t>
  </si>
  <si>
    <t>ނަފްސާނީގޮތުން ދިމާވާ މައްސަލަތައް</t>
  </si>
  <si>
    <t xml:space="preserve">   Depression</t>
  </si>
  <si>
    <t xml:space="preserve">   މާޔޫސްވުން </t>
  </si>
  <si>
    <t xml:space="preserve">   Stress</t>
  </si>
  <si>
    <t xml:space="preserve">   ފިކުރުބޮޑުވުން</t>
  </si>
  <si>
    <t xml:space="preserve">   Anxiety</t>
  </si>
  <si>
    <t xml:space="preserve">   އެންޒަޔަޓީ (މާބޮޑަށް ފިކުރުބޮޑުވެ ހާސްވުން)</t>
  </si>
  <si>
    <t xml:space="preserve">   Phobia</t>
  </si>
  <si>
    <t xml:space="preserve">   ކަންކަމާއި ބިރުގަތުން</t>
  </si>
  <si>
    <t xml:space="preserve">   Grief and loss</t>
  </si>
  <si>
    <t xml:space="preserve">   ވަކިވިމުން ލިބޭ ހިތާމަ</t>
  </si>
  <si>
    <t>Behavioural</t>
  </si>
  <si>
    <t>އުޅުމަށް އަންނަ ބަދަލުތައް</t>
  </si>
  <si>
    <t xml:space="preserve">   Self harming behaviour</t>
  </si>
  <si>
    <t xml:space="preserve">   އަމިއްލަ ނަފްސަށް އަނިޔާއެއް ދިނުން</t>
  </si>
  <si>
    <t xml:space="preserve">   Anger management</t>
  </si>
  <si>
    <t xml:space="preserve">   ރުޅި ކޮންޓްރޯލްކުރަން ނޭނގުން</t>
  </si>
  <si>
    <t xml:space="preserve">   Crisis Management</t>
  </si>
  <si>
    <t xml:space="preserve">   ބޮޑެތި ކަންކަން ދިމާވުމުން ކުރިމަތިލާން އުދަނގޫވުން</t>
  </si>
  <si>
    <t xml:space="preserve">   Sleeping Disorders</t>
  </si>
  <si>
    <t xml:space="preserve">   ނިދުމުގައި ދިމާވަ މައްސަލަ</t>
  </si>
  <si>
    <t xml:space="preserve">   Low self-esteem</t>
  </si>
  <si>
    <t xml:space="preserve">   އަމިއްލަ ނަފްސު އަގުވަޒަން ކުރާ މިންވަރު</t>
  </si>
  <si>
    <t xml:space="preserve">   Decision Making</t>
  </si>
  <si>
    <t xml:space="preserve">   ކަންތައްތަކާއި ދޭތެރޭ ގޮތެއް ނިންމަން ނޭނގުން</t>
  </si>
  <si>
    <t xml:space="preserve">   Parenting issues</t>
  </si>
  <si>
    <t xml:space="preserve">   ބެލެނިވެރިކަމުގައި ދިމާވާ މައްސަލަތައް</t>
  </si>
  <si>
    <t xml:space="preserve">   Learning Difficulties</t>
  </si>
  <si>
    <t xml:space="preserve">   ކިޔެވުމުގައި ދިމާވާ މައްސަލަތައް/ އުގެނުމުގެ ނުކުޅެދުންތެރިކަން</t>
  </si>
  <si>
    <t xml:space="preserve">   Problems related to sexual dysfunctions</t>
  </si>
  <si>
    <t xml:space="preserve">   ޖިންސީގޮތުން ދިމާވާ މައްސަލަތައް</t>
  </si>
  <si>
    <t xml:space="preserve">   Relationship problems (love)</t>
  </si>
  <si>
    <t xml:space="preserve">   ދޭދޭ ގުޅުމުގައި ދިމާވާ މައްސަލަތައް (ލޯބީގެ ގުޅުމުގައި)</t>
  </si>
  <si>
    <t xml:space="preserve">   Conflict resolution</t>
  </si>
  <si>
    <t xml:space="preserve">   މައްސަލަ ހައްލުކުރުން</t>
  </si>
  <si>
    <t xml:space="preserve">   Recovering addicts</t>
  </si>
  <si>
    <t xml:space="preserve">   މަސްތުވާތަކެތިން ދުރުހެލިވުމަށް އެހީ ހޯދުން</t>
  </si>
  <si>
    <t>މައުލޫމާތު ދެއްވި ފަރާތް: މިނިސްޓްރީ އޮފް ހިއުމަން ރިސޯސަސް، ޔޫތް އެންޑް ސްޕޯޓްސް</t>
  </si>
  <si>
    <t>All Ages</t>
  </si>
  <si>
    <r>
      <t xml:space="preserve">Age group     </t>
    </r>
    <r>
      <rPr>
        <b/>
        <sz val="11"/>
        <color theme="1"/>
        <rFont val="Faruma"/>
      </rPr>
      <t xml:space="preserve">  ޢުމުރުފުރާ</t>
    </r>
  </si>
  <si>
    <t>Less than 15</t>
  </si>
  <si>
    <t xml:space="preserve">    15 - 19</t>
  </si>
  <si>
    <t xml:space="preserve">    20 - 24</t>
  </si>
  <si>
    <t xml:space="preserve">    25 - 29</t>
  </si>
  <si>
    <t xml:space="preserve">    30 - 34</t>
  </si>
  <si>
    <t xml:space="preserve">    35 - 39</t>
  </si>
  <si>
    <t xml:space="preserve">    40+</t>
  </si>
  <si>
    <t xml:space="preserve">    Substance abuse in family</t>
  </si>
  <si>
    <t xml:space="preserve">    Conflict with parents</t>
  </si>
  <si>
    <t xml:space="preserve">    Marital problems</t>
  </si>
  <si>
    <t xml:space="preserve">   Fear</t>
  </si>
  <si>
    <t xml:space="preserve">Note: </t>
  </si>
  <si>
    <t xml:space="preserve">  Others*</t>
  </si>
  <si>
    <t xml:space="preserve">  As one client maybe facing more than one problem, the data provided are according to the number of issues</t>
  </si>
  <si>
    <t xml:space="preserve">   އެހެނިހެން*</t>
  </si>
  <si>
    <t xml:space="preserve">  Source: Ministry of Human Resources, Youth and Sports</t>
  </si>
  <si>
    <t>* Others includes: Time Management,  Substance Misuse(relapse), Homosexuality and   Obsessive compulsive disorder</t>
  </si>
  <si>
    <t>މި ޓޭބަލްގައި އުމުރުފުރާ އަދަދުކުރެވޭ ބައެއް މައްސަލަތަކުގައި އެއް ކްލައިންޓް ތަފާތު ގިނަ މައްސަލަތަކަށް ކައުންސެލިންގ ހޯދަމުން ދޭ އެހެންކަމުން މިބައިގައި  އަދަދު ކުރެވިފައިވަނީ މައްސަލައިގެ މައްޗަށް ބިނާކޮށެވެ.</t>
  </si>
  <si>
    <t>ނޯޓް: * އެހެނިހެންގެ ތެރޭގައި ހިމެނެނީ ހެޔޮގޮތުގައި ވަގުތު ބޭނުންނުކުރެވުން، މަސްތިވާތަކެތި ބޭނުންކުރުން ހުއްޓާލުމަށްފަހު އަލުން އެކަމަށް ދިޔުން، އެއް ޖިންސުން ގުޅުން ހިންގުމުގެ މައްސަލަ އަދި އޮބްސެސިވް ކޮމްޕަލްސިވް ޑިސްއޯޑަރ އެވެ.</t>
  </si>
  <si>
    <t>ތާވަލް 6.23: ކައުންސިލިންގގެ ޚިދުމަތް ދެވިފައިވާ އަދަދު އުމުރު އަދި މައްސަލަތަކުގެ ބާވަތް، 2012</t>
  </si>
  <si>
    <t>Table 6.23 NUMBER OF COUNSELLING SERVICE BY AGE AND TYPE OF ISSUE, 2012</t>
  </si>
</sst>
</file>

<file path=xl/styles.xml><?xml version="1.0" encoding="utf-8"?>
<styleSheet xmlns="http://schemas.openxmlformats.org/spreadsheetml/2006/main">
  <numFmts count="1">
    <numFmt numFmtId="164" formatCode="General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1"/>
      <color theme="1"/>
      <name val="Faruma"/>
    </font>
    <font>
      <sz val="9"/>
      <color theme="1"/>
      <name val="Calibri"/>
      <family val="2"/>
      <scheme val="minor"/>
    </font>
    <font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7">
    <xf numFmtId="0" fontId="0" fillId="0" borderId="0"/>
    <xf numFmtId="0" fontId="1" fillId="0" borderId="0"/>
    <xf numFmtId="164" fontId="6" fillId="0" borderId="0"/>
    <xf numFmtId="164" fontId="6" fillId="0" borderId="0"/>
    <xf numFmtId="0" fontId="1" fillId="0" borderId="0"/>
    <xf numFmtId="164" fontId="6" fillId="0" borderId="0"/>
    <xf numFmtId="0" fontId="6" fillId="0" borderId="0"/>
  </cellStyleXfs>
  <cellXfs count="53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2" borderId="0" xfId="0" applyFont="1" applyFill="1"/>
    <xf numFmtId="0" fontId="0" fillId="2" borderId="0" xfId="0" applyFill="1" applyBorder="1"/>
    <xf numFmtId="0" fontId="0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164" fontId="3" fillId="2" borderId="1" xfId="6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4" fillId="2" borderId="0" xfId="6" applyNumberFormat="1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Border="1"/>
    <xf numFmtId="164" fontId="0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 wrapText="1"/>
    </xf>
    <xf numFmtId="0" fontId="15" fillId="2" borderId="0" xfId="0" applyFont="1" applyFill="1" applyBorder="1" applyAlignment="1">
      <alignment vertical="center"/>
    </xf>
    <xf numFmtId="164" fontId="5" fillId="2" borderId="0" xfId="6" applyNumberFormat="1" applyFont="1" applyFill="1" applyBorder="1" applyAlignment="1">
      <alignment horizontal="right" vertical="center" wrapText="1"/>
    </xf>
    <xf numFmtId="0" fontId="13" fillId="2" borderId="0" xfId="0" applyFont="1" applyFill="1" applyBorder="1"/>
    <xf numFmtId="0" fontId="0" fillId="2" borderId="0" xfId="0" applyFont="1" applyFill="1" applyBorder="1" applyAlignment="1">
      <alignment horizontal="right" vertical="center"/>
    </xf>
    <xf numFmtId="164" fontId="0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left"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15" fillId="2" borderId="1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 wrapText="1"/>
    </xf>
    <xf numFmtId="0" fontId="12" fillId="2" borderId="0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7">
    <cellStyle name="Normal" xfId="0" builtinId="0"/>
    <cellStyle name="Normal 16" xfId="3"/>
    <cellStyle name="Normal 17" xfId="4"/>
    <cellStyle name="Normal 2" xfId="1"/>
    <cellStyle name="Normal 3" xfId="5"/>
    <cellStyle name="Normal 9" xfId="2"/>
    <cellStyle name="Normal_3 Population.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6.6:  Number of counselling service by age and type of issue, 2012 </a:t>
            </a:r>
          </a:p>
        </c:rich>
      </c:tx>
    </c:title>
    <c:plotArea>
      <c:layout>
        <c:manualLayout>
          <c:layoutTarget val="inner"/>
          <c:xMode val="edge"/>
          <c:yMode val="edge"/>
          <c:x val="7.8079303947674164E-2"/>
          <c:y val="0.14405393054012652"/>
          <c:w val="0.89361239767983625"/>
          <c:h val="0.70403969743435835"/>
        </c:manualLayout>
      </c:layout>
      <c:barChart>
        <c:barDir val="col"/>
        <c:grouping val="clustered"/>
        <c:ser>
          <c:idx val="3"/>
          <c:order val="3"/>
          <c:tx>
            <c:strRef>
              <c:f>'6.23'!$B$49</c:f>
              <c:strCache>
                <c:ptCount val="1"/>
                <c:pt idx="0">
                  <c:v>Behavioural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cat>
            <c:strRef>
              <c:f>'6.23'!$C$45:$I$45</c:f>
              <c:strCache>
                <c:ptCount val="7"/>
                <c:pt idx="0">
                  <c:v>Less than 15</c:v>
                </c:pt>
                <c:pt idx="1">
                  <c:v>    15 - 19</c:v>
                </c:pt>
                <c:pt idx="2">
                  <c:v>    20 - 24</c:v>
                </c:pt>
                <c:pt idx="3">
                  <c:v>    25 - 29</c:v>
                </c:pt>
                <c:pt idx="4">
                  <c:v>    30 - 34</c:v>
                </c:pt>
                <c:pt idx="5">
                  <c:v>    35 - 39</c:v>
                </c:pt>
                <c:pt idx="6">
                  <c:v>    40+</c:v>
                </c:pt>
              </c:strCache>
            </c:strRef>
          </c:cat>
          <c:val>
            <c:numRef>
              <c:f>'6.23'!$C$49:$I$49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44</c:v>
                </c:pt>
                <c:pt idx="3">
                  <c:v>40</c:v>
                </c:pt>
                <c:pt idx="4">
                  <c:v>17</c:v>
                </c:pt>
                <c:pt idx="5">
                  <c:v>11</c:v>
                </c:pt>
                <c:pt idx="6">
                  <c:v>7</c:v>
                </c:pt>
              </c:numCache>
            </c:numRef>
          </c:val>
        </c:ser>
        <c:ser>
          <c:idx val="0"/>
          <c:order val="0"/>
          <c:tx>
            <c:strRef>
              <c:f>'6.23'!$B$46</c:f>
              <c:strCache>
                <c:ptCount val="1"/>
                <c:pt idx="0">
                  <c:v>Family</c:v>
                </c:pt>
              </c:strCache>
            </c:strRef>
          </c:tx>
          <c:cat>
            <c:strRef>
              <c:f>'6.23'!$C$45:$I$45</c:f>
              <c:strCache>
                <c:ptCount val="7"/>
                <c:pt idx="0">
                  <c:v>Less than 15</c:v>
                </c:pt>
                <c:pt idx="1">
                  <c:v>    15 - 19</c:v>
                </c:pt>
                <c:pt idx="2">
                  <c:v>    20 - 24</c:v>
                </c:pt>
                <c:pt idx="3">
                  <c:v>    25 - 29</c:v>
                </c:pt>
                <c:pt idx="4">
                  <c:v>    30 - 34</c:v>
                </c:pt>
                <c:pt idx="5">
                  <c:v>    35 - 39</c:v>
                </c:pt>
                <c:pt idx="6">
                  <c:v>    40+</c:v>
                </c:pt>
              </c:strCache>
            </c:strRef>
          </c:cat>
          <c:val>
            <c:numRef>
              <c:f>'6.23'!$C$46:$I$46</c:f>
              <c:numCache>
                <c:formatCode>General</c:formatCode>
                <c:ptCount val="7"/>
                <c:pt idx="0">
                  <c:v>3</c:v>
                </c:pt>
                <c:pt idx="1">
                  <c:v>9</c:v>
                </c:pt>
                <c:pt idx="2">
                  <c:v>16</c:v>
                </c:pt>
                <c:pt idx="3">
                  <c:v>20</c:v>
                </c:pt>
                <c:pt idx="4">
                  <c:v>9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strRef>
              <c:f>'6.23'!$B$47</c:f>
              <c:strCache>
                <c:ptCount val="1"/>
                <c:pt idx="0">
                  <c:v>Abuse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cat>
            <c:strRef>
              <c:f>'6.23'!$C$45:$I$45</c:f>
              <c:strCache>
                <c:ptCount val="7"/>
                <c:pt idx="0">
                  <c:v>Less than 15</c:v>
                </c:pt>
                <c:pt idx="1">
                  <c:v>    15 - 19</c:v>
                </c:pt>
                <c:pt idx="2">
                  <c:v>    20 - 24</c:v>
                </c:pt>
                <c:pt idx="3">
                  <c:v>    25 - 29</c:v>
                </c:pt>
                <c:pt idx="4">
                  <c:v>    30 - 34</c:v>
                </c:pt>
                <c:pt idx="5">
                  <c:v>    35 - 39</c:v>
                </c:pt>
                <c:pt idx="6">
                  <c:v>    40+</c:v>
                </c:pt>
              </c:strCache>
            </c:strRef>
          </c:cat>
          <c:val>
            <c:numRef>
              <c:f>'6.23'!$C$47:$I$47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'6.23'!$B$48</c:f>
              <c:strCache>
                <c:ptCount val="1"/>
                <c:pt idx="0">
                  <c:v>Psychological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cat>
            <c:strRef>
              <c:f>'6.23'!$C$45:$I$45</c:f>
              <c:strCache>
                <c:ptCount val="7"/>
                <c:pt idx="0">
                  <c:v>Less than 15</c:v>
                </c:pt>
                <c:pt idx="1">
                  <c:v>    15 - 19</c:v>
                </c:pt>
                <c:pt idx="2">
                  <c:v>    20 - 24</c:v>
                </c:pt>
                <c:pt idx="3">
                  <c:v>    25 - 29</c:v>
                </c:pt>
                <c:pt idx="4">
                  <c:v>    30 - 34</c:v>
                </c:pt>
                <c:pt idx="5">
                  <c:v>    35 - 39</c:v>
                </c:pt>
                <c:pt idx="6">
                  <c:v>    40+</c:v>
                </c:pt>
              </c:strCache>
            </c:strRef>
          </c:cat>
          <c:val>
            <c:numRef>
              <c:f>'6.23'!$C$48:$I$48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</c:ser>
        <c:axId val="89667072"/>
        <c:axId val="89668992"/>
      </c:barChart>
      <c:catAx>
        <c:axId val="89667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44888125274202761"/>
              <c:y val="0.92084453979261371"/>
            </c:manualLayout>
          </c:layout>
        </c:title>
        <c:majorTickMark val="none"/>
        <c:tickLblPos val="nextTo"/>
        <c:crossAx val="89668992"/>
        <c:crosses val="autoZero"/>
        <c:auto val="1"/>
        <c:lblAlgn val="ctr"/>
        <c:lblOffset val="100"/>
      </c:catAx>
      <c:valAx>
        <c:axId val="89668992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</c:title>
        <c:numFmt formatCode="General" sourceLinked="1"/>
        <c:tickLblPos val="nextTo"/>
        <c:crossAx val="896670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292146493805618"/>
          <c:y val="0.16920826845824838"/>
          <c:w val="0.74707687238793641"/>
          <c:h val="6.3660802730237234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2066925</xdr:colOff>
      <xdr:row>41</xdr:row>
      <xdr:rowOff>57150</xdr:rowOff>
    </xdr:from>
    <xdr:to>
      <xdr:col>9</xdr:col>
      <xdr:colOff>2444750</xdr:colOff>
      <xdr:row>58</xdr:row>
      <xdr:rowOff>153629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zoomScale="93" zoomScaleNormal="93" workbookViewId="0">
      <selection activeCell="B13" sqref="B13"/>
    </sheetView>
  </sheetViews>
  <sheetFormatPr defaultRowHeight="15"/>
  <cols>
    <col min="1" max="1" width="37.5703125" style="5" customWidth="1"/>
    <col min="2" max="2" width="7.5703125" style="5" customWidth="1"/>
    <col min="3" max="3" width="11.28515625" style="8" customWidth="1"/>
    <col min="4" max="8" width="9.28515625" style="8" customWidth="1"/>
    <col min="9" max="9" width="8.140625" style="8" customWidth="1"/>
    <col min="10" max="10" width="52.140625" style="9" customWidth="1"/>
    <col min="11" max="11" width="3.85546875" style="2" customWidth="1"/>
    <col min="12" max="16384" width="9.140625" style="2"/>
  </cols>
  <sheetData>
    <row r="1" spans="1:11" s="3" customFormat="1" ht="18.75" customHeight="1">
      <c r="A1" s="49" t="s">
        <v>76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ht="18" customHeight="1">
      <c r="A2" s="48" t="s">
        <v>77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ht="4.5" customHeight="1"/>
    <row r="4" spans="1:11" ht="18.75" customHeight="1">
      <c r="A4" s="43" t="s">
        <v>3</v>
      </c>
      <c r="B4" s="50" t="s">
        <v>55</v>
      </c>
      <c r="C4" s="52" t="s">
        <v>56</v>
      </c>
      <c r="D4" s="52"/>
      <c r="E4" s="52"/>
      <c r="F4" s="52"/>
      <c r="G4" s="52"/>
      <c r="H4" s="52"/>
      <c r="I4" s="52"/>
      <c r="J4" s="45" t="s">
        <v>4</v>
      </c>
    </row>
    <row r="5" spans="1:11" ht="24" customHeight="1">
      <c r="A5" s="44"/>
      <c r="B5" s="51"/>
      <c r="C5" s="10" t="s">
        <v>57</v>
      </c>
      <c r="D5" s="10" t="s">
        <v>58</v>
      </c>
      <c r="E5" s="10" t="s">
        <v>59</v>
      </c>
      <c r="F5" s="10" t="s">
        <v>60</v>
      </c>
      <c r="G5" s="10" t="s">
        <v>61</v>
      </c>
      <c r="H5" s="10" t="s">
        <v>62</v>
      </c>
      <c r="I5" s="10" t="s">
        <v>63</v>
      </c>
      <c r="J5" s="46"/>
    </row>
    <row r="6" spans="1:11" ht="18" customHeight="1">
      <c r="A6" s="11" t="s">
        <v>0</v>
      </c>
      <c r="B6" s="12">
        <f>SUM(C6:I6)</f>
        <v>278</v>
      </c>
      <c r="C6" s="13">
        <f>C7+C11+C14+C20</f>
        <v>15</v>
      </c>
      <c r="D6" s="13">
        <f t="shared" ref="D6:I6" si="0">D7+D11+D14+D20</f>
        <v>38</v>
      </c>
      <c r="E6" s="13">
        <f t="shared" si="0"/>
        <v>76</v>
      </c>
      <c r="F6" s="13">
        <f t="shared" si="0"/>
        <v>75</v>
      </c>
      <c r="G6" s="13">
        <f t="shared" si="0"/>
        <v>35</v>
      </c>
      <c r="H6" s="13">
        <f t="shared" si="0"/>
        <v>25</v>
      </c>
      <c r="I6" s="13">
        <f t="shared" si="0"/>
        <v>14</v>
      </c>
      <c r="J6" s="14" t="s">
        <v>2</v>
      </c>
      <c r="K6" s="1"/>
    </row>
    <row r="7" spans="1:11" ht="18" customHeight="1">
      <c r="A7" s="11" t="s">
        <v>5</v>
      </c>
      <c r="B7" s="15">
        <f t="shared" ref="B7:B33" si="1">SUM(C7:I7)</f>
        <v>69</v>
      </c>
      <c r="C7" s="16">
        <f t="shared" ref="C7:I7" si="2">SUM(C8:C10)</f>
        <v>3</v>
      </c>
      <c r="D7" s="16">
        <f t="shared" si="2"/>
        <v>9</v>
      </c>
      <c r="E7" s="16">
        <f t="shared" si="2"/>
        <v>16</v>
      </c>
      <c r="F7" s="16">
        <f t="shared" si="2"/>
        <v>20</v>
      </c>
      <c r="G7" s="16">
        <f t="shared" si="2"/>
        <v>9</v>
      </c>
      <c r="H7" s="16">
        <f t="shared" si="2"/>
        <v>8</v>
      </c>
      <c r="I7" s="16">
        <f t="shared" si="2"/>
        <v>4</v>
      </c>
      <c r="J7" s="17" t="s">
        <v>6</v>
      </c>
      <c r="K7" s="18"/>
    </row>
    <row r="8" spans="1:11" ht="18" customHeight="1">
      <c r="A8" s="7" t="s">
        <v>64</v>
      </c>
      <c r="B8" s="19">
        <f t="shared" si="1"/>
        <v>2</v>
      </c>
      <c r="C8" s="20" t="s">
        <v>1</v>
      </c>
      <c r="D8" s="20">
        <v>1</v>
      </c>
      <c r="E8" s="20" t="s">
        <v>1</v>
      </c>
      <c r="F8" s="20">
        <v>1</v>
      </c>
      <c r="G8" s="20" t="s">
        <v>1</v>
      </c>
      <c r="H8" s="20" t="s">
        <v>1</v>
      </c>
      <c r="I8" s="20" t="s">
        <v>1</v>
      </c>
      <c r="J8" s="21" t="s">
        <v>7</v>
      </c>
      <c r="K8" s="18"/>
    </row>
    <row r="9" spans="1:11" ht="18" customHeight="1">
      <c r="A9" s="7" t="s">
        <v>65</v>
      </c>
      <c r="B9" s="19">
        <f t="shared" si="1"/>
        <v>24</v>
      </c>
      <c r="C9" s="20">
        <v>3</v>
      </c>
      <c r="D9" s="20">
        <v>7</v>
      </c>
      <c r="E9" s="20">
        <v>7</v>
      </c>
      <c r="F9" s="20">
        <v>4</v>
      </c>
      <c r="G9" s="20">
        <v>1</v>
      </c>
      <c r="H9" s="20">
        <v>2</v>
      </c>
      <c r="I9" s="22" t="s">
        <v>1</v>
      </c>
      <c r="J9" s="21" t="s">
        <v>8</v>
      </c>
      <c r="K9" s="18"/>
    </row>
    <row r="10" spans="1:11" ht="18" customHeight="1">
      <c r="A10" s="7" t="s">
        <v>66</v>
      </c>
      <c r="B10" s="19">
        <f t="shared" si="1"/>
        <v>43</v>
      </c>
      <c r="C10" s="20" t="s">
        <v>1</v>
      </c>
      <c r="D10" s="20">
        <v>1</v>
      </c>
      <c r="E10" s="20">
        <v>9</v>
      </c>
      <c r="F10" s="20">
        <v>15</v>
      </c>
      <c r="G10" s="20">
        <v>8</v>
      </c>
      <c r="H10" s="20">
        <v>6</v>
      </c>
      <c r="I10" s="22">
        <v>4</v>
      </c>
      <c r="J10" s="21" t="s">
        <v>9</v>
      </c>
      <c r="K10" s="23"/>
    </row>
    <row r="11" spans="1:11" ht="18" customHeight="1">
      <c r="A11" s="11" t="s">
        <v>10</v>
      </c>
      <c r="B11" s="15">
        <f t="shared" si="1"/>
        <v>7</v>
      </c>
      <c r="C11" s="16">
        <f t="shared" ref="C11:I11" si="3">SUM(C12:C13)</f>
        <v>1</v>
      </c>
      <c r="D11" s="16">
        <f t="shared" si="3"/>
        <v>1</v>
      </c>
      <c r="E11" s="16">
        <f t="shared" si="3"/>
        <v>5</v>
      </c>
      <c r="F11" s="16">
        <f t="shared" si="3"/>
        <v>0</v>
      </c>
      <c r="G11" s="16">
        <f t="shared" si="3"/>
        <v>0</v>
      </c>
      <c r="H11" s="16">
        <f t="shared" si="3"/>
        <v>0</v>
      </c>
      <c r="I11" s="16">
        <f t="shared" si="3"/>
        <v>0</v>
      </c>
      <c r="J11" s="17" t="s">
        <v>11</v>
      </c>
      <c r="K11" s="18"/>
    </row>
    <row r="12" spans="1:11" ht="18" customHeight="1">
      <c r="A12" s="7" t="s">
        <v>12</v>
      </c>
      <c r="B12" s="15">
        <f t="shared" si="1"/>
        <v>2</v>
      </c>
      <c r="C12" s="20">
        <v>1</v>
      </c>
      <c r="D12" s="20" t="s">
        <v>1</v>
      </c>
      <c r="E12" s="20">
        <v>1</v>
      </c>
      <c r="F12" s="20" t="s">
        <v>1</v>
      </c>
      <c r="G12" s="20" t="s">
        <v>1</v>
      </c>
      <c r="H12" s="20" t="s">
        <v>1</v>
      </c>
      <c r="I12" s="20" t="s">
        <v>1</v>
      </c>
      <c r="J12" s="21" t="s">
        <v>13</v>
      </c>
      <c r="K12" s="18"/>
    </row>
    <row r="13" spans="1:11" ht="18" customHeight="1">
      <c r="A13" s="7" t="s">
        <v>14</v>
      </c>
      <c r="B13" s="15">
        <f t="shared" si="1"/>
        <v>5</v>
      </c>
      <c r="C13" s="20" t="s">
        <v>1</v>
      </c>
      <c r="D13" s="20">
        <v>1</v>
      </c>
      <c r="E13" s="20">
        <v>4</v>
      </c>
      <c r="F13" s="20" t="s">
        <v>1</v>
      </c>
      <c r="G13" s="20" t="s">
        <v>1</v>
      </c>
      <c r="H13" s="20" t="s">
        <v>1</v>
      </c>
      <c r="I13" s="20" t="s">
        <v>1</v>
      </c>
      <c r="J13" s="21" t="s">
        <v>15</v>
      </c>
      <c r="K13" s="23"/>
    </row>
    <row r="14" spans="1:11" ht="18" customHeight="1">
      <c r="A14" s="11" t="s">
        <v>16</v>
      </c>
      <c r="B14" s="15">
        <f t="shared" si="1"/>
        <v>53</v>
      </c>
      <c r="C14" s="16">
        <f t="shared" ref="C14:I14" si="4">SUM(C15:C19)</f>
        <v>1</v>
      </c>
      <c r="D14" s="16">
        <f t="shared" si="4"/>
        <v>8</v>
      </c>
      <c r="E14" s="16">
        <f t="shared" si="4"/>
        <v>11</v>
      </c>
      <c r="F14" s="16">
        <f t="shared" si="4"/>
        <v>15</v>
      </c>
      <c r="G14" s="16">
        <f t="shared" si="4"/>
        <v>9</v>
      </c>
      <c r="H14" s="16">
        <f t="shared" si="4"/>
        <v>6</v>
      </c>
      <c r="I14" s="16">
        <f t="shared" si="4"/>
        <v>3</v>
      </c>
      <c r="J14" s="17" t="s">
        <v>17</v>
      </c>
      <c r="K14" s="18"/>
    </row>
    <row r="15" spans="1:11" ht="18" customHeight="1">
      <c r="A15" s="7" t="s">
        <v>18</v>
      </c>
      <c r="B15" s="19">
        <f t="shared" si="1"/>
        <v>8</v>
      </c>
      <c r="C15" s="20">
        <v>1</v>
      </c>
      <c r="D15" s="20" t="s">
        <v>1</v>
      </c>
      <c r="E15" s="20">
        <v>2</v>
      </c>
      <c r="F15" s="20">
        <v>3</v>
      </c>
      <c r="G15" s="20">
        <v>1</v>
      </c>
      <c r="H15" s="20">
        <v>1</v>
      </c>
      <c r="I15" s="22" t="s">
        <v>1</v>
      </c>
      <c r="J15" s="21" t="s">
        <v>19</v>
      </c>
      <c r="K15" s="18"/>
    </row>
    <row r="16" spans="1:11" ht="18" customHeight="1">
      <c r="A16" s="7" t="s">
        <v>20</v>
      </c>
      <c r="B16" s="19">
        <f t="shared" si="1"/>
        <v>20</v>
      </c>
      <c r="C16" s="20" t="s">
        <v>1</v>
      </c>
      <c r="D16" s="20">
        <v>1</v>
      </c>
      <c r="E16" s="20">
        <v>5</v>
      </c>
      <c r="F16" s="20">
        <v>6</v>
      </c>
      <c r="G16" s="20">
        <v>3</v>
      </c>
      <c r="H16" s="20">
        <v>3</v>
      </c>
      <c r="I16" s="22">
        <v>2</v>
      </c>
      <c r="J16" s="21" t="s">
        <v>21</v>
      </c>
      <c r="K16" s="18"/>
    </row>
    <row r="17" spans="1:11" ht="18" customHeight="1">
      <c r="A17" s="7" t="s">
        <v>22</v>
      </c>
      <c r="B17" s="19">
        <f t="shared" si="1"/>
        <v>10</v>
      </c>
      <c r="C17" s="20" t="s">
        <v>1</v>
      </c>
      <c r="D17" s="20">
        <v>5</v>
      </c>
      <c r="E17" s="20">
        <v>1</v>
      </c>
      <c r="F17" s="20">
        <v>1</v>
      </c>
      <c r="G17" s="20">
        <v>1</v>
      </c>
      <c r="H17" s="20">
        <v>1</v>
      </c>
      <c r="I17" s="22">
        <v>1</v>
      </c>
      <c r="J17" s="21" t="s">
        <v>23</v>
      </c>
      <c r="K17" s="18"/>
    </row>
    <row r="18" spans="1:11" ht="18" customHeight="1">
      <c r="A18" s="7" t="s">
        <v>24</v>
      </c>
      <c r="B18" s="19">
        <f t="shared" si="1"/>
        <v>3</v>
      </c>
      <c r="C18" s="20" t="s">
        <v>1</v>
      </c>
      <c r="D18" s="20">
        <v>2</v>
      </c>
      <c r="E18" s="20" t="s">
        <v>1</v>
      </c>
      <c r="F18" s="20" t="s">
        <v>1</v>
      </c>
      <c r="G18" s="20" t="s">
        <v>1</v>
      </c>
      <c r="H18" s="20">
        <v>1</v>
      </c>
      <c r="I18" s="22" t="s">
        <v>1</v>
      </c>
      <c r="J18" s="21" t="s">
        <v>25</v>
      </c>
      <c r="K18" s="18"/>
    </row>
    <row r="19" spans="1:11" ht="18" customHeight="1">
      <c r="A19" s="7" t="s">
        <v>26</v>
      </c>
      <c r="B19" s="19">
        <f t="shared" si="1"/>
        <v>12</v>
      </c>
      <c r="C19" s="20" t="s">
        <v>1</v>
      </c>
      <c r="D19" s="20" t="s">
        <v>1</v>
      </c>
      <c r="E19" s="20">
        <v>3</v>
      </c>
      <c r="F19" s="20">
        <v>5</v>
      </c>
      <c r="G19" s="20">
        <v>4</v>
      </c>
      <c r="H19" s="20" t="s">
        <v>1</v>
      </c>
      <c r="I19" s="22" t="s">
        <v>1</v>
      </c>
      <c r="J19" s="21" t="s">
        <v>27</v>
      </c>
      <c r="K19" s="23"/>
    </row>
    <row r="20" spans="1:11" ht="18" customHeight="1">
      <c r="A20" s="11" t="s">
        <v>28</v>
      </c>
      <c r="B20" s="15">
        <f>SUM(C20:I20)</f>
        <v>149</v>
      </c>
      <c r="C20" s="16">
        <f>SUM(C21:C34)</f>
        <v>10</v>
      </c>
      <c r="D20" s="16">
        <f t="shared" ref="D20:I20" si="5">SUM(D21:D34)</f>
        <v>20</v>
      </c>
      <c r="E20" s="16">
        <f t="shared" si="5"/>
        <v>44</v>
      </c>
      <c r="F20" s="16">
        <f t="shared" si="5"/>
        <v>40</v>
      </c>
      <c r="G20" s="16">
        <f t="shared" si="5"/>
        <v>17</v>
      </c>
      <c r="H20" s="16">
        <f t="shared" si="5"/>
        <v>11</v>
      </c>
      <c r="I20" s="16">
        <f t="shared" si="5"/>
        <v>7</v>
      </c>
      <c r="J20" s="17" t="s">
        <v>29</v>
      </c>
      <c r="K20" s="18"/>
    </row>
    <row r="21" spans="1:11" ht="18" customHeight="1">
      <c r="A21" s="7" t="s">
        <v>30</v>
      </c>
      <c r="B21" s="19">
        <f t="shared" si="1"/>
        <v>2</v>
      </c>
      <c r="C21" s="20" t="s">
        <v>1</v>
      </c>
      <c r="D21" s="20" t="s">
        <v>1</v>
      </c>
      <c r="E21" s="20">
        <v>1</v>
      </c>
      <c r="F21" s="20">
        <v>1</v>
      </c>
      <c r="G21" s="20" t="s">
        <v>1</v>
      </c>
      <c r="H21" s="20" t="s">
        <v>1</v>
      </c>
      <c r="I21" s="22" t="s">
        <v>1</v>
      </c>
      <c r="J21" s="21" t="s">
        <v>31</v>
      </c>
      <c r="K21" s="18"/>
    </row>
    <row r="22" spans="1:11" ht="18" customHeight="1">
      <c r="A22" s="7" t="s">
        <v>32</v>
      </c>
      <c r="B22" s="19">
        <f t="shared" si="1"/>
        <v>16</v>
      </c>
      <c r="C22" s="20">
        <v>4</v>
      </c>
      <c r="D22" s="20">
        <v>2</v>
      </c>
      <c r="E22" s="20">
        <v>3</v>
      </c>
      <c r="F22" s="20">
        <v>2</v>
      </c>
      <c r="G22" s="20">
        <v>2</v>
      </c>
      <c r="H22" s="20">
        <v>2</v>
      </c>
      <c r="I22" s="20">
        <v>1</v>
      </c>
      <c r="J22" s="21" t="s">
        <v>33</v>
      </c>
      <c r="K22" s="18"/>
    </row>
    <row r="23" spans="1:11" ht="18" customHeight="1">
      <c r="A23" s="7" t="s">
        <v>34</v>
      </c>
      <c r="B23" s="19">
        <f t="shared" si="1"/>
        <v>2</v>
      </c>
      <c r="C23" s="20" t="s">
        <v>1</v>
      </c>
      <c r="D23" s="20" t="s">
        <v>1</v>
      </c>
      <c r="E23" s="20">
        <v>1</v>
      </c>
      <c r="F23" s="20">
        <v>1</v>
      </c>
      <c r="G23" s="20" t="s">
        <v>1</v>
      </c>
      <c r="H23" s="20" t="s">
        <v>1</v>
      </c>
      <c r="I23" s="20" t="s">
        <v>1</v>
      </c>
      <c r="J23" s="21" t="s">
        <v>35</v>
      </c>
      <c r="K23" s="18"/>
    </row>
    <row r="24" spans="1:11" ht="18" customHeight="1">
      <c r="A24" s="7" t="s">
        <v>36</v>
      </c>
      <c r="B24" s="19">
        <f t="shared" si="1"/>
        <v>4</v>
      </c>
      <c r="C24" s="20" t="s">
        <v>1</v>
      </c>
      <c r="D24" s="20" t="s">
        <v>1</v>
      </c>
      <c r="E24" s="20">
        <v>3</v>
      </c>
      <c r="F24" s="20">
        <v>1</v>
      </c>
      <c r="G24" s="20" t="s">
        <v>1</v>
      </c>
      <c r="H24" s="20" t="s">
        <v>1</v>
      </c>
      <c r="I24" s="20" t="s">
        <v>1</v>
      </c>
      <c r="J24" s="21" t="s">
        <v>37</v>
      </c>
      <c r="K24" s="18"/>
    </row>
    <row r="25" spans="1:11" ht="18" customHeight="1">
      <c r="A25" s="7" t="s">
        <v>38</v>
      </c>
      <c r="B25" s="19">
        <f t="shared" si="1"/>
        <v>22</v>
      </c>
      <c r="C25" s="20" t="s">
        <v>1</v>
      </c>
      <c r="D25" s="20">
        <v>6</v>
      </c>
      <c r="E25" s="20">
        <v>7</v>
      </c>
      <c r="F25" s="20">
        <v>6</v>
      </c>
      <c r="G25" s="20">
        <v>1</v>
      </c>
      <c r="H25" s="20">
        <v>2</v>
      </c>
      <c r="I25" s="20" t="s">
        <v>1</v>
      </c>
      <c r="J25" s="21" t="s">
        <v>39</v>
      </c>
      <c r="K25" s="18"/>
    </row>
    <row r="26" spans="1:11" ht="18" customHeight="1">
      <c r="A26" s="7" t="s">
        <v>40</v>
      </c>
      <c r="B26" s="19">
        <f t="shared" si="1"/>
        <v>23</v>
      </c>
      <c r="C26" s="20" t="s">
        <v>1</v>
      </c>
      <c r="D26" s="20">
        <v>2</v>
      </c>
      <c r="E26" s="20">
        <v>7</v>
      </c>
      <c r="F26" s="20">
        <v>10</v>
      </c>
      <c r="G26" s="20">
        <v>2</v>
      </c>
      <c r="H26" s="20">
        <v>1</v>
      </c>
      <c r="I26" s="20">
        <v>1</v>
      </c>
      <c r="J26" s="21" t="s">
        <v>41</v>
      </c>
      <c r="K26" s="18"/>
    </row>
    <row r="27" spans="1:11" ht="18" customHeight="1">
      <c r="A27" s="7" t="s">
        <v>42</v>
      </c>
      <c r="B27" s="19">
        <f t="shared" si="1"/>
        <v>9</v>
      </c>
      <c r="C27" s="20" t="s">
        <v>1</v>
      </c>
      <c r="D27" s="20" t="s">
        <v>1</v>
      </c>
      <c r="E27" s="20" t="s">
        <v>1</v>
      </c>
      <c r="F27" s="24">
        <v>1</v>
      </c>
      <c r="G27" s="24">
        <v>3</v>
      </c>
      <c r="H27" s="24">
        <v>2</v>
      </c>
      <c r="I27" s="24">
        <v>3</v>
      </c>
      <c r="J27" s="21" t="s">
        <v>43</v>
      </c>
      <c r="K27" s="18"/>
    </row>
    <row r="28" spans="1:11" ht="18" customHeight="1">
      <c r="A28" s="7" t="s">
        <v>44</v>
      </c>
      <c r="B28" s="19">
        <f t="shared" si="1"/>
        <v>4</v>
      </c>
      <c r="C28" s="20">
        <v>3</v>
      </c>
      <c r="D28" s="20" t="s">
        <v>1</v>
      </c>
      <c r="E28" s="20" t="s">
        <v>1</v>
      </c>
      <c r="F28" s="20" t="s">
        <v>1</v>
      </c>
      <c r="G28" s="20">
        <v>1</v>
      </c>
      <c r="H28" s="20" t="s">
        <v>1</v>
      </c>
      <c r="I28" s="20" t="s">
        <v>1</v>
      </c>
      <c r="J28" s="21" t="s">
        <v>45</v>
      </c>
      <c r="K28" s="18"/>
    </row>
    <row r="29" spans="1:11" ht="18" customHeight="1">
      <c r="A29" s="7" t="s">
        <v>46</v>
      </c>
      <c r="B29" s="19">
        <f t="shared" si="1"/>
        <v>3</v>
      </c>
      <c r="C29" s="20" t="s">
        <v>1</v>
      </c>
      <c r="D29" s="20">
        <v>1</v>
      </c>
      <c r="E29" s="20">
        <v>1</v>
      </c>
      <c r="F29" s="20">
        <v>1</v>
      </c>
      <c r="G29" s="20" t="s">
        <v>1</v>
      </c>
      <c r="H29" s="20" t="s">
        <v>1</v>
      </c>
      <c r="I29" s="20" t="s">
        <v>1</v>
      </c>
      <c r="J29" s="21" t="s">
        <v>47</v>
      </c>
      <c r="K29" s="18"/>
    </row>
    <row r="30" spans="1:11" ht="18" customHeight="1">
      <c r="A30" s="7" t="s">
        <v>48</v>
      </c>
      <c r="B30" s="19">
        <f t="shared" si="1"/>
        <v>32</v>
      </c>
      <c r="C30" s="20" t="s">
        <v>1</v>
      </c>
      <c r="D30" s="20">
        <v>4</v>
      </c>
      <c r="E30" s="20">
        <v>13</v>
      </c>
      <c r="F30" s="20">
        <v>13</v>
      </c>
      <c r="G30" s="20">
        <v>2</v>
      </c>
      <c r="H30" s="20" t="s">
        <v>1</v>
      </c>
      <c r="I30" s="20" t="s">
        <v>1</v>
      </c>
      <c r="J30" s="21" t="s">
        <v>49</v>
      </c>
      <c r="K30" s="18"/>
    </row>
    <row r="31" spans="1:11" ht="18" customHeight="1">
      <c r="A31" s="7" t="s">
        <v>50</v>
      </c>
      <c r="B31" s="19">
        <f t="shared" si="1"/>
        <v>21</v>
      </c>
      <c r="C31" s="20">
        <v>3</v>
      </c>
      <c r="D31" s="20">
        <v>4</v>
      </c>
      <c r="E31" s="20">
        <v>4</v>
      </c>
      <c r="F31" s="20">
        <v>2</v>
      </c>
      <c r="G31" s="20">
        <v>4</v>
      </c>
      <c r="H31" s="20">
        <v>2</v>
      </c>
      <c r="I31" s="20">
        <v>2</v>
      </c>
      <c r="J31" s="21" t="s">
        <v>51</v>
      </c>
      <c r="K31" s="18"/>
    </row>
    <row r="32" spans="1:11" ht="18" customHeight="1">
      <c r="A32" s="7" t="s">
        <v>52</v>
      </c>
      <c r="B32" s="19">
        <f t="shared" si="1"/>
        <v>2</v>
      </c>
      <c r="C32" s="20" t="s">
        <v>1</v>
      </c>
      <c r="D32" s="20" t="s">
        <v>1</v>
      </c>
      <c r="E32" s="20">
        <v>1</v>
      </c>
      <c r="F32" s="20" t="s">
        <v>1</v>
      </c>
      <c r="G32" s="20" t="s">
        <v>1</v>
      </c>
      <c r="H32" s="20">
        <v>1</v>
      </c>
      <c r="I32" s="20" t="s">
        <v>1</v>
      </c>
      <c r="J32" s="21" t="s">
        <v>53</v>
      </c>
      <c r="K32" s="18"/>
    </row>
    <row r="33" spans="1:11" s="4" customFormat="1" ht="18" customHeight="1">
      <c r="A33" s="7" t="s">
        <v>67</v>
      </c>
      <c r="B33" s="19">
        <f t="shared" si="1"/>
        <v>5</v>
      </c>
      <c r="C33" s="20" t="s">
        <v>1</v>
      </c>
      <c r="D33" s="20">
        <v>1</v>
      </c>
      <c r="E33" s="20">
        <v>2</v>
      </c>
      <c r="F33" s="20">
        <v>1</v>
      </c>
      <c r="G33" s="20" t="s">
        <v>1</v>
      </c>
      <c r="H33" s="20">
        <v>1</v>
      </c>
      <c r="I33" s="20" t="s">
        <v>1</v>
      </c>
      <c r="J33" s="21" t="s">
        <v>25</v>
      </c>
      <c r="K33" s="18"/>
    </row>
    <row r="34" spans="1:11" ht="18" customHeight="1">
      <c r="A34" s="6" t="s">
        <v>69</v>
      </c>
      <c r="B34" s="25">
        <v>4</v>
      </c>
      <c r="C34" s="26" t="s">
        <v>1</v>
      </c>
      <c r="D34" s="26" t="s">
        <v>1</v>
      </c>
      <c r="E34" s="26">
        <v>1</v>
      </c>
      <c r="F34" s="26">
        <v>1</v>
      </c>
      <c r="G34" s="26">
        <v>2</v>
      </c>
      <c r="H34" s="26" t="s">
        <v>1</v>
      </c>
      <c r="I34" s="26" t="s">
        <v>1</v>
      </c>
      <c r="J34" s="35" t="s">
        <v>71</v>
      </c>
      <c r="K34" s="18"/>
    </row>
    <row r="35" spans="1:11" s="30" customFormat="1" ht="12.75" customHeight="1">
      <c r="A35" s="36" t="s">
        <v>68</v>
      </c>
      <c r="B35" s="27"/>
      <c r="C35" s="28"/>
      <c r="D35" s="28"/>
      <c r="E35" s="28"/>
      <c r="F35" s="28"/>
      <c r="G35" s="28"/>
      <c r="H35" s="28"/>
      <c r="I35" s="29"/>
    </row>
    <row r="36" spans="1:11" s="30" customFormat="1" ht="13.5" customHeight="1">
      <c r="A36" s="31" t="s">
        <v>73</v>
      </c>
      <c r="B36" s="31"/>
      <c r="C36" s="28"/>
      <c r="D36" s="28"/>
      <c r="E36" s="28"/>
      <c r="F36" s="28"/>
      <c r="G36" s="28"/>
      <c r="H36" s="28"/>
      <c r="I36" s="29"/>
    </row>
    <row r="37" spans="1:11" ht="13.5" customHeight="1">
      <c r="A37" s="36" t="s">
        <v>70</v>
      </c>
      <c r="B37" s="39"/>
      <c r="C37" s="39"/>
      <c r="D37" s="39"/>
      <c r="E37" s="39"/>
      <c r="F37" s="39"/>
      <c r="G37" s="39"/>
      <c r="H37" s="39"/>
      <c r="I37" s="39"/>
      <c r="J37" s="39"/>
    </row>
    <row r="38" spans="1:11" ht="13.5" customHeight="1">
      <c r="A38" s="31" t="s">
        <v>72</v>
      </c>
      <c r="B38" s="32"/>
      <c r="C38" s="33"/>
      <c r="D38" s="2"/>
      <c r="E38" s="38"/>
      <c r="F38" s="38"/>
      <c r="G38" s="38"/>
      <c r="H38" s="38"/>
      <c r="I38" s="38"/>
      <c r="J38" s="2"/>
    </row>
    <row r="39" spans="1:11" ht="15" customHeight="1">
      <c r="A39" s="42" t="s">
        <v>75</v>
      </c>
      <c r="B39" s="42"/>
      <c r="C39" s="42"/>
      <c r="D39" s="42"/>
      <c r="E39" s="42"/>
      <c r="F39" s="42"/>
      <c r="G39" s="42"/>
      <c r="H39" s="42"/>
      <c r="I39" s="42"/>
      <c r="J39" s="42"/>
    </row>
    <row r="40" spans="1:11" ht="18.75">
      <c r="A40" s="47" t="s">
        <v>74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1" ht="17.25">
      <c r="A41" s="2"/>
      <c r="J41" s="37" t="s">
        <v>54</v>
      </c>
    </row>
    <row r="42" spans="1:11" ht="17.25" customHeight="1">
      <c r="K42" s="38"/>
    </row>
    <row r="45" spans="1:11">
      <c r="B45" s="40"/>
      <c r="C45" s="10" t="s">
        <v>57</v>
      </c>
      <c r="D45" s="10" t="s">
        <v>58</v>
      </c>
      <c r="E45" s="10" t="s">
        <v>59</v>
      </c>
      <c r="F45" s="10" t="s">
        <v>60</v>
      </c>
      <c r="G45" s="10" t="s">
        <v>61</v>
      </c>
      <c r="H45" s="10" t="s">
        <v>62</v>
      </c>
      <c r="I45" s="10" t="s">
        <v>63</v>
      </c>
      <c r="J45" s="8"/>
    </row>
    <row r="46" spans="1:11">
      <c r="B46" s="34" t="s">
        <v>5</v>
      </c>
      <c r="C46" s="16">
        <v>3</v>
      </c>
      <c r="D46" s="16">
        <v>9</v>
      </c>
      <c r="E46" s="16">
        <v>16</v>
      </c>
      <c r="F46" s="16">
        <v>20</v>
      </c>
      <c r="G46" s="16">
        <v>9</v>
      </c>
      <c r="H46" s="16">
        <v>8</v>
      </c>
      <c r="I46" s="16">
        <v>4</v>
      </c>
    </row>
    <row r="47" spans="1:11">
      <c r="B47" s="5" t="s">
        <v>10</v>
      </c>
      <c r="C47" s="41">
        <v>1</v>
      </c>
      <c r="D47" s="41">
        <v>1</v>
      </c>
      <c r="E47" s="41">
        <v>5</v>
      </c>
      <c r="F47" s="41">
        <v>0</v>
      </c>
      <c r="G47" s="41">
        <v>0</v>
      </c>
      <c r="H47" s="41">
        <v>0</v>
      </c>
      <c r="I47" s="41">
        <v>0</v>
      </c>
    </row>
    <row r="48" spans="1:11">
      <c r="B48" s="5" t="s">
        <v>16</v>
      </c>
      <c r="C48" s="41">
        <v>1</v>
      </c>
      <c r="D48" s="41">
        <v>8</v>
      </c>
      <c r="E48" s="41">
        <v>11</v>
      </c>
      <c r="F48" s="41">
        <v>15</v>
      </c>
      <c r="G48" s="41">
        <v>9</v>
      </c>
      <c r="H48" s="41">
        <v>6</v>
      </c>
      <c r="I48" s="41">
        <v>3</v>
      </c>
    </row>
    <row r="49" spans="2:9">
      <c r="B49" s="5" t="s">
        <v>28</v>
      </c>
      <c r="C49" s="41">
        <v>10</v>
      </c>
      <c r="D49" s="41">
        <v>20</v>
      </c>
      <c r="E49" s="41">
        <v>44</v>
      </c>
      <c r="F49" s="41">
        <v>40</v>
      </c>
      <c r="G49" s="41">
        <v>17</v>
      </c>
      <c r="H49" s="41">
        <v>11</v>
      </c>
      <c r="I49" s="41">
        <v>7</v>
      </c>
    </row>
  </sheetData>
  <mergeCells count="8">
    <mergeCell ref="A39:J39"/>
    <mergeCell ref="A40:J40"/>
    <mergeCell ref="A2:J2"/>
    <mergeCell ref="A1:J1"/>
    <mergeCell ref="A4:A5"/>
    <mergeCell ref="B4:B5"/>
    <mergeCell ref="C4:I4"/>
    <mergeCell ref="J4:J5"/>
  </mergeCells>
  <pageMargins left="0.14000000000000001" right="0.1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6.23</vt:lpstr>
      <vt:lpstr>'6.23'!Print_Area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2013-08-15T08:29:54Z</dcterms:modified>
</cp:coreProperties>
</file>