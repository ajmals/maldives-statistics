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 tabRatio="905"/>
  </bookViews>
  <sheets>
    <sheet name="6.13" sheetId="4" r:id="rId1"/>
  </sheets>
  <calcPr calcId="124519"/>
</workbook>
</file>

<file path=xl/calcChain.xml><?xml version="1.0" encoding="utf-8"?>
<calcChain xmlns="http://schemas.openxmlformats.org/spreadsheetml/2006/main">
  <c r="B17" i="4"/>
  <c r="B16"/>
  <c r="B15"/>
  <c r="B14"/>
  <c r="B13"/>
  <c r="B12"/>
  <c r="B11"/>
  <c r="B10"/>
  <c r="B9"/>
  <c r="B8"/>
  <c r="B7"/>
  <c r="B6"/>
  <c r="B5"/>
</calcChain>
</file>

<file path=xl/sharedStrings.xml><?xml version="1.0" encoding="utf-8"?>
<sst xmlns="http://schemas.openxmlformats.org/spreadsheetml/2006/main" count="17" uniqueCount="13">
  <si>
    <t>Year</t>
  </si>
  <si>
    <t>Total</t>
  </si>
  <si>
    <t>Table 6.13 : DRUG ABUSE CASES REPORTED, BY AGE GROUP, 2001-2012</t>
  </si>
  <si>
    <t>Under 16</t>
  </si>
  <si>
    <t>16 - 24</t>
  </si>
  <si>
    <t>25 - 39</t>
  </si>
  <si>
    <t>40 +</t>
  </si>
  <si>
    <t>Source: Maldives Police Service</t>
  </si>
  <si>
    <r>
      <t xml:space="preserve">Age Group   </t>
    </r>
    <r>
      <rPr>
        <b/>
        <sz val="9"/>
        <rFont val="Faruma"/>
      </rPr>
      <t xml:space="preserve"> ޢުމުރުފުރާ</t>
    </r>
    <r>
      <rPr>
        <b/>
        <sz val="9"/>
        <rFont val="Arial"/>
        <family val="2"/>
      </rPr>
      <t xml:space="preserve">  </t>
    </r>
  </si>
  <si>
    <t>މަޢުލޫމާތު ދެއްވި ފަރާތް: މޯލްޑިވްސް ޕޮލިސް ސަރވިސް</t>
  </si>
  <si>
    <t>ތާވަލު 6.13: މަސްތުވާތަކެތި ބޭނުންކުރާމީހުންގެ އަދަދު އަދި އުމުރުފުރާ، 2001 - 2012</t>
  </si>
  <si>
    <t xml:space="preserve">ނޯޓު: މިތާވަލުގައި ހިމެނެނީ ހަމައެކަނި މަސްތުވާތަކެތި (ހިކި ތަކެތި) ބޭނުންކުރި މީހުންގެ ޢަދަދެވެ. </t>
  </si>
  <si>
    <t>Note:  This table includes use of Narcotic drugs only.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</si>
</sst>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General_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10"/>
      <name val="A_Randhoo"/>
    </font>
    <font>
      <sz val="9"/>
      <name val="Arial"/>
      <family val="2"/>
    </font>
    <font>
      <i/>
      <sz val="9"/>
      <name val="Arial"/>
      <family val="2"/>
    </font>
    <font>
      <i/>
      <sz val="9"/>
      <name val="Courier"/>
      <family val="3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9"/>
      <name val="Faruma"/>
    </font>
    <font>
      <b/>
      <sz val="11"/>
      <name val="Faruma"/>
    </font>
    <font>
      <b/>
      <sz val="9"/>
      <name val="Faruma"/>
    </font>
    <font>
      <sz val="9"/>
      <name val="Courier"/>
      <family val="3"/>
    </font>
    <font>
      <b/>
      <sz val="9"/>
      <name val="Calibri"/>
      <family val="2"/>
      <scheme val="minor"/>
    </font>
    <font>
      <sz val="9"/>
      <color theme="1"/>
      <name val="Faruma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4" fontId="6" fillId="0" borderId="0"/>
    <xf numFmtId="0" fontId="1" fillId="0" borderId="0"/>
    <xf numFmtId="164" fontId="6" fillId="0" borderId="0"/>
    <xf numFmtId="164" fontId="6" fillId="0" borderId="0"/>
    <xf numFmtId="0" fontId="1" fillId="0" borderId="0"/>
    <xf numFmtId="164" fontId="6" fillId="0" borderId="0"/>
  </cellStyleXfs>
  <cellXfs count="45">
    <xf numFmtId="0" fontId="0" fillId="0" borderId="0" xfId="0"/>
    <xf numFmtId="164" fontId="6" fillId="3" borderId="0" xfId="2" applyFill="1"/>
    <xf numFmtId="164" fontId="8" fillId="3" borderId="2" xfId="2" applyFont="1" applyFill="1" applyBorder="1" applyAlignment="1">
      <alignment horizontal="left" vertical="center"/>
    </xf>
    <xf numFmtId="164" fontId="10" fillId="3" borderId="0" xfId="2" applyFont="1" applyFill="1"/>
    <xf numFmtId="164" fontId="9" fillId="3" borderId="1" xfId="2" applyFont="1" applyFill="1" applyBorder="1" applyAlignment="1">
      <alignment horizontal="left" vertical="center"/>
    </xf>
    <xf numFmtId="164" fontId="9" fillId="3" borderId="1" xfId="2" applyFont="1" applyFill="1" applyBorder="1" applyAlignment="1">
      <alignment horizontal="right" vertical="center"/>
    </xf>
    <xf numFmtId="164" fontId="9" fillId="3" borderId="0" xfId="2" applyFont="1" applyFill="1" applyAlignment="1">
      <alignment horizontal="left" vertical="center"/>
    </xf>
    <xf numFmtId="164" fontId="9" fillId="3" borderId="0" xfId="2" applyFont="1" applyFill="1" applyAlignment="1">
      <alignment horizontal="center" vertical="center"/>
    </xf>
    <xf numFmtId="3" fontId="11" fillId="3" borderId="0" xfId="2" applyNumberFormat="1" applyFont="1" applyFill="1" applyAlignment="1">
      <alignment vertical="center"/>
    </xf>
    <xf numFmtId="164" fontId="12" fillId="3" borderId="0" xfId="2" applyFont="1" applyFill="1" applyAlignment="1">
      <alignment vertical="center"/>
    </xf>
    <xf numFmtId="164" fontId="13" fillId="3" borderId="0" xfId="2" applyFont="1" applyFill="1" applyAlignment="1">
      <alignment vertical="center"/>
    </xf>
    <xf numFmtId="164" fontId="14" fillId="3" borderId="0" xfId="2" applyFont="1" applyFill="1"/>
    <xf numFmtId="164" fontId="6" fillId="3" borderId="0" xfId="2" applyFont="1" applyFill="1"/>
    <xf numFmtId="38" fontId="3" fillId="3" borderId="0" xfId="1" applyNumberFormat="1" applyFont="1" applyFill="1" applyBorder="1" applyAlignment="1">
      <alignment vertical="center"/>
    </xf>
    <xf numFmtId="38" fontId="2" fillId="3" borderId="0" xfId="1" applyNumberFormat="1" applyFont="1" applyFill="1" applyBorder="1" applyAlignment="1">
      <alignment horizontal="right" vertical="center"/>
    </xf>
    <xf numFmtId="38" fontId="3" fillId="3" borderId="0" xfId="1" applyNumberFormat="1" applyFont="1" applyFill="1" applyBorder="1" applyAlignment="1">
      <alignment horizontal="right" vertical="center"/>
    </xf>
    <xf numFmtId="164" fontId="15" fillId="3" borderId="0" xfId="0" applyNumberFormat="1" applyFont="1" applyFill="1" applyAlignment="1">
      <alignment horizontal="right"/>
    </xf>
    <xf numFmtId="164" fontId="15" fillId="3" borderId="1" xfId="0" applyNumberFormat="1" applyFont="1" applyFill="1" applyBorder="1" applyAlignment="1">
      <alignment horizontal="right"/>
    </xf>
    <xf numFmtId="164" fontId="2" fillId="3" borderId="0" xfId="2" applyFont="1" applyFill="1" applyAlignment="1">
      <alignment horizontal="left" vertical="center"/>
    </xf>
    <xf numFmtId="38" fontId="2" fillId="3" borderId="0" xfId="1" applyNumberFormat="1" applyFont="1" applyFill="1" applyAlignment="1">
      <alignment horizontal="right" vertical="center"/>
    </xf>
    <xf numFmtId="38" fontId="3" fillId="3" borderId="0" xfId="1" applyNumberFormat="1" applyFont="1" applyFill="1" applyAlignment="1">
      <alignment horizontal="right" vertical="center"/>
    </xf>
    <xf numFmtId="164" fontId="3" fillId="3" borderId="0" xfId="2" applyFont="1" applyFill="1"/>
    <xf numFmtId="164" fontId="2" fillId="3" borderId="0" xfId="2" applyFont="1" applyFill="1" applyBorder="1" applyAlignment="1">
      <alignment horizontal="left" vertical="center"/>
    </xf>
    <xf numFmtId="164" fontId="3" fillId="3" borderId="0" xfId="2" applyFont="1" applyFill="1" applyBorder="1"/>
    <xf numFmtId="164" fontId="2" fillId="2" borderId="0" xfId="2" applyFont="1" applyFill="1" applyBorder="1" applyAlignment="1">
      <alignment horizontal="left" vertical="center"/>
    </xf>
    <xf numFmtId="164" fontId="2" fillId="2" borderId="1" xfId="2" applyFont="1" applyFill="1" applyBorder="1" applyAlignment="1">
      <alignment horizontal="left" vertical="center"/>
    </xf>
    <xf numFmtId="164" fontId="2" fillId="3" borderId="1" xfId="2" applyFont="1" applyFill="1" applyBorder="1" applyAlignment="1">
      <alignment horizontal="right" vertical="center"/>
    </xf>
    <xf numFmtId="38" fontId="3" fillId="3" borderId="0" xfId="1" applyNumberFormat="1" applyFont="1" applyFill="1" applyAlignment="1">
      <alignment vertical="center"/>
    </xf>
    <xf numFmtId="164" fontId="2" fillId="3" borderId="1" xfId="2" applyFont="1" applyFill="1" applyBorder="1" applyAlignment="1">
      <alignment horizontal="left" vertical="center"/>
    </xf>
    <xf numFmtId="38" fontId="2" fillId="3" borderId="1" xfId="1" applyNumberFormat="1" applyFont="1" applyFill="1" applyBorder="1" applyAlignment="1">
      <alignment horizontal="right" vertical="center"/>
    </xf>
    <xf numFmtId="3" fontId="16" fillId="3" borderId="0" xfId="2" applyNumberFormat="1" applyFont="1" applyFill="1" applyAlignment="1">
      <alignment horizontal="right" vertical="center"/>
    </xf>
    <xf numFmtId="164" fontId="4" fillId="3" borderId="0" xfId="2" applyFont="1" applyFill="1" applyBorder="1" applyAlignment="1">
      <alignment horizontal="left" vertical="center"/>
    </xf>
    <xf numFmtId="38" fontId="20" fillId="3" borderId="0" xfId="1" applyNumberFormat="1" applyFont="1" applyFill="1" applyBorder="1" applyAlignment="1">
      <alignment horizontal="right" vertical="center"/>
    </xf>
    <xf numFmtId="164" fontId="22" fillId="3" borderId="0" xfId="0" applyNumberFormat="1" applyFont="1" applyFill="1" applyBorder="1" applyAlignment="1">
      <alignment horizontal="right"/>
    </xf>
    <xf numFmtId="164" fontId="5" fillId="3" borderId="0" xfId="2" applyFont="1" applyFill="1" applyBorder="1"/>
    <xf numFmtId="164" fontId="5" fillId="3" borderId="0" xfId="2" applyFont="1" applyFill="1"/>
    <xf numFmtId="164" fontId="19" fillId="3" borderId="0" xfId="2" applyFont="1" applyFill="1" applyAlignment="1">
      <alignment vertical="center"/>
    </xf>
    <xf numFmtId="164" fontId="21" fillId="3" borderId="0" xfId="0" applyNumberFormat="1" applyFont="1" applyFill="1" applyBorder="1" applyAlignment="1">
      <alignment horizontal="right"/>
    </xf>
    <xf numFmtId="164" fontId="19" fillId="3" borderId="0" xfId="2" applyFont="1" applyFill="1"/>
    <xf numFmtId="164" fontId="4" fillId="3" borderId="0" xfId="2" applyFont="1" applyFill="1" applyAlignment="1">
      <alignment vertical="center"/>
    </xf>
    <xf numFmtId="164" fontId="7" fillId="3" borderId="0" xfId="2" applyFont="1" applyFill="1" applyAlignment="1">
      <alignment horizontal="center" vertical="center"/>
    </xf>
    <xf numFmtId="164" fontId="9" fillId="3" borderId="3" xfId="2" applyFont="1" applyFill="1" applyBorder="1" applyAlignment="1">
      <alignment horizontal="center" vertical="center"/>
    </xf>
    <xf numFmtId="164" fontId="9" fillId="3" borderId="2" xfId="2" applyFont="1" applyFill="1" applyBorder="1" applyAlignment="1">
      <alignment horizontal="center" vertical="center"/>
    </xf>
    <xf numFmtId="164" fontId="9" fillId="3" borderId="1" xfId="2" applyFont="1" applyFill="1" applyBorder="1" applyAlignment="1">
      <alignment horizontal="center" vertical="center"/>
    </xf>
    <xf numFmtId="164" fontId="17" fillId="3" borderId="0" xfId="2" applyFont="1" applyFill="1" applyAlignment="1">
      <alignment horizontal="center"/>
    </xf>
  </cellXfs>
  <cellStyles count="8">
    <cellStyle name="Comma" xfId="1" builtinId="3"/>
    <cellStyle name="Normal" xfId="0" builtinId="0"/>
    <cellStyle name="Normal 16" xfId="5"/>
    <cellStyle name="Normal 17" xfId="6"/>
    <cellStyle name="Normal 2" xfId="3"/>
    <cellStyle name="Normal 3" xfId="7"/>
    <cellStyle name="Normal 9" xfId="4"/>
    <cellStyle name="Normal_6 Health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000"/>
              <a:t>FIGURE 6.</a:t>
            </a:r>
            <a:r>
              <a:rPr lang="dv-MV" sz="1000"/>
              <a:t>3</a:t>
            </a:r>
            <a:r>
              <a:rPr lang="en-US" sz="1000"/>
              <a:t>:  DRUG ABUSE CASES REPORTED BY AGE GROUP, 200</a:t>
            </a:r>
            <a:r>
              <a:rPr lang="dv-MV" sz="1000"/>
              <a:t>1</a:t>
            </a:r>
            <a:r>
              <a:rPr lang="en-US" sz="1000"/>
              <a:t> - 2012</a:t>
            </a:r>
          </a:p>
        </c:rich>
      </c:tx>
      <c:layout>
        <c:manualLayout>
          <c:xMode val="edge"/>
          <c:yMode val="edge"/>
          <c:x val="0.16368329006481264"/>
          <c:y val="5.2246603970741927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8.4899586769804844E-2"/>
          <c:y val="0.19017796756596647"/>
          <c:w val="0.88022179989919369"/>
          <c:h val="0.69801561638651033"/>
        </c:manualLayout>
      </c:layout>
      <c:barChart>
        <c:barDir val="col"/>
        <c:grouping val="clustered"/>
        <c:ser>
          <c:idx val="0"/>
          <c:order val="0"/>
          <c:tx>
            <c:strRef>
              <c:f>'6.13'!$M$13</c:f>
              <c:strCache>
                <c:ptCount val="1"/>
                <c:pt idx="0">
                  <c:v>Under 16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12700">
              <a:noFill/>
              <a:prstDash val="solid"/>
            </a:ln>
          </c:spPr>
          <c:cat>
            <c:numRef>
              <c:f>'6.13'!$N$12:$Y$12</c:f>
              <c:numCache>
                <c:formatCode>General_)</c:formatCode>
                <c:ptCount val="12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</c:numCache>
            </c:numRef>
          </c:cat>
          <c:val>
            <c:numRef>
              <c:f>'6.13'!$N$13:$Y$13</c:f>
              <c:numCache>
                <c:formatCode>#,##0_);[Red]\(#,##0\)</c:formatCode>
                <c:ptCount val="12"/>
                <c:pt idx="0">
                  <c:v>2</c:v>
                </c:pt>
                <c:pt idx="1">
                  <c:v>6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7</c:v>
                </c:pt>
                <c:pt idx="6">
                  <c:v>23</c:v>
                </c:pt>
                <c:pt idx="7" formatCode="General_)">
                  <c:v>15</c:v>
                </c:pt>
                <c:pt idx="8" formatCode="General_)">
                  <c:v>5</c:v>
                </c:pt>
                <c:pt idx="9" formatCode="General_)">
                  <c:v>3</c:v>
                </c:pt>
                <c:pt idx="10" formatCode="General_)">
                  <c:v>5</c:v>
                </c:pt>
                <c:pt idx="11" formatCode="General_)">
                  <c:v>8</c:v>
                </c:pt>
              </c:numCache>
            </c:numRef>
          </c:val>
        </c:ser>
        <c:ser>
          <c:idx val="1"/>
          <c:order val="1"/>
          <c:tx>
            <c:strRef>
              <c:f>'6.13'!$M$14</c:f>
              <c:strCache>
                <c:ptCount val="1"/>
                <c:pt idx="0">
                  <c:v>16 - 24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 w="12700">
              <a:noFill/>
              <a:prstDash val="solid"/>
            </a:ln>
          </c:spPr>
          <c:cat>
            <c:numRef>
              <c:f>'6.13'!$N$12:$Y$12</c:f>
              <c:numCache>
                <c:formatCode>General_)</c:formatCode>
                <c:ptCount val="12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</c:numCache>
            </c:numRef>
          </c:cat>
          <c:val>
            <c:numRef>
              <c:f>'6.13'!$N$14:$Y$14</c:f>
              <c:numCache>
                <c:formatCode>#,##0_);[Red]\(#,##0\)</c:formatCode>
                <c:ptCount val="12"/>
                <c:pt idx="0">
                  <c:v>123</c:v>
                </c:pt>
                <c:pt idx="1">
                  <c:v>168</c:v>
                </c:pt>
                <c:pt idx="2">
                  <c:v>180</c:v>
                </c:pt>
                <c:pt idx="3">
                  <c:v>347</c:v>
                </c:pt>
                <c:pt idx="4">
                  <c:v>325</c:v>
                </c:pt>
                <c:pt idx="5">
                  <c:v>363</c:v>
                </c:pt>
                <c:pt idx="6">
                  <c:v>601</c:v>
                </c:pt>
                <c:pt idx="7" formatCode="General_)">
                  <c:v>936</c:v>
                </c:pt>
                <c:pt idx="8" formatCode="General_)">
                  <c:v>410</c:v>
                </c:pt>
                <c:pt idx="9" formatCode="General_)">
                  <c:v>284</c:v>
                </c:pt>
                <c:pt idx="10" formatCode="General_)">
                  <c:v>196</c:v>
                </c:pt>
                <c:pt idx="11" formatCode="General_)">
                  <c:v>398</c:v>
                </c:pt>
              </c:numCache>
            </c:numRef>
          </c:val>
        </c:ser>
        <c:ser>
          <c:idx val="2"/>
          <c:order val="2"/>
          <c:tx>
            <c:strRef>
              <c:f>'6.13'!$M$15</c:f>
              <c:strCache>
                <c:ptCount val="1"/>
                <c:pt idx="0">
                  <c:v>25 - 39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12700">
              <a:noFill/>
              <a:prstDash val="solid"/>
            </a:ln>
          </c:spPr>
          <c:cat>
            <c:numRef>
              <c:f>'6.13'!$N$12:$Y$12</c:f>
              <c:numCache>
                <c:formatCode>General_)</c:formatCode>
                <c:ptCount val="12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</c:numCache>
            </c:numRef>
          </c:cat>
          <c:val>
            <c:numRef>
              <c:f>'6.13'!$N$15:$Y$15</c:f>
              <c:numCache>
                <c:formatCode>#,##0_);[Red]\(#,##0\)</c:formatCode>
                <c:ptCount val="12"/>
                <c:pt idx="0">
                  <c:v>87</c:v>
                </c:pt>
                <c:pt idx="1">
                  <c:v>119</c:v>
                </c:pt>
                <c:pt idx="2">
                  <c:v>139</c:v>
                </c:pt>
                <c:pt idx="3">
                  <c:v>322</c:v>
                </c:pt>
                <c:pt idx="4">
                  <c:v>260</c:v>
                </c:pt>
                <c:pt idx="5">
                  <c:v>361</c:v>
                </c:pt>
                <c:pt idx="6">
                  <c:v>509</c:v>
                </c:pt>
                <c:pt idx="7" formatCode="General_)">
                  <c:v>776</c:v>
                </c:pt>
                <c:pt idx="8" formatCode="General_)">
                  <c:v>441</c:v>
                </c:pt>
                <c:pt idx="9" formatCode="General_)">
                  <c:v>275</c:v>
                </c:pt>
                <c:pt idx="10" formatCode="General_)">
                  <c:v>265</c:v>
                </c:pt>
                <c:pt idx="11" formatCode="General_)">
                  <c:v>493</c:v>
                </c:pt>
              </c:numCache>
            </c:numRef>
          </c:val>
        </c:ser>
        <c:ser>
          <c:idx val="3"/>
          <c:order val="3"/>
          <c:tx>
            <c:strRef>
              <c:f>'6.13'!$M$16</c:f>
              <c:strCache>
                <c:ptCount val="1"/>
                <c:pt idx="0">
                  <c:v>40 +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cat>
            <c:numRef>
              <c:f>'6.13'!$N$12:$Y$12</c:f>
              <c:numCache>
                <c:formatCode>General_)</c:formatCode>
                <c:ptCount val="12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</c:numCache>
            </c:numRef>
          </c:cat>
          <c:val>
            <c:numRef>
              <c:f>'6.13'!$N$16:$Y$16</c:f>
              <c:numCache>
                <c:formatCode>#,##0_);[Red]\(#,##0\)</c:formatCode>
                <c:ptCount val="12"/>
                <c:pt idx="0">
                  <c:v>4</c:v>
                </c:pt>
                <c:pt idx="1">
                  <c:v>7</c:v>
                </c:pt>
                <c:pt idx="2">
                  <c:v>19</c:v>
                </c:pt>
                <c:pt idx="3">
                  <c:v>25</c:v>
                </c:pt>
                <c:pt idx="4">
                  <c:v>29</c:v>
                </c:pt>
                <c:pt idx="5">
                  <c:v>52</c:v>
                </c:pt>
                <c:pt idx="6">
                  <c:v>54</c:v>
                </c:pt>
                <c:pt idx="7" formatCode="General_)">
                  <c:v>77</c:v>
                </c:pt>
                <c:pt idx="8" formatCode="General_)">
                  <c:v>62</c:v>
                </c:pt>
                <c:pt idx="9" formatCode="General_)">
                  <c:v>60</c:v>
                </c:pt>
                <c:pt idx="10" formatCode="General_)">
                  <c:v>68</c:v>
                </c:pt>
                <c:pt idx="11" formatCode="General_)">
                  <c:v>106</c:v>
                </c:pt>
              </c:numCache>
            </c:numRef>
          </c:val>
        </c:ser>
        <c:gapWidth val="0"/>
        <c:axId val="87825408"/>
        <c:axId val="87855872"/>
      </c:barChart>
      <c:catAx>
        <c:axId val="87825408"/>
        <c:scaling>
          <c:orientation val="minMax"/>
        </c:scaling>
        <c:axPos val="b"/>
        <c:numFmt formatCode="General_)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+mn-lt"/>
                <a:ea typeface="Arial"/>
                <a:cs typeface="Arial"/>
              </a:defRPr>
            </a:pPr>
            <a:endParaRPr lang="en-US"/>
          </a:p>
        </c:txPr>
        <c:crossAx val="87855872"/>
        <c:crosses val="autoZero"/>
        <c:auto val="1"/>
        <c:lblAlgn val="ctr"/>
        <c:lblOffset val="100"/>
        <c:tickLblSkip val="1"/>
        <c:tickMarkSkip val="1"/>
      </c:catAx>
      <c:valAx>
        <c:axId val="87855872"/>
        <c:scaling>
          <c:orientation val="minMax"/>
        </c:scaling>
        <c:axPos val="l"/>
        <c:majorGridlines>
          <c:spPr>
            <a:ln w="0">
              <a:solidFill>
                <a:schemeClr val="bg1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Number of cases</a:t>
                </a:r>
              </a:p>
            </c:rich>
          </c:tx>
          <c:layout>
            <c:manualLayout>
              <c:xMode val="edge"/>
              <c:yMode val="edge"/>
              <c:x val="1.1189078303125152E-2"/>
              <c:y val="0.10344827586206895"/>
            </c:manualLayout>
          </c:layout>
          <c:spPr>
            <a:noFill/>
            <a:ln w="25400">
              <a:noFill/>
            </a:ln>
          </c:spPr>
        </c:title>
        <c:numFmt formatCode="#,##0_);[Red]\(#,##0\)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82540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076823576283253"/>
          <c:y val="0.23928944618599807"/>
          <c:w val="0.40770881943730136"/>
          <c:h val="7.5235109717868343E-2"/>
        </c:manualLayout>
      </c:layout>
      <c:spPr>
        <a:solidFill>
          <a:srgbClr val="FFFFFF"/>
        </a:solidFill>
        <a:ln w="3175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366" r="0.75000000000000366" t="1" header="0.5" footer="0.5"/>
    <c:pageSetup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23</xdr:row>
      <xdr:rowOff>114300</xdr:rowOff>
    </xdr:from>
    <xdr:to>
      <xdr:col>7</xdr:col>
      <xdr:colOff>333376</xdr:colOff>
      <xdr:row>42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6"/>
  <sheetViews>
    <sheetView tabSelected="1" workbookViewId="0">
      <selection activeCell="A2" sqref="A2:F2"/>
    </sheetView>
  </sheetViews>
  <sheetFormatPr defaultRowHeight="12.75"/>
  <cols>
    <col min="1" max="1" width="10.5703125" style="11" customWidth="1"/>
    <col min="2" max="2" width="9.5703125" style="11" customWidth="1"/>
    <col min="3" max="6" width="15.140625" style="1" customWidth="1"/>
    <col min="7" max="16384" width="9.140625" style="1"/>
  </cols>
  <sheetData>
    <row r="1" spans="1:25" ht="20.25" customHeight="1">
      <c r="A1" s="44" t="s">
        <v>10</v>
      </c>
      <c r="B1" s="44"/>
      <c r="C1" s="44"/>
      <c r="D1" s="44"/>
      <c r="E1" s="44"/>
      <c r="F1" s="44"/>
    </row>
    <row r="2" spans="1:25" ht="19.5" customHeight="1">
      <c r="A2" s="40" t="s">
        <v>2</v>
      </c>
      <c r="B2" s="40"/>
      <c r="C2" s="40"/>
      <c r="D2" s="40"/>
      <c r="E2" s="40"/>
      <c r="F2" s="40"/>
    </row>
    <row r="3" spans="1:25" s="3" customFormat="1" ht="18" customHeight="1">
      <c r="A3" s="2"/>
      <c r="B3" s="42" t="s">
        <v>1</v>
      </c>
      <c r="C3" s="41" t="s">
        <v>8</v>
      </c>
      <c r="D3" s="41"/>
      <c r="E3" s="41"/>
      <c r="F3" s="41"/>
    </row>
    <row r="4" spans="1:25" ht="22.5" customHeight="1">
      <c r="A4" s="4" t="s">
        <v>0</v>
      </c>
      <c r="B4" s="43"/>
      <c r="C4" s="5" t="s">
        <v>3</v>
      </c>
      <c r="D4" s="5" t="s">
        <v>4</v>
      </c>
      <c r="E4" s="5" t="s">
        <v>5</v>
      </c>
      <c r="F4" s="5" t="s">
        <v>6</v>
      </c>
    </row>
    <row r="5" spans="1:25" ht="18" hidden="1" customHeight="1">
      <c r="A5" s="6">
        <v>1997</v>
      </c>
      <c r="B5" s="7">
        <f t="shared" ref="B5:B10" si="0">SUM(C5:F5)</f>
        <v>200</v>
      </c>
      <c r="C5" s="8">
        <v>16</v>
      </c>
      <c r="D5" s="8">
        <v>118</v>
      </c>
      <c r="E5" s="8">
        <v>65</v>
      </c>
      <c r="F5" s="8">
        <v>1</v>
      </c>
    </row>
    <row r="6" spans="1:25" s="21" customFormat="1" ht="19.5" customHeight="1">
      <c r="A6" s="18">
        <v>2001</v>
      </c>
      <c r="B6" s="19">
        <f t="shared" si="0"/>
        <v>216</v>
      </c>
      <c r="C6" s="20">
        <v>2</v>
      </c>
      <c r="D6" s="20">
        <v>123</v>
      </c>
      <c r="E6" s="20">
        <v>87</v>
      </c>
      <c r="F6" s="20">
        <v>4</v>
      </c>
    </row>
    <row r="7" spans="1:25" s="21" customFormat="1" ht="19.5" customHeight="1">
      <c r="A7" s="18">
        <v>2002</v>
      </c>
      <c r="B7" s="19">
        <f t="shared" si="0"/>
        <v>300</v>
      </c>
      <c r="C7" s="20">
        <v>6</v>
      </c>
      <c r="D7" s="20">
        <v>168</v>
      </c>
      <c r="E7" s="20">
        <v>119</v>
      </c>
      <c r="F7" s="20">
        <v>7</v>
      </c>
    </row>
    <row r="8" spans="1:25" s="21" customFormat="1" ht="19.5" customHeight="1">
      <c r="A8" s="22">
        <v>2003</v>
      </c>
      <c r="B8" s="14">
        <f t="shared" si="0"/>
        <v>340</v>
      </c>
      <c r="C8" s="15">
        <v>2</v>
      </c>
      <c r="D8" s="15">
        <v>180</v>
      </c>
      <c r="E8" s="15">
        <v>139</v>
      </c>
      <c r="F8" s="15">
        <v>19</v>
      </c>
      <c r="M8" s="23"/>
      <c r="N8" s="23"/>
      <c r="O8" s="23"/>
      <c r="P8" s="23"/>
      <c r="Q8" s="23"/>
    </row>
    <row r="9" spans="1:25" s="21" customFormat="1" ht="19.5" customHeight="1">
      <c r="A9" s="22">
        <v>2004</v>
      </c>
      <c r="B9" s="14">
        <f t="shared" si="0"/>
        <v>697</v>
      </c>
      <c r="C9" s="15">
        <v>3</v>
      </c>
      <c r="D9" s="15">
        <v>347</v>
      </c>
      <c r="E9" s="15">
        <v>322</v>
      </c>
      <c r="F9" s="15">
        <v>25</v>
      </c>
      <c r="M9" s="23"/>
      <c r="N9" s="23"/>
      <c r="O9" s="23"/>
      <c r="P9" s="23"/>
      <c r="Q9" s="23"/>
    </row>
    <row r="10" spans="1:25" s="23" customFormat="1" ht="19.5" customHeight="1">
      <c r="A10" s="22">
        <v>2005</v>
      </c>
      <c r="B10" s="14">
        <f t="shared" si="0"/>
        <v>615</v>
      </c>
      <c r="C10" s="15">
        <v>1</v>
      </c>
      <c r="D10" s="15">
        <v>325</v>
      </c>
      <c r="E10" s="15">
        <v>260</v>
      </c>
      <c r="F10" s="15">
        <v>29</v>
      </c>
      <c r="M10" s="21"/>
      <c r="N10" s="21"/>
      <c r="O10" s="21"/>
      <c r="P10" s="21"/>
      <c r="Q10" s="21"/>
    </row>
    <row r="11" spans="1:25" s="23" customFormat="1" ht="19.5" customHeight="1">
      <c r="A11" s="22">
        <v>2006</v>
      </c>
      <c r="B11" s="14">
        <f>SUM(C11:F11)</f>
        <v>783</v>
      </c>
      <c r="C11" s="15">
        <v>7</v>
      </c>
      <c r="D11" s="15">
        <v>363</v>
      </c>
      <c r="E11" s="15">
        <v>361</v>
      </c>
      <c r="F11" s="15">
        <v>52</v>
      </c>
      <c r="M11" s="21"/>
      <c r="N11" s="21"/>
      <c r="O11" s="21"/>
      <c r="P11" s="21"/>
      <c r="Q11" s="21"/>
    </row>
    <row r="12" spans="1:25" s="23" customFormat="1" ht="19.5" customHeight="1">
      <c r="A12" s="22">
        <v>2007</v>
      </c>
      <c r="B12" s="14">
        <f>SUM(C12:F12)</f>
        <v>1187</v>
      </c>
      <c r="C12" s="15">
        <v>23</v>
      </c>
      <c r="D12" s="15">
        <v>601</v>
      </c>
      <c r="E12" s="15">
        <v>509</v>
      </c>
      <c r="F12" s="15">
        <v>54</v>
      </c>
      <c r="M12" s="21"/>
      <c r="N12" s="18">
        <v>2001</v>
      </c>
      <c r="O12" s="18">
        <v>2002</v>
      </c>
      <c r="P12" s="22">
        <v>2003</v>
      </c>
      <c r="Q12" s="22">
        <v>2004</v>
      </c>
      <c r="R12" s="22">
        <v>2005</v>
      </c>
      <c r="S12" s="22">
        <v>2006</v>
      </c>
      <c r="T12" s="22">
        <v>2007</v>
      </c>
      <c r="U12" s="24">
        <v>2008</v>
      </c>
      <c r="V12" s="24">
        <v>2009</v>
      </c>
      <c r="W12" s="24">
        <v>2010</v>
      </c>
      <c r="X12" s="24">
        <v>2011</v>
      </c>
      <c r="Y12" s="25">
        <v>2012</v>
      </c>
    </row>
    <row r="13" spans="1:25" s="23" customFormat="1" ht="19.5" customHeight="1">
      <c r="A13" s="22">
        <v>2008</v>
      </c>
      <c r="B13" s="14">
        <f>SUM(C13:F13)</f>
        <v>1804</v>
      </c>
      <c r="C13" s="16">
        <v>15</v>
      </c>
      <c r="D13" s="16">
        <v>936</v>
      </c>
      <c r="E13" s="16">
        <v>776</v>
      </c>
      <c r="F13" s="16">
        <v>77</v>
      </c>
      <c r="M13" s="26" t="s">
        <v>3</v>
      </c>
      <c r="N13" s="20">
        <v>2</v>
      </c>
      <c r="O13" s="20">
        <v>6</v>
      </c>
      <c r="P13" s="15">
        <v>2</v>
      </c>
      <c r="Q13" s="15">
        <v>3</v>
      </c>
      <c r="R13" s="15">
        <v>1</v>
      </c>
      <c r="S13" s="15">
        <v>7</v>
      </c>
      <c r="T13" s="15">
        <v>23</v>
      </c>
      <c r="U13" s="16">
        <v>15</v>
      </c>
      <c r="V13" s="16">
        <v>5</v>
      </c>
      <c r="W13" s="16">
        <v>3</v>
      </c>
      <c r="X13" s="16">
        <v>5</v>
      </c>
      <c r="Y13" s="17">
        <v>8</v>
      </c>
    </row>
    <row r="14" spans="1:25" s="23" customFormat="1" ht="19.5" customHeight="1">
      <c r="A14" s="22">
        <v>2009</v>
      </c>
      <c r="B14" s="14">
        <f t="shared" ref="B14:B17" si="1">SUM(C14:F14)</f>
        <v>918</v>
      </c>
      <c r="C14" s="16">
        <v>5</v>
      </c>
      <c r="D14" s="16">
        <v>410</v>
      </c>
      <c r="E14" s="16">
        <v>441</v>
      </c>
      <c r="F14" s="16">
        <v>62</v>
      </c>
      <c r="M14" s="26" t="s">
        <v>4</v>
      </c>
      <c r="N14" s="20">
        <v>123</v>
      </c>
      <c r="O14" s="20">
        <v>168</v>
      </c>
      <c r="P14" s="15">
        <v>180</v>
      </c>
      <c r="Q14" s="15">
        <v>347</v>
      </c>
      <c r="R14" s="15">
        <v>325</v>
      </c>
      <c r="S14" s="15">
        <v>363</v>
      </c>
      <c r="T14" s="15">
        <v>601</v>
      </c>
      <c r="U14" s="16">
        <v>936</v>
      </c>
      <c r="V14" s="16">
        <v>410</v>
      </c>
      <c r="W14" s="16">
        <v>284</v>
      </c>
      <c r="X14" s="16">
        <v>196</v>
      </c>
      <c r="Y14" s="17">
        <v>398</v>
      </c>
    </row>
    <row r="15" spans="1:25" s="23" customFormat="1" ht="19.5" customHeight="1">
      <c r="A15" s="22">
        <v>2010</v>
      </c>
      <c r="B15" s="14">
        <f t="shared" si="1"/>
        <v>622</v>
      </c>
      <c r="C15" s="16">
        <v>3</v>
      </c>
      <c r="D15" s="16">
        <v>284</v>
      </c>
      <c r="E15" s="16">
        <v>275</v>
      </c>
      <c r="F15" s="16">
        <v>60</v>
      </c>
      <c r="M15" s="26" t="s">
        <v>5</v>
      </c>
      <c r="N15" s="20">
        <v>87</v>
      </c>
      <c r="O15" s="20">
        <v>119</v>
      </c>
      <c r="P15" s="15">
        <v>139</v>
      </c>
      <c r="Q15" s="15">
        <v>322</v>
      </c>
      <c r="R15" s="15">
        <v>260</v>
      </c>
      <c r="S15" s="15">
        <v>361</v>
      </c>
      <c r="T15" s="15">
        <v>509</v>
      </c>
      <c r="U15" s="16">
        <v>776</v>
      </c>
      <c r="V15" s="16">
        <v>441</v>
      </c>
      <c r="W15" s="16">
        <v>275</v>
      </c>
      <c r="X15" s="16">
        <v>265</v>
      </c>
      <c r="Y15" s="17">
        <v>493</v>
      </c>
    </row>
    <row r="16" spans="1:25" s="23" customFormat="1" ht="19.5" customHeight="1">
      <c r="A16" s="22">
        <v>2011</v>
      </c>
      <c r="B16" s="14">
        <f t="shared" si="1"/>
        <v>534</v>
      </c>
      <c r="C16" s="16">
        <v>5</v>
      </c>
      <c r="D16" s="16">
        <v>196</v>
      </c>
      <c r="E16" s="16">
        <v>265</v>
      </c>
      <c r="F16" s="16">
        <v>68</v>
      </c>
      <c r="M16" s="26" t="s">
        <v>6</v>
      </c>
      <c r="N16" s="27">
        <v>4</v>
      </c>
      <c r="O16" s="27">
        <v>7</v>
      </c>
      <c r="P16" s="13">
        <v>19</v>
      </c>
      <c r="Q16" s="13">
        <v>25</v>
      </c>
      <c r="R16" s="13">
        <v>29</v>
      </c>
      <c r="S16" s="15">
        <v>52</v>
      </c>
      <c r="T16" s="15">
        <v>54</v>
      </c>
      <c r="U16" s="16">
        <v>77</v>
      </c>
      <c r="V16" s="16">
        <v>62</v>
      </c>
      <c r="W16" s="16">
        <v>60</v>
      </c>
      <c r="X16" s="16">
        <v>68</v>
      </c>
      <c r="Y16" s="17">
        <v>106</v>
      </c>
    </row>
    <row r="17" spans="1:17" s="23" customFormat="1" ht="19.5" customHeight="1">
      <c r="A17" s="28">
        <v>2012</v>
      </c>
      <c r="B17" s="29">
        <f t="shared" si="1"/>
        <v>1005</v>
      </c>
      <c r="C17" s="17">
        <v>8</v>
      </c>
      <c r="D17" s="17">
        <v>398</v>
      </c>
      <c r="E17" s="17">
        <v>493</v>
      </c>
      <c r="F17" s="17">
        <v>106</v>
      </c>
      <c r="M17" s="21"/>
      <c r="N17" s="21"/>
      <c r="O17" s="21"/>
      <c r="P17" s="21"/>
      <c r="Q17" s="21"/>
    </row>
    <row r="18" spans="1:17" s="34" customFormat="1" ht="12" customHeight="1">
      <c r="A18" s="31" t="s">
        <v>12</v>
      </c>
      <c r="B18" s="32"/>
      <c r="C18" s="33"/>
      <c r="D18" s="33"/>
      <c r="E18" s="33"/>
      <c r="M18" s="35"/>
      <c r="N18" s="35"/>
      <c r="O18" s="35"/>
      <c r="P18" s="35"/>
      <c r="Q18" s="35"/>
    </row>
    <row r="19" spans="1:17" s="38" customFormat="1" ht="15.75" customHeight="1">
      <c r="A19" s="39" t="s">
        <v>7</v>
      </c>
      <c r="B19" s="9"/>
      <c r="C19" s="10"/>
      <c r="D19" s="36"/>
      <c r="E19" s="36"/>
    </row>
    <row r="20" spans="1:17" ht="14.25" customHeight="1">
      <c r="F20" s="37" t="s">
        <v>11</v>
      </c>
    </row>
    <row r="21" spans="1:17" ht="14.25" customHeight="1">
      <c r="F21" s="30" t="s">
        <v>9</v>
      </c>
    </row>
    <row r="23" spans="1:17">
      <c r="B23" s="12"/>
      <c r="C23" s="12"/>
      <c r="D23" s="11"/>
      <c r="E23" s="11"/>
      <c r="F23" s="11"/>
    </row>
    <row r="24" spans="1:17">
      <c r="B24" s="12"/>
      <c r="C24" s="12"/>
      <c r="D24" s="11"/>
      <c r="E24" s="11"/>
      <c r="F24" s="11"/>
    </row>
    <row r="25" spans="1:17">
      <c r="C25" s="11"/>
      <c r="D25" s="11"/>
      <c r="E25" s="11"/>
      <c r="F25" s="11"/>
    </row>
    <row r="26" spans="1:17">
      <c r="C26" s="11"/>
      <c r="D26" s="11"/>
      <c r="E26" s="11"/>
      <c r="F26" s="11"/>
    </row>
  </sheetData>
  <mergeCells count="4">
    <mergeCell ref="A2:F2"/>
    <mergeCell ref="C3:F3"/>
    <mergeCell ref="B3:B4"/>
    <mergeCell ref="A1:F1"/>
  </mergeCells>
  <pageMargins left="0.56000000000000005" right="0.23" top="0.75" bottom="0.75" header="0.3" footer="0.3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6.13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2013-08-15T08:12:48Z</cp:lastPrinted>
  <dcterms:created xsi:type="dcterms:W3CDTF">2013-04-22T09:35:08Z</dcterms:created>
  <dcterms:modified xsi:type="dcterms:W3CDTF">2013-08-15T08:26:12Z</dcterms:modified>
</cp:coreProperties>
</file>