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810"/>
  </bookViews>
  <sheets>
    <sheet name="4.1" sheetId="3" r:id="rId1"/>
  </sheets>
  <calcPr calcId="124519"/>
</workbook>
</file>

<file path=xl/calcChain.xml><?xml version="1.0" encoding="utf-8"?>
<calcChain xmlns="http://schemas.openxmlformats.org/spreadsheetml/2006/main">
  <c r="B28" i="3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K8"/>
  <c r="J8"/>
  <c r="I8"/>
  <c r="H8"/>
  <c r="G8"/>
  <c r="F8"/>
  <c r="E8"/>
  <c r="D8"/>
  <c r="C8"/>
  <c r="B8"/>
  <c r="K6"/>
  <c r="J6"/>
  <c r="I6"/>
  <c r="H6"/>
  <c r="G6"/>
  <c r="F6"/>
  <c r="E6"/>
  <c r="D6"/>
  <c r="C6"/>
  <c r="B6"/>
</calcChain>
</file>

<file path=xl/sharedStrings.xml><?xml version="1.0" encoding="utf-8"?>
<sst xmlns="http://schemas.openxmlformats.org/spreadsheetml/2006/main" count="72" uniqueCount="71">
  <si>
    <t>2006 cnunemihOb ,ctogWviawfiheb cawtIsibEg cnutwvWb egunwtcnwt ELuairid : 4.1 clwvWt</t>
  </si>
  <si>
    <t xml:space="preserve">Table 4.1 :  HOUSEHOLDS CLASSIFIED BY STRUCTURE TYPE, CENSUS 2006 </t>
  </si>
  <si>
    <t>Locality</t>
  </si>
  <si>
    <t>Total households</t>
  </si>
  <si>
    <t>Living quarter</t>
  </si>
  <si>
    <t>Collective 
living 
quarter</t>
  </si>
  <si>
    <t>Establishment</t>
  </si>
  <si>
    <t>Institution</t>
  </si>
  <si>
    <t>Temporary shelter provided due to tsunami</t>
  </si>
  <si>
    <t>Permanent new housing provided due to tsunami</t>
  </si>
  <si>
    <t>Mobile unit 
such as boat, 
tent etc.</t>
  </si>
  <si>
    <t>Other</t>
  </si>
  <si>
    <t>Not 
stated</t>
  </si>
  <si>
    <t>Republic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</si>
  <si>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</si>
  <si>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</si>
  <si>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</si>
  <si>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</si>
  <si>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</si>
  <si>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</si>
  <si>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</si>
  <si>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</si>
  <si>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</si>
  <si>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</si>
  <si>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</si>
  <si>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</si>
  <si>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</si>
  <si>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</si>
  <si>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</si>
  <si>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</si>
  <si>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</si>
  <si>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</si>
  <si>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</si>
  <si>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</si>
  <si>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</si>
  <si>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</si>
  <si>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</si>
  <si>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</si>
  <si>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</si>
  <si>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</si>
  <si>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</si>
  <si>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</si>
  <si>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</si>
  <si>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</si>
  <si>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</si>
  <si>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</si>
  <si>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</si>
  <si>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</si>
  <si>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</si>
  <si>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</si>
  <si>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</si>
  <si>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</si>
  <si>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</si>
  <si>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</si>
  <si>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</si>
  <si>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</si>
  <si>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</si>
  <si>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 xml:space="preserve">Source: Department of National Planning </t>
  </si>
  <si>
    <t>AA</t>
  </si>
  <si>
    <t>ދިރިއުޅުމަށް ހުރި ތަންތަން</t>
  </si>
  <si>
    <t>ގިނަމީހުން ދިރިއުޅުމަށް ހުރި ތަންތަން</t>
  </si>
  <si>
    <t>މަސައްކަތް ހިންގުމަށް ހުރި ތަންތަން</t>
  </si>
  <si>
    <t>ރައްކާތެރިކޮށް މީހުން ބެލެހެއްޓުމަށް ގިނަމީހުން ދިރިއުޅުމަށް ހުރި ތަންތަން</t>
  </si>
  <si>
    <t xml:space="preserve">ސުނާމީއާއި ގުޅިގެން އަޅާދީފައިވާ ވަގުތީހިޔާ  </t>
  </si>
  <si>
    <t xml:space="preserve">ސުނާމީއާއި ގުޅިގެން އަޅާދީފައިވާ ދާއިމީ ހިޔާ </t>
  </si>
  <si>
    <t>ގެންދެވޭ ގޮތަށްހުރި ތަންތަން އުޅަނދު/ޓެންޓްފަދަ</t>
  </si>
  <si>
    <t>އެހެނިހެން</t>
  </si>
  <si>
    <t>ބަޔާންނުކުރާ</t>
  </si>
  <si>
    <t>ތަން</t>
  </si>
  <si>
    <t>ގޭބިސީގެ ޖުމްލަ އަދަދު</t>
  </si>
  <si>
    <t>gcninElcp clwnwxނޭ cfoa cTcnwmcTWpiD :ctWrwf ivcaedutWmUluAwm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</si>
</sst>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&quot;$&quot;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9"/>
      <name val="AKKO"/>
      <family val="2"/>
    </font>
    <font>
      <sz val="9"/>
      <name val="Courier"/>
      <family val="3"/>
    </font>
    <font>
      <b/>
      <sz val="11"/>
      <name val="A_Randhoo"/>
    </font>
    <font>
      <b/>
      <sz val="9"/>
      <name val="Faruma"/>
    </font>
    <font>
      <sz val="9"/>
      <name val="A_Faseyha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3" fillId="0" borderId="0"/>
    <xf numFmtId="166" fontId="3" fillId="0" borderId="0"/>
    <xf numFmtId="0" fontId="3" fillId="0" borderId="0"/>
    <xf numFmtId="0" fontId="2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0" fillId="2" borderId="0" xfId="0" applyFill="1" applyBorder="1"/>
    <xf numFmtId="0" fontId="0" fillId="2" borderId="0" xfId="0" applyFill="1"/>
    <xf numFmtId="0" fontId="6" fillId="2" borderId="1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9" fillId="2" borderId="0" xfId="5" applyNumberFormat="1" applyFont="1" applyFill="1" applyAlignment="1" applyProtection="1">
      <alignment horizontal="left" vertical="center"/>
    </xf>
    <xf numFmtId="3" fontId="9" fillId="2" borderId="0" xfId="1" applyNumberFormat="1" applyFont="1" applyFill="1" applyAlignment="1">
      <alignment horizontal="right"/>
    </xf>
    <xf numFmtId="0" fontId="8" fillId="2" borderId="0" xfId="0" applyFont="1" applyFill="1" applyBorder="1"/>
    <xf numFmtId="0" fontId="8" fillId="2" borderId="0" xfId="0" applyFont="1" applyFill="1"/>
    <xf numFmtId="3" fontId="9" fillId="2" borderId="0" xfId="0" applyNumberFormat="1" applyFont="1" applyFill="1" applyAlignment="1">
      <alignment horizontal="right"/>
    </xf>
    <xf numFmtId="164" fontId="10" fillId="2" borderId="0" xfId="5" applyNumberFormat="1" applyFont="1" applyFill="1" applyAlignment="1" applyProtection="1">
      <alignment horizontal="left" vertical="center"/>
    </xf>
    <xf numFmtId="3" fontId="9" fillId="2" borderId="0" xfId="1" applyNumberFormat="1" applyFont="1" applyFill="1" applyBorder="1" applyAlignment="1">
      <alignment horizontal="right"/>
    </xf>
    <xf numFmtId="3" fontId="10" fillId="2" borderId="0" xfId="0" applyNumberFormat="1" applyFont="1" applyFill="1" applyAlignment="1">
      <alignment horizontal="right"/>
    </xf>
    <xf numFmtId="164" fontId="10" fillId="2" borderId="1" xfId="5" applyNumberFormat="1" applyFont="1" applyFill="1" applyBorder="1" applyAlignment="1" applyProtection="1">
      <alignment horizontal="left" vertical="center"/>
    </xf>
    <xf numFmtId="3" fontId="9" fillId="2" borderId="1" xfId="1" applyNumberFormat="1" applyFont="1" applyFill="1" applyBorder="1" applyAlignment="1">
      <alignment horizontal="right"/>
    </xf>
    <xf numFmtId="3" fontId="10" fillId="2" borderId="1" xfId="0" applyNumberFormat="1" applyFont="1" applyFill="1" applyBorder="1" applyAlignment="1">
      <alignment horizontal="right"/>
    </xf>
    <xf numFmtId="164" fontId="12" fillId="2" borderId="0" xfId="4" applyNumberFormat="1" applyFont="1" applyFill="1" applyAlignment="1" applyProtection="1">
      <alignment horizontal="left" vertical="center"/>
    </xf>
    <xf numFmtId="164" fontId="13" fillId="2" borderId="0" xfId="4" applyNumberFormat="1" applyFont="1" applyFill="1" applyAlignment="1">
      <alignment vertical="center"/>
    </xf>
    <xf numFmtId="164" fontId="14" fillId="2" borderId="0" xfId="4" applyNumberFormat="1" applyFont="1" applyFill="1" applyAlignment="1">
      <alignment vertical="center"/>
    </xf>
    <xf numFmtId="164" fontId="15" fillId="2" borderId="0" xfId="4" applyNumberFormat="1" applyFont="1" applyFill="1" applyAlignment="1">
      <alignment vertical="center"/>
    </xf>
    <xf numFmtId="164" fontId="16" fillId="2" borderId="0" xfId="4" applyNumberFormat="1" applyFont="1" applyFill="1" applyAlignment="1">
      <alignment vertical="center"/>
    </xf>
    <xf numFmtId="164" fontId="7" fillId="2" borderId="0" xfId="5" applyNumberFormat="1" applyFont="1" applyFill="1" applyAlignment="1">
      <alignment horizontal="right" vertical="center"/>
    </xf>
    <xf numFmtId="164" fontId="11" fillId="2" borderId="0" xfId="5" applyNumberFormat="1" applyFont="1" applyFill="1" applyAlignment="1">
      <alignment horizontal="right" vertical="center"/>
    </xf>
    <xf numFmtId="164" fontId="11" fillId="2" borderId="1" xfId="5" applyNumberFormat="1" applyFont="1" applyFill="1" applyBorder="1" applyAlignment="1">
      <alignment horizontal="right" vertical="center"/>
    </xf>
    <xf numFmtId="0" fontId="0" fillId="2" borderId="3" xfId="0" applyFill="1" applyBorder="1"/>
    <xf numFmtId="0" fontId="18" fillId="2" borderId="3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164" fontId="19" fillId="2" borderId="0" xfId="4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top" wrapText="1"/>
    </xf>
    <xf numFmtId="0" fontId="17" fillId="2" borderId="0" xfId="2" applyFont="1" applyFill="1" applyAlignment="1">
      <alignment horizontal="center"/>
    </xf>
    <xf numFmtId="0" fontId="4" fillId="2" borderId="0" xfId="0" applyFont="1" applyFill="1" applyBorder="1" applyAlignment="1">
      <alignment horizontal="center" vertical="top" wrapText="1"/>
    </xf>
    <xf numFmtId="0" fontId="18" fillId="2" borderId="2" xfId="0" applyFont="1" applyFill="1" applyBorder="1" applyAlignment="1">
      <alignment horizontal="right" vertical="center" wrapText="1"/>
    </xf>
    <xf numFmtId="0" fontId="18" fillId="2" borderId="1" xfId="0" applyFont="1" applyFill="1" applyBorder="1" applyAlignment="1">
      <alignment horizontal="right" vertical="center" wrapText="1"/>
    </xf>
  </cellXfs>
  <cellStyles count="8">
    <cellStyle name="Comma" xfId="1" builtinId="3"/>
    <cellStyle name="Comma 2" xfId="6"/>
    <cellStyle name="Hyperlink_Housing - 3" xfId="7"/>
    <cellStyle name="Normal" xfId="0" builtinId="0"/>
    <cellStyle name="Normal 2" xfId="3"/>
    <cellStyle name="Normal_3 Population." xfId="4"/>
    <cellStyle name="Normal_Housing - 3" xfId="2"/>
    <cellStyle name="Normal_Stat Year Book 2007 tables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tabSelected="1" workbookViewId="0">
      <selection activeCell="B17" sqref="B17"/>
    </sheetView>
  </sheetViews>
  <sheetFormatPr defaultRowHeight="15"/>
  <cols>
    <col min="1" max="1" width="9.140625" style="2"/>
    <col min="2" max="2" width="10.5703125" style="2" customWidth="1"/>
    <col min="3" max="3" width="13.42578125" style="2" customWidth="1"/>
    <col min="4" max="5" width="13.28515625" style="2" customWidth="1"/>
    <col min="6" max="6" width="20" style="2" customWidth="1"/>
    <col min="7" max="7" width="17" style="2" customWidth="1"/>
    <col min="8" max="9" width="20.28515625" style="2" customWidth="1"/>
    <col min="10" max="11" width="9.140625" style="2"/>
    <col min="12" max="12" width="17.42578125" style="1" customWidth="1"/>
    <col min="13" max="20" width="9.140625" style="1"/>
    <col min="21" max="16384" width="9.140625" style="2"/>
  </cols>
  <sheetData>
    <row r="1" spans="1:20" ht="18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20" s="1" customForma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20" ht="9.7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20" ht="57" customHeight="1">
      <c r="A4" s="25"/>
      <c r="B4" s="26" t="s">
        <v>69</v>
      </c>
      <c r="C4" s="26" t="s">
        <v>59</v>
      </c>
      <c r="D4" s="26" t="s">
        <v>60</v>
      </c>
      <c r="E4" s="26" t="s">
        <v>61</v>
      </c>
      <c r="F4" s="26" t="s">
        <v>62</v>
      </c>
      <c r="G4" s="26" t="s">
        <v>63</v>
      </c>
      <c r="H4" s="26" t="s">
        <v>64</v>
      </c>
      <c r="I4" s="26" t="s">
        <v>65</v>
      </c>
      <c r="J4" s="26" t="s">
        <v>66</v>
      </c>
      <c r="K4" s="26" t="s">
        <v>67</v>
      </c>
      <c r="L4" s="32" t="s">
        <v>68</v>
      </c>
    </row>
    <row r="5" spans="1:20" s="5" customFormat="1" ht="38.25">
      <c r="A5" s="3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7" t="s">
        <v>12</v>
      </c>
      <c r="L5" s="33"/>
      <c r="M5" s="4"/>
      <c r="N5" s="4"/>
      <c r="O5" s="4"/>
      <c r="P5" s="4"/>
      <c r="Q5" s="4"/>
      <c r="R5" s="4"/>
      <c r="S5" s="4"/>
      <c r="T5" s="4"/>
    </row>
    <row r="6" spans="1:20" s="9" customFormat="1">
      <c r="A6" s="6" t="s">
        <v>13</v>
      </c>
      <c r="B6" s="7">
        <f t="shared" ref="B6:K6" si="0">SUM(B7:B8)</f>
        <v>46194</v>
      </c>
      <c r="C6" s="7">
        <f t="shared" si="0"/>
        <v>43193</v>
      </c>
      <c r="D6" s="7">
        <f t="shared" si="0"/>
        <v>162</v>
      </c>
      <c r="E6" s="7">
        <f t="shared" si="0"/>
        <v>66</v>
      </c>
      <c r="F6" s="7">
        <f t="shared" si="0"/>
        <v>16</v>
      </c>
      <c r="G6" s="7">
        <f t="shared" si="0"/>
        <v>877</v>
      </c>
      <c r="H6" s="7">
        <f t="shared" si="0"/>
        <v>37</v>
      </c>
      <c r="I6" s="7">
        <f t="shared" si="0"/>
        <v>462</v>
      </c>
      <c r="J6" s="7">
        <f t="shared" si="0"/>
        <v>24</v>
      </c>
      <c r="K6" s="7">
        <f t="shared" si="0"/>
        <v>1357</v>
      </c>
      <c r="L6" s="22" t="s">
        <v>14</v>
      </c>
      <c r="M6" s="8"/>
      <c r="N6" s="8"/>
      <c r="O6" s="8"/>
      <c r="P6" s="8"/>
      <c r="Q6" s="8"/>
      <c r="R6" s="8"/>
      <c r="S6" s="8"/>
      <c r="T6" s="8"/>
    </row>
    <row r="7" spans="1:20" s="9" customFormat="1">
      <c r="A7" s="6" t="s">
        <v>15</v>
      </c>
      <c r="B7" s="7">
        <v>14107</v>
      </c>
      <c r="C7" s="10">
        <v>12645</v>
      </c>
      <c r="D7" s="10">
        <v>53</v>
      </c>
      <c r="E7" s="10">
        <v>20</v>
      </c>
      <c r="F7" s="10">
        <v>1</v>
      </c>
      <c r="G7" s="10">
        <v>9</v>
      </c>
      <c r="H7" s="10">
        <v>1</v>
      </c>
      <c r="I7" s="10">
        <v>323</v>
      </c>
      <c r="J7" s="10">
        <v>5</v>
      </c>
      <c r="K7" s="10">
        <v>1050</v>
      </c>
      <c r="L7" s="22" t="s">
        <v>16</v>
      </c>
      <c r="M7" s="8"/>
      <c r="N7" s="8"/>
      <c r="O7" s="8"/>
      <c r="P7" s="8"/>
      <c r="Q7" s="8"/>
      <c r="R7" s="8"/>
      <c r="S7" s="8"/>
      <c r="T7" s="8"/>
    </row>
    <row r="8" spans="1:20" s="9" customFormat="1">
      <c r="A8" s="6" t="s">
        <v>17</v>
      </c>
      <c r="B8" s="7">
        <f>SUM(B9:B28)</f>
        <v>32087</v>
      </c>
      <c r="C8" s="7">
        <f>SUM(C9:C28)</f>
        <v>30548</v>
      </c>
      <c r="D8" s="7">
        <f>SUM(D9:D28)</f>
        <v>109</v>
      </c>
      <c r="E8" s="7">
        <f t="shared" ref="E8:K8" si="1">SUM(E9:E28)</f>
        <v>46</v>
      </c>
      <c r="F8" s="7">
        <f t="shared" si="1"/>
        <v>15</v>
      </c>
      <c r="G8" s="7">
        <f t="shared" si="1"/>
        <v>868</v>
      </c>
      <c r="H8" s="7">
        <f t="shared" si="1"/>
        <v>36</v>
      </c>
      <c r="I8" s="7">
        <f t="shared" si="1"/>
        <v>139</v>
      </c>
      <c r="J8" s="7">
        <f t="shared" si="1"/>
        <v>19</v>
      </c>
      <c r="K8" s="7">
        <f t="shared" si="1"/>
        <v>307</v>
      </c>
      <c r="L8" s="22" t="s">
        <v>18</v>
      </c>
      <c r="M8" s="8"/>
      <c r="N8" s="8"/>
      <c r="O8" s="8"/>
      <c r="P8" s="8"/>
      <c r="Q8" s="8"/>
      <c r="R8" s="8"/>
      <c r="S8" s="8"/>
      <c r="T8" s="8"/>
    </row>
    <row r="9" spans="1:20">
      <c r="A9" s="11" t="s">
        <v>19</v>
      </c>
      <c r="B9" s="12">
        <f>SUM(C9:K9)</f>
        <v>2425</v>
      </c>
      <c r="C9" s="13">
        <v>2399</v>
      </c>
      <c r="D9" s="13">
        <v>1</v>
      </c>
      <c r="E9" s="13">
        <v>1</v>
      </c>
      <c r="F9" s="13">
        <v>0</v>
      </c>
      <c r="G9" s="13">
        <v>1</v>
      </c>
      <c r="H9" s="13">
        <v>0</v>
      </c>
      <c r="I9" s="13">
        <v>10</v>
      </c>
      <c r="J9" s="13">
        <v>3</v>
      </c>
      <c r="K9" s="13">
        <v>10</v>
      </c>
      <c r="L9" s="23" t="s">
        <v>20</v>
      </c>
    </row>
    <row r="10" spans="1:20">
      <c r="A10" s="11" t="s">
        <v>21</v>
      </c>
      <c r="B10" s="12">
        <f t="shared" ref="B10:B28" si="2">SUM(C10:K10)</f>
        <v>2988</v>
      </c>
      <c r="C10" s="13">
        <v>2973</v>
      </c>
      <c r="D10" s="13">
        <v>4</v>
      </c>
      <c r="E10" s="13">
        <v>2</v>
      </c>
      <c r="F10" s="13">
        <v>0</v>
      </c>
      <c r="G10" s="13">
        <v>0</v>
      </c>
      <c r="H10" s="13">
        <v>0</v>
      </c>
      <c r="I10" s="13">
        <v>3</v>
      </c>
      <c r="J10" s="13">
        <v>2</v>
      </c>
      <c r="K10" s="13">
        <v>4</v>
      </c>
      <c r="L10" s="23" t="s">
        <v>22</v>
      </c>
    </row>
    <row r="11" spans="1:20">
      <c r="A11" s="11" t="s">
        <v>23</v>
      </c>
      <c r="B11" s="12">
        <f t="shared" si="2"/>
        <v>2099</v>
      </c>
      <c r="C11" s="13">
        <v>2088</v>
      </c>
      <c r="D11" s="13">
        <v>6</v>
      </c>
      <c r="E11" s="13">
        <v>0</v>
      </c>
      <c r="F11" s="13">
        <v>0</v>
      </c>
      <c r="G11" s="13">
        <v>0</v>
      </c>
      <c r="H11" s="13">
        <v>1</v>
      </c>
      <c r="I11" s="13">
        <v>3</v>
      </c>
      <c r="J11" s="13">
        <v>0</v>
      </c>
      <c r="K11" s="13">
        <v>1</v>
      </c>
      <c r="L11" s="23" t="s">
        <v>24</v>
      </c>
    </row>
    <row r="12" spans="1:20">
      <c r="A12" s="11" t="s">
        <v>25</v>
      </c>
      <c r="B12" s="12">
        <f t="shared" si="2"/>
        <v>1811</v>
      </c>
      <c r="C12" s="13">
        <v>1802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3</v>
      </c>
      <c r="J12" s="13">
        <v>0</v>
      </c>
      <c r="K12" s="13">
        <v>6</v>
      </c>
      <c r="L12" s="23" t="s">
        <v>26</v>
      </c>
    </row>
    <row r="13" spans="1:20">
      <c r="A13" s="11" t="s">
        <v>27</v>
      </c>
      <c r="B13" s="12">
        <f t="shared" si="2"/>
        <v>2538</v>
      </c>
      <c r="C13" s="13">
        <v>2114</v>
      </c>
      <c r="D13" s="13">
        <v>2</v>
      </c>
      <c r="E13" s="13">
        <v>2</v>
      </c>
      <c r="F13" s="13">
        <v>1</v>
      </c>
      <c r="G13" s="13">
        <v>411</v>
      </c>
      <c r="H13" s="13">
        <v>2</v>
      </c>
      <c r="I13" s="13">
        <v>3</v>
      </c>
      <c r="J13" s="13">
        <v>1</v>
      </c>
      <c r="K13" s="13">
        <v>2</v>
      </c>
      <c r="L13" s="23" t="s">
        <v>28</v>
      </c>
    </row>
    <row r="14" spans="1:20">
      <c r="A14" s="11" t="s">
        <v>29</v>
      </c>
      <c r="B14" s="12">
        <f t="shared" si="2"/>
        <v>1552</v>
      </c>
      <c r="C14" s="13">
        <v>1523</v>
      </c>
      <c r="D14" s="13">
        <v>5</v>
      </c>
      <c r="E14" s="13">
        <v>2</v>
      </c>
      <c r="F14" s="13">
        <v>0</v>
      </c>
      <c r="G14" s="13">
        <v>0</v>
      </c>
      <c r="H14" s="13">
        <v>0</v>
      </c>
      <c r="I14" s="13">
        <v>3</v>
      </c>
      <c r="J14" s="13">
        <v>0</v>
      </c>
      <c r="K14" s="13">
        <v>19</v>
      </c>
      <c r="L14" s="23" t="s">
        <v>30</v>
      </c>
    </row>
    <row r="15" spans="1:20">
      <c r="A15" s="11" t="s">
        <v>31</v>
      </c>
      <c r="B15" s="12">
        <f t="shared" si="2"/>
        <v>1449</v>
      </c>
      <c r="C15" s="13">
        <v>1424</v>
      </c>
      <c r="D15" s="13">
        <v>7</v>
      </c>
      <c r="E15" s="13">
        <v>2</v>
      </c>
      <c r="F15" s="13">
        <v>1</v>
      </c>
      <c r="G15" s="13">
        <v>0</v>
      </c>
      <c r="H15" s="13">
        <v>0</v>
      </c>
      <c r="I15" s="13">
        <v>2</v>
      </c>
      <c r="J15" s="13">
        <v>0</v>
      </c>
      <c r="K15" s="13">
        <v>13</v>
      </c>
      <c r="L15" s="23" t="s">
        <v>32</v>
      </c>
    </row>
    <row r="16" spans="1:20">
      <c r="A16" s="11" t="s">
        <v>33</v>
      </c>
      <c r="B16" s="12">
        <f t="shared" si="2"/>
        <v>1526</v>
      </c>
      <c r="C16" s="13">
        <v>1336</v>
      </c>
      <c r="D16" s="13">
        <v>41</v>
      </c>
      <c r="E16" s="13">
        <v>25</v>
      </c>
      <c r="F16" s="13">
        <v>5</v>
      </c>
      <c r="G16" s="13">
        <v>41</v>
      </c>
      <c r="H16" s="13">
        <v>12</v>
      </c>
      <c r="I16" s="13">
        <v>37</v>
      </c>
      <c r="J16" s="13">
        <v>0</v>
      </c>
      <c r="K16" s="13">
        <v>29</v>
      </c>
      <c r="L16" s="23" t="s">
        <v>34</v>
      </c>
    </row>
    <row r="17" spans="1:18">
      <c r="A17" s="11" t="s">
        <v>58</v>
      </c>
      <c r="B17" s="12">
        <f t="shared" si="2"/>
        <v>774</v>
      </c>
      <c r="C17" s="13">
        <v>756</v>
      </c>
      <c r="D17" s="13">
        <v>6</v>
      </c>
      <c r="E17" s="13">
        <v>1</v>
      </c>
      <c r="F17" s="13">
        <v>0</v>
      </c>
      <c r="G17" s="13">
        <v>0</v>
      </c>
      <c r="H17" s="13">
        <v>0</v>
      </c>
      <c r="I17" s="13">
        <v>2</v>
      </c>
      <c r="J17" s="13">
        <v>0</v>
      </c>
      <c r="K17" s="13">
        <v>9</v>
      </c>
      <c r="L17" s="23" t="s">
        <v>35</v>
      </c>
    </row>
    <row r="18" spans="1:18">
      <c r="A18" s="11" t="s">
        <v>36</v>
      </c>
      <c r="B18" s="12">
        <f t="shared" si="2"/>
        <v>1060</v>
      </c>
      <c r="C18" s="13">
        <v>1024</v>
      </c>
      <c r="D18" s="13">
        <v>13</v>
      </c>
      <c r="E18" s="13">
        <v>0</v>
      </c>
      <c r="F18" s="13">
        <v>0</v>
      </c>
      <c r="G18" s="13">
        <v>0</v>
      </c>
      <c r="H18" s="13">
        <v>12</v>
      </c>
      <c r="I18" s="13">
        <v>3</v>
      </c>
      <c r="J18" s="13">
        <v>0</v>
      </c>
      <c r="K18" s="13">
        <v>8</v>
      </c>
      <c r="L18" s="23" t="s">
        <v>37</v>
      </c>
    </row>
    <row r="19" spans="1:18">
      <c r="A19" s="11" t="s">
        <v>38</v>
      </c>
      <c r="B19" s="12">
        <f t="shared" si="2"/>
        <v>260</v>
      </c>
      <c r="C19" s="13">
        <v>244</v>
      </c>
      <c r="D19" s="13">
        <v>2</v>
      </c>
      <c r="E19" s="13">
        <v>0</v>
      </c>
      <c r="F19" s="13">
        <v>1</v>
      </c>
      <c r="G19" s="13">
        <v>0</v>
      </c>
      <c r="H19" s="13">
        <v>0</v>
      </c>
      <c r="I19" s="13">
        <v>8</v>
      </c>
      <c r="J19" s="13">
        <v>2</v>
      </c>
      <c r="K19" s="13">
        <v>3</v>
      </c>
      <c r="L19" s="23" t="s">
        <v>39</v>
      </c>
    </row>
    <row r="20" spans="1:18">
      <c r="A20" s="11" t="s">
        <v>40</v>
      </c>
      <c r="B20" s="12">
        <f t="shared" si="2"/>
        <v>793</v>
      </c>
      <c r="C20" s="13">
        <v>665</v>
      </c>
      <c r="D20" s="13">
        <v>1</v>
      </c>
      <c r="E20" s="13">
        <v>1</v>
      </c>
      <c r="F20" s="13">
        <v>1</v>
      </c>
      <c r="G20" s="13">
        <v>108</v>
      </c>
      <c r="H20" s="13">
        <v>4</v>
      </c>
      <c r="I20" s="13">
        <v>7</v>
      </c>
      <c r="J20" s="13">
        <v>1</v>
      </c>
      <c r="K20" s="13">
        <v>5</v>
      </c>
      <c r="L20" s="23" t="s">
        <v>41</v>
      </c>
    </row>
    <row r="21" spans="1:18">
      <c r="A21" s="11" t="s">
        <v>42</v>
      </c>
      <c r="B21" s="12">
        <f t="shared" si="2"/>
        <v>567</v>
      </c>
      <c r="C21" s="13">
        <v>550</v>
      </c>
      <c r="D21" s="13">
        <v>2</v>
      </c>
      <c r="E21" s="13">
        <v>0</v>
      </c>
      <c r="F21" s="13">
        <v>0</v>
      </c>
      <c r="G21" s="13">
        <v>0</v>
      </c>
      <c r="H21" s="13">
        <v>0</v>
      </c>
      <c r="I21" s="13">
        <v>9</v>
      </c>
      <c r="J21" s="13">
        <v>0</v>
      </c>
      <c r="K21" s="13">
        <v>6</v>
      </c>
      <c r="L21" s="23" t="s">
        <v>43</v>
      </c>
    </row>
    <row r="22" spans="1:18">
      <c r="A22" s="11" t="s">
        <v>44</v>
      </c>
      <c r="B22" s="12">
        <f t="shared" si="2"/>
        <v>768</v>
      </c>
      <c r="C22" s="13">
        <v>698</v>
      </c>
      <c r="D22" s="13">
        <v>2</v>
      </c>
      <c r="E22" s="13">
        <v>0</v>
      </c>
      <c r="F22" s="13">
        <v>0</v>
      </c>
      <c r="G22" s="13">
        <v>58</v>
      </c>
      <c r="H22" s="13">
        <v>0</v>
      </c>
      <c r="I22" s="13">
        <v>4</v>
      </c>
      <c r="J22" s="13">
        <v>1</v>
      </c>
      <c r="K22" s="13">
        <v>5</v>
      </c>
      <c r="L22" s="23" t="s">
        <v>45</v>
      </c>
    </row>
    <row r="23" spans="1:18">
      <c r="A23" s="11" t="s">
        <v>46</v>
      </c>
      <c r="B23" s="12">
        <f t="shared" si="2"/>
        <v>1454</v>
      </c>
      <c r="C23" s="13">
        <v>1241</v>
      </c>
      <c r="D23" s="13">
        <v>0</v>
      </c>
      <c r="E23" s="13">
        <v>2</v>
      </c>
      <c r="F23" s="13">
        <v>1</v>
      </c>
      <c r="G23" s="13">
        <v>152</v>
      </c>
      <c r="H23" s="13">
        <v>2</v>
      </c>
      <c r="I23" s="13">
        <v>3</v>
      </c>
      <c r="J23" s="13">
        <v>1</v>
      </c>
      <c r="K23" s="13">
        <v>52</v>
      </c>
      <c r="L23" s="23" t="s">
        <v>47</v>
      </c>
    </row>
    <row r="24" spans="1:18">
      <c r="A24" s="11" t="s">
        <v>48</v>
      </c>
      <c r="B24" s="12">
        <f t="shared" si="2"/>
        <v>1970</v>
      </c>
      <c r="C24" s="13">
        <v>1797</v>
      </c>
      <c r="D24" s="13">
        <v>6</v>
      </c>
      <c r="E24" s="13">
        <v>3</v>
      </c>
      <c r="F24" s="13">
        <v>1</v>
      </c>
      <c r="G24" s="13">
        <v>87</v>
      </c>
      <c r="H24" s="13">
        <v>2</v>
      </c>
      <c r="I24" s="13">
        <v>12</v>
      </c>
      <c r="J24" s="13">
        <v>2</v>
      </c>
      <c r="K24" s="13">
        <v>60</v>
      </c>
      <c r="L24" s="23" t="s">
        <v>49</v>
      </c>
    </row>
    <row r="25" spans="1:18">
      <c r="A25" s="11" t="s">
        <v>50</v>
      </c>
      <c r="B25" s="12">
        <f t="shared" si="2"/>
        <v>1472</v>
      </c>
      <c r="C25" s="13">
        <v>1426</v>
      </c>
      <c r="D25" s="13">
        <v>2</v>
      </c>
      <c r="E25" s="13">
        <v>2</v>
      </c>
      <c r="F25" s="13">
        <v>1</v>
      </c>
      <c r="G25" s="13">
        <v>10</v>
      </c>
      <c r="H25" s="13">
        <v>1</v>
      </c>
      <c r="I25" s="13">
        <v>4</v>
      </c>
      <c r="J25" s="13">
        <v>6</v>
      </c>
      <c r="K25" s="13">
        <v>20</v>
      </c>
      <c r="L25" s="23" t="s">
        <v>51</v>
      </c>
    </row>
    <row r="26" spans="1:18">
      <c r="A26" s="11" t="s">
        <v>52</v>
      </c>
      <c r="B26" s="12">
        <f t="shared" si="2"/>
        <v>2145</v>
      </c>
      <c r="C26" s="13">
        <v>2108</v>
      </c>
      <c r="D26" s="13">
        <v>5</v>
      </c>
      <c r="E26" s="13">
        <v>2</v>
      </c>
      <c r="F26" s="13">
        <v>1</v>
      </c>
      <c r="G26" s="13">
        <v>0</v>
      </c>
      <c r="H26" s="13">
        <v>0</v>
      </c>
      <c r="I26" s="13">
        <v>10</v>
      </c>
      <c r="J26" s="13">
        <v>0</v>
      </c>
      <c r="K26" s="13">
        <v>19</v>
      </c>
      <c r="L26" s="23" t="s">
        <v>53</v>
      </c>
    </row>
    <row r="27" spans="1:18">
      <c r="A27" s="11" t="s">
        <v>54</v>
      </c>
      <c r="B27" s="12">
        <f t="shared" si="2"/>
        <v>1332</v>
      </c>
      <c r="C27" s="13">
        <v>1306</v>
      </c>
      <c r="D27" s="13">
        <v>1</v>
      </c>
      <c r="E27" s="13">
        <v>0</v>
      </c>
      <c r="F27" s="13">
        <v>0</v>
      </c>
      <c r="G27" s="13">
        <v>0</v>
      </c>
      <c r="H27" s="13">
        <v>0</v>
      </c>
      <c r="I27" s="13">
        <v>7</v>
      </c>
      <c r="J27" s="13">
        <v>0</v>
      </c>
      <c r="K27" s="13">
        <v>18</v>
      </c>
      <c r="L27" s="23" t="s">
        <v>55</v>
      </c>
    </row>
    <row r="28" spans="1:18">
      <c r="A28" s="14" t="s">
        <v>24</v>
      </c>
      <c r="B28" s="15">
        <f t="shared" si="2"/>
        <v>3104</v>
      </c>
      <c r="C28" s="16">
        <v>3074</v>
      </c>
      <c r="D28" s="16">
        <v>3</v>
      </c>
      <c r="E28" s="16">
        <v>1</v>
      </c>
      <c r="F28" s="16">
        <v>2</v>
      </c>
      <c r="G28" s="16">
        <v>0</v>
      </c>
      <c r="H28" s="16">
        <v>0</v>
      </c>
      <c r="I28" s="16">
        <v>6</v>
      </c>
      <c r="J28" s="16">
        <v>0</v>
      </c>
      <c r="K28" s="16">
        <v>18</v>
      </c>
      <c r="L28" s="24" t="s">
        <v>56</v>
      </c>
    </row>
    <row r="29" spans="1:18" s="18" customFormat="1" ht="14.25">
      <c r="A29" s="17" t="s">
        <v>57</v>
      </c>
      <c r="E29" s="19"/>
      <c r="J29" s="20"/>
      <c r="K29" s="20"/>
      <c r="L29" s="28" t="s">
        <v>70</v>
      </c>
      <c r="M29" s="20"/>
      <c r="O29" s="21"/>
      <c r="P29" s="21"/>
      <c r="R29" s="21"/>
    </row>
  </sheetData>
  <mergeCells count="3">
    <mergeCell ref="A1:L1"/>
    <mergeCell ref="A2:L2"/>
    <mergeCell ref="L4:L5"/>
  </mergeCells>
  <pageMargins left="0.13" right="0.22" top="0.75" bottom="0.75" header="0.3" footer="0.3"/>
  <pageSetup paperSize="9" scale="83" orientation="landscape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2013-07-02T08:42:18Z</cp:lastPrinted>
  <dcterms:created xsi:type="dcterms:W3CDTF">2013-04-22T08:56:04Z</dcterms:created>
  <dcterms:modified xsi:type="dcterms:W3CDTF">2013-07-02T08:44:21Z</dcterms:modified>
</cp:coreProperties>
</file>