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 tabRatio="810"/>
  </bookViews>
  <sheets>
    <sheet name="4.7" sheetId="9" r:id="rId1"/>
  </sheets>
  <definedNames>
    <definedName name="_xlnm.Print_Area" localSheetId="0">'4.7'!$A$1:$J$20</definedName>
  </definedNames>
  <calcPr calcId="124519"/>
</workbook>
</file>

<file path=xl/calcChain.xml><?xml version="1.0" encoding="utf-8"?>
<calcChain xmlns="http://schemas.openxmlformats.org/spreadsheetml/2006/main">
  <c r="E17" i="9"/>
  <c r="E12"/>
  <c r="E18" l="1"/>
</calcChain>
</file>

<file path=xl/sharedStrings.xml><?xml version="1.0" encoding="utf-8"?>
<sst xmlns="http://schemas.openxmlformats.org/spreadsheetml/2006/main" count="53" uniqueCount="52">
  <si>
    <t>K</t>
  </si>
  <si>
    <t>M</t>
  </si>
  <si>
    <t>Th</t>
  </si>
  <si>
    <t>GA</t>
  </si>
  <si>
    <t>ޚަރަދު</t>
  </si>
  <si>
    <t>ކުރިއަށްދާ ގޮތް</t>
  </si>
  <si>
    <t>ޚަރަދުކުރާ ފަރާތް</t>
  </si>
  <si>
    <t>Status</t>
  </si>
  <si>
    <t>Atoll</t>
  </si>
  <si>
    <t>Island</t>
  </si>
  <si>
    <t>Cost (MRF)</t>
  </si>
  <si>
    <t>Scope</t>
  </si>
  <si>
    <t>Funding Source</t>
  </si>
  <si>
    <t>Commencement Date</t>
  </si>
  <si>
    <t>TSUNAMI HOUSING PROJECT</t>
  </si>
  <si>
    <t>Madifushi</t>
  </si>
  <si>
    <t>ABU DHAbI</t>
  </si>
  <si>
    <t>120 units</t>
  </si>
  <si>
    <t>Saudi fund</t>
  </si>
  <si>
    <t>298 units</t>
  </si>
  <si>
    <t>Kolhufushi</t>
  </si>
  <si>
    <t>ADB</t>
  </si>
  <si>
    <t>167 units</t>
  </si>
  <si>
    <t>HOUSING UNITS PROJECT</t>
  </si>
  <si>
    <t>Hulhumale'</t>
  </si>
  <si>
    <t>Chinese Exim</t>
  </si>
  <si>
    <t>1000 units</t>
  </si>
  <si>
    <t>Hulhumale' and Thinadhoo</t>
  </si>
  <si>
    <t>Indian Exim</t>
  </si>
  <si>
    <t>385 units</t>
  </si>
  <si>
    <t xml:space="preserve">Source: Ministry of Housing and Infrastructure </t>
  </si>
  <si>
    <t>މަޢުލޫމާތުދެއްވި ފަރާތް:  މިނިސްޓްރީ އޮފް ހައުސިން އެންޑް އިންފަރާސްޓްރަކްޗަރ</t>
  </si>
  <si>
    <t>Nilandhoo and Dhaandhoo</t>
  </si>
  <si>
    <t>ފެށި ތާރީޚް</t>
  </si>
  <si>
    <t>Villingli , Maamendhoo</t>
  </si>
  <si>
    <t xml:space="preserve"> TABLE: 4.7 ONGOING HOUSING PROJECTS, 2012</t>
  </si>
  <si>
    <t>K , GDh</t>
  </si>
  <si>
    <t>ސުނާމީއާއިގުޅިގެން އަޅާ ގެދޮރުގެ މަޝްރޫޢު</t>
  </si>
  <si>
    <t>ގެދޮރު އެޅުމުގެ މަޝްރޫޢު</t>
  </si>
  <si>
    <t>ޖުމްލަ ޚަރަދު (ރުފިޔާ)</t>
  </si>
  <si>
    <t>ޖުމްލަ (ރުފިޔާ)</t>
  </si>
  <si>
    <t xml:space="preserve"> ޖުމްލަ (ރުފިޔާ)</t>
  </si>
  <si>
    <t>GRAND TOTAL VALUE (MVR)</t>
  </si>
  <si>
    <t>TOTAL VALUE (MVR)</t>
  </si>
  <si>
    <t xml:space="preserve"> ތާވަލް 4.7: 2012 ގައި ކުރިއަށް ގެންދެވުނު ގެދޮރު އެޅުމުގެ މަޝްރޫޢުތައް</t>
  </si>
  <si>
    <t>ތ.މަޑިފުށި</t>
  </si>
  <si>
    <t xml:space="preserve">ގއ. ވިލިގިނލި، ގއ.މާމެންދޫ، </t>
  </si>
  <si>
    <t>ގއ.ނިލަންދޫ އަދި ގއ.ދާންދޫ</t>
  </si>
  <si>
    <t>މ.ކޮޅުފުށި</t>
  </si>
  <si>
    <t>ކ.ހުޅުމާލެ</t>
  </si>
  <si>
    <t>ކ.ހުޅުމާލެ އަދި ގދ.ތިނަދޫ</t>
  </si>
  <si>
    <t>އަތޮޅު/ރަށް</t>
  </si>
</sst>
</file>

<file path=xl/styles.xml><?xml version="1.0" encoding="utf-8"?>
<styleSheet xmlns="http://schemas.openxmlformats.org/spreadsheetml/2006/main">
  <numFmts count="6">
    <numFmt numFmtId="164" formatCode="General_)"/>
    <numFmt numFmtId="165" formatCode="_(* #,##0_);_(* \(#,##0\);_(* &quot;-&quot;??_);_(@_)"/>
    <numFmt numFmtId="166" formatCode="&quot;$&quot;#,##0.00"/>
    <numFmt numFmtId="167" formatCode="_-* #,##0_-;\-* #,##0_-;_-* &quot;-&quot;??_-;_-@_-"/>
    <numFmt numFmtId="168" formatCode="[$-409]mmm\-yy;@"/>
    <numFmt numFmtId="169" formatCode="_-* #,##0.00_-;\-* #,##0.00_-;_-* &quot;-&quot;??_-;_-@_-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Faruma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b/>
      <sz val="10"/>
      <color theme="1"/>
      <name val="Faruma"/>
    </font>
    <font>
      <u/>
      <sz val="10"/>
      <color indexed="12"/>
      <name val="Arial"/>
      <family val="2"/>
    </font>
    <font>
      <b/>
      <sz val="11"/>
      <color theme="1"/>
      <name val="Faruma"/>
    </font>
    <font>
      <sz val="11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</borders>
  <cellStyleXfs count="6">
    <xf numFmtId="0" fontId="0" fillId="0" borderId="0"/>
    <xf numFmtId="165" fontId="3" fillId="0" borderId="0"/>
    <xf numFmtId="0" fontId="7" fillId="0" borderId="0"/>
    <xf numFmtId="166" fontId="3" fillId="0" borderId="0"/>
    <xf numFmtId="0" fontId="2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0" fillId="2" borderId="0" xfId="0" applyFill="1"/>
    <xf numFmtId="4" fontId="0" fillId="2" borderId="0" xfId="0" applyNumberFormat="1" applyFont="1" applyFill="1" applyBorder="1"/>
    <xf numFmtId="4" fontId="4" fillId="2" borderId="0" xfId="0" applyNumberFormat="1" applyFont="1" applyFill="1" applyBorder="1" applyAlignment="1">
      <alignment vertical="center"/>
    </xf>
    <xf numFmtId="4" fontId="4" fillId="2" borderId="0" xfId="0" applyNumberFormat="1" applyFont="1" applyFill="1" applyBorder="1" applyAlignment="1">
      <alignment horizontal="center" vertical="center"/>
    </xf>
    <xf numFmtId="4" fontId="4" fillId="2" borderId="0" xfId="0" applyNumberFormat="1" applyFont="1" applyFill="1" applyBorder="1" applyAlignment="1">
      <alignment horizontal="center" vertical="center" wrapText="1"/>
    </xf>
    <xf numFmtId="168" fontId="4" fillId="2" borderId="0" xfId="0" applyNumberFormat="1" applyFont="1" applyFill="1" applyBorder="1" applyAlignment="1">
      <alignment horizontal="center" vertical="center" wrapText="1"/>
    </xf>
    <xf numFmtId="4" fontId="1" fillId="2" borderId="0" xfId="0" applyNumberFormat="1" applyFont="1" applyFill="1" applyBorder="1" applyAlignment="1">
      <alignment vertical="justify"/>
    </xf>
    <xf numFmtId="3" fontId="0" fillId="2" borderId="0" xfId="0" applyNumberFormat="1" applyFont="1" applyFill="1" applyBorder="1" applyAlignment="1">
      <alignment horizontal="left" vertical="center"/>
    </xf>
    <xf numFmtId="169" fontId="0" fillId="2" borderId="0" xfId="0" applyNumberFormat="1" applyFont="1" applyFill="1" applyBorder="1" applyAlignment="1">
      <alignment vertical="center" wrapText="1"/>
    </xf>
    <xf numFmtId="3" fontId="1" fillId="2" borderId="4" xfId="0" applyNumberFormat="1" applyFont="1" applyFill="1" applyBorder="1" applyAlignment="1">
      <alignment horizontal="left" vertical="center"/>
    </xf>
    <xf numFmtId="167" fontId="1" fillId="2" borderId="4" xfId="0" applyNumberFormat="1" applyFont="1" applyFill="1" applyBorder="1" applyAlignment="1">
      <alignment vertical="center"/>
    </xf>
    <xf numFmtId="3" fontId="0" fillId="2" borderId="0" xfId="0" applyNumberFormat="1" applyFont="1" applyFill="1" applyBorder="1" applyAlignment="1">
      <alignment horizontal="center" vertical="center"/>
    </xf>
    <xf numFmtId="164" fontId="14" fillId="2" borderId="0" xfId="3" applyNumberFormat="1" applyFont="1" applyFill="1" applyAlignment="1">
      <alignment horizontal="right" vertical="center"/>
    </xf>
    <xf numFmtId="0" fontId="13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4" fontId="1" fillId="2" borderId="1" xfId="0" applyNumberFormat="1" applyFont="1" applyFill="1" applyBorder="1" applyAlignment="1">
      <alignment horizontal="center" vertical="center"/>
    </xf>
    <xf numFmtId="4" fontId="5" fillId="2" borderId="1" xfId="0" applyNumberFormat="1" applyFont="1" applyFill="1" applyBorder="1" applyAlignment="1">
      <alignment horizontal="center" vertical="center"/>
    </xf>
    <xf numFmtId="4" fontId="5" fillId="2" borderId="1" xfId="0" applyNumberFormat="1" applyFont="1" applyFill="1" applyBorder="1" applyAlignment="1">
      <alignment horizontal="center" vertical="center" wrapText="1"/>
    </xf>
    <xf numFmtId="168" fontId="5" fillId="2" borderId="1" xfId="0" applyNumberFormat="1" applyFont="1" applyFill="1" applyBorder="1" applyAlignment="1">
      <alignment horizontal="center" vertical="center" wrapText="1"/>
    </xf>
    <xf numFmtId="4" fontId="9" fillId="2" borderId="5" xfId="0" applyNumberFormat="1" applyFont="1" applyFill="1" applyBorder="1" applyAlignment="1">
      <alignment horizontal="center" vertical="center"/>
    </xf>
    <xf numFmtId="4" fontId="15" fillId="2" borderId="5" xfId="0" applyNumberFormat="1" applyFont="1" applyFill="1" applyBorder="1" applyAlignment="1">
      <alignment horizontal="center" vertical="center"/>
    </xf>
    <xf numFmtId="4" fontId="15" fillId="2" borderId="5" xfId="0" applyNumberFormat="1" applyFont="1" applyFill="1" applyBorder="1" applyAlignment="1">
      <alignment horizontal="center" vertical="center" wrapText="1"/>
    </xf>
    <xf numFmtId="4" fontId="10" fillId="2" borderId="0" xfId="0" applyNumberFormat="1" applyFont="1" applyFill="1" applyBorder="1" applyAlignment="1">
      <alignment horizontal="center"/>
    </xf>
    <xf numFmtId="4" fontId="0" fillId="2" borderId="0" xfId="0" applyNumberFormat="1" applyFill="1" applyBorder="1" applyAlignment="1">
      <alignment horizontal="left" vertical="center"/>
    </xf>
    <xf numFmtId="167" fontId="0" fillId="2" borderId="0" xfId="0" applyNumberFormat="1" applyFont="1" applyFill="1" applyBorder="1" applyAlignment="1">
      <alignment vertical="center" wrapText="1"/>
    </xf>
    <xf numFmtId="167" fontId="0" fillId="2" borderId="0" xfId="0" applyNumberFormat="1" applyFont="1" applyFill="1" applyBorder="1" applyAlignment="1">
      <alignment horizontal="right" vertical="center" wrapText="1"/>
    </xf>
    <xf numFmtId="4" fontId="0" fillId="2" borderId="0" xfId="0" applyNumberFormat="1" applyFill="1" applyBorder="1" applyAlignment="1">
      <alignment horizontal="center" vertical="center"/>
    </xf>
    <xf numFmtId="168" fontId="0" fillId="2" borderId="0" xfId="0" applyNumberFormat="1" applyFont="1" applyFill="1" applyBorder="1" applyAlignment="1">
      <alignment horizontal="center" vertical="center"/>
    </xf>
    <xf numFmtId="9" fontId="0" fillId="2" borderId="0" xfId="0" applyNumberFormat="1" applyFont="1" applyFill="1" applyBorder="1" applyAlignment="1">
      <alignment horizontal="center" vertical="center" wrapText="1"/>
    </xf>
    <xf numFmtId="4" fontId="17" fillId="2" borderId="0" xfId="0" applyNumberFormat="1" applyFont="1" applyFill="1" applyBorder="1" applyAlignment="1">
      <alignment horizontal="right" vertical="center"/>
    </xf>
    <xf numFmtId="4" fontId="18" fillId="2" borderId="0" xfId="0" applyNumberFormat="1" applyFont="1" applyFill="1" applyBorder="1" applyAlignment="1">
      <alignment vertical="center"/>
    </xf>
    <xf numFmtId="167" fontId="1" fillId="2" borderId="0" xfId="0" applyNumberFormat="1" applyFont="1" applyFill="1" applyBorder="1" applyAlignment="1">
      <alignment vertical="center"/>
    </xf>
    <xf numFmtId="4" fontId="0" fillId="2" borderId="0" xfId="0" applyNumberFormat="1" applyFont="1" applyFill="1" applyBorder="1" applyAlignment="1">
      <alignment vertical="center"/>
    </xf>
    <xf numFmtId="168" fontId="0" fillId="2" borderId="4" xfId="0" applyNumberFormat="1" applyFont="1" applyFill="1" applyBorder="1" applyAlignment="1">
      <alignment horizontal="center" vertical="center"/>
    </xf>
    <xf numFmtId="9" fontId="0" fillId="2" borderId="4" xfId="0" applyNumberForma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vertical="center"/>
    </xf>
    <xf numFmtId="4" fontId="0" fillId="2" borderId="0" xfId="0" applyNumberFormat="1" applyFill="1" applyBorder="1" applyAlignment="1">
      <alignment vertical="center"/>
    </xf>
    <xf numFmtId="0" fontId="0" fillId="2" borderId="0" xfId="0" applyFill="1" applyAlignment="1">
      <alignment vertical="center"/>
    </xf>
    <xf numFmtId="0" fontId="12" fillId="2" borderId="0" xfId="0" applyFont="1" applyFill="1" applyBorder="1" applyAlignment="1">
      <alignment horizontal="right" vertical="center" wrapText="1"/>
    </xf>
    <xf numFmtId="3" fontId="1" fillId="2" borderId="0" xfId="0" applyNumberFormat="1" applyFont="1" applyFill="1" applyBorder="1" applyAlignment="1">
      <alignment horizontal="left" vertical="center"/>
    </xf>
    <xf numFmtId="3" fontId="1" fillId="2" borderId="3" xfId="0" applyNumberFormat="1" applyFont="1" applyFill="1" applyBorder="1" applyAlignment="1">
      <alignment horizontal="left" vertical="center"/>
    </xf>
    <xf numFmtId="167" fontId="1" fillId="2" borderId="3" xfId="0" applyNumberFormat="1" applyFont="1" applyFill="1" applyBorder="1" applyAlignment="1">
      <alignment vertical="center"/>
    </xf>
    <xf numFmtId="0" fontId="17" fillId="2" borderId="3" xfId="0" applyFont="1" applyFill="1" applyBorder="1" applyAlignment="1">
      <alignment vertical="center"/>
    </xf>
    <xf numFmtId="167" fontId="1" fillId="2" borderId="0" xfId="0" applyNumberFormat="1" applyFont="1" applyFill="1" applyBorder="1" applyAlignment="1">
      <alignment horizontal="right" vertical="center" wrapText="1"/>
    </xf>
    <xf numFmtId="167" fontId="1" fillId="2" borderId="4" xfId="0" applyNumberFormat="1" applyFont="1" applyFill="1" applyBorder="1" applyAlignment="1">
      <alignment horizontal="right" vertical="center"/>
    </xf>
    <xf numFmtId="4" fontId="1" fillId="2" borderId="0" xfId="0" applyNumberFormat="1" applyFont="1" applyFill="1" applyBorder="1" applyAlignment="1">
      <alignment vertical="center"/>
    </xf>
    <xf numFmtId="4" fontId="1" fillId="2" borderId="3" xfId="0" applyNumberFormat="1" applyFont="1" applyFill="1" applyBorder="1" applyAlignment="1">
      <alignment vertical="center"/>
    </xf>
    <xf numFmtId="168" fontId="1" fillId="2" borderId="3" xfId="0" applyNumberFormat="1" applyFont="1" applyFill="1" applyBorder="1" applyAlignment="1">
      <alignment horizontal="center" vertical="center"/>
    </xf>
    <xf numFmtId="4" fontId="0" fillId="2" borderId="4" xfId="0" applyNumberFormat="1" applyFont="1" applyFill="1" applyBorder="1" applyAlignment="1">
      <alignment horizontal="left" vertical="center"/>
    </xf>
    <xf numFmtId="4" fontId="0" fillId="2" borderId="4" xfId="0" applyNumberFormat="1" applyFont="1" applyFill="1" applyBorder="1" applyAlignment="1">
      <alignment vertical="center"/>
    </xf>
    <xf numFmtId="4" fontId="0" fillId="2" borderId="4" xfId="0" applyNumberFormat="1" applyFill="1" applyBorder="1" applyAlignment="1">
      <alignment horizontal="center" vertical="center"/>
    </xf>
    <xf numFmtId="168" fontId="1" fillId="2" borderId="0" xfId="0" applyNumberFormat="1" applyFont="1" applyFill="1" applyBorder="1" applyAlignment="1">
      <alignment horizontal="center" vertical="center"/>
    </xf>
    <xf numFmtId="4" fontId="17" fillId="2" borderId="2" xfId="0" applyNumberFormat="1" applyFont="1" applyFill="1" applyBorder="1" applyAlignment="1">
      <alignment vertical="center"/>
    </xf>
    <xf numFmtId="4" fontId="4" fillId="2" borderId="0" xfId="0" applyNumberFormat="1" applyFont="1" applyFill="1" applyBorder="1" applyAlignment="1">
      <alignment horizontal="left" vertical="center"/>
    </xf>
    <xf numFmtId="4" fontId="11" fillId="2" borderId="2" xfId="0" applyNumberFormat="1" applyFont="1" applyFill="1" applyBorder="1" applyAlignment="1">
      <alignment horizontal="center" vertical="center"/>
    </xf>
    <xf numFmtId="4" fontId="11" fillId="2" borderId="1" xfId="0" applyNumberFormat="1" applyFont="1" applyFill="1" applyBorder="1" applyAlignment="1">
      <alignment horizontal="center" vertical="center"/>
    </xf>
    <xf numFmtId="4" fontId="0" fillId="2" borderId="0" xfId="0" applyNumberFormat="1" applyFill="1" applyBorder="1" applyAlignment="1">
      <alignment horizontal="center" vertical="center"/>
    </xf>
    <xf numFmtId="167" fontId="0" fillId="2" borderId="0" xfId="0" applyNumberFormat="1" applyFont="1" applyFill="1" applyBorder="1" applyAlignment="1">
      <alignment horizontal="center" vertical="center" wrapText="1"/>
    </xf>
    <xf numFmtId="168" fontId="0" fillId="2" borderId="0" xfId="0" applyNumberFormat="1" applyFont="1" applyFill="1" applyBorder="1" applyAlignment="1">
      <alignment horizontal="center" vertical="center"/>
    </xf>
    <xf numFmtId="9" fontId="0" fillId="2" borderId="0" xfId="0" applyNumberFormat="1" applyFont="1" applyFill="1" applyBorder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4" fontId="5" fillId="2" borderId="2" xfId="0" applyNumberFormat="1" applyFont="1" applyFill="1" applyBorder="1" applyAlignment="1">
      <alignment horizontal="center" vertical="center"/>
    </xf>
    <xf numFmtId="4" fontId="5" fillId="2" borderId="1" xfId="0" applyNumberFormat="1" applyFont="1" applyFill="1" applyBorder="1" applyAlignment="1">
      <alignment horizontal="center" vertical="center"/>
    </xf>
    <xf numFmtId="4" fontId="15" fillId="2" borderId="2" xfId="0" applyNumberFormat="1" applyFont="1" applyFill="1" applyBorder="1" applyAlignment="1">
      <alignment horizontal="right" vertical="center"/>
    </xf>
    <xf numFmtId="4" fontId="15" fillId="2" borderId="1" xfId="0" applyNumberFormat="1" applyFont="1" applyFill="1" applyBorder="1" applyAlignment="1">
      <alignment horizontal="right" vertical="center"/>
    </xf>
    <xf numFmtId="4" fontId="5" fillId="2" borderId="2" xfId="0" applyNumberFormat="1" applyFont="1" applyFill="1" applyBorder="1" applyAlignment="1">
      <alignment horizontal="left" vertical="center" wrapText="1"/>
    </xf>
    <xf numFmtId="4" fontId="5" fillId="2" borderId="1" xfId="0" applyNumberFormat="1" applyFont="1" applyFill="1" applyBorder="1" applyAlignment="1">
      <alignment horizontal="left" vertical="center" wrapText="1"/>
    </xf>
    <xf numFmtId="0" fontId="5" fillId="2" borderId="0" xfId="2" applyFont="1" applyFill="1" applyBorder="1" applyAlignment="1">
      <alignment horizontal="center" vertical="center"/>
    </xf>
    <xf numFmtId="4" fontId="8" fillId="2" borderId="1" xfId="0" applyNumberFormat="1" applyFont="1" applyFill="1" applyBorder="1" applyAlignment="1">
      <alignment horizontal="left"/>
    </xf>
  </cellXfs>
  <cellStyles count="6">
    <cellStyle name="Comma 2" xfId="4"/>
    <cellStyle name="Hyperlink_Housing - 3" xfId="5"/>
    <cellStyle name="Normal" xfId="0" builtinId="0"/>
    <cellStyle name="Normal 2" xfId="1"/>
    <cellStyle name="Normal_3 Population." xfId="3"/>
    <cellStyle name="Normal_Housing - 3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26"/>
  <sheetViews>
    <sheetView tabSelected="1" workbookViewId="0">
      <selection activeCell="F18" sqref="F18"/>
    </sheetView>
  </sheetViews>
  <sheetFormatPr defaultRowHeight="15"/>
  <cols>
    <col min="1" max="1" width="2.28515625" style="1" customWidth="1"/>
    <col min="2" max="2" width="8" style="1" customWidth="1"/>
    <col min="3" max="3" width="26" style="1" customWidth="1"/>
    <col min="4" max="4" width="16.85546875" style="1" customWidth="1"/>
    <col min="5" max="5" width="15.140625" style="1" customWidth="1"/>
    <col min="6" max="6" width="20.42578125" style="1" customWidth="1"/>
    <col min="7" max="8" width="11.7109375" style="1" customWidth="1"/>
    <col min="9" max="9" width="29.28515625" style="1" customWidth="1"/>
    <col min="10" max="16384" width="9.140625" style="1"/>
  </cols>
  <sheetData>
    <row r="1" spans="1:10" ht="10.5" customHeight="1"/>
    <row r="2" spans="1:10" ht="20.25" customHeight="1">
      <c r="A2" s="61" t="s">
        <v>44</v>
      </c>
      <c r="B2" s="61"/>
      <c r="C2" s="61"/>
      <c r="D2" s="61"/>
      <c r="E2" s="61"/>
      <c r="F2" s="61"/>
      <c r="G2" s="61"/>
      <c r="H2" s="61"/>
      <c r="I2" s="61"/>
    </row>
    <row r="3" spans="1:10" ht="14.25" customHeight="1">
      <c r="A3" s="68" t="s">
        <v>35</v>
      </c>
      <c r="B3" s="68"/>
      <c r="C3" s="68"/>
      <c r="D3" s="68"/>
      <c r="E3" s="68"/>
      <c r="F3" s="68"/>
      <c r="G3" s="68"/>
      <c r="H3" s="68"/>
      <c r="I3" s="68"/>
    </row>
    <row r="4" spans="1:10" s="2" customFormat="1" ht="7.5" customHeight="1">
      <c r="A4" s="69"/>
      <c r="B4" s="69"/>
      <c r="C4" s="69"/>
      <c r="D4" s="69"/>
      <c r="E4" s="69"/>
      <c r="F4" s="69"/>
      <c r="G4" s="69"/>
      <c r="H4" s="69"/>
    </row>
    <row r="5" spans="1:10" s="23" customFormat="1" ht="19.5" customHeight="1">
      <c r="A5" s="55"/>
      <c r="B5" s="62" t="s">
        <v>8</v>
      </c>
      <c r="C5" s="66" t="s">
        <v>9</v>
      </c>
      <c r="D5" s="21" t="s">
        <v>6</v>
      </c>
      <c r="E5" s="21" t="s">
        <v>4</v>
      </c>
      <c r="F5" s="21" t="s">
        <v>33</v>
      </c>
      <c r="G5" s="22" t="s">
        <v>5</v>
      </c>
      <c r="H5" s="20"/>
      <c r="I5" s="64" t="s">
        <v>51</v>
      </c>
    </row>
    <row r="6" spans="1:10" s="7" customFormat="1" ht="15.75" customHeight="1">
      <c r="A6" s="56"/>
      <c r="B6" s="63"/>
      <c r="C6" s="67"/>
      <c r="D6" s="18" t="s">
        <v>12</v>
      </c>
      <c r="E6" s="18" t="s">
        <v>10</v>
      </c>
      <c r="F6" s="19" t="s">
        <v>13</v>
      </c>
      <c r="G6" s="17" t="s">
        <v>7</v>
      </c>
      <c r="H6" s="16" t="s">
        <v>11</v>
      </c>
      <c r="I6" s="65"/>
    </row>
    <row r="7" spans="1:10" s="46" customFormat="1" ht="26.25" customHeight="1">
      <c r="A7" s="3" t="s">
        <v>14</v>
      </c>
      <c r="B7" s="3"/>
      <c r="C7" s="4"/>
      <c r="D7" s="5"/>
      <c r="E7" s="5"/>
      <c r="F7" s="6"/>
      <c r="G7" s="4"/>
      <c r="I7" s="53" t="s">
        <v>37</v>
      </c>
    </row>
    <row r="8" spans="1:10" s="33" customFormat="1" ht="21">
      <c r="A8" s="8"/>
      <c r="B8" s="24" t="s">
        <v>2</v>
      </c>
      <c r="C8" s="37" t="s">
        <v>15</v>
      </c>
      <c r="D8" s="27" t="s">
        <v>16</v>
      </c>
      <c r="E8" s="25">
        <v>25148733</v>
      </c>
      <c r="F8" s="28">
        <v>40634</v>
      </c>
      <c r="G8" s="29">
        <v>0.3</v>
      </c>
      <c r="H8" s="27" t="s">
        <v>17</v>
      </c>
      <c r="I8" s="39" t="s">
        <v>45</v>
      </c>
    </row>
    <row r="9" spans="1:10" s="33" customFormat="1" ht="21" customHeight="1">
      <c r="A9" s="8"/>
      <c r="B9" s="24" t="s">
        <v>3</v>
      </c>
      <c r="C9" s="37" t="s">
        <v>34</v>
      </c>
      <c r="D9" s="57" t="s">
        <v>18</v>
      </c>
      <c r="E9" s="58">
        <v>220460096.52000001</v>
      </c>
      <c r="F9" s="59">
        <v>39723</v>
      </c>
      <c r="G9" s="60">
        <v>0.64</v>
      </c>
      <c r="H9" s="57" t="s">
        <v>19</v>
      </c>
      <c r="I9" s="39" t="s">
        <v>46</v>
      </c>
    </row>
    <row r="10" spans="1:10" s="33" customFormat="1" ht="21">
      <c r="A10" s="8"/>
      <c r="B10" s="24"/>
      <c r="C10" s="37" t="s">
        <v>32</v>
      </c>
      <c r="D10" s="57"/>
      <c r="E10" s="58"/>
      <c r="F10" s="59"/>
      <c r="G10" s="60"/>
      <c r="H10" s="57"/>
      <c r="I10" s="39" t="s">
        <v>47</v>
      </c>
    </row>
    <row r="11" spans="1:10" s="33" customFormat="1" ht="21">
      <c r="A11" s="8"/>
      <c r="B11" s="24" t="s">
        <v>1</v>
      </c>
      <c r="C11" s="37" t="s">
        <v>20</v>
      </c>
      <c r="D11" s="27" t="s">
        <v>21</v>
      </c>
      <c r="E11" s="25">
        <v>94634119</v>
      </c>
      <c r="F11" s="28"/>
      <c r="G11" s="29">
        <v>0.92</v>
      </c>
      <c r="H11" s="27" t="s">
        <v>22</v>
      </c>
      <c r="I11" s="39" t="s">
        <v>48</v>
      </c>
    </row>
    <row r="12" spans="1:10" s="33" customFormat="1" ht="22.5" customHeight="1">
      <c r="A12" s="41" t="s">
        <v>43</v>
      </c>
      <c r="B12" s="47"/>
      <c r="C12" s="47"/>
      <c r="D12" s="47"/>
      <c r="E12" s="42">
        <f>SUM(E8:E11)</f>
        <v>340242948.51999998</v>
      </c>
      <c r="F12" s="48"/>
      <c r="G12" s="47"/>
      <c r="H12" s="47"/>
      <c r="I12" s="43" t="s">
        <v>40</v>
      </c>
    </row>
    <row r="13" spans="1:10" s="33" customFormat="1" ht="2.25" customHeight="1">
      <c r="A13" s="12"/>
      <c r="B13" s="24"/>
      <c r="C13" s="37"/>
      <c r="D13" s="27"/>
      <c r="E13" s="9"/>
      <c r="F13" s="28"/>
      <c r="G13" s="29"/>
      <c r="H13" s="37"/>
    </row>
    <row r="14" spans="1:10" s="46" customFormat="1" ht="21">
      <c r="A14" s="54" t="s">
        <v>23</v>
      </c>
      <c r="B14" s="54"/>
      <c r="C14" s="54"/>
      <c r="D14" s="54"/>
      <c r="E14" s="54"/>
      <c r="F14" s="54"/>
      <c r="G14" s="54"/>
      <c r="H14" s="54"/>
      <c r="I14" s="30" t="s">
        <v>38</v>
      </c>
      <c r="J14" s="33"/>
    </row>
    <row r="15" spans="1:10" s="33" customFormat="1" ht="21.75" customHeight="1">
      <c r="A15" s="12"/>
      <c r="B15" s="24" t="s">
        <v>0</v>
      </c>
      <c r="C15" s="24" t="s">
        <v>24</v>
      </c>
      <c r="D15" s="27" t="s">
        <v>25</v>
      </c>
      <c r="E15" s="26">
        <v>1086815940.5999999</v>
      </c>
      <c r="F15" s="28">
        <v>40452</v>
      </c>
      <c r="G15" s="29">
        <v>1</v>
      </c>
      <c r="H15" s="27" t="s">
        <v>26</v>
      </c>
      <c r="I15" s="31" t="s">
        <v>49</v>
      </c>
    </row>
    <row r="16" spans="1:10" s="33" customFormat="1" ht="21.75" customHeight="1">
      <c r="A16" s="12"/>
      <c r="B16" s="24" t="s">
        <v>36</v>
      </c>
      <c r="C16" s="24" t="s">
        <v>27</v>
      </c>
      <c r="D16" s="27" t="s">
        <v>28</v>
      </c>
      <c r="E16" s="26">
        <v>616491600</v>
      </c>
      <c r="F16" s="28">
        <v>40909</v>
      </c>
      <c r="G16" s="29">
        <v>0</v>
      </c>
      <c r="H16" s="27" t="s">
        <v>29</v>
      </c>
      <c r="I16" s="31" t="s">
        <v>50</v>
      </c>
    </row>
    <row r="17" spans="1:10" s="33" customFormat="1" ht="22.5" customHeight="1">
      <c r="A17" s="41" t="s">
        <v>43</v>
      </c>
      <c r="B17" s="47"/>
      <c r="C17" s="47"/>
      <c r="D17" s="47"/>
      <c r="E17" s="44">
        <f>SUM(E15:E16)</f>
        <v>1703307540.5999999</v>
      </c>
      <c r="F17" s="48"/>
      <c r="G17" s="47"/>
      <c r="H17" s="47"/>
      <c r="I17" s="43" t="s">
        <v>41</v>
      </c>
    </row>
    <row r="18" spans="1:10" s="38" customFormat="1" ht="27" customHeight="1" thickBot="1">
      <c r="A18" s="10" t="s">
        <v>42</v>
      </c>
      <c r="B18" s="49"/>
      <c r="C18" s="50"/>
      <c r="D18" s="51"/>
      <c r="E18" s="45">
        <f>E17+E12</f>
        <v>2043550489.1199999</v>
      </c>
      <c r="F18" s="11"/>
      <c r="G18" s="34"/>
      <c r="H18" s="35"/>
      <c r="I18" s="36" t="s">
        <v>39</v>
      </c>
    </row>
    <row r="19" spans="1:10" s="15" customFormat="1" ht="15.75" customHeight="1" thickTop="1">
      <c r="A19" s="14" t="s">
        <v>30</v>
      </c>
      <c r="I19" s="13" t="s">
        <v>31</v>
      </c>
      <c r="J19" s="33"/>
    </row>
    <row r="20" spans="1:10" s="33" customFormat="1" ht="22.5" customHeight="1">
      <c r="A20" s="40"/>
      <c r="B20" s="46"/>
      <c r="C20" s="46"/>
      <c r="D20" s="46"/>
      <c r="E20" s="32"/>
      <c r="F20" s="52"/>
      <c r="G20" s="46"/>
      <c r="H20" s="46"/>
    </row>
    <row r="21" spans="1:10" s="38" customFormat="1"/>
    <row r="22" spans="1:10" s="38" customFormat="1">
      <c r="J22" s="33"/>
    </row>
    <row r="23" spans="1:10" s="38" customFormat="1">
      <c r="J23" s="33"/>
    </row>
    <row r="24" spans="1:10" s="38" customFormat="1">
      <c r="J24" s="33"/>
    </row>
    <row r="25" spans="1:10">
      <c r="J25" s="2"/>
    </row>
    <row r="26" spans="1:10">
      <c r="J26" s="2"/>
    </row>
  </sheetData>
  <mergeCells count="13">
    <mergeCell ref="A2:I2"/>
    <mergeCell ref="B5:B6"/>
    <mergeCell ref="I5:I6"/>
    <mergeCell ref="C5:C6"/>
    <mergeCell ref="A3:I3"/>
    <mergeCell ref="A4:H4"/>
    <mergeCell ref="A14:H14"/>
    <mergeCell ref="A5:A6"/>
    <mergeCell ref="D9:D10"/>
    <mergeCell ref="E9:E10"/>
    <mergeCell ref="F9:F10"/>
    <mergeCell ref="G9:G10"/>
    <mergeCell ref="H9:H10"/>
  </mergeCells>
  <pageMargins left="0.24" right="0.17" top="0.75" bottom="0.75" header="0.3" footer="0.3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4.7</vt:lpstr>
      <vt:lpstr>'4.7'!Print_Area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2013-07-02T08:42:18Z</cp:lastPrinted>
  <dcterms:created xsi:type="dcterms:W3CDTF">2013-04-22T08:56:04Z</dcterms:created>
  <dcterms:modified xsi:type="dcterms:W3CDTF">2013-07-02T08:48:11Z</dcterms:modified>
</cp:coreProperties>
</file>