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810"/>
  </bookViews>
  <sheets>
    <sheet name="4.6" sheetId="1" r:id="rId1"/>
  </sheets>
  <definedNames>
    <definedName name="_xlnm.Print_Area" localSheetId="0">'4.6'!$A$1:$L$36</definedName>
  </definedNames>
  <calcPr calcId="124519"/>
</workbook>
</file>

<file path=xl/calcChain.xml><?xml version="1.0" encoding="utf-8"?>
<calcChain xmlns="http://schemas.openxmlformats.org/spreadsheetml/2006/main">
  <c r="E14" i="1"/>
  <c r="D14"/>
  <c r="R24"/>
  <c r="Q24"/>
  <c r="R32"/>
  <c r="Q32"/>
  <c r="R31"/>
  <c r="Q31"/>
  <c r="R30"/>
  <c r="R33" s="1"/>
  <c r="Q30"/>
  <c r="Q33" s="1"/>
  <c r="R25"/>
  <c r="Q25"/>
  <c r="P25"/>
  <c r="P24"/>
  <c r="R23"/>
  <c r="R26" s="1"/>
  <c r="Q23"/>
  <c r="Q26" s="1"/>
  <c r="P23"/>
  <c r="J13"/>
  <c r="S32" s="1"/>
  <c r="I13"/>
  <c r="S25" s="1"/>
  <c r="J11"/>
  <c r="S31" s="1"/>
  <c r="I11"/>
  <c r="S24" s="1"/>
  <c r="J9"/>
  <c r="S30" s="1"/>
  <c r="S33" s="1"/>
  <c r="I9"/>
  <c r="J14"/>
  <c r="I14"/>
  <c r="H14"/>
  <c r="G14"/>
  <c r="S23" l="1"/>
  <c r="S26" s="1"/>
</calcChain>
</file>

<file path=xl/sharedStrings.xml><?xml version="1.0" encoding="utf-8"?>
<sst xmlns="http://schemas.openxmlformats.org/spreadsheetml/2006/main" count="57" uniqueCount="35">
  <si>
    <t xml:space="preserve"> ތާވަލް 4.6: އިމާރާތް ކުރުމަށްޓަކައި ދޫކުރެވިފައިވާ ލޯނުގެ އަދަދު 2010 - 2012</t>
  </si>
  <si>
    <t>TABLE 4.6: HOUSING FINANCE/LOANS PROVIDED, 2010 - 2012</t>
  </si>
  <si>
    <t>Year</t>
  </si>
  <si>
    <t>އަހަރު</t>
  </si>
  <si>
    <t>Type</t>
  </si>
  <si>
    <t>Loan provider</t>
  </si>
  <si>
    <t>ލޯނުގެ އަދަދު</t>
  </si>
  <si>
    <t>ލޯނުދޫކުރިފަރާތް</t>
  </si>
  <si>
    <t>No. of loans</t>
  </si>
  <si>
    <t>&lt; 1 MILLION</t>
  </si>
  <si>
    <t>HDFC</t>
  </si>
  <si>
    <t>އެޗް.ޑި.އެފް.ސީ</t>
  </si>
  <si>
    <t xml:space="preserve">އެއް މިލިއަން ރުފިޔާއިން ދަށް </t>
  </si>
  <si>
    <t>MHUD</t>
  </si>
  <si>
    <t>މޯލްޑިވްސް ހައުސިންގް އެންޑް އަރބަން ޑިވެލޮޕްމަންޓް</t>
  </si>
  <si>
    <t>Total</t>
  </si>
  <si>
    <t>ޖުމްލަ</t>
  </si>
  <si>
    <t>1 MILLION</t>
  </si>
  <si>
    <t xml:space="preserve">އެއް މިލިއަން ރުފިޔާގެ </t>
  </si>
  <si>
    <t>1 MILLION PLUS</t>
  </si>
  <si>
    <t>އެއް މިލިއަން ރުފިޔާއިން މަތި</t>
  </si>
  <si>
    <t>Source: Housing Development Finance Corporation</t>
  </si>
  <si>
    <t>މަޢުލޫމާތުދެއްވި ފަރާތް: ހައުސިންގް ޑިވެލޮޕްމަންޓް ފައިނޭސް ކޯޕަރޭޝަން</t>
  </si>
  <si>
    <t>HDC: Housing Development Corporation</t>
  </si>
  <si>
    <t xml:space="preserve">އެޗް.ޑީ.ސީ: ހައުސިންގް ޑިވެލޮޕްމަންޓް ކޯޕަރޭޝަން </t>
  </si>
  <si>
    <t>HDFC: Source: Housing Development Finance Corporation</t>
  </si>
  <si>
    <t>އެޗް.ޑީ.އެފް.ސީ: ހައުސިންގް ޑިވެލޮޕްމަންޓް ފައިނޭސް ކޯޕަރޭޝަން</t>
  </si>
  <si>
    <t>MHUD: Maldives Housing and Urban Development</t>
  </si>
  <si>
    <t>އެމް.އެޗް.ޔޫ.ޑީ: މޯލްޑިވްސް ހައުސިންގް އެންޑް އަރބަން ޑިވެލޮޕްމަންޓް</t>
  </si>
  <si>
    <t xml:space="preserve">ލޯނުގެ އަދަދު </t>
  </si>
  <si>
    <r>
      <t>Value of loans (</t>
    </r>
    <r>
      <rPr>
        <sz val="10"/>
        <color rgb="FFFF0000"/>
        <rFont val="Arial"/>
        <family val="2"/>
      </rPr>
      <t>mill rf</t>
    </r>
    <r>
      <rPr>
        <sz val="10"/>
        <rFont val="Arial"/>
        <family val="2"/>
      </rPr>
      <t>)</t>
    </r>
  </si>
  <si>
    <t>Grand Total</t>
  </si>
  <si>
    <t>މުޅި ޖުމްލަ</t>
  </si>
  <si>
    <t>އަދަދު (ރުފިޔާ)</t>
  </si>
  <si>
    <t>Value (MVR)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</si>
</sst>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&quot;$&quot;#,##0.0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Faruma"/>
    </font>
    <font>
      <b/>
      <sz val="12"/>
      <name val="A_Randhoo"/>
    </font>
    <font>
      <sz val="12"/>
      <name val="Arial"/>
      <family val="2"/>
    </font>
    <font>
      <sz val="10"/>
      <name val="Courier"/>
      <family val="3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sz val="12"/>
      <name val="Calibri"/>
      <family val="2"/>
      <scheme val="minor"/>
    </font>
    <font>
      <sz val="12"/>
      <name val="Faruma"/>
    </font>
    <font>
      <b/>
      <sz val="12"/>
      <name val="Arial"/>
      <family val="2"/>
    </font>
    <font>
      <i/>
      <sz val="10"/>
      <name val="Calibri"/>
      <family val="2"/>
      <scheme val="minor"/>
    </font>
    <font>
      <sz val="10"/>
      <name val="Faruma"/>
    </font>
    <font>
      <sz val="10"/>
      <name val="Arial"/>
      <family val="2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sz val="9"/>
      <name val="Arial"/>
      <family val="2"/>
    </font>
    <font>
      <sz val="10"/>
      <color rgb="FFFF0000"/>
      <name val="Arial"/>
      <family val="2"/>
    </font>
    <font>
      <i/>
      <sz val="9"/>
      <name val="Arial"/>
      <family val="2"/>
    </font>
    <font>
      <u/>
      <sz val="10"/>
      <color indexed="12"/>
      <name val="Arial"/>
      <family val="2"/>
    </font>
    <font>
      <sz val="9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theme="1" tint="4.9989318521683403E-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theme="1" tint="4.9989318521683403E-2"/>
      </bottom>
      <diagonal/>
    </border>
    <border>
      <left/>
      <right style="hair">
        <color indexed="64"/>
      </right>
      <top/>
      <bottom style="hair">
        <color theme="1" tint="4.9989318521683403E-2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/>
      <right/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6" fillId="0" borderId="0"/>
    <xf numFmtId="0" fontId="2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4" fillId="2" borderId="0" xfId="2" applyFont="1" applyFill="1" applyAlignment="1"/>
    <xf numFmtId="164" fontId="5" fillId="2" borderId="0" xfId="0" applyNumberFormat="1" applyFont="1" applyFill="1"/>
    <xf numFmtId="164" fontId="3" fillId="2" borderId="4" xfId="3" applyNumberFormat="1" applyFont="1" applyFill="1" applyBorder="1" applyAlignment="1" applyProtection="1">
      <alignment horizontal="right" vertical="center"/>
    </xf>
    <xf numFmtId="0" fontId="13" fillId="2" borderId="0" xfId="2" applyFont="1" applyFill="1" applyBorder="1" applyAlignment="1">
      <alignment horizontal="left"/>
    </xf>
    <xf numFmtId="164" fontId="5" fillId="2" borderId="0" xfId="0" applyNumberFormat="1" applyFont="1" applyFill="1" applyBorder="1" applyAlignment="1">
      <alignment horizontal="right"/>
    </xf>
    <xf numFmtId="164" fontId="7" fillId="2" borderId="3" xfId="3" applyNumberFormat="1" applyFont="1" applyFill="1" applyBorder="1" applyAlignment="1" applyProtection="1">
      <alignment horizontal="center" vertical="center"/>
    </xf>
    <xf numFmtId="164" fontId="5" fillId="2" borderId="0" xfId="0" applyNumberFormat="1" applyFont="1" applyFill="1" applyAlignment="1">
      <alignment wrapText="1"/>
    </xf>
    <xf numFmtId="164" fontId="10" fillId="2" borderId="0" xfId="3" applyNumberFormat="1" applyFont="1" applyFill="1" applyBorder="1" applyAlignment="1" applyProtection="1">
      <alignment horizontal="center" vertical="center"/>
    </xf>
    <xf numFmtId="164" fontId="11" fillId="2" borderId="0" xfId="3" applyNumberFormat="1" applyFont="1" applyFill="1" applyBorder="1" applyAlignment="1" applyProtection="1">
      <alignment horizontal="right" vertical="center" wrapText="1"/>
    </xf>
    <xf numFmtId="164" fontId="5" fillId="2" borderId="0" xfId="0" applyNumberFormat="1" applyFont="1" applyFill="1" applyBorder="1"/>
    <xf numFmtId="165" fontId="10" fillId="2" borderId="0" xfId="1" applyNumberFormat="1" applyFont="1" applyFill="1" applyBorder="1" applyAlignment="1">
      <alignment horizontal="center" vertical="center"/>
    </xf>
    <xf numFmtId="164" fontId="12" fillId="2" borderId="0" xfId="0" applyNumberFormat="1" applyFont="1" applyFill="1" applyBorder="1"/>
    <xf numFmtId="164" fontId="7" fillId="2" borderId="10" xfId="3" applyNumberFormat="1" applyFont="1" applyFill="1" applyBorder="1" applyAlignment="1" applyProtection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164" fontId="7" fillId="2" borderId="8" xfId="3" applyNumberFormat="1" applyFont="1" applyFill="1" applyBorder="1" applyAlignment="1" applyProtection="1">
      <alignment horizontal="center" vertical="center"/>
    </xf>
    <xf numFmtId="164" fontId="5" fillId="2" borderId="8" xfId="0" applyNumberFormat="1" applyFont="1" applyFill="1" applyBorder="1"/>
    <xf numFmtId="165" fontId="7" fillId="2" borderId="8" xfId="1" applyNumberFormat="1" applyFont="1" applyFill="1" applyBorder="1" applyAlignment="1">
      <alignment horizontal="center" vertical="center"/>
    </xf>
    <xf numFmtId="164" fontId="11" fillId="2" borderId="8" xfId="3" applyNumberFormat="1" applyFont="1" applyFill="1" applyBorder="1" applyAlignment="1" applyProtection="1">
      <alignment horizontal="right" vertical="center" wrapText="1"/>
    </xf>
    <xf numFmtId="0" fontId="9" fillId="2" borderId="8" xfId="0" applyFont="1" applyFill="1" applyBorder="1" applyAlignment="1">
      <alignment horizontal="right" wrapText="1"/>
    </xf>
    <xf numFmtId="164" fontId="3" fillId="2" borderId="0" xfId="3" applyNumberFormat="1" applyFont="1" applyFill="1" applyBorder="1" applyAlignment="1" applyProtection="1">
      <alignment horizontal="right" vertical="center"/>
    </xf>
    <xf numFmtId="164" fontId="7" fillId="2" borderId="0" xfId="3" applyNumberFormat="1" applyFont="1" applyFill="1" applyBorder="1" applyAlignment="1" applyProtection="1">
      <alignment horizontal="center" vertical="center"/>
    </xf>
    <xf numFmtId="164" fontId="7" fillId="2" borderId="2" xfId="3" applyNumberFormat="1" applyFont="1" applyFill="1" applyBorder="1" applyAlignment="1" applyProtection="1">
      <alignment horizontal="center" vertical="center"/>
    </xf>
    <xf numFmtId="164" fontId="7" fillId="2" borderId="11" xfId="3" applyNumberFormat="1" applyFont="1" applyFill="1" applyBorder="1" applyAlignment="1" applyProtection="1">
      <alignment horizontal="center" vertical="center"/>
    </xf>
    <xf numFmtId="164" fontId="7" fillId="2" borderId="12" xfId="3" applyNumberFormat="1" applyFont="1" applyFill="1" applyBorder="1" applyAlignment="1" applyProtection="1">
      <alignment horizontal="center" vertical="center"/>
    </xf>
    <xf numFmtId="164" fontId="7" fillId="2" borderId="15" xfId="3" applyNumberFormat="1" applyFont="1" applyFill="1" applyBorder="1" applyAlignment="1" applyProtection="1">
      <alignment horizontal="center" vertical="center"/>
    </xf>
    <xf numFmtId="164" fontId="7" fillId="2" borderId="16" xfId="3" applyNumberFormat="1" applyFont="1" applyFill="1" applyBorder="1" applyAlignment="1" applyProtection="1">
      <alignment horizontal="right" vertical="center"/>
    </xf>
    <xf numFmtId="164" fontId="10" fillId="2" borderId="6" xfId="3" applyNumberFormat="1" applyFont="1" applyFill="1" applyBorder="1" applyAlignment="1" applyProtection="1">
      <alignment horizontal="center" vertical="center"/>
    </xf>
    <xf numFmtId="165" fontId="10" fillId="2" borderId="7" xfId="1" applyNumberFormat="1" applyFont="1" applyFill="1" applyBorder="1" applyAlignment="1">
      <alignment horizontal="center" vertical="center"/>
    </xf>
    <xf numFmtId="164" fontId="7" fillId="2" borderId="17" xfId="3" applyNumberFormat="1" applyFont="1" applyFill="1" applyBorder="1" applyAlignment="1" applyProtection="1">
      <alignment horizontal="center" vertical="center"/>
    </xf>
    <xf numFmtId="165" fontId="7" fillId="2" borderId="18" xfId="1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right" vertical="center"/>
    </xf>
    <xf numFmtId="165" fontId="10" fillId="2" borderId="0" xfId="1" applyNumberFormat="1" applyFont="1" applyFill="1" applyBorder="1" applyAlignment="1" applyProtection="1">
      <alignment horizontal="center" vertical="center"/>
    </xf>
    <xf numFmtId="165" fontId="10" fillId="2" borderId="7" xfId="1" applyNumberFormat="1" applyFont="1" applyFill="1" applyBorder="1" applyAlignment="1" applyProtection="1">
      <alignment horizontal="center" vertical="center"/>
    </xf>
    <xf numFmtId="164" fontId="7" fillId="2" borderId="0" xfId="3" applyNumberFormat="1" applyFont="1" applyFill="1" applyBorder="1" applyAlignment="1" applyProtection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vertical="center"/>
    </xf>
    <xf numFmtId="164" fontId="5" fillId="2" borderId="20" xfId="0" applyNumberFormat="1" applyFont="1" applyFill="1" applyBorder="1"/>
    <xf numFmtId="165" fontId="7" fillId="2" borderId="18" xfId="1" applyNumberFormat="1" applyFont="1" applyFill="1" applyBorder="1" applyAlignment="1" applyProtection="1">
      <alignment horizontal="center" vertical="center"/>
    </xf>
    <xf numFmtId="165" fontId="7" fillId="2" borderId="8" xfId="1" applyNumberFormat="1" applyFont="1" applyFill="1" applyBorder="1" applyAlignment="1" applyProtection="1">
      <alignment horizontal="right" vertical="center"/>
    </xf>
    <xf numFmtId="164" fontId="2" fillId="2" borderId="0" xfId="0" applyNumberFormat="1" applyFont="1" applyFill="1"/>
    <xf numFmtId="164" fontId="2" fillId="2" borderId="0" xfId="0" applyNumberFormat="1" applyFont="1" applyFill="1" applyAlignment="1">
      <alignment wrapText="1"/>
    </xf>
    <xf numFmtId="164" fontId="14" fillId="2" borderId="0" xfId="3" applyNumberFormat="1" applyFont="1" applyFill="1" applyBorder="1" applyAlignment="1" applyProtection="1">
      <alignment horizontal="right" vertical="center"/>
    </xf>
    <xf numFmtId="164" fontId="5" fillId="3" borderId="0" xfId="0" applyNumberFormat="1" applyFont="1" applyFill="1"/>
    <xf numFmtId="164" fontId="2" fillId="3" borderId="0" xfId="0" applyNumberFormat="1" applyFont="1" applyFill="1"/>
    <xf numFmtId="164" fontId="16" fillId="3" borderId="15" xfId="3" applyNumberFormat="1" applyFont="1" applyFill="1" applyBorder="1" applyAlignment="1" applyProtection="1">
      <alignment horizontal="center" vertical="center"/>
    </xf>
    <xf numFmtId="165" fontId="2" fillId="3" borderId="0" xfId="1" applyNumberFormat="1" applyFont="1" applyFill="1"/>
    <xf numFmtId="0" fontId="17" fillId="2" borderId="0" xfId="0" applyFont="1" applyFill="1" applyAlignment="1">
      <alignment vertical="center"/>
    </xf>
    <xf numFmtId="164" fontId="24" fillId="2" borderId="5" xfId="3" applyNumberFormat="1" applyFont="1" applyFill="1" applyBorder="1" applyAlignment="1" applyProtection="1">
      <alignment horizontal="right" vertical="center"/>
    </xf>
    <xf numFmtId="0" fontId="19" fillId="2" borderId="0" xfId="2" applyFont="1" applyFill="1" applyBorder="1" applyAlignment="1">
      <alignment horizontal="left" vertical="center"/>
    </xf>
    <xf numFmtId="0" fontId="22" fillId="2" borderId="0" xfId="2" applyFont="1" applyFill="1" applyBorder="1" applyAlignment="1">
      <alignment horizontal="left" vertical="center"/>
    </xf>
    <xf numFmtId="0" fontId="22" fillId="2" borderId="0" xfId="2" applyFont="1" applyFill="1" applyBorder="1" applyAlignment="1">
      <alignment horizontal="left" vertical="center" wrapText="1"/>
    </xf>
    <xf numFmtId="0" fontId="22" fillId="2" borderId="0" xfId="2" applyFont="1" applyFill="1" applyAlignment="1">
      <alignment horizontal="left" vertical="center"/>
    </xf>
    <xf numFmtId="0" fontId="18" fillId="2" borderId="0" xfId="2" applyFont="1" applyFill="1" applyAlignment="1">
      <alignment horizontal="right" vertical="center"/>
    </xf>
    <xf numFmtId="164" fontId="20" fillId="2" borderId="0" xfId="0" applyNumberFormat="1" applyFont="1" applyFill="1" applyAlignment="1">
      <alignment vertical="center"/>
    </xf>
    <xf numFmtId="0" fontId="17" fillId="2" borderId="0" xfId="0" applyFont="1" applyFill="1" applyAlignment="1">
      <alignment vertical="center" wrapText="1"/>
    </xf>
    <xf numFmtId="43" fontId="17" fillId="2" borderId="0" xfId="1" applyFont="1" applyFill="1" applyAlignment="1">
      <alignment vertical="center"/>
    </xf>
    <xf numFmtId="164" fontId="20" fillId="2" borderId="0" xfId="0" applyNumberFormat="1" applyFont="1" applyFill="1" applyAlignment="1">
      <alignment vertical="center" wrapText="1"/>
    </xf>
    <xf numFmtId="165" fontId="7" fillId="2" borderId="0" xfId="1" applyNumberFormat="1" applyFont="1" applyFill="1" applyBorder="1" applyAlignment="1">
      <alignment horizontal="center" vertical="center"/>
    </xf>
    <xf numFmtId="165" fontId="7" fillId="2" borderId="0" xfId="1" applyNumberFormat="1" applyFont="1" applyFill="1" applyBorder="1" applyAlignment="1" applyProtection="1">
      <alignment horizontal="right" vertical="center"/>
    </xf>
    <xf numFmtId="164" fontId="3" fillId="2" borderId="0" xfId="3" applyNumberFormat="1" applyFont="1" applyFill="1" applyBorder="1" applyAlignment="1" applyProtection="1">
      <alignment horizontal="right" vertical="center" wrapText="1"/>
    </xf>
    <xf numFmtId="0" fontId="9" fillId="2" borderId="0" xfId="0" applyFont="1" applyFill="1" applyBorder="1" applyAlignment="1">
      <alignment horizontal="right" wrapText="1"/>
    </xf>
    <xf numFmtId="164" fontId="7" fillId="2" borderId="6" xfId="3" applyNumberFormat="1" applyFont="1" applyFill="1" applyBorder="1" applyAlignment="1" applyProtection="1">
      <alignment horizontal="center" vertical="center"/>
    </xf>
    <xf numFmtId="165" fontId="7" fillId="2" borderId="7" xfId="1" applyNumberFormat="1" applyFont="1" applyFill="1" applyBorder="1" applyAlignment="1">
      <alignment horizontal="center" vertical="center"/>
    </xf>
    <xf numFmtId="164" fontId="7" fillId="2" borderId="9" xfId="3" applyNumberFormat="1" applyFont="1" applyFill="1" applyBorder="1" applyAlignment="1" applyProtection="1">
      <alignment horizontal="right" vertical="center"/>
    </xf>
    <xf numFmtId="164" fontId="7" fillId="2" borderId="22" xfId="3" applyNumberFormat="1" applyFont="1" applyFill="1" applyBorder="1" applyAlignment="1" applyProtection="1">
      <alignment horizontal="right" vertical="center"/>
    </xf>
    <xf numFmtId="3" fontId="7" fillId="2" borderId="21" xfId="3" applyNumberFormat="1" applyFont="1" applyFill="1" applyBorder="1" applyAlignment="1" applyProtection="1">
      <alignment horizontal="center" vertical="center"/>
    </xf>
    <xf numFmtId="3" fontId="7" fillId="2" borderId="22" xfId="3" applyNumberFormat="1" applyFont="1" applyFill="1" applyBorder="1" applyAlignment="1" applyProtection="1">
      <alignment horizontal="right" vertical="center"/>
    </xf>
    <xf numFmtId="3" fontId="7" fillId="2" borderId="9" xfId="3" applyNumberFormat="1" applyFont="1" applyFill="1" applyBorder="1" applyAlignment="1" applyProtection="1">
      <alignment horizontal="right" vertical="center"/>
    </xf>
    <xf numFmtId="3" fontId="7" fillId="2" borderId="9" xfId="3" applyNumberFormat="1" applyFont="1" applyFill="1" applyBorder="1" applyAlignment="1" applyProtection="1">
      <alignment horizontal="center" vertical="center"/>
    </xf>
    <xf numFmtId="0" fontId="9" fillId="2" borderId="9" xfId="0" applyFont="1" applyFill="1" applyBorder="1" applyAlignment="1">
      <alignment horizontal="right" vertical="center" wrapText="1"/>
    </xf>
    <xf numFmtId="164" fontId="3" fillId="2" borderId="9" xfId="3" applyNumberFormat="1" applyFont="1" applyFill="1" applyBorder="1" applyAlignment="1" applyProtection="1">
      <alignment horizontal="right" vertical="center"/>
    </xf>
    <xf numFmtId="0" fontId="9" fillId="2" borderId="7" xfId="0" applyFont="1" applyFill="1" applyBorder="1" applyAlignment="1">
      <alignment horizontal="right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right" vertical="center" wrapText="1"/>
    </xf>
    <xf numFmtId="164" fontId="7" fillId="2" borderId="3" xfId="3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wrapText="1"/>
    </xf>
    <xf numFmtId="164" fontId="7" fillId="2" borderId="1" xfId="3" applyNumberFormat="1" applyFont="1" applyFill="1" applyBorder="1" applyAlignment="1" applyProtection="1">
      <alignment horizontal="center" vertical="center" wrapText="1"/>
    </xf>
    <xf numFmtId="164" fontId="7" fillId="2" borderId="0" xfId="3" applyNumberFormat="1" applyFont="1" applyFill="1" applyBorder="1" applyAlignment="1" applyProtection="1">
      <alignment horizontal="center" vertical="center" wrapText="1"/>
    </xf>
    <xf numFmtId="164" fontId="3" fillId="2" borderId="0" xfId="3" applyNumberFormat="1" applyFont="1" applyFill="1" applyBorder="1" applyAlignment="1" applyProtection="1">
      <alignment horizontal="right" vertical="center"/>
    </xf>
    <xf numFmtId="164" fontId="3" fillId="2" borderId="1" xfId="3" applyNumberFormat="1" applyFont="1" applyFill="1" applyBorder="1" applyAlignment="1" applyProtection="1">
      <alignment horizontal="right" vertical="center"/>
    </xf>
    <xf numFmtId="164" fontId="7" fillId="2" borderId="0" xfId="3" applyNumberFormat="1" applyFont="1" applyFill="1" applyBorder="1" applyAlignment="1" applyProtection="1">
      <alignment horizontal="center" vertical="center"/>
    </xf>
    <xf numFmtId="164" fontId="7" fillId="2" borderId="12" xfId="3" applyNumberFormat="1" applyFont="1" applyFill="1" applyBorder="1" applyAlignment="1" applyProtection="1">
      <alignment horizontal="center" vertical="center"/>
    </xf>
    <xf numFmtId="164" fontId="7" fillId="2" borderId="19" xfId="3" applyNumberFormat="1" applyFont="1" applyFill="1" applyBorder="1" applyAlignment="1" applyProtection="1">
      <alignment horizontal="center" vertical="center"/>
    </xf>
    <xf numFmtId="0" fontId="9" fillId="2" borderId="2" xfId="0" applyFont="1" applyFill="1" applyBorder="1" applyAlignment="1">
      <alignment horizontal="right" vertical="center" wrapText="1"/>
    </xf>
    <xf numFmtId="0" fontId="9" fillId="2" borderId="0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right" vertical="center" wrapText="1"/>
    </xf>
    <xf numFmtId="164" fontId="7" fillId="2" borderId="13" xfId="3" applyNumberFormat="1" applyFont="1" applyFill="1" applyBorder="1" applyAlignment="1" applyProtection="1">
      <alignment horizontal="center" vertical="center"/>
    </xf>
    <xf numFmtId="164" fontId="7" fillId="2" borderId="14" xfId="3" applyNumberFormat="1" applyFont="1" applyFill="1" applyBorder="1" applyAlignment="1" applyProtection="1">
      <alignment horizontal="center" vertical="center"/>
    </xf>
  </cellXfs>
  <cellStyles count="6">
    <cellStyle name="Comma" xfId="1" builtinId="3"/>
    <cellStyle name="Comma 2" xfId="4"/>
    <cellStyle name="Hyperlink_Housing - 3" xfId="5"/>
    <cellStyle name="Normal" xfId="0" builtinId="0"/>
    <cellStyle name="Normal 2" xfId="3"/>
    <cellStyle name="Normal_Housing -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4.4: Number of loans provided, 2010 - 2012</a:t>
            </a:r>
          </a:p>
        </c:rich>
      </c:tx>
      <c:layout>
        <c:manualLayout>
          <c:xMode val="edge"/>
          <c:yMode val="edge"/>
          <c:x val="0.21008104263354319"/>
          <c:y val="4.3775774279698927E-2"/>
        </c:manualLayout>
      </c:layout>
    </c:title>
    <c:plotArea>
      <c:layout>
        <c:manualLayout>
          <c:layoutTarget val="inner"/>
          <c:xMode val="edge"/>
          <c:yMode val="edge"/>
          <c:x val="8.4932006733725973E-2"/>
          <c:y val="0.18269045914715223"/>
          <c:w val="0.89173710927922256"/>
          <c:h val="0.6729437229437234"/>
        </c:manualLayout>
      </c:layout>
      <c:barChart>
        <c:barDir val="col"/>
        <c:grouping val="clustered"/>
        <c:ser>
          <c:idx val="0"/>
          <c:order val="0"/>
          <c:tx>
            <c:strRef>
              <c:f>'4.6'!$P$23</c:f>
              <c:strCache>
                <c:ptCount val="1"/>
                <c:pt idx="0">
                  <c:v>&lt; 1 MILLION</c:v>
                </c:pt>
              </c:strCache>
            </c:strRef>
          </c:tx>
          <c:cat>
            <c:numRef>
              <c:f>'4.6'!$Q$22:$S$22</c:f>
              <c:numCache>
                <c:formatCode>General_)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'4.6'!$Q$23:$S$23</c:f>
              <c:numCache>
                <c:formatCode>General_)</c:formatCode>
                <c:ptCount val="3"/>
                <c:pt idx="0">
                  <c:v>64</c:v>
                </c:pt>
                <c:pt idx="1">
                  <c:v>202</c:v>
                </c:pt>
                <c:pt idx="2">
                  <c:v>96</c:v>
                </c:pt>
              </c:numCache>
            </c:numRef>
          </c:val>
        </c:ser>
        <c:ser>
          <c:idx val="1"/>
          <c:order val="1"/>
          <c:tx>
            <c:strRef>
              <c:f>'4.6'!$P$24</c:f>
              <c:strCache>
                <c:ptCount val="1"/>
                <c:pt idx="0">
                  <c:v>1 MILLION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numRef>
              <c:f>'4.6'!$Q$22:$S$22</c:f>
              <c:numCache>
                <c:formatCode>General_)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'4.6'!$Q$24:$S$24</c:f>
              <c:numCache>
                <c:formatCode>General_)</c:formatCode>
                <c:ptCount val="3"/>
                <c:pt idx="0">
                  <c:v>4</c:v>
                </c:pt>
                <c:pt idx="1">
                  <c:v>11</c:v>
                </c:pt>
                <c:pt idx="2">
                  <c:v>4</c:v>
                </c:pt>
              </c:numCache>
            </c:numRef>
          </c:val>
        </c:ser>
        <c:ser>
          <c:idx val="2"/>
          <c:order val="2"/>
          <c:tx>
            <c:strRef>
              <c:f>'4.6'!$P$25</c:f>
              <c:strCache>
                <c:ptCount val="1"/>
                <c:pt idx="0">
                  <c:v>1 MILLION PLUS</c:v>
                </c:pt>
              </c:strCache>
            </c:strRef>
          </c:tx>
          <c:cat>
            <c:numRef>
              <c:f>'4.6'!$Q$22:$S$22</c:f>
              <c:numCache>
                <c:formatCode>General_)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'4.6'!$Q$25:$S$25</c:f>
              <c:numCache>
                <c:formatCode>General_)</c:formatCode>
                <c:ptCount val="3"/>
                <c:pt idx="0">
                  <c:v>43</c:v>
                </c:pt>
                <c:pt idx="1">
                  <c:v>115</c:v>
                </c:pt>
                <c:pt idx="2">
                  <c:v>74</c:v>
                </c:pt>
              </c:numCache>
            </c:numRef>
          </c:val>
        </c:ser>
        <c:axId val="90403584"/>
        <c:axId val="90405120"/>
      </c:barChart>
      <c:catAx>
        <c:axId val="90403584"/>
        <c:scaling>
          <c:orientation val="minMax"/>
        </c:scaling>
        <c:axPos val="b"/>
        <c:numFmt formatCode="General_)" sourceLinked="1"/>
        <c:majorTickMark val="none"/>
        <c:tickLblPos val="nextTo"/>
        <c:crossAx val="90405120"/>
        <c:crosses val="autoZero"/>
        <c:auto val="1"/>
        <c:lblAlgn val="ctr"/>
        <c:lblOffset val="100"/>
      </c:catAx>
      <c:valAx>
        <c:axId val="90405120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Number of loans</a:t>
                </a:r>
              </a:p>
            </c:rich>
          </c:tx>
          <c:layout>
            <c:manualLayout>
              <c:xMode val="edge"/>
              <c:yMode val="edge"/>
              <c:x val="6.0031297060822745E-3"/>
              <c:y val="0.1030115553737601"/>
            </c:manualLayout>
          </c:layout>
        </c:title>
        <c:numFmt formatCode="General_)" sourceLinked="1"/>
        <c:tickLblPos val="nextTo"/>
        <c:crossAx val="9040358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7633285649220272"/>
          <c:y val="0.20826789946600452"/>
          <c:w val="0.56253304534345261"/>
          <c:h val="8.5900398813784667E-2"/>
        </c:manualLayout>
      </c:layout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4.5: Total value</a:t>
            </a:r>
            <a:r>
              <a:rPr lang="en-US" sz="1200" baseline="0"/>
              <a:t> of </a:t>
            </a:r>
            <a:r>
              <a:rPr lang="en-US" sz="1200"/>
              <a:t>loans (MVR),</a:t>
            </a:r>
            <a:r>
              <a:rPr lang="en-US" sz="1200" baseline="0"/>
              <a:t> 2010 - 2012</a:t>
            </a:r>
            <a:endParaRPr lang="en-US" sz="1200"/>
          </a:p>
        </c:rich>
      </c:tx>
      <c:layout>
        <c:manualLayout>
          <c:xMode val="edge"/>
          <c:yMode val="edge"/>
          <c:x val="0.25475789403108678"/>
          <c:y val="2.6291246981423291E-2"/>
        </c:manualLayout>
      </c:layout>
    </c:title>
    <c:plotArea>
      <c:layout>
        <c:manualLayout>
          <c:layoutTarget val="inner"/>
          <c:xMode val="edge"/>
          <c:yMode val="edge"/>
          <c:x val="0.15950166190741713"/>
          <c:y val="0.14530333298644946"/>
          <c:w val="0.80966221612514155"/>
          <c:h val="0.67025901997881221"/>
        </c:manualLayout>
      </c:layout>
      <c:barChart>
        <c:barDir val="col"/>
        <c:grouping val="stacked"/>
        <c:ser>
          <c:idx val="0"/>
          <c:order val="0"/>
          <c:tx>
            <c:strRef>
              <c:f>'4.6'!$P$30</c:f>
              <c:strCache>
                <c:ptCount val="1"/>
                <c:pt idx="0">
                  <c:v>&lt; 1 MILLION</c:v>
                </c:pt>
              </c:strCache>
            </c:strRef>
          </c:tx>
          <c:cat>
            <c:numRef>
              <c:f>'4.6'!$Q$29:$S$29</c:f>
              <c:numCache>
                <c:formatCode>General_)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'4.6'!$Q$30:$S$30</c:f>
              <c:numCache>
                <c:formatCode>_(* #,##0_);_(* \(#,##0\);_(* "-"??_);_(@_)</c:formatCode>
                <c:ptCount val="3"/>
                <c:pt idx="0">
                  <c:v>24376348</c:v>
                </c:pt>
                <c:pt idx="1">
                  <c:v>81778087</c:v>
                </c:pt>
                <c:pt idx="2">
                  <c:v>53959231.93</c:v>
                </c:pt>
              </c:numCache>
            </c:numRef>
          </c:val>
        </c:ser>
        <c:ser>
          <c:idx val="1"/>
          <c:order val="1"/>
          <c:tx>
            <c:strRef>
              <c:f>'4.6'!$P$31</c:f>
              <c:strCache>
                <c:ptCount val="1"/>
                <c:pt idx="0">
                  <c:v>1 MILLION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numRef>
              <c:f>'4.6'!$Q$29:$S$29</c:f>
              <c:numCache>
                <c:formatCode>General_)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'4.6'!$Q$31:$S$31</c:f>
              <c:numCache>
                <c:formatCode>_(* #,##0_);_(* \(#,##0\);_(* "-"??_);_(@_)</c:formatCode>
                <c:ptCount val="3"/>
                <c:pt idx="0">
                  <c:v>4000000</c:v>
                </c:pt>
                <c:pt idx="1">
                  <c:v>11000000</c:v>
                </c:pt>
                <c:pt idx="2">
                  <c:v>4000000</c:v>
                </c:pt>
              </c:numCache>
            </c:numRef>
          </c:val>
        </c:ser>
        <c:ser>
          <c:idx val="2"/>
          <c:order val="2"/>
          <c:tx>
            <c:strRef>
              <c:f>'4.6'!$P$32</c:f>
              <c:strCache>
                <c:ptCount val="1"/>
                <c:pt idx="0">
                  <c:v>1 MILLION PLUS</c:v>
                </c:pt>
              </c:strCache>
            </c:strRef>
          </c:tx>
          <c:cat>
            <c:numRef>
              <c:f>'4.6'!$Q$29:$S$29</c:f>
              <c:numCache>
                <c:formatCode>General_)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'4.6'!$Q$32:$S$32</c:f>
              <c:numCache>
                <c:formatCode>_(* #,##0_);_(* \(#,##0\);_(* "-"??_);_(@_)</c:formatCode>
                <c:ptCount val="3"/>
                <c:pt idx="0">
                  <c:v>120927102</c:v>
                </c:pt>
                <c:pt idx="1">
                  <c:v>280726560</c:v>
                </c:pt>
                <c:pt idx="2">
                  <c:v>142885813.94</c:v>
                </c:pt>
              </c:numCache>
            </c:numRef>
          </c:val>
        </c:ser>
        <c:gapWidth val="97"/>
        <c:overlap val="100"/>
        <c:axId val="90460160"/>
        <c:axId val="90461696"/>
      </c:barChart>
      <c:catAx>
        <c:axId val="90460160"/>
        <c:scaling>
          <c:orientation val="minMax"/>
        </c:scaling>
        <c:axPos val="b"/>
        <c:numFmt formatCode="General_)" sourceLinked="1"/>
        <c:majorTickMark val="none"/>
        <c:tickLblPos val="nextTo"/>
        <c:crossAx val="90461696"/>
        <c:crosses val="autoZero"/>
        <c:auto val="1"/>
        <c:lblAlgn val="ctr"/>
        <c:lblOffset val="100"/>
      </c:catAx>
      <c:valAx>
        <c:axId val="90461696"/>
        <c:scaling>
          <c:orientation val="minMax"/>
        </c:scaling>
        <c:axPos val="l"/>
        <c:majorGridlines/>
        <c:numFmt formatCode="_(* #,##0_);_(* \(#,##0\);_(* &quot;-&quot;??_);_(@_)" sourceLinked="1"/>
        <c:majorTickMark val="none"/>
        <c:tickLblPos val="nextTo"/>
        <c:spPr>
          <a:ln w="9525">
            <a:noFill/>
          </a:ln>
        </c:spPr>
        <c:crossAx val="90460160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b"/>
      <c:layout>
        <c:manualLayout>
          <c:xMode val="edge"/>
          <c:yMode val="edge"/>
          <c:x val="0.18716936367112894"/>
          <c:y val="0.90864338222122898"/>
          <c:w val="0.71156172470696522"/>
          <c:h val="7.8356998213831852E-2"/>
        </c:manualLayout>
      </c:layout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499696</xdr:colOff>
      <xdr:row>18</xdr:row>
      <xdr:rowOff>130552</xdr:rowOff>
    </xdr:from>
    <xdr:to>
      <xdr:col>7</xdr:col>
      <xdr:colOff>240741</xdr:colOff>
      <xdr:row>34</xdr:row>
      <xdr:rowOff>6727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843337</xdr:colOff>
      <xdr:row>18</xdr:row>
      <xdr:rowOff>163809</xdr:rowOff>
    </xdr:from>
    <xdr:to>
      <xdr:col>11</xdr:col>
      <xdr:colOff>1318845</xdr:colOff>
      <xdr:row>34</xdr:row>
      <xdr:rowOff>37139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0.0171</cdr:x>
      <cdr:y>0.05525</cdr:y>
    </cdr:from>
    <cdr:to>
      <cdr:x>0.12613</cdr:x>
      <cdr:y>0.104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590" y="161925"/>
          <a:ext cx="628649" cy="142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>
              <a:latin typeface="+mn-lt"/>
            </a:rPr>
            <a:t>in MVR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S33"/>
  <sheetViews>
    <sheetView tabSelected="1" workbookViewId="0">
      <selection activeCell="E6" sqref="E6"/>
    </sheetView>
  </sheetViews>
  <sheetFormatPr defaultRowHeight="15"/>
  <cols>
    <col min="1" max="1" width="19.28515625" style="2" customWidth="1"/>
    <col min="2" max="2" width="14.5703125" style="2" customWidth="1"/>
    <col min="3" max="3" width="1.85546875" style="2" customWidth="1"/>
    <col min="4" max="4" width="13.85546875" style="2" customWidth="1"/>
    <col min="5" max="5" width="19" style="2" customWidth="1"/>
    <col min="6" max="6" width="2.7109375" style="2" customWidth="1"/>
    <col min="7" max="7" width="14.42578125" style="2" customWidth="1"/>
    <col min="8" max="8" width="20.140625" style="2" customWidth="1"/>
    <col min="9" max="9" width="14.85546875" style="2" customWidth="1"/>
    <col min="10" max="10" width="19.7109375" style="2" customWidth="1"/>
    <col min="11" max="11" width="26.140625" style="7" customWidth="1"/>
    <col min="12" max="12" width="27.5703125" style="5" customWidth="1"/>
    <col min="13" max="13" width="9.140625" style="2"/>
    <col min="14" max="14" width="33" style="2" customWidth="1"/>
    <col min="15" max="15" width="9.140625" style="2"/>
    <col min="16" max="19" width="13.85546875" style="2" customWidth="1"/>
    <col min="20" max="16384" width="9.140625" style="2"/>
  </cols>
  <sheetData>
    <row r="2" spans="1:17" ht="21.75" customHeight="1">
      <c r="A2" s="78" t="s">
        <v>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1"/>
      <c r="N2" s="1"/>
      <c r="O2" s="1"/>
      <c r="P2" s="1"/>
      <c r="Q2" s="1"/>
    </row>
    <row r="3" spans="1:17" ht="24.75" customHeight="1">
      <c r="A3" s="79" t="s">
        <v>1</v>
      </c>
      <c r="B3" s="80"/>
      <c r="C3" s="80"/>
      <c r="D3" s="79"/>
      <c r="E3" s="79"/>
      <c r="F3" s="79"/>
      <c r="G3" s="79"/>
      <c r="H3" s="79"/>
      <c r="I3" s="79"/>
      <c r="J3" s="79"/>
      <c r="K3" s="79"/>
      <c r="L3" s="79"/>
    </row>
    <row r="4" spans="1:17" ht="24.75" customHeight="1">
      <c r="A4" s="13" t="s">
        <v>2</v>
      </c>
      <c r="B4" s="22"/>
      <c r="C4" s="22"/>
      <c r="D4" s="89">
        <v>2010</v>
      </c>
      <c r="E4" s="90"/>
      <c r="F4" s="24"/>
      <c r="G4" s="84">
        <v>2011</v>
      </c>
      <c r="H4" s="85"/>
      <c r="I4" s="84">
        <v>2012</v>
      </c>
      <c r="J4" s="84"/>
      <c r="K4" s="86" t="s">
        <v>7</v>
      </c>
      <c r="L4" s="3" t="s">
        <v>3</v>
      </c>
    </row>
    <row r="5" spans="1:17" s="38" customFormat="1" ht="25.5" customHeight="1">
      <c r="A5" s="21" t="s">
        <v>4</v>
      </c>
      <c r="B5" s="35" t="s">
        <v>5</v>
      </c>
      <c r="C5" s="35"/>
      <c r="D5" s="36" t="s">
        <v>6</v>
      </c>
      <c r="E5" s="74" t="s">
        <v>33</v>
      </c>
      <c r="F5" s="75"/>
      <c r="G5" s="37" t="s">
        <v>6</v>
      </c>
      <c r="H5" s="74" t="s">
        <v>33</v>
      </c>
      <c r="I5" s="36" t="s">
        <v>6</v>
      </c>
      <c r="J5" s="76" t="s">
        <v>33</v>
      </c>
      <c r="K5" s="87"/>
      <c r="L5" s="81" t="s">
        <v>29</v>
      </c>
    </row>
    <row r="6" spans="1:17" s="39" customFormat="1" ht="21" customHeight="1">
      <c r="A6" s="6"/>
      <c r="B6" s="6"/>
      <c r="C6" s="23"/>
      <c r="D6" s="25" t="s">
        <v>8</v>
      </c>
      <c r="E6" s="26" t="s">
        <v>34</v>
      </c>
      <c r="F6" s="31"/>
      <c r="G6" s="14" t="s">
        <v>8</v>
      </c>
      <c r="H6" s="26" t="s">
        <v>34</v>
      </c>
      <c r="I6" s="14" t="s">
        <v>8</v>
      </c>
      <c r="J6" s="77" t="s">
        <v>34</v>
      </c>
      <c r="K6" s="88"/>
      <c r="L6" s="82"/>
    </row>
    <row r="7" spans="1:17" s="10" customFormat="1" ht="21.75" customHeight="1">
      <c r="A7" s="83" t="s">
        <v>9</v>
      </c>
      <c r="B7" s="8" t="s">
        <v>10</v>
      </c>
      <c r="C7" s="8"/>
      <c r="D7" s="27">
        <v>53</v>
      </c>
      <c r="E7" s="33">
        <v>22326606</v>
      </c>
      <c r="F7" s="32"/>
      <c r="G7" s="8">
        <v>202</v>
      </c>
      <c r="H7" s="33">
        <v>81778087</v>
      </c>
      <c r="I7" s="8">
        <v>96</v>
      </c>
      <c r="J7" s="32">
        <v>53959231.93</v>
      </c>
      <c r="K7" s="9" t="s">
        <v>11</v>
      </c>
      <c r="L7" s="81" t="s">
        <v>12</v>
      </c>
    </row>
    <row r="8" spans="1:17" s="10" customFormat="1" ht="40.5" customHeight="1">
      <c r="A8" s="83"/>
      <c r="B8" s="8" t="s">
        <v>13</v>
      </c>
      <c r="C8" s="8"/>
      <c r="D8" s="27">
        <v>11</v>
      </c>
      <c r="E8" s="28">
        <v>2049742</v>
      </c>
      <c r="F8" s="11"/>
      <c r="G8" s="8">
        <v>0</v>
      </c>
      <c r="H8" s="28">
        <v>0</v>
      </c>
      <c r="I8" s="8">
        <v>0</v>
      </c>
      <c r="J8" s="11">
        <v>0</v>
      </c>
      <c r="K8" s="9" t="s">
        <v>14</v>
      </c>
      <c r="L8" s="81"/>
    </row>
    <row r="9" spans="1:17" s="10" customFormat="1" ht="21.75" customHeight="1">
      <c r="A9" s="15" t="s">
        <v>15</v>
      </c>
      <c r="B9" s="16"/>
      <c r="C9" s="16"/>
      <c r="D9" s="29">
        <v>64</v>
      </c>
      <c r="E9" s="30">
        <v>24376348</v>
      </c>
      <c r="F9" s="17"/>
      <c r="G9" s="15">
        <v>202</v>
      </c>
      <c r="H9" s="40">
        <v>81778087</v>
      </c>
      <c r="I9" s="15">
        <f>SUM(I7:I8)</f>
        <v>96</v>
      </c>
      <c r="J9" s="41">
        <f>SUM(J7:J8)</f>
        <v>53959231.93</v>
      </c>
      <c r="K9" s="18"/>
      <c r="L9" s="19" t="s">
        <v>16</v>
      </c>
    </row>
    <row r="10" spans="1:17" s="10" customFormat="1" ht="21.75" customHeight="1">
      <c r="A10" s="21" t="s">
        <v>17</v>
      </c>
      <c r="B10" s="8" t="s">
        <v>10</v>
      </c>
      <c r="C10" s="8"/>
      <c r="D10" s="27">
        <v>4</v>
      </c>
      <c r="E10" s="28">
        <v>4000000</v>
      </c>
      <c r="F10" s="11"/>
      <c r="G10" s="8">
        <v>11</v>
      </c>
      <c r="H10" s="28">
        <v>11000000</v>
      </c>
      <c r="I10" s="8">
        <v>4</v>
      </c>
      <c r="J10" s="11">
        <v>4000000</v>
      </c>
      <c r="K10" s="9" t="s">
        <v>11</v>
      </c>
      <c r="L10" s="20" t="s">
        <v>18</v>
      </c>
    </row>
    <row r="11" spans="1:17" s="10" customFormat="1" ht="21.75" customHeight="1">
      <c r="A11" s="15" t="s">
        <v>15</v>
      </c>
      <c r="B11" s="16"/>
      <c r="C11" s="16"/>
      <c r="D11" s="29">
        <v>4</v>
      </c>
      <c r="E11" s="30">
        <v>4000000</v>
      </c>
      <c r="F11" s="17"/>
      <c r="G11" s="15">
        <v>11</v>
      </c>
      <c r="H11" s="30">
        <v>11000000</v>
      </c>
      <c r="I11" s="15">
        <f>SUM(I10:I10)</f>
        <v>4</v>
      </c>
      <c r="J11" s="41">
        <f>SUM(J10:J10)</f>
        <v>4000000</v>
      </c>
      <c r="K11" s="18"/>
      <c r="L11" s="19" t="s">
        <v>16</v>
      </c>
    </row>
    <row r="12" spans="1:17" s="10" customFormat="1" ht="21.75" customHeight="1">
      <c r="A12" s="21" t="s">
        <v>19</v>
      </c>
      <c r="B12" s="8" t="s">
        <v>10</v>
      </c>
      <c r="C12" s="8"/>
      <c r="D12" s="27">
        <v>43</v>
      </c>
      <c r="E12" s="28">
        <v>120927102</v>
      </c>
      <c r="F12" s="11"/>
      <c r="G12" s="8">
        <v>115</v>
      </c>
      <c r="H12" s="28">
        <v>280726560</v>
      </c>
      <c r="I12" s="8">
        <v>74</v>
      </c>
      <c r="J12" s="11">
        <v>142885813.94</v>
      </c>
      <c r="K12" s="9" t="s">
        <v>11</v>
      </c>
      <c r="L12" s="20" t="s">
        <v>20</v>
      </c>
    </row>
    <row r="13" spans="1:17" s="12" customFormat="1" ht="36" customHeight="1">
      <c r="A13" s="34" t="s">
        <v>15</v>
      </c>
      <c r="B13" s="34"/>
      <c r="C13" s="34"/>
      <c r="D13" s="64">
        <v>43</v>
      </c>
      <c r="E13" s="65">
        <v>120927102</v>
      </c>
      <c r="F13" s="60"/>
      <c r="G13" s="34">
        <v>115</v>
      </c>
      <c r="H13" s="65">
        <v>280726560</v>
      </c>
      <c r="I13" s="34">
        <f>SUM(I12:I12)</f>
        <v>74</v>
      </c>
      <c r="J13" s="61">
        <f>SUM(J12:J12)</f>
        <v>142885813.94</v>
      </c>
      <c r="K13" s="62"/>
      <c r="L13" s="63" t="s">
        <v>16</v>
      </c>
    </row>
    <row r="14" spans="1:17" s="10" customFormat="1" ht="29.25" customHeight="1" thickBot="1">
      <c r="A14" s="66" t="s">
        <v>31</v>
      </c>
      <c r="B14" s="66"/>
      <c r="C14" s="67"/>
      <c r="D14" s="68">
        <f>D9+D11+D13</f>
        <v>111</v>
      </c>
      <c r="E14" s="69">
        <f>E9+E11+E13</f>
        <v>149303450</v>
      </c>
      <c r="F14" s="70"/>
      <c r="G14" s="71">
        <f>G9+G11+G13</f>
        <v>328</v>
      </c>
      <c r="H14" s="69">
        <f>H9+H11+H13</f>
        <v>373504647</v>
      </c>
      <c r="I14" s="71">
        <f>I9+I11+I13</f>
        <v>174</v>
      </c>
      <c r="J14" s="70">
        <f>J9+J11+J13</f>
        <v>200845045.87</v>
      </c>
      <c r="K14" s="72"/>
      <c r="L14" s="73" t="s">
        <v>32</v>
      </c>
    </row>
    <row r="15" spans="1:17" s="56" customFormat="1" ht="14.25" customHeight="1" thickTop="1">
      <c r="A15" s="51" t="s">
        <v>21</v>
      </c>
      <c r="B15" s="52"/>
      <c r="C15" s="52"/>
      <c r="D15" s="52"/>
      <c r="E15" s="52"/>
      <c r="F15" s="52"/>
      <c r="G15" s="52"/>
      <c r="H15" s="52"/>
      <c r="I15" s="52"/>
      <c r="J15" s="52"/>
      <c r="K15" s="53"/>
      <c r="L15" s="50" t="s">
        <v>22</v>
      </c>
      <c r="M15" s="54"/>
      <c r="N15" s="54"/>
      <c r="O15" s="55"/>
    </row>
    <row r="16" spans="1:17" s="56" customFormat="1" ht="14.25" customHeight="1">
      <c r="A16" s="51" t="s">
        <v>23</v>
      </c>
      <c r="B16" s="49"/>
      <c r="C16" s="49"/>
      <c r="D16" s="49"/>
      <c r="E16" s="49"/>
      <c r="F16" s="49"/>
      <c r="G16" s="49"/>
      <c r="H16" s="49"/>
      <c r="I16" s="49"/>
      <c r="J16" s="49"/>
      <c r="K16" s="57"/>
      <c r="L16" s="50" t="s">
        <v>24</v>
      </c>
      <c r="M16" s="49"/>
      <c r="N16" s="49"/>
      <c r="O16" s="49"/>
      <c r="P16" s="49"/>
    </row>
    <row r="17" spans="1:19" s="56" customFormat="1" ht="14.25" customHeight="1">
      <c r="A17" s="51" t="s">
        <v>25</v>
      </c>
      <c r="B17" s="49"/>
      <c r="C17" s="49"/>
      <c r="D17" s="49"/>
      <c r="E17" s="49"/>
      <c r="F17" s="49"/>
      <c r="G17" s="49"/>
      <c r="H17" s="58"/>
      <c r="I17" s="58"/>
      <c r="J17" s="58"/>
      <c r="K17" s="57"/>
      <c r="L17" s="50" t="s">
        <v>26</v>
      </c>
      <c r="M17" s="49"/>
      <c r="N17" s="49"/>
      <c r="O17" s="49"/>
      <c r="P17" s="49"/>
    </row>
    <row r="18" spans="1:19" s="56" customFormat="1" ht="14.25" customHeight="1">
      <c r="A18" s="51" t="s">
        <v>27</v>
      </c>
      <c r="K18" s="59"/>
      <c r="L18" s="50" t="s">
        <v>28</v>
      </c>
    </row>
    <row r="19" spans="1:19" s="42" customFormat="1" ht="15.75" customHeight="1">
      <c r="A19" s="4"/>
      <c r="K19" s="43"/>
      <c r="L19" s="44"/>
    </row>
    <row r="21" spans="1:19">
      <c r="P21" s="45" t="s">
        <v>8</v>
      </c>
      <c r="Q21" s="45"/>
      <c r="R21" s="45"/>
      <c r="S21" s="45"/>
    </row>
    <row r="22" spans="1:19">
      <c r="P22" s="46"/>
      <c r="Q22" s="47">
        <v>2010</v>
      </c>
      <c r="R22" s="46">
        <v>2011</v>
      </c>
      <c r="S22" s="46">
        <v>2012</v>
      </c>
    </row>
    <row r="23" spans="1:19">
      <c r="P23" s="46" t="str">
        <f>A7</f>
        <v>&lt; 1 MILLION</v>
      </c>
      <c r="Q23" s="46">
        <f>D9</f>
        <v>64</v>
      </c>
      <c r="R23" s="46">
        <f>G9</f>
        <v>202</v>
      </c>
      <c r="S23" s="46">
        <f>I9</f>
        <v>96</v>
      </c>
    </row>
    <row r="24" spans="1:19">
      <c r="P24" s="46" t="str">
        <f>A10</f>
        <v>1 MILLION</v>
      </c>
      <c r="Q24" s="46">
        <f>D11</f>
        <v>4</v>
      </c>
      <c r="R24" s="46">
        <f>G11</f>
        <v>11</v>
      </c>
      <c r="S24" s="46">
        <f>I11</f>
        <v>4</v>
      </c>
    </row>
    <row r="25" spans="1:19">
      <c r="P25" s="46" t="str">
        <f>A12</f>
        <v>1 MILLION PLUS</v>
      </c>
      <c r="Q25" s="46">
        <f>D13</f>
        <v>43</v>
      </c>
      <c r="R25" s="46">
        <f>G13</f>
        <v>115</v>
      </c>
      <c r="S25" s="46">
        <f>I13</f>
        <v>74</v>
      </c>
    </row>
    <row r="26" spans="1:19">
      <c r="P26" s="46" t="s">
        <v>15</v>
      </c>
      <c r="Q26" s="46">
        <f>SUM(Q23:Q25)</f>
        <v>111</v>
      </c>
      <c r="R26" s="46">
        <f t="shared" ref="R26:S26" si="0">SUM(R23:R25)</f>
        <v>328</v>
      </c>
      <c r="S26" s="46">
        <f t="shared" si="0"/>
        <v>174</v>
      </c>
    </row>
    <row r="27" spans="1:19">
      <c r="P27" s="46"/>
      <c r="Q27" s="46"/>
      <c r="R27" s="46"/>
      <c r="S27" s="46"/>
    </row>
    <row r="28" spans="1:19">
      <c r="P28" s="46" t="s">
        <v>30</v>
      </c>
      <c r="Q28" s="46"/>
      <c r="R28" s="46"/>
      <c r="S28" s="46"/>
    </row>
    <row r="29" spans="1:19">
      <c r="P29" s="46"/>
      <c r="Q29" s="47">
        <v>2010</v>
      </c>
      <c r="R29" s="46">
        <v>2011</v>
      </c>
      <c r="S29" s="46">
        <v>2012</v>
      </c>
    </row>
    <row r="30" spans="1:19">
      <c r="P30" s="46" t="s">
        <v>9</v>
      </c>
      <c r="Q30" s="48">
        <f>E9</f>
        <v>24376348</v>
      </c>
      <c r="R30" s="48">
        <f>H9</f>
        <v>81778087</v>
      </c>
      <c r="S30" s="48">
        <f>J9</f>
        <v>53959231.93</v>
      </c>
    </row>
    <row r="31" spans="1:19">
      <c r="P31" s="46" t="s">
        <v>17</v>
      </c>
      <c r="Q31" s="48">
        <f>E11</f>
        <v>4000000</v>
      </c>
      <c r="R31" s="48">
        <f>H11</f>
        <v>11000000</v>
      </c>
      <c r="S31" s="48">
        <f>J11</f>
        <v>4000000</v>
      </c>
    </row>
    <row r="32" spans="1:19">
      <c r="P32" s="46" t="s">
        <v>19</v>
      </c>
      <c r="Q32" s="48">
        <f>E13</f>
        <v>120927102</v>
      </c>
      <c r="R32" s="48">
        <f>H13</f>
        <v>280726560</v>
      </c>
      <c r="S32" s="48">
        <f>J13</f>
        <v>142885813.94</v>
      </c>
    </row>
    <row r="33" spans="16:19">
      <c r="P33" s="46" t="s">
        <v>15</v>
      </c>
      <c r="Q33" s="48">
        <f>SUM(Q30:Q32)</f>
        <v>149303450</v>
      </c>
      <c r="R33" s="48">
        <f t="shared" ref="R33:S33" si="1">SUM(R30:R32)</f>
        <v>373504647</v>
      </c>
      <c r="S33" s="48">
        <f t="shared" si="1"/>
        <v>200845045.87</v>
      </c>
    </row>
  </sheetData>
  <mergeCells count="9">
    <mergeCell ref="A2:L2"/>
    <mergeCell ref="A3:L3"/>
    <mergeCell ref="L5:L6"/>
    <mergeCell ref="A7:A8"/>
    <mergeCell ref="L7:L8"/>
    <mergeCell ref="G4:H4"/>
    <mergeCell ref="I4:J4"/>
    <mergeCell ref="K4:K6"/>
    <mergeCell ref="D4:E4"/>
  </mergeCells>
  <pageMargins left="0.18" right="0.17" top="0.54" bottom="0.06" header="0.3" footer="0.01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4.6</vt:lpstr>
      <vt:lpstr>'4.6'!Print_Area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2013-07-02T08:42:18Z</cp:lastPrinted>
  <dcterms:created xsi:type="dcterms:W3CDTF">2013-04-22T08:56:04Z</dcterms:created>
  <dcterms:modified xsi:type="dcterms:W3CDTF">2013-07-02T08:47:00Z</dcterms:modified>
</cp:coreProperties>
</file>