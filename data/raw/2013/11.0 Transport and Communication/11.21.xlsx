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838" firstSheet="1" activeTab="1"/>
  </bookViews>
  <sheets>
    <sheet name="11.5" sheetId="5" r:id="rId1"/>
    <sheet name="11.21" sheetId="20" r:id="rId2"/>
  </sheets>
  <definedNames>
    <definedName name="_xlnm.Print_Area" localSheetId="1">'11.21'!$A$1:$S$22</definedName>
  </definedNames>
  <calcPr calcId="124519"/>
</workbook>
</file>

<file path=xl/calcChain.xml><?xml version="1.0" encoding="utf-8"?>
<calcChain xmlns="http://schemas.openxmlformats.org/spreadsheetml/2006/main">
  <c r="R7" i="20"/>
  <c r="Q7"/>
  <c r="O7"/>
  <c r="N7"/>
  <c r="L7"/>
  <c r="K7"/>
  <c r="I7"/>
  <c r="H7"/>
  <c r="F7"/>
  <c r="E7"/>
  <c r="C7"/>
  <c r="B7"/>
  <c r="L29" i="5" l="1"/>
  <c r="G29"/>
  <c r="L28"/>
  <c r="G28"/>
  <c r="L27"/>
  <c r="G27"/>
  <c r="L26"/>
  <c r="G26"/>
  <c r="L25"/>
  <c r="G25"/>
  <c r="L24"/>
  <c r="G24"/>
  <c r="L23"/>
  <c r="G23"/>
  <c r="L22"/>
  <c r="G22"/>
  <c r="L21"/>
  <c r="G21"/>
  <c r="L20"/>
  <c r="G20"/>
  <c r="L19"/>
  <c r="G19"/>
  <c r="L18"/>
  <c r="G18"/>
  <c r="L17"/>
  <c r="G17"/>
  <c r="L16"/>
  <c r="G16"/>
  <c r="L15"/>
  <c r="G15"/>
  <c r="L14"/>
  <c r="G14"/>
  <c r="L13"/>
  <c r="G13"/>
  <c r="L12"/>
  <c r="G12"/>
  <c r="L11"/>
  <c r="G11"/>
  <c r="L10"/>
  <c r="G10"/>
  <c r="P9"/>
  <c r="O9"/>
  <c r="N9"/>
  <c r="M9"/>
  <c r="L9"/>
  <c r="K9"/>
  <c r="J9"/>
  <c r="I9"/>
  <c r="H9"/>
  <c r="G9"/>
  <c r="F9"/>
  <c r="E9"/>
  <c r="D9"/>
  <c r="C9"/>
  <c r="B9"/>
  <c r="L8"/>
  <c r="G8"/>
  <c r="P7"/>
  <c r="O7"/>
  <c r="N7"/>
  <c r="M7"/>
  <c r="L7"/>
  <c r="K7"/>
  <c r="J7"/>
  <c r="I7"/>
  <c r="H7"/>
  <c r="G7"/>
  <c r="F7"/>
  <c r="E7"/>
  <c r="D7"/>
  <c r="C7"/>
  <c r="B7"/>
</calcChain>
</file>

<file path=xl/sharedStrings.xml><?xml version="1.0" encoding="utf-8"?>
<sst xmlns="http://schemas.openxmlformats.org/spreadsheetml/2006/main" count="110" uniqueCount="75">
  <si>
    <t>Locality</t>
  </si>
  <si>
    <t>wlcmuj</t>
  </si>
  <si>
    <t>Republic</t>
  </si>
  <si>
    <t>S</t>
  </si>
  <si>
    <t xml:space="preserve"> N</t>
  </si>
  <si>
    <t xml:space="preserve"> R</t>
  </si>
  <si>
    <t>B</t>
  </si>
  <si>
    <t>Lh</t>
  </si>
  <si>
    <t>K</t>
  </si>
  <si>
    <t>Adh</t>
  </si>
  <si>
    <t>V</t>
  </si>
  <si>
    <t>M</t>
  </si>
  <si>
    <t>F</t>
  </si>
  <si>
    <t>Dh</t>
  </si>
  <si>
    <t>Th</t>
  </si>
  <si>
    <t xml:space="preserve"> L</t>
  </si>
  <si>
    <t>GA</t>
  </si>
  <si>
    <t>GDh</t>
  </si>
  <si>
    <t>Gn</t>
  </si>
  <si>
    <t>Source: Transport Authority</t>
  </si>
  <si>
    <t>Total</t>
  </si>
  <si>
    <t>Dhoni size (lenghth in ft)</t>
  </si>
  <si>
    <t>below 46</t>
  </si>
  <si>
    <t>46-65</t>
  </si>
  <si>
    <t>66-84</t>
  </si>
  <si>
    <t>85+</t>
  </si>
  <si>
    <t>Male'</t>
  </si>
  <si>
    <t>Atolls</t>
  </si>
  <si>
    <t xml:space="preserve"> HA</t>
  </si>
  <si>
    <t xml:space="preserve"> HDh</t>
  </si>
  <si>
    <t xml:space="preserve"> Sh</t>
  </si>
  <si>
    <t xml:space="preserve"> AA</t>
  </si>
  <si>
    <t>Table no 11.20  need to  complete later , Because we are having  some data  issues regarding for the  vessel measurements </t>
  </si>
  <si>
    <t>In</t>
  </si>
  <si>
    <t>Out</t>
  </si>
  <si>
    <t>Source: Civil Aviation Authority</t>
  </si>
  <si>
    <t>މައުލޫމާތު ދެއްވީ: ސިވިލް އޭވިއޭޝަން އޮތޯރިޓީ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</si>
  <si>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</si>
  <si>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</si>
  <si>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</si>
  <si>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</si>
  <si>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</si>
  <si>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</si>
  <si>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</si>
  <si>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</si>
  <si>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</si>
  <si>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</si>
  <si>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</si>
  <si>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</si>
  <si>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</si>
  <si>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L.Kadhdhoo</t>
  </si>
  <si>
    <t>GDh.Kaadedhdhoo</t>
  </si>
  <si>
    <t>HDh.Hanimaadhoo</t>
  </si>
  <si>
    <t xml:space="preserve">Gn.Fuvahmulah </t>
  </si>
  <si>
    <t>ADh.Maamigili</t>
  </si>
  <si>
    <t>cswm</t>
  </si>
  <si>
    <t>Irwaunej</t>
  </si>
  <si>
    <t>Irwaurcbef</t>
  </si>
  <si>
    <t>cCrWm</t>
  </si>
  <si>
    <t>Em</t>
  </si>
  <si>
    <t>cnUj</t>
  </si>
  <si>
    <t>iawluj</t>
  </si>
  <si>
    <t>rwbcmeTcpes</t>
  </si>
  <si>
    <t>rwbcmevon</t>
  </si>
  <si>
    <t>rwbcmesiD</t>
  </si>
  <si>
    <t xml:space="preserve"> ( in kg )</t>
  </si>
  <si>
    <t>Table 11.5 :   REGISTERED DHONIS BY SIZE OF VESSEL BY LOCALITY, 1990, 2000, 2010 AND 2012</t>
  </si>
  <si>
    <t xml:space="preserve">ނޯޓް: ބ.ދަރަވަންދޫއަށް ދަތުރުތައް ފެށިފައިވަނީ އޮކްޓޯބަރ 2012 ން ފެށިގެންނެވެ. </t>
  </si>
  <si>
    <r>
      <t>B.Dharavandhoo</t>
    </r>
    <r>
      <rPr>
        <b/>
        <vertAlign val="superscript"/>
        <sz val="9"/>
        <rFont val="Calibri"/>
        <family val="2"/>
        <scheme val="minor"/>
      </rPr>
      <t>1_/</t>
    </r>
  </si>
  <si>
    <t>Table 11.21:  CARGO HANDLED AT DOMESTIC AIRPORTS BY MONTH, 2012</t>
  </si>
  <si>
    <t>clircpEa</t>
  </si>
  <si>
    <t>cTcswgoa</t>
  </si>
  <si>
    <t>rwbUTckoa</t>
  </si>
  <si>
    <r>
      <t>Note:</t>
    </r>
    <r>
      <rPr>
        <i/>
        <vertAlign val="superscript"/>
        <sz val="9"/>
        <rFont val="Calibri"/>
        <family val="2"/>
        <scheme val="minor"/>
      </rPr>
      <t xml:space="preserve"> 1_/ </t>
    </r>
    <r>
      <rPr>
        <i/>
        <sz val="9"/>
        <rFont val="Calibri"/>
        <family val="2"/>
        <scheme val="minor"/>
      </rPr>
      <t>B.Dharavandhoo  started flight operations during the month of October 2012</t>
    </r>
  </si>
  <si>
    <t>ތާވަލު 11.21: މަސްމަހުގެ ގޮތުން ރާއްޖޭގެ ވައިގެބަނދަރުތަކުގައި އުފުލުނު މުދާ، 2012</t>
  </si>
</sst>
</file>

<file path=xl/styles.xml><?xml version="1.0" encoding="utf-8"?>
<styleSheet xmlns="http://schemas.openxmlformats.org/spreadsheetml/2006/main">
  <numFmts count="3">
    <numFmt numFmtId="164" formatCode="General_)"/>
    <numFmt numFmtId="165" formatCode="[$-409]mmmm\ d\,\ yyyy;@"/>
    <numFmt numFmtId="166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A_Randhoo"/>
    </font>
    <font>
      <sz val="9"/>
      <name val="Calibri"/>
      <family val="2"/>
      <scheme val="minor"/>
    </font>
    <font>
      <sz val="9"/>
      <name val="Arial"/>
      <family val="2"/>
    </font>
    <font>
      <i/>
      <sz val="9"/>
      <name val="Arial"/>
      <family val="2"/>
    </font>
    <font>
      <sz val="10"/>
      <name val="Faruma"/>
    </font>
    <font>
      <sz val="9"/>
      <name val="Faruma"/>
    </font>
    <font>
      <sz val="10"/>
      <name val="Courier"/>
      <family val="3"/>
    </font>
    <font>
      <sz val="1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i/>
      <sz val="9"/>
      <name val="Calibri"/>
      <family val="2"/>
      <scheme val="minor"/>
    </font>
    <font>
      <sz val="11"/>
      <color theme="1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b/>
      <sz val="11"/>
      <name val="Faruma"/>
    </font>
    <font>
      <b/>
      <sz val="10"/>
      <name val="A_Randhoo"/>
    </font>
    <font>
      <sz val="10"/>
      <name val="Garamond"/>
      <family val="1"/>
    </font>
    <font>
      <sz val="10"/>
      <name val="A_Randhoo"/>
    </font>
    <font>
      <sz val="9"/>
      <name val="Courier"/>
      <family val="3"/>
    </font>
    <font>
      <b/>
      <vertAlign val="superscript"/>
      <sz val="9"/>
      <name val="Calibri"/>
      <family val="2"/>
      <scheme val="minor"/>
    </font>
    <font>
      <sz val="9"/>
      <color theme="1"/>
      <name val="Faruma"/>
    </font>
    <font>
      <i/>
      <vertAlign val="superscript"/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</borders>
  <cellStyleXfs count="1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5" fillId="0" borderId="0"/>
    <xf numFmtId="0" fontId="1" fillId="0" borderId="0"/>
    <xf numFmtId="0" fontId="5" fillId="0" borderId="0"/>
    <xf numFmtId="164" fontId="14" fillId="0" borderId="0"/>
    <xf numFmtId="40" fontId="3" fillId="0" borderId="0" applyFont="0" applyFill="0" applyBorder="0" applyAlignment="0" applyProtection="0"/>
    <xf numFmtId="166" fontId="14" fillId="0" borderId="0"/>
    <xf numFmtId="165" fontId="14" fillId="0" borderId="0" applyFont="0" applyFill="0" applyBorder="0" applyAlignment="0" applyProtection="0"/>
    <xf numFmtId="166" fontId="14" fillId="0" borderId="0"/>
    <xf numFmtId="164" fontId="14" fillId="0" borderId="0"/>
    <xf numFmtId="0" fontId="5" fillId="0" borderId="0"/>
    <xf numFmtId="0" fontId="24" fillId="0" borderId="0"/>
  </cellStyleXfs>
  <cellXfs count="94">
    <xf numFmtId="0" fontId="0" fillId="0" borderId="0" xfId="0"/>
    <xf numFmtId="164" fontId="0" fillId="2" borderId="0" xfId="0" applyNumberFormat="1" applyFill="1" applyBorder="1"/>
    <xf numFmtId="164" fontId="0" fillId="2" borderId="0" xfId="0" applyNumberFormat="1" applyFill="1"/>
    <xf numFmtId="0" fontId="12" fillId="2" borderId="1" xfId="0" applyNumberFormat="1" applyFont="1" applyFill="1" applyBorder="1" applyAlignment="1">
      <alignment horizontal="right" vertical="center"/>
    </xf>
    <xf numFmtId="164" fontId="6" fillId="3" borderId="0" xfId="4" applyNumberFormat="1" applyFont="1" applyFill="1" applyBorder="1" applyAlignment="1" applyProtection="1">
      <alignment horizontal="center"/>
    </xf>
    <xf numFmtId="0" fontId="1" fillId="3" borderId="0" xfId="4" applyFont="1" applyFill="1" applyBorder="1" applyAlignment="1"/>
    <xf numFmtId="164" fontId="6" fillId="3" borderId="3" xfId="4" applyNumberFormat="1" applyFont="1" applyFill="1" applyBorder="1" applyAlignment="1" applyProtection="1">
      <alignment horizontal="center"/>
    </xf>
    <xf numFmtId="0" fontId="1" fillId="3" borderId="0" xfId="4" applyFont="1" applyFill="1" applyAlignment="1"/>
    <xf numFmtId="164" fontId="6" fillId="3" borderId="12" xfId="4" applyNumberFormat="1" applyFont="1" applyFill="1" applyBorder="1" applyAlignment="1" applyProtection="1"/>
    <xf numFmtId="164" fontId="6" fillId="3" borderId="2" xfId="4" applyNumberFormat="1" applyFont="1" applyFill="1" applyBorder="1" applyAlignment="1" applyProtection="1">
      <alignment horizontal="center" vertical="center"/>
    </xf>
    <xf numFmtId="0" fontId="18" fillId="3" borderId="0" xfId="4" applyFont="1" applyFill="1" applyAlignment="1">
      <alignment horizontal="center" vertical="center"/>
    </xf>
    <xf numFmtId="164" fontId="9" fillId="3" borderId="3" xfId="4" applyNumberFormat="1" applyFont="1" applyFill="1" applyBorder="1" applyAlignment="1">
      <alignment horizontal="center" vertical="center"/>
    </xf>
    <xf numFmtId="164" fontId="7" fillId="3" borderId="3" xfId="4" applyNumberFormat="1" applyFont="1" applyFill="1" applyBorder="1" applyAlignment="1">
      <alignment horizontal="left" vertical="center"/>
    </xf>
    <xf numFmtId="164" fontId="7" fillId="3" borderId="11" xfId="4" applyNumberFormat="1" applyFont="1" applyFill="1" applyBorder="1" applyAlignment="1">
      <alignment horizontal="left" vertical="center"/>
    </xf>
    <xf numFmtId="164" fontId="7" fillId="3" borderId="10" xfId="4" applyNumberFormat="1" applyFont="1" applyFill="1" applyBorder="1" applyAlignment="1">
      <alignment horizontal="left" vertical="center"/>
    </xf>
    <xf numFmtId="0" fontId="1" fillId="3" borderId="0" xfId="4" applyFont="1" applyFill="1" applyAlignment="1">
      <alignment horizontal="center" vertical="center"/>
    </xf>
    <xf numFmtId="164" fontId="7" fillId="3" borderId="0" xfId="4" applyNumberFormat="1" applyFont="1" applyFill="1" applyBorder="1" applyAlignment="1"/>
    <xf numFmtId="3" fontId="7" fillId="3" borderId="0" xfId="4" applyNumberFormat="1" applyFont="1" applyFill="1" applyBorder="1" applyAlignment="1">
      <alignment horizontal="left"/>
    </xf>
    <xf numFmtId="3" fontId="7" fillId="3" borderId="6" xfId="4" applyNumberFormat="1" applyFont="1" applyFill="1" applyBorder="1" applyAlignment="1">
      <alignment horizontal="left"/>
    </xf>
    <xf numFmtId="3" fontId="7" fillId="3" borderId="9" xfId="4" applyNumberFormat="1" applyFont="1" applyFill="1" applyBorder="1" applyAlignment="1">
      <alignment horizontal="left"/>
    </xf>
    <xf numFmtId="3" fontId="7" fillId="3" borderId="2" xfId="4" applyNumberFormat="1" applyFont="1" applyFill="1" applyBorder="1" applyAlignment="1">
      <alignment horizontal="left"/>
    </xf>
    <xf numFmtId="0" fontId="19" fillId="3" borderId="0" xfId="4" applyFont="1" applyFill="1" applyAlignment="1">
      <alignment horizontal="left"/>
    </xf>
    <xf numFmtId="0" fontId="20" fillId="3" borderId="0" xfId="4" applyFont="1" applyFill="1" applyAlignment="1">
      <alignment horizontal="left"/>
    </xf>
    <xf numFmtId="3" fontId="7" fillId="3" borderId="8" xfId="4" applyNumberFormat="1" applyFont="1" applyFill="1" applyBorder="1" applyAlignment="1">
      <alignment horizontal="left"/>
    </xf>
    <xf numFmtId="164" fontId="9" fillId="3" borderId="0" xfId="4" applyNumberFormat="1" applyFont="1" applyFill="1" applyAlignment="1" applyProtection="1"/>
    <xf numFmtId="3" fontId="9" fillId="3" borderId="0" xfId="4" applyNumberFormat="1" applyFont="1" applyFill="1" applyBorder="1" applyAlignment="1">
      <alignment horizontal="left"/>
    </xf>
    <xf numFmtId="164" fontId="9" fillId="3" borderId="0" xfId="4" applyNumberFormat="1" applyFont="1" applyFill="1" applyBorder="1" applyAlignment="1" applyProtection="1">
      <alignment horizontal="left"/>
    </xf>
    <xf numFmtId="164" fontId="9" fillId="3" borderId="9" xfId="4" applyNumberFormat="1" applyFont="1" applyFill="1" applyBorder="1" applyAlignment="1">
      <alignment horizontal="left"/>
    </xf>
    <xf numFmtId="3" fontId="9" fillId="3" borderId="8" xfId="4" applyNumberFormat="1" applyFont="1" applyFill="1" applyBorder="1" applyAlignment="1">
      <alignment horizontal="left"/>
    </xf>
    <xf numFmtId="164" fontId="9" fillId="3" borderId="0" xfId="4" applyNumberFormat="1" applyFont="1" applyFill="1" applyBorder="1" applyAlignment="1">
      <alignment horizontal="left"/>
    </xf>
    <xf numFmtId="3" fontId="9" fillId="3" borderId="9" xfId="4" applyNumberFormat="1" applyFont="1" applyFill="1" applyBorder="1" applyAlignment="1">
      <alignment horizontal="left"/>
    </xf>
    <xf numFmtId="3" fontId="9" fillId="3" borderId="0" xfId="4" applyNumberFormat="1" applyFont="1" applyFill="1" applyBorder="1" applyAlignment="1" applyProtection="1">
      <alignment horizontal="left"/>
    </xf>
    <xf numFmtId="164" fontId="9" fillId="3" borderId="3" xfId="4" applyNumberFormat="1" applyFont="1" applyFill="1" applyBorder="1" applyAlignment="1" applyProtection="1"/>
    <xf numFmtId="3" fontId="7" fillId="3" borderId="3" xfId="4" applyNumberFormat="1" applyFont="1" applyFill="1" applyBorder="1" applyAlignment="1">
      <alignment horizontal="left"/>
    </xf>
    <xf numFmtId="3" fontId="9" fillId="3" borderId="3" xfId="4" applyNumberFormat="1" applyFont="1" applyFill="1" applyBorder="1" applyAlignment="1">
      <alignment horizontal="left"/>
    </xf>
    <xf numFmtId="3" fontId="9" fillId="3" borderId="11" xfId="4" applyNumberFormat="1" applyFont="1" applyFill="1" applyBorder="1" applyAlignment="1">
      <alignment horizontal="left"/>
    </xf>
    <xf numFmtId="3" fontId="7" fillId="3" borderId="10" xfId="4" applyNumberFormat="1" applyFont="1" applyFill="1" applyBorder="1" applyAlignment="1">
      <alignment horizontal="left"/>
    </xf>
    <xf numFmtId="164" fontId="9" fillId="3" borderId="3" xfId="4" applyNumberFormat="1" applyFont="1" applyFill="1" applyBorder="1" applyAlignment="1" applyProtection="1">
      <alignment horizontal="left"/>
    </xf>
    <xf numFmtId="164" fontId="9" fillId="3" borderId="11" xfId="4" applyNumberFormat="1" applyFont="1" applyFill="1" applyBorder="1" applyAlignment="1">
      <alignment horizontal="left"/>
    </xf>
    <xf numFmtId="3" fontId="9" fillId="3" borderId="10" xfId="4" applyNumberFormat="1" applyFont="1" applyFill="1" applyBorder="1" applyAlignment="1">
      <alignment horizontal="left"/>
    </xf>
    <xf numFmtId="164" fontId="9" fillId="3" borderId="3" xfId="4" applyNumberFormat="1" applyFont="1" applyFill="1" applyBorder="1" applyAlignment="1">
      <alignment horizontal="left"/>
    </xf>
    <xf numFmtId="164" fontId="17" fillId="3" borderId="5" xfId="4" applyNumberFormat="1" applyFont="1" applyFill="1" applyBorder="1" applyAlignment="1">
      <alignment horizontal="left" vertical="center"/>
    </xf>
    <xf numFmtId="164" fontId="11" fillId="3" borderId="0" xfId="4" applyNumberFormat="1" applyFont="1" applyFill="1" applyAlignment="1"/>
    <xf numFmtId="164" fontId="11" fillId="3" borderId="0" xfId="4" applyNumberFormat="1" applyFont="1" applyFill="1" applyBorder="1" applyAlignment="1"/>
    <xf numFmtId="164" fontId="10" fillId="3" borderId="0" xfId="4" applyNumberFormat="1" applyFont="1" applyFill="1" applyBorder="1" applyAlignment="1"/>
    <xf numFmtId="164" fontId="11" fillId="3" borderId="0" xfId="4" applyNumberFormat="1" applyFont="1" applyFill="1" applyBorder="1" applyAlignment="1" applyProtection="1"/>
    <xf numFmtId="164" fontId="7" fillId="2" borderId="0" xfId="11" applyNumberFormat="1" applyFont="1" applyFill="1" applyBorder="1" applyAlignment="1" applyProtection="1">
      <alignment horizontal="left" vertical="center"/>
    </xf>
    <xf numFmtId="164" fontId="17" fillId="2" borderId="0" xfId="11" applyNumberFormat="1" applyFont="1" applyFill="1" applyBorder="1" applyAlignment="1" applyProtection="1">
      <alignment horizontal="left" vertical="center"/>
    </xf>
    <xf numFmtId="164" fontId="17" fillId="2" borderId="0" xfId="11" applyNumberFormat="1" applyFont="1" applyFill="1" applyAlignment="1" applyProtection="1">
      <alignment horizontal="left" vertical="center"/>
    </xf>
    <xf numFmtId="37" fontId="9" fillId="2" borderId="0" xfId="11" applyNumberFormat="1" applyFont="1" applyFill="1" applyAlignment="1" applyProtection="1">
      <alignment vertical="center"/>
    </xf>
    <xf numFmtId="0" fontId="8" fillId="2" borderId="0" xfId="12" applyFont="1" applyFill="1" applyAlignment="1">
      <alignment vertical="center"/>
    </xf>
    <xf numFmtId="164" fontId="9" fillId="2" borderId="0" xfId="11" applyNumberFormat="1" applyFont="1" applyFill="1" applyBorder="1" applyAlignment="1" applyProtection="1">
      <alignment horizontal="left" vertical="center"/>
    </xf>
    <xf numFmtId="164" fontId="9" fillId="2" borderId="3" xfId="11" applyNumberFormat="1" applyFont="1" applyFill="1" applyBorder="1" applyAlignment="1" applyProtection="1">
      <alignment horizontal="left" vertical="center"/>
    </xf>
    <xf numFmtId="164" fontId="15" fillId="2" borderId="0" xfId="0" applyNumberFormat="1" applyFont="1" applyFill="1"/>
    <xf numFmtId="164" fontId="9" fillId="2" borderId="0" xfId="11" applyNumberFormat="1" applyFont="1" applyFill="1"/>
    <xf numFmtId="164" fontId="9" fillId="2" borderId="0" xfId="11" applyNumberFormat="1" applyFont="1" applyFill="1" applyBorder="1"/>
    <xf numFmtId="164" fontId="26" fillId="2" borderId="0" xfId="11" applyNumberFormat="1" applyFont="1" applyFill="1"/>
    <xf numFmtId="38" fontId="7" fillId="2" borderId="0" xfId="7" applyNumberFormat="1" applyFont="1" applyFill="1" applyBorder="1" applyAlignment="1">
      <alignment horizontal="right" vertical="center"/>
    </xf>
    <xf numFmtId="38" fontId="9" fillId="2" borderId="0" xfId="7" applyNumberFormat="1" applyFont="1" applyFill="1" applyBorder="1" applyAlignment="1">
      <alignment horizontal="right" vertical="center"/>
    </xf>
    <xf numFmtId="38" fontId="9" fillId="2" borderId="3" xfId="7" applyNumberFormat="1" applyFont="1" applyFill="1" applyBorder="1" applyAlignment="1">
      <alignment horizontal="right" vertical="center"/>
    </xf>
    <xf numFmtId="0" fontId="13" fillId="2" borderId="1" xfId="0" applyNumberFormat="1" applyFont="1" applyFill="1" applyBorder="1" applyAlignment="1">
      <alignment horizontal="right" vertical="center"/>
    </xf>
    <xf numFmtId="164" fontId="28" fillId="2" borderId="0" xfId="0" applyNumberFormat="1" applyFont="1" applyFill="1" applyAlignment="1">
      <alignment vertical="center"/>
    </xf>
    <xf numFmtId="164" fontId="7" fillId="2" borderId="3" xfId="11" applyNumberFormat="1" applyFont="1" applyFill="1" applyBorder="1" applyAlignment="1">
      <alignment horizontal="left" vertical="center" indent="4"/>
    </xf>
    <xf numFmtId="164" fontId="7" fillId="2" borderId="3" xfId="11" applyNumberFormat="1" applyFont="1" applyFill="1" applyBorder="1" applyAlignment="1">
      <alignment horizontal="left" vertical="center" indent="5"/>
    </xf>
    <xf numFmtId="164" fontId="7" fillId="2" borderId="3" xfId="11" applyNumberFormat="1" applyFont="1" applyFill="1" applyBorder="1" applyAlignment="1">
      <alignment horizontal="left" vertical="center" indent="7"/>
    </xf>
    <xf numFmtId="164" fontId="7" fillId="2" borderId="3" xfId="11" applyNumberFormat="1" applyFont="1" applyFill="1" applyBorder="1" applyAlignment="1">
      <alignment horizontal="left" vertical="center" wrapText="1" indent="7"/>
    </xf>
    <xf numFmtId="164" fontId="7" fillId="2" borderId="4" xfId="11" applyNumberFormat="1" applyFont="1" applyFill="1" applyBorder="1" applyAlignment="1">
      <alignment horizontal="center" vertical="center" wrapText="1"/>
    </xf>
    <xf numFmtId="164" fontId="7" fillId="2" borderId="19" xfId="11" applyNumberFormat="1" applyFont="1" applyFill="1" applyBorder="1" applyAlignment="1">
      <alignment horizontal="left" vertical="center" indent="6"/>
    </xf>
    <xf numFmtId="38" fontId="7" fillId="2" borderId="20" xfId="7" applyNumberFormat="1" applyFont="1" applyFill="1" applyBorder="1" applyAlignment="1">
      <alignment horizontal="right" vertical="center"/>
    </xf>
    <xf numFmtId="38" fontId="9" fillId="2" borderId="20" xfId="7" applyNumberFormat="1" applyFont="1" applyFill="1" applyBorder="1" applyAlignment="1">
      <alignment horizontal="right" vertical="center"/>
    </xf>
    <xf numFmtId="38" fontId="9" fillId="2" borderId="19" xfId="7" applyNumberFormat="1" applyFont="1" applyFill="1" applyBorder="1" applyAlignment="1">
      <alignment horizontal="right" vertical="center"/>
    </xf>
    <xf numFmtId="164" fontId="7" fillId="2" borderId="19" xfId="11" applyNumberFormat="1" applyFont="1" applyFill="1" applyBorder="1" applyAlignment="1">
      <alignment horizontal="left" vertical="center" indent="4"/>
    </xf>
    <xf numFmtId="0" fontId="23" fillId="2" borderId="0" xfId="13" applyFont="1" applyFill="1" applyBorder="1" applyAlignment="1">
      <alignment horizontal="right"/>
    </xf>
    <xf numFmtId="0" fontId="25" fillId="2" borderId="0" xfId="13" applyFont="1" applyFill="1" applyBorder="1" applyAlignment="1">
      <alignment horizontal="right"/>
    </xf>
    <xf numFmtId="0" fontId="25" fillId="2" borderId="3" xfId="13" applyFont="1" applyFill="1" applyBorder="1" applyAlignment="1">
      <alignment horizontal="right"/>
    </xf>
    <xf numFmtId="164" fontId="6" fillId="3" borderId="12" xfId="4" applyNumberFormat="1" applyFont="1" applyFill="1" applyBorder="1" applyAlignment="1" applyProtection="1">
      <alignment horizontal="center"/>
    </xf>
    <xf numFmtId="164" fontId="21" fillId="3" borderId="15" xfId="0" applyNumberFormat="1" applyFont="1" applyFill="1" applyBorder="1" applyAlignment="1">
      <alignment horizontal="center" wrapText="1"/>
    </xf>
    <xf numFmtId="164" fontId="21" fillId="3" borderId="16" xfId="0" applyNumberFormat="1" applyFont="1" applyFill="1" applyBorder="1" applyAlignment="1">
      <alignment horizontal="center" wrapText="1"/>
    </xf>
    <xf numFmtId="164" fontId="21" fillId="3" borderId="17" xfId="0" applyNumberFormat="1" applyFont="1" applyFill="1" applyBorder="1" applyAlignment="1">
      <alignment horizontal="center" wrapText="1"/>
    </xf>
    <xf numFmtId="164" fontId="6" fillId="3" borderId="0" xfId="4" applyNumberFormat="1" applyFont="1" applyFill="1" applyBorder="1" applyAlignment="1" applyProtection="1">
      <alignment horizontal="center"/>
    </xf>
    <xf numFmtId="164" fontId="6" fillId="3" borderId="13" xfId="4" applyNumberFormat="1" applyFont="1" applyFill="1" applyBorder="1" applyAlignment="1" applyProtection="1">
      <alignment horizontal="center"/>
    </xf>
    <xf numFmtId="164" fontId="6" fillId="3" borderId="14" xfId="4" applyNumberFormat="1" applyFont="1" applyFill="1" applyBorder="1" applyAlignment="1" applyProtection="1">
      <alignment horizontal="center"/>
    </xf>
    <xf numFmtId="164" fontId="6" fillId="3" borderId="2" xfId="4" applyNumberFormat="1" applyFont="1" applyFill="1" applyBorder="1" applyAlignment="1">
      <alignment horizontal="center" vertical="center"/>
    </xf>
    <xf numFmtId="164" fontId="6" fillId="3" borderId="7" xfId="4" applyNumberFormat="1" applyFont="1" applyFill="1" applyBorder="1" applyAlignment="1">
      <alignment horizontal="center" vertical="center"/>
    </xf>
    <xf numFmtId="164" fontId="6" fillId="3" borderId="6" xfId="4" applyNumberFormat="1" applyFont="1" applyFill="1" applyBorder="1" applyAlignment="1">
      <alignment horizontal="center" vertical="center"/>
    </xf>
    <xf numFmtId="0" fontId="23" fillId="2" borderId="2" xfId="13" applyFont="1" applyFill="1" applyBorder="1" applyAlignment="1">
      <alignment horizontal="right" vertical="center"/>
    </xf>
    <xf numFmtId="0" fontId="23" fillId="2" borderId="3" xfId="13" applyFont="1" applyFill="1" applyBorder="1" applyAlignment="1">
      <alignment horizontal="right" vertical="center"/>
    </xf>
    <xf numFmtId="164" fontId="22" fillId="2" borderId="0" xfId="0" applyNumberFormat="1" applyFont="1" applyFill="1" applyAlignment="1">
      <alignment horizontal="center"/>
    </xf>
    <xf numFmtId="164" fontId="2" fillId="2" borderId="0" xfId="11" applyNumberFormat="1" applyFont="1" applyFill="1" applyBorder="1" applyAlignment="1">
      <alignment horizontal="center" vertical="center"/>
    </xf>
    <xf numFmtId="164" fontId="7" fillId="2" borderId="0" xfId="11" applyNumberFormat="1" applyFont="1" applyFill="1" applyBorder="1" applyAlignment="1">
      <alignment horizontal="center" vertical="center"/>
    </xf>
    <xf numFmtId="164" fontId="7" fillId="2" borderId="2" xfId="11" applyNumberFormat="1" applyFont="1" applyFill="1" applyBorder="1" applyAlignment="1">
      <alignment horizontal="left" vertical="center"/>
    </xf>
    <xf numFmtId="164" fontId="7" fillId="2" borderId="3" xfId="11" applyNumberFormat="1" applyFont="1" applyFill="1" applyBorder="1" applyAlignment="1">
      <alignment horizontal="left" vertical="center"/>
    </xf>
    <xf numFmtId="164" fontId="7" fillId="2" borderId="4" xfId="11" applyNumberFormat="1" applyFont="1" applyFill="1" applyBorder="1" applyAlignment="1">
      <alignment horizontal="center" vertical="center" wrapText="1"/>
    </xf>
    <xf numFmtId="164" fontId="7" fillId="2" borderId="18" xfId="11" applyNumberFormat="1" applyFont="1" applyFill="1" applyBorder="1" applyAlignment="1">
      <alignment horizontal="center" vertical="center" wrapText="1"/>
    </xf>
  </cellXfs>
  <cellStyles count="14">
    <cellStyle name="Comma 2" xfId="7"/>
    <cellStyle name="Comma 4" xfId="9"/>
    <cellStyle name="Hyperlink 2" xfId="1"/>
    <cellStyle name="Normal" xfId="0" builtinId="0"/>
    <cellStyle name="Normal 2" xfId="11"/>
    <cellStyle name="Normal 2 2" xfId="6"/>
    <cellStyle name="Normal 2 3" xfId="3"/>
    <cellStyle name="Normal 3" xfId="10"/>
    <cellStyle name="Normal 3 2" xfId="5"/>
    <cellStyle name="Normal 4" xfId="8"/>
    <cellStyle name="Normal 5" xfId="4"/>
    <cellStyle name="Normal 6" xfId="2"/>
    <cellStyle name="Normal_IX-6(Trans &amp; Comm)" xfId="12"/>
    <cellStyle name="Normal_X-5 (Electricity)" xfId="1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Z31"/>
  <sheetViews>
    <sheetView topLeftCell="A10" workbookViewId="0">
      <selection activeCell="H35" sqref="H35"/>
    </sheetView>
  </sheetViews>
  <sheetFormatPr defaultRowHeight="15"/>
  <cols>
    <col min="1" max="1" width="13" style="7" customWidth="1"/>
    <col min="2" max="26" width="8" style="7" customWidth="1"/>
    <col min="27" max="16384" width="9.140625" style="7"/>
  </cols>
  <sheetData>
    <row r="2" spans="1:26" s="5" customFormat="1">
      <c r="A2" s="79" t="s">
        <v>66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4"/>
      <c r="W2" s="4"/>
      <c r="X2" s="4"/>
      <c r="Y2" s="4"/>
      <c r="Z2" s="4"/>
    </row>
    <row r="3" spans="1:26">
      <c r="A3" s="4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8"/>
      <c r="B4" s="75">
        <v>1990</v>
      </c>
      <c r="C4" s="75"/>
      <c r="D4" s="75"/>
      <c r="E4" s="75"/>
      <c r="F4" s="80"/>
      <c r="G4" s="81">
        <v>2000</v>
      </c>
      <c r="H4" s="75"/>
      <c r="I4" s="75"/>
      <c r="J4" s="75"/>
      <c r="K4" s="80"/>
      <c r="L4" s="81">
        <v>2010</v>
      </c>
      <c r="M4" s="75"/>
      <c r="N4" s="75"/>
      <c r="O4" s="75"/>
      <c r="P4" s="80"/>
      <c r="Q4" s="81">
        <v>2011</v>
      </c>
      <c r="R4" s="75"/>
      <c r="S4" s="75"/>
      <c r="T4" s="75"/>
      <c r="U4" s="80"/>
      <c r="V4" s="75">
        <v>2012</v>
      </c>
      <c r="W4" s="75"/>
      <c r="X4" s="75"/>
      <c r="Y4" s="75"/>
      <c r="Z4" s="75"/>
    </row>
    <row r="5" spans="1:26" s="10" customFormat="1" ht="14.25">
      <c r="A5" s="9" t="s">
        <v>0</v>
      </c>
      <c r="B5" s="82" t="s">
        <v>21</v>
      </c>
      <c r="C5" s="82"/>
      <c r="D5" s="82"/>
      <c r="E5" s="82"/>
      <c r="F5" s="83"/>
      <c r="G5" s="84" t="s">
        <v>21</v>
      </c>
      <c r="H5" s="82"/>
      <c r="I5" s="82"/>
      <c r="J5" s="82"/>
      <c r="K5" s="83"/>
      <c r="L5" s="84" t="s">
        <v>21</v>
      </c>
      <c r="M5" s="82"/>
      <c r="N5" s="82"/>
      <c r="O5" s="82"/>
      <c r="P5" s="83"/>
      <c r="Q5" s="84" t="s">
        <v>21</v>
      </c>
      <c r="R5" s="82"/>
      <c r="S5" s="82"/>
      <c r="T5" s="82"/>
      <c r="U5" s="83"/>
      <c r="V5" s="82" t="s">
        <v>21</v>
      </c>
      <c r="W5" s="82"/>
      <c r="X5" s="82"/>
      <c r="Y5" s="82"/>
      <c r="Z5" s="82"/>
    </row>
    <row r="6" spans="1:26" s="15" customFormat="1">
      <c r="A6" s="11"/>
      <c r="B6" s="12" t="s">
        <v>20</v>
      </c>
      <c r="C6" s="12" t="s">
        <v>22</v>
      </c>
      <c r="D6" s="12" t="s">
        <v>23</v>
      </c>
      <c r="E6" s="12" t="s">
        <v>24</v>
      </c>
      <c r="F6" s="13" t="s">
        <v>25</v>
      </c>
      <c r="G6" s="12" t="s">
        <v>20</v>
      </c>
      <c r="H6" s="12" t="s">
        <v>22</v>
      </c>
      <c r="I6" s="12" t="s">
        <v>23</v>
      </c>
      <c r="J6" s="12" t="s">
        <v>24</v>
      </c>
      <c r="K6" s="13" t="s">
        <v>25</v>
      </c>
      <c r="L6" s="14" t="s">
        <v>20</v>
      </c>
      <c r="M6" s="12" t="s">
        <v>22</v>
      </c>
      <c r="N6" s="12" t="s">
        <v>23</v>
      </c>
      <c r="O6" s="12" t="s">
        <v>24</v>
      </c>
      <c r="P6" s="13" t="s">
        <v>25</v>
      </c>
      <c r="Q6" s="14" t="s">
        <v>20</v>
      </c>
      <c r="R6" s="12" t="s">
        <v>22</v>
      </c>
      <c r="S6" s="12" t="s">
        <v>23</v>
      </c>
      <c r="T6" s="12" t="s">
        <v>24</v>
      </c>
      <c r="U6" s="13" t="s">
        <v>25</v>
      </c>
      <c r="V6" s="12" t="s">
        <v>20</v>
      </c>
      <c r="W6" s="12" t="s">
        <v>22</v>
      </c>
      <c r="X6" s="12" t="s">
        <v>23</v>
      </c>
      <c r="Y6" s="12" t="s">
        <v>24</v>
      </c>
      <c r="Z6" s="12" t="s">
        <v>25</v>
      </c>
    </row>
    <row r="7" spans="1:26">
      <c r="A7" s="16" t="s">
        <v>2</v>
      </c>
      <c r="B7" s="17">
        <f>SUM(B8+B9)</f>
        <v>2031</v>
      </c>
      <c r="C7" s="17">
        <f t="shared" ref="C7:P7" si="0">SUM(C8+C9)</f>
        <v>2015</v>
      </c>
      <c r="D7" s="17">
        <f t="shared" si="0"/>
        <v>8</v>
      </c>
      <c r="E7" s="17">
        <f t="shared" si="0"/>
        <v>8</v>
      </c>
      <c r="F7" s="17">
        <f t="shared" si="0"/>
        <v>0</v>
      </c>
      <c r="G7" s="18">
        <f t="shared" si="0"/>
        <v>4932</v>
      </c>
      <c r="H7" s="17">
        <f t="shared" si="0"/>
        <v>4876</v>
      </c>
      <c r="I7" s="17">
        <f t="shared" si="0"/>
        <v>32</v>
      </c>
      <c r="J7" s="17">
        <f t="shared" si="0"/>
        <v>14</v>
      </c>
      <c r="K7" s="17">
        <f t="shared" si="0"/>
        <v>10</v>
      </c>
      <c r="L7" s="18">
        <f t="shared" si="0"/>
        <v>6766</v>
      </c>
      <c r="M7" s="17">
        <f t="shared" si="0"/>
        <v>6682</v>
      </c>
      <c r="N7" s="17">
        <f t="shared" si="0"/>
        <v>39</v>
      </c>
      <c r="O7" s="17">
        <f t="shared" si="0"/>
        <v>20</v>
      </c>
      <c r="P7" s="19">
        <f t="shared" si="0"/>
        <v>25</v>
      </c>
      <c r="Q7" s="18"/>
      <c r="R7" s="17"/>
      <c r="S7" s="17"/>
      <c r="T7" s="17"/>
      <c r="U7" s="19"/>
      <c r="V7" s="20"/>
      <c r="W7" s="17"/>
      <c r="X7" s="17"/>
      <c r="Y7" s="17"/>
      <c r="Z7" s="17"/>
    </row>
    <row r="8" spans="1:26">
      <c r="A8" s="16" t="s">
        <v>26</v>
      </c>
      <c r="B8" s="21">
        <v>408</v>
      </c>
      <c r="C8" s="22">
        <v>400</v>
      </c>
      <c r="D8" s="22">
        <v>4</v>
      </c>
      <c r="E8" s="22">
        <v>4</v>
      </c>
      <c r="F8" s="22">
        <v>0</v>
      </c>
      <c r="G8" s="23">
        <f>SUM(H8:K8)</f>
        <v>1322</v>
      </c>
      <c r="H8" s="17">
        <v>1294</v>
      </c>
      <c r="I8" s="17">
        <v>16</v>
      </c>
      <c r="J8" s="22">
        <v>7</v>
      </c>
      <c r="K8" s="17">
        <v>5</v>
      </c>
      <c r="L8" s="23">
        <f>SUM(M8:P8)</f>
        <v>1948</v>
      </c>
      <c r="M8" s="17">
        <v>1907</v>
      </c>
      <c r="N8" s="17">
        <v>18</v>
      </c>
      <c r="O8" s="17">
        <v>11</v>
      </c>
      <c r="P8" s="19">
        <v>12</v>
      </c>
      <c r="Q8" s="23"/>
      <c r="R8" s="17"/>
      <c r="S8" s="17"/>
      <c r="T8" s="17"/>
      <c r="U8" s="19"/>
      <c r="V8" s="17"/>
      <c r="W8" s="17"/>
      <c r="X8" s="17"/>
      <c r="Y8" s="17"/>
      <c r="Z8" s="17"/>
    </row>
    <row r="9" spans="1:26">
      <c r="A9" s="16" t="s">
        <v>27</v>
      </c>
      <c r="B9" s="17">
        <f t="shared" ref="B9:K9" si="1">SUM(B10:B29)</f>
        <v>1623</v>
      </c>
      <c r="C9" s="17">
        <f t="shared" si="1"/>
        <v>1615</v>
      </c>
      <c r="D9" s="17">
        <f t="shared" si="1"/>
        <v>4</v>
      </c>
      <c r="E9" s="17">
        <f t="shared" si="1"/>
        <v>4</v>
      </c>
      <c r="F9" s="17">
        <f t="shared" si="1"/>
        <v>0</v>
      </c>
      <c r="G9" s="23">
        <f t="shared" si="1"/>
        <v>3610</v>
      </c>
      <c r="H9" s="17">
        <f t="shared" si="1"/>
        <v>3582</v>
      </c>
      <c r="I9" s="17">
        <f t="shared" si="1"/>
        <v>16</v>
      </c>
      <c r="J9" s="17">
        <f t="shared" si="1"/>
        <v>7</v>
      </c>
      <c r="K9" s="17">
        <f t="shared" si="1"/>
        <v>5</v>
      </c>
      <c r="L9" s="23">
        <f>SUM(L11:L29)</f>
        <v>4818</v>
      </c>
      <c r="M9" s="17">
        <f>SUM(M11:M29)</f>
        <v>4775</v>
      </c>
      <c r="N9" s="17">
        <f>SUM(N11:N29)</f>
        <v>21</v>
      </c>
      <c r="O9" s="17">
        <f>SUM(O11:O29)</f>
        <v>9</v>
      </c>
      <c r="P9" s="19">
        <f>SUM(P11:P29)</f>
        <v>13</v>
      </c>
      <c r="Q9" s="23"/>
      <c r="R9" s="17"/>
      <c r="S9" s="17"/>
      <c r="T9" s="17"/>
      <c r="U9" s="19"/>
      <c r="V9" s="17"/>
      <c r="W9" s="17"/>
      <c r="X9" s="17"/>
      <c r="Y9" s="17"/>
      <c r="Z9" s="17"/>
    </row>
    <row r="10" spans="1:26">
      <c r="A10" s="24" t="s">
        <v>28</v>
      </c>
      <c r="B10" s="21">
        <v>107</v>
      </c>
      <c r="C10" s="22">
        <v>107</v>
      </c>
      <c r="D10" s="22">
        <v>0</v>
      </c>
      <c r="E10" s="22">
        <v>0</v>
      </c>
      <c r="F10" s="22">
        <v>0</v>
      </c>
      <c r="G10" s="23">
        <f t="shared" ref="G10:G29" si="2">SUM(H10:K10)</f>
        <v>155</v>
      </c>
      <c r="H10" s="25">
        <v>155</v>
      </c>
      <c r="I10" s="25">
        <v>0</v>
      </c>
      <c r="J10" s="26">
        <v>0</v>
      </c>
      <c r="K10" s="27">
        <v>0</v>
      </c>
      <c r="L10" s="28">
        <f>SUM(M10:P10)</f>
        <v>192</v>
      </c>
      <c r="M10" s="25">
        <v>192</v>
      </c>
      <c r="N10" s="25">
        <v>0</v>
      </c>
      <c r="O10" s="26">
        <v>0</v>
      </c>
      <c r="P10" s="27">
        <v>0</v>
      </c>
      <c r="Q10" s="28"/>
      <c r="R10" s="25"/>
      <c r="S10" s="25"/>
      <c r="T10" s="26"/>
      <c r="U10" s="27"/>
      <c r="V10" s="25"/>
      <c r="W10" s="25"/>
      <c r="X10" s="25"/>
      <c r="Y10" s="26"/>
      <c r="Z10" s="29"/>
    </row>
    <row r="11" spans="1:26">
      <c r="A11" s="24" t="s">
        <v>29</v>
      </c>
      <c r="B11" s="17">
        <v>142</v>
      </c>
      <c r="C11" s="25">
        <v>142</v>
      </c>
      <c r="D11" s="25">
        <v>0</v>
      </c>
      <c r="E11" s="25">
        <v>0</v>
      </c>
      <c r="F11" s="30">
        <v>0</v>
      </c>
      <c r="G11" s="17">
        <f t="shared" si="2"/>
        <v>158</v>
      </c>
      <c r="H11" s="25">
        <v>158</v>
      </c>
      <c r="I11" s="25">
        <v>0</v>
      </c>
      <c r="J11" s="26">
        <v>0</v>
      </c>
      <c r="K11" s="27">
        <v>0</v>
      </c>
      <c r="L11" s="28">
        <f t="shared" ref="L11:L29" si="3">SUM(M11:P11)</f>
        <v>203</v>
      </c>
      <c r="M11" s="25">
        <v>203</v>
      </c>
      <c r="N11" s="25">
        <v>0</v>
      </c>
      <c r="O11" s="26">
        <v>0</v>
      </c>
      <c r="P11" s="27">
        <v>0</v>
      </c>
      <c r="Q11" s="28"/>
      <c r="R11" s="25"/>
      <c r="S11" s="25"/>
      <c r="T11" s="26"/>
      <c r="U11" s="27"/>
      <c r="V11" s="25"/>
      <c r="W11" s="25"/>
      <c r="X11" s="25"/>
      <c r="Y11" s="26"/>
      <c r="Z11" s="29"/>
    </row>
    <row r="12" spans="1:26">
      <c r="A12" s="24" t="s">
        <v>30</v>
      </c>
      <c r="B12" s="17">
        <v>75</v>
      </c>
      <c r="C12" s="25">
        <v>75</v>
      </c>
      <c r="D12" s="25">
        <v>0</v>
      </c>
      <c r="E12" s="25">
        <v>0</v>
      </c>
      <c r="F12" s="30">
        <v>0</v>
      </c>
      <c r="G12" s="17">
        <f t="shared" si="2"/>
        <v>139</v>
      </c>
      <c r="H12" s="25">
        <v>139</v>
      </c>
      <c r="I12" s="25">
        <v>0</v>
      </c>
      <c r="J12" s="26">
        <v>0</v>
      </c>
      <c r="K12" s="27">
        <v>0</v>
      </c>
      <c r="L12" s="28">
        <f t="shared" si="3"/>
        <v>248</v>
      </c>
      <c r="M12" s="25">
        <v>248</v>
      </c>
      <c r="N12" s="25">
        <v>0</v>
      </c>
      <c r="O12" s="26">
        <v>0</v>
      </c>
      <c r="P12" s="27">
        <v>0</v>
      </c>
      <c r="Q12" s="28"/>
      <c r="R12" s="25"/>
      <c r="S12" s="25"/>
      <c r="T12" s="26"/>
      <c r="U12" s="27"/>
      <c r="V12" s="25"/>
      <c r="W12" s="25"/>
      <c r="X12" s="25"/>
      <c r="Y12" s="26"/>
      <c r="Z12" s="29"/>
    </row>
    <row r="13" spans="1:26">
      <c r="A13" s="24" t="s">
        <v>4</v>
      </c>
      <c r="B13" s="17">
        <v>59</v>
      </c>
      <c r="C13" s="25">
        <v>59</v>
      </c>
      <c r="D13" s="25">
        <v>0</v>
      </c>
      <c r="E13" s="25">
        <v>0</v>
      </c>
      <c r="F13" s="30">
        <v>0</v>
      </c>
      <c r="G13" s="17">
        <f t="shared" si="2"/>
        <v>167</v>
      </c>
      <c r="H13" s="25">
        <v>167</v>
      </c>
      <c r="I13" s="25">
        <v>0</v>
      </c>
      <c r="J13" s="26">
        <v>0</v>
      </c>
      <c r="K13" s="27">
        <v>0</v>
      </c>
      <c r="L13" s="28">
        <f t="shared" si="3"/>
        <v>195</v>
      </c>
      <c r="M13" s="25">
        <v>195</v>
      </c>
      <c r="N13" s="25">
        <v>0</v>
      </c>
      <c r="O13" s="26">
        <v>0</v>
      </c>
      <c r="P13" s="27">
        <v>0</v>
      </c>
      <c r="Q13" s="28"/>
      <c r="R13" s="25"/>
      <c r="S13" s="25"/>
      <c r="T13" s="26"/>
      <c r="U13" s="27"/>
      <c r="V13" s="25"/>
      <c r="W13" s="25"/>
      <c r="X13" s="25"/>
      <c r="Y13" s="26"/>
      <c r="Z13" s="29"/>
    </row>
    <row r="14" spans="1:26">
      <c r="A14" s="24" t="s">
        <v>5</v>
      </c>
      <c r="B14" s="17">
        <v>88</v>
      </c>
      <c r="C14" s="25">
        <v>88</v>
      </c>
      <c r="D14" s="25">
        <v>0</v>
      </c>
      <c r="E14" s="25">
        <v>0</v>
      </c>
      <c r="F14" s="30">
        <v>0</v>
      </c>
      <c r="G14" s="17">
        <f t="shared" si="2"/>
        <v>188</v>
      </c>
      <c r="H14" s="25">
        <v>188</v>
      </c>
      <c r="I14" s="25">
        <v>0</v>
      </c>
      <c r="J14" s="26">
        <v>0</v>
      </c>
      <c r="K14" s="27">
        <v>0</v>
      </c>
      <c r="L14" s="28">
        <f t="shared" si="3"/>
        <v>293</v>
      </c>
      <c r="M14" s="25">
        <v>293</v>
      </c>
      <c r="N14" s="25">
        <v>0</v>
      </c>
      <c r="O14" s="26">
        <v>0</v>
      </c>
      <c r="P14" s="27">
        <v>0</v>
      </c>
      <c r="Q14" s="28"/>
      <c r="R14" s="25"/>
      <c r="S14" s="25"/>
      <c r="T14" s="26"/>
      <c r="U14" s="27"/>
      <c r="V14" s="25"/>
      <c r="W14" s="25"/>
      <c r="X14" s="25"/>
      <c r="Y14" s="26"/>
      <c r="Z14" s="29"/>
    </row>
    <row r="15" spans="1:26">
      <c r="A15" s="24" t="s">
        <v>6</v>
      </c>
      <c r="B15" s="17">
        <v>41</v>
      </c>
      <c r="C15" s="25">
        <v>41</v>
      </c>
      <c r="D15" s="25">
        <v>0</v>
      </c>
      <c r="E15" s="25">
        <v>0</v>
      </c>
      <c r="F15" s="30">
        <v>0</v>
      </c>
      <c r="G15" s="17">
        <f t="shared" si="2"/>
        <v>150</v>
      </c>
      <c r="H15" s="25">
        <v>150</v>
      </c>
      <c r="I15" s="25">
        <v>0</v>
      </c>
      <c r="J15" s="26">
        <v>0</v>
      </c>
      <c r="K15" s="27">
        <v>0</v>
      </c>
      <c r="L15" s="28">
        <f t="shared" si="3"/>
        <v>199</v>
      </c>
      <c r="M15" s="25">
        <v>199</v>
      </c>
      <c r="N15" s="25">
        <v>0</v>
      </c>
      <c r="O15" s="26">
        <v>0</v>
      </c>
      <c r="P15" s="27">
        <v>0</v>
      </c>
      <c r="Q15" s="28"/>
      <c r="R15" s="25"/>
      <c r="S15" s="25"/>
      <c r="T15" s="26"/>
      <c r="U15" s="27"/>
      <c r="V15" s="25"/>
      <c r="W15" s="25"/>
      <c r="X15" s="25"/>
      <c r="Y15" s="26"/>
      <c r="Z15" s="29"/>
    </row>
    <row r="16" spans="1:26">
      <c r="A16" s="24" t="s">
        <v>7</v>
      </c>
      <c r="B16" s="17">
        <v>27</v>
      </c>
      <c r="C16" s="25">
        <v>27</v>
      </c>
      <c r="D16" s="25">
        <v>0</v>
      </c>
      <c r="E16" s="25">
        <v>0</v>
      </c>
      <c r="F16" s="30">
        <v>0</v>
      </c>
      <c r="G16" s="17">
        <f t="shared" si="2"/>
        <v>73</v>
      </c>
      <c r="H16" s="25">
        <v>73</v>
      </c>
      <c r="I16" s="25">
        <v>0</v>
      </c>
      <c r="J16" s="26">
        <v>0</v>
      </c>
      <c r="K16" s="27">
        <v>0</v>
      </c>
      <c r="L16" s="28">
        <f t="shared" si="3"/>
        <v>121</v>
      </c>
      <c r="M16" s="25">
        <v>121</v>
      </c>
      <c r="N16" s="25">
        <v>0</v>
      </c>
      <c r="O16" s="26">
        <v>0</v>
      </c>
      <c r="P16" s="27">
        <v>0</v>
      </c>
      <c r="Q16" s="28"/>
      <c r="R16" s="25"/>
      <c r="S16" s="25"/>
      <c r="T16" s="26"/>
      <c r="U16" s="27"/>
      <c r="V16" s="25"/>
      <c r="W16" s="25"/>
      <c r="X16" s="25"/>
      <c r="Y16" s="26"/>
      <c r="Z16" s="29"/>
    </row>
    <row r="17" spans="1:26">
      <c r="A17" s="24" t="s">
        <v>8</v>
      </c>
      <c r="B17" s="17">
        <v>440</v>
      </c>
      <c r="C17" s="25">
        <v>432</v>
      </c>
      <c r="D17" s="25">
        <v>4</v>
      </c>
      <c r="E17" s="25">
        <v>4</v>
      </c>
      <c r="F17" s="30">
        <v>0</v>
      </c>
      <c r="G17" s="17">
        <f t="shared" si="2"/>
        <v>1437</v>
      </c>
      <c r="H17" s="25">
        <v>1409</v>
      </c>
      <c r="I17" s="25">
        <v>16</v>
      </c>
      <c r="J17" s="31">
        <v>7</v>
      </c>
      <c r="K17" s="27">
        <v>5</v>
      </c>
      <c r="L17" s="28">
        <f t="shared" si="3"/>
        <v>2080</v>
      </c>
      <c r="M17" s="25">
        <v>2037</v>
      </c>
      <c r="N17" s="25">
        <v>21</v>
      </c>
      <c r="O17" s="31">
        <v>9</v>
      </c>
      <c r="P17" s="27">
        <v>13</v>
      </c>
      <c r="Q17" s="28"/>
      <c r="R17" s="25"/>
      <c r="S17" s="25"/>
      <c r="T17" s="31"/>
      <c r="U17" s="27"/>
      <c r="V17" s="25"/>
      <c r="W17" s="25"/>
      <c r="X17" s="25"/>
      <c r="Y17" s="31"/>
      <c r="Z17" s="29"/>
    </row>
    <row r="18" spans="1:26">
      <c r="A18" s="24" t="s">
        <v>31</v>
      </c>
      <c r="B18" s="17">
        <v>54</v>
      </c>
      <c r="C18" s="17">
        <v>54</v>
      </c>
      <c r="D18" s="25">
        <v>0</v>
      </c>
      <c r="E18" s="25">
        <v>0</v>
      </c>
      <c r="F18" s="30">
        <v>0</v>
      </c>
      <c r="G18" s="17">
        <f t="shared" si="2"/>
        <v>103</v>
      </c>
      <c r="H18" s="25">
        <v>103</v>
      </c>
      <c r="I18" s="25">
        <v>0</v>
      </c>
      <c r="J18" s="26">
        <v>0</v>
      </c>
      <c r="K18" s="27">
        <v>0</v>
      </c>
      <c r="L18" s="28">
        <f t="shared" si="3"/>
        <v>97</v>
      </c>
      <c r="M18" s="25">
        <v>97</v>
      </c>
      <c r="N18" s="25">
        <v>0</v>
      </c>
      <c r="O18" s="26">
        <v>0</v>
      </c>
      <c r="P18" s="27">
        <v>0</v>
      </c>
      <c r="Q18" s="28"/>
      <c r="R18" s="25"/>
      <c r="S18" s="25"/>
      <c r="T18" s="26"/>
      <c r="U18" s="27"/>
      <c r="V18" s="25"/>
      <c r="W18" s="25"/>
      <c r="X18" s="25"/>
      <c r="Y18" s="26"/>
      <c r="Z18" s="29"/>
    </row>
    <row r="19" spans="1:26">
      <c r="A19" s="24" t="s">
        <v>9</v>
      </c>
      <c r="B19" s="17">
        <v>153</v>
      </c>
      <c r="C19" s="25">
        <v>153</v>
      </c>
      <c r="D19" s="25">
        <v>0</v>
      </c>
      <c r="E19" s="25">
        <v>0</v>
      </c>
      <c r="F19" s="30">
        <v>0</v>
      </c>
      <c r="G19" s="17">
        <f t="shared" si="2"/>
        <v>233</v>
      </c>
      <c r="H19" s="25">
        <v>233</v>
      </c>
      <c r="I19" s="25">
        <v>0</v>
      </c>
      <c r="J19" s="26">
        <v>0</v>
      </c>
      <c r="K19" s="27">
        <v>0</v>
      </c>
      <c r="L19" s="28">
        <f t="shared" si="3"/>
        <v>143</v>
      </c>
      <c r="M19" s="25">
        <v>143</v>
      </c>
      <c r="N19" s="25">
        <v>0</v>
      </c>
      <c r="O19" s="26">
        <v>0</v>
      </c>
      <c r="P19" s="27">
        <v>0</v>
      </c>
      <c r="Q19" s="28"/>
      <c r="R19" s="25"/>
      <c r="S19" s="25"/>
      <c r="T19" s="26"/>
      <c r="U19" s="27"/>
      <c r="V19" s="25"/>
      <c r="W19" s="25"/>
      <c r="X19" s="25"/>
      <c r="Y19" s="26"/>
      <c r="Z19" s="29"/>
    </row>
    <row r="20" spans="1:26">
      <c r="A20" s="24" t="s">
        <v>10</v>
      </c>
      <c r="B20" s="17">
        <v>22</v>
      </c>
      <c r="C20" s="25">
        <v>22</v>
      </c>
      <c r="D20" s="25">
        <v>0</v>
      </c>
      <c r="E20" s="25">
        <v>0</v>
      </c>
      <c r="F20" s="30">
        <v>0</v>
      </c>
      <c r="G20" s="17">
        <f t="shared" si="2"/>
        <v>38</v>
      </c>
      <c r="H20" s="25">
        <v>38</v>
      </c>
      <c r="I20" s="25">
        <v>0</v>
      </c>
      <c r="J20" s="26">
        <v>0</v>
      </c>
      <c r="K20" s="27">
        <v>0</v>
      </c>
      <c r="L20" s="28">
        <f t="shared" si="3"/>
        <v>27</v>
      </c>
      <c r="M20" s="25">
        <v>27</v>
      </c>
      <c r="N20" s="25">
        <v>0</v>
      </c>
      <c r="O20" s="26">
        <v>0</v>
      </c>
      <c r="P20" s="27">
        <v>0</v>
      </c>
      <c r="Q20" s="28"/>
      <c r="R20" s="25"/>
      <c r="S20" s="25"/>
      <c r="T20" s="26"/>
      <c r="U20" s="27"/>
      <c r="V20" s="25"/>
      <c r="W20" s="25"/>
      <c r="X20" s="25"/>
      <c r="Y20" s="26"/>
      <c r="Z20" s="29"/>
    </row>
    <row r="21" spans="1:26">
      <c r="A21" s="24" t="s">
        <v>11</v>
      </c>
      <c r="B21" s="17">
        <v>46</v>
      </c>
      <c r="C21" s="25">
        <v>46</v>
      </c>
      <c r="D21" s="25">
        <v>0</v>
      </c>
      <c r="E21" s="25">
        <v>0</v>
      </c>
      <c r="F21" s="30">
        <v>0</v>
      </c>
      <c r="G21" s="17">
        <f t="shared" si="2"/>
        <v>110</v>
      </c>
      <c r="H21" s="25">
        <v>110</v>
      </c>
      <c r="I21" s="25">
        <v>0</v>
      </c>
      <c r="J21" s="26">
        <v>0</v>
      </c>
      <c r="K21" s="27">
        <v>0</v>
      </c>
      <c r="L21" s="28">
        <f t="shared" si="3"/>
        <v>126</v>
      </c>
      <c r="M21" s="25">
        <v>126</v>
      </c>
      <c r="N21" s="25">
        <v>0</v>
      </c>
      <c r="O21" s="26">
        <v>0</v>
      </c>
      <c r="P21" s="27">
        <v>0</v>
      </c>
      <c r="Q21" s="28"/>
      <c r="R21" s="25"/>
      <c r="S21" s="25"/>
      <c r="T21" s="26"/>
      <c r="U21" s="27"/>
      <c r="V21" s="25"/>
      <c r="W21" s="25"/>
      <c r="X21" s="25"/>
      <c r="Y21" s="26"/>
      <c r="Z21" s="29"/>
    </row>
    <row r="22" spans="1:26">
      <c r="A22" s="24" t="s">
        <v>12</v>
      </c>
      <c r="B22" s="17">
        <v>50</v>
      </c>
      <c r="C22" s="25">
        <v>50</v>
      </c>
      <c r="D22" s="25">
        <v>0</v>
      </c>
      <c r="E22" s="25">
        <v>0</v>
      </c>
      <c r="F22" s="30">
        <v>0</v>
      </c>
      <c r="G22" s="17">
        <f t="shared" si="2"/>
        <v>108</v>
      </c>
      <c r="H22" s="25">
        <v>108</v>
      </c>
      <c r="I22" s="25">
        <v>0</v>
      </c>
      <c r="J22" s="26">
        <v>0</v>
      </c>
      <c r="K22" s="27">
        <v>0</v>
      </c>
      <c r="L22" s="28">
        <f t="shared" si="3"/>
        <v>72</v>
      </c>
      <c r="M22" s="25">
        <v>72</v>
      </c>
      <c r="N22" s="25">
        <v>0</v>
      </c>
      <c r="O22" s="26">
        <v>0</v>
      </c>
      <c r="P22" s="27">
        <v>0</v>
      </c>
      <c r="Q22" s="28"/>
      <c r="R22" s="25"/>
      <c r="S22" s="25"/>
      <c r="T22" s="26"/>
      <c r="U22" s="27"/>
      <c r="V22" s="25"/>
      <c r="W22" s="25"/>
      <c r="X22" s="25"/>
      <c r="Y22" s="26"/>
      <c r="Z22" s="29"/>
    </row>
    <row r="23" spans="1:26">
      <c r="A23" s="24" t="s">
        <v>13</v>
      </c>
      <c r="B23" s="17">
        <v>52</v>
      </c>
      <c r="C23" s="25">
        <v>52</v>
      </c>
      <c r="D23" s="25">
        <v>0</v>
      </c>
      <c r="E23" s="25">
        <v>0</v>
      </c>
      <c r="F23" s="30">
        <v>0</v>
      </c>
      <c r="G23" s="17">
        <f t="shared" si="2"/>
        <v>108</v>
      </c>
      <c r="H23" s="25">
        <v>108</v>
      </c>
      <c r="I23" s="25">
        <v>0</v>
      </c>
      <c r="J23" s="26">
        <v>0</v>
      </c>
      <c r="K23" s="27">
        <v>0</v>
      </c>
      <c r="L23" s="28">
        <f t="shared" si="3"/>
        <v>114</v>
      </c>
      <c r="M23" s="25">
        <v>114</v>
      </c>
      <c r="N23" s="25">
        <v>0</v>
      </c>
      <c r="O23" s="26">
        <v>0</v>
      </c>
      <c r="P23" s="27">
        <v>0</v>
      </c>
      <c r="Q23" s="28"/>
      <c r="R23" s="25"/>
      <c r="S23" s="25"/>
      <c r="T23" s="26"/>
      <c r="U23" s="27"/>
      <c r="V23" s="25"/>
      <c r="W23" s="25"/>
      <c r="X23" s="25"/>
      <c r="Y23" s="26"/>
      <c r="Z23" s="29"/>
    </row>
    <row r="24" spans="1:26">
      <c r="A24" s="24" t="s">
        <v>14</v>
      </c>
      <c r="B24" s="17">
        <v>96</v>
      </c>
      <c r="C24" s="25">
        <v>96</v>
      </c>
      <c r="D24" s="25">
        <v>0</v>
      </c>
      <c r="E24" s="25">
        <v>0</v>
      </c>
      <c r="F24" s="30">
        <v>0</v>
      </c>
      <c r="G24" s="17">
        <f t="shared" si="2"/>
        <v>167</v>
      </c>
      <c r="H24" s="25">
        <v>167</v>
      </c>
      <c r="I24" s="25">
        <v>0</v>
      </c>
      <c r="J24" s="26">
        <v>0</v>
      </c>
      <c r="K24" s="27">
        <v>0</v>
      </c>
      <c r="L24" s="28">
        <f t="shared" si="3"/>
        <v>246</v>
      </c>
      <c r="M24" s="25">
        <v>246</v>
      </c>
      <c r="N24" s="25">
        <v>0</v>
      </c>
      <c r="O24" s="26">
        <v>0</v>
      </c>
      <c r="P24" s="27">
        <v>0</v>
      </c>
      <c r="Q24" s="28"/>
      <c r="R24" s="25"/>
      <c r="S24" s="25"/>
      <c r="T24" s="26"/>
      <c r="U24" s="27"/>
      <c r="V24" s="25"/>
      <c r="W24" s="25"/>
      <c r="X24" s="25"/>
      <c r="Y24" s="26"/>
      <c r="Z24" s="29"/>
    </row>
    <row r="25" spans="1:26">
      <c r="A25" s="24" t="s">
        <v>15</v>
      </c>
      <c r="B25" s="17">
        <v>55</v>
      </c>
      <c r="C25" s="25">
        <v>55</v>
      </c>
      <c r="D25" s="25">
        <v>0</v>
      </c>
      <c r="E25" s="25">
        <v>0</v>
      </c>
      <c r="F25" s="30">
        <v>0</v>
      </c>
      <c r="G25" s="17">
        <f t="shared" si="2"/>
        <v>81</v>
      </c>
      <c r="H25" s="25">
        <v>81</v>
      </c>
      <c r="I25" s="25">
        <v>0</v>
      </c>
      <c r="J25" s="26">
        <v>0</v>
      </c>
      <c r="K25" s="27">
        <v>0</v>
      </c>
      <c r="L25" s="28">
        <f t="shared" si="3"/>
        <v>133</v>
      </c>
      <c r="M25" s="25">
        <v>133</v>
      </c>
      <c r="N25" s="25">
        <v>0</v>
      </c>
      <c r="O25" s="26">
        <v>0</v>
      </c>
      <c r="P25" s="27">
        <v>0</v>
      </c>
      <c r="Q25" s="28"/>
      <c r="R25" s="25"/>
      <c r="S25" s="25"/>
      <c r="T25" s="26"/>
      <c r="U25" s="27"/>
      <c r="V25" s="25"/>
      <c r="W25" s="25"/>
      <c r="X25" s="25"/>
      <c r="Y25" s="26"/>
      <c r="Z25" s="29"/>
    </row>
    <row r="26" spans="1:26">
      <c r="A26" s="24" t="s">
        <v>16</v>
      </c>
      <c r="B26" s="17">
        <v>34</v>
      </c>
      <c r="C26" s="25">
        <v>34</v>
      </c>
      <c r="D26" s="25">
        <v>0</v>
      </c>
      <c r="E26" s="25">
        <v>0</v>
      </c>
      <c r="F26" s="30">
        <v>0</v>
      </c>
      <c r="G26" s="17">
        <f t="shared" si="2"/>
        <v>51</v>
      </c>
      <c r="H26" s="25">
        <v>51</v>
      </c>
      <c r="I26" s="25">
        <v>0</v>
      </c>
      <c r="J26" s="26">
        <v>0</v>
      </c>
      <c r="K26" s="27">
        <v>0</v>
      </c>
      <c r="L26" s="28">
        <f t="shared" si="3"/>
        <v>147</v>
      </c>
      <c r="M26" s="25">
        <v>147</v>
      </c>
      <c r="N26" s="25">
        <v>0</v>
      </c>
      <c r="O26" s="26">
        <v>0</v>
      </c>
      <c r="P26" s="27">
        <v>0</v>
      </c>
      <c r="Q26" s="28"/>
      <c r="R26" s="25"/>
      <c r="S26" s="25"/>
      <c r="T26" s="26"/>
      <c r="U26" s="27"/>
      <c r="V26" s="25"/>
      <c r="W26" s="25"/>
      <c r="X26" s="25"/>
      <c r="Y26" s="26"/>
      <c r="Z26" s="29"/>
    </row>
    <row r="27" spans="1:26">
      <c r="A27" s="24" t="s">
        <v>17</v>
      </c>
      <c r="B27" s="17">
        <v>50</v>
      </c>
      <c r="C27" s="25">
        <v>50</v>
      </c>
      <c r="D27" s="25">
        <v>0</v>
      </c>
      <c r="E27" s="25">
        <v>0</v>
      </c>
      <c r="F27" s="30">
        <v>0</v>
      </c>
      <c r="G27" s="17">
        <f t="shared" si="2"/>
        <v>73</v>
      </c>
      <c r="H27" s="25">
        <v>73</v>
      </c>
      <c r="I27" s="25">
        <v>0</v>
      </c>
      <c r="J27" s="26">
        <v>0</v>
      </c>
      <c r="K27" s="27">
        <v>0</v>
      </c>
      <c r="L27" s="28">
        <f t="shared" si="3"/>
        <v>221</v>
      </c>
      <c r="M27" s="25">
        <v>221</v>
      </c>
      <c r="N27" s="25">
        <v>0</v>
      </c>
      <c r="O27" s="26">
        <v>0</v>
      </c>
      <c r="P27" s="27">
        <v>0</v>
      </c>
      <c r="Q27" s="28"/>
      <c r="R27" s="25"/>
      <c r="S27" s="25"/>
      <c r="T27" s="26"/>
      <c r="U27" s="27"/>
      <c r="V27" s="25"/>
      <c r="W27" s="25"/>
      <c r="X27" s="25"/>
      <c r="Y27" s="26"/>
      <c r="Z27" s="29"/>
    </row>
    <row r="28" spans="1:26">
      <c r="A28" s="24" t="s">
        <v>18</v>
      </c>
      <c r="B28" s="17">
        <v>8</v>
      </c>
      <c r="C28" s="25">
        <v>8</v>
      </c>
      <c r="D28" s="25">
        <v>0</v>
      </c>
      <c r="E28" s="25">
        <v>0</v>
      </c>
      <c r="F28" s="30">
        <v>0</v>
      </c>
      <c r="G28" s="17">
        <f t="shared" si="2"/>
        <v>22</v>
      </c>
      <c r="H28" s="25">
        <v>22</v>
      </c>
      <c r="I28" s="25">
        <v>0</v>
      </c>
      <c r="J28" s="26">
        <v>0</v>
      </c>
      <c r="K28" s="27">
        <v>0</v>
      </c>
      <c r="L28" s="28">
        <f t="shared" si="3"/>
        <v>67</v>
      </c>
      <c r="M28" s="25">
        <v>67</v>
      </c>
      <c r="N28" s="25">
        <v>0</v>
      </c>
      <c r="O28" s="26">
        <v>0</v>
      </c>
      <c r="P28" s="27">
        <v>0</v>
      </c>
      <c r="Q28" s="28"/>
      <c r="R28" s="25"/>
      <c r="S28" s="25"/>
      <c r="T28" s="26"/>
      <c r="U28" s="27"/>
      <c r="V28" s="25"/>
      <c r="W28" s="25"/>
      <c r="X28" s="25"/>
      <c r="Y28" s="26"/>
      <c r="Z28" s="29"/>
    </row>
    <row r="29" spans="1:26">
      <c r="A29" s="32" t="s">
        <v>3</v>
      </c>
      <c r="B29" s="33">
        <v>24</v>
      </c>
      <c r="C29" s="34">
        <v>24</v>
      </c>
      <c r="D29" s="34">
        <v>0</v>
      </c>
      <c r="E29" s="34">
        <v>0</v>
      </c>
      <c r="F29" s="35">
        <v>0</v>
      </c>
      <c r="G29" s="36">
        <f t="shared" si="2"/>
        <v>49</v>
      </c>
      <c r="H29" s="34">
        <v>49</v>
      </c>
      <c r="I29" s="34">
        <v>0</v>
      </c>
      <c r="J29" s="37">
        <v>0</v>
      </c>
      <c r="K29" s="38">
        <v>0</v>
      </c>
      <c r="L29" s="39">
        <f t="shared" si="3"/>
        <v>86</v>
      </c>
      <c r="M29" s="34">
        <v>86</v>
      </c>
      <c r="N29" s="34">
        <v>0</v>
      </c>
      <c r="O29" s="37">
        <v>0</v>
      </c>
      <c r="P29" s="38">
        <v>0</v>
      </c>
      <c r="Q29" s="39"/>
      <c r="R29" s="34"/>
      <c r="S29" s="34"/>
      <c r="T29" s="37"/>
      <c r="U29" s="38"/>
      <c r="V29" s="34"/>
      <c r="W29" s="34"/>
      <c r="X29" s="34"/>
      <c r="Y29" s="37"/>
      <c r="Z29" s="40"/>
    </row>
    <row r="30" spans="1:26" ht="15.75" thickBot="1">
      <c r="A30" s="41" t="s">
        <v>19</v>
      </c>
      <c r="B30" s="42"/>
      <c r="C30" s="42"/>
      <c r="D30" s="42"/>
      <c r="E30" s="42"/>
      <c r="F30" s="42"/>
      <c r="G30" s="42"/>
      <c r="H30" s="42"/>
      <c r="I30" s="42"/>
      <c r="J30" s="43"/>
      <c r="K30" s="44"/>
      <c r="L30" s="42"/>
      <c r="M30" s="42"/>
      <c r="N30" s="42"/>
      <c r="O30" s="43"/>
      <c r="P30" s="44"/>
      <c r="Q30" s="42"/>
      <c r="R30" s="42"/>
      <c r="S30" s="42"/>
      <c r="T30" s="43"/>
      <c r="U30" s="44"/>
      <c r="V30" s="42"/>
      <c r="W30" s="42"/>
      <c r="X30" s="42"/>
      <c r="Y30" s="43"/>
      <c r="Z30" s="44"/>
    </row>
    <row r="31" spans="1:26" ht="37.5" customHeight="1" thickBot="1">
      <c r="A31" s="45"/>
      <c r="B31" s="45"/>
      <c r="C31" s="45"/>
      <c r="D31" s="45"/>
      <c r="E31" s="45"/>
      <c r="F31" s="45"/>
      <c r="G31" s="45"/>
      <c r="H31" s="76" t="s">
        <v>32</v>
      </c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8"/>
      <c r="V31" s="45"/>
      <c r="W31" s="45"/>
      <c r="X31" s="45"/>
      <c r="Y31" s="45"/>
      <c r="Z31" s="45"/>
    </row>
  </sheetData>
  <mergeCells count="12">
    <mergeCell ref="V4:Z4"/>
    <mergeCell ref="H31:U31"/>
    <mergeCell ref="A2:U2"/>
    <mergeCell ref="B4:F4"/>
    <mergeCell ref="G4:K4"/>
    <mergeCell ref="L4:P4"/>
    <mergeCell ref="Q4:U4"/>
    <mergeCell ref="B5:F5"/>
    <mergeCell ref="G5:K5"/>
    <mergeCell ref="L5:P5"/>
    <mergeCell ref="Q5:U5"/>
    <mergeCell ref="V5:Z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2"/>
  <sheetViews>
    <sheetView tabSelected="1" workbookViewId="0">
      <selection activeCell="K22" sqref="K22"/>
    </sheetView>
  </sheetViews>
  <sheetFormatPr defaultRowHeight="15"/>
  <cols>
    <col min="1" max="1" width="9.140625" style="2"/>
    <col min="2" max="3" width="11.5703125" style="2" customWidth="1"/>
    <col min="4" max="4" width="1.42578125" style="2" customWidth="1"/>
    <col min="5" max="6" width="11.5703125" style="2" customWidth="1"/>
    <col min="7" max="7" width="1.28515625" style="2" customWidth="1"/>
    <col min="8" max="8" width="11.5703125" style="2" customWidth="1"/>
    <col min="9" max="9" width="9.42578125" style="2" customWidth="1"/>
    <col min="10" max="10" width="1.140625" style="2" customWidth="1"/>
    <col min="11" max="11" width="9.42578125" style="2" bestFit="1" customWidth="1"/>
    <col min="12" max="12" width="9.5703125" style="2" customWidth="1"/>
    <col min="13" max="13" width="1.140625" style="2" customWidth="1"/>
    <col min="14" max="15" width="9.28515625" style="2" bestFit="1" customWidth="1"/>
    <col min="16" max="16" width="1.140625" style="2" customWidth="1"/>
    <col min="17" max="18" width="9.28515625" style="2" bestFit="1" customWidth="1"/>
    <col min="19" max="19" width="17.85546875" style="2" customWidth="1"/>
    <col min="20" max="16384" width="9.140625" style="2"/>
  </cols>
  <sheetData>
    <row r="1" spans="1:19" ht="21">
      <c r="A1" s="87" t="s">
        <v>74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</row>
    <row r="2" spans="1:19">
      <c r="A2" s="88" t="s">
        <v>69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</row>
    <row r="3" spans="1:19" s="1" customFormat="1">
      <c r="A3" s="89" t="s">
        <v>65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</row>
    <row r="4" spans="1:19" ht="1.5" customHeight="1"/>
    <row r="5" spans="1:19" ht="14.25" customHeight="1">
      <c r="A5" s="90" t="s">
        <v>37</v>
      </c>
      <c r="B5" s="92" t="s">
        <v>50</v>
      </c>
      <c r="C5" s="93"/>
      <c r="D5" s="66"/>
      <c r="E5" s="92" t="s">
        <v>51</v>
      </c>
      <c r="F5" s="93"/>
      <c r="G5" s="66"/>
      <c r="H5" s="92" t="s">
        <v>52</v>
      </c>
      <c r="I5" s="93"/>
      <c r="J5" s="66"/>
      <c r="K5" s="92" t="s">
        <v>53</v>
      </c>
      <c r="L5" s="93"/>
      <c r="M5" s="66"/>
      <c r="N5" s="92" t="s">
        <v>54</v>
      </c>
      <c r="O5" s="93"/>
      <c r="P5" s="66"/>
      <c r="Q5" s="92" t="s">
        <v>68</v>
      </c>
      <c r="R5" s="92"/>
      <c r="S5" s="85" t="s">
        <v>55</v>
      </c>
    </row>
    <row r="6" spans="1:19" ht="13.5" customHeight="1">
      <c r="A6" s="91"/>
      <c r="B6" s="64" t="s">
        <v>33</v>
      </c>
      <c r="C6" s="67" t="s">
        <v>34</v>
      </c>
      <c r="D6" s="64"/>
      <c r="E6" s="64" t="s">
        <v>33</v>
      </c>
      <c r="F6" s="67" t="s">
        <v>34</v>
      </c>
      <c r="G6" s="64"/>
      <c r="H6" s="64" t="s">
        <v>33</v>
      </c>
      <c r="I6" s="71" t="s">
        <v>34</v>
      </c>
      <c r="J6" s="65"/>
      <c r="K6" s="63" t="s">
        <v>33</v>
      </c>
      <c r="L6" s="71" t="s">
        <v>34</v>
      </c>
      <c r="M6" s="65"/>
      <c r="N6" s="63" t="s">
        <v>33</v>
      </c>
      <c r="O6" s="71" t="s">
        <v>34</v>
      </c>
      <c r="P6" s="65"/>
      <c r="Q6" s="63" t="s">
        <v>33</v>
      </c>
      <c r="R6" s="62" t="s">
        <v>34</v>
      </c>
      <c r="S6" s="86"/>
    </row>
    <row r="7" spans="1:19" ht="15.75" customHeight="1">
      <c r="A7" s="46" t="s">
        <v>20</v>
      </c>
      <c r="B7" s="57">
        <f>SUM(B8:B19)</f>
        <v>17896.150000000001</v>
      </c>
      <c r="C7" s="68">
        <f t="shared" ref="C7" si="0">SUM(C8:C19)</f>
        <v>73142.42</v>
      </c>
      <c r="D7" s="57"/>
      <c r="E7" s="57">
        <f t="shared" ref="E7:F7" si="1">SUM(E8:E19)</f>
        <v>57552</v>
      </c>
      <c r="F7" s="68">
        <f t="shared" si="1"/>
        <v>31445.66</v>
      </c>
      <c r="G7" s="57"/>
      <c r="H7" s="57">
        <f t="shared" ref="H7:I7" si="2">SUM(H8:H19)</f>
        <v>17299</v>
      </c>
      <c r="I7" s="68">
        <f t="shared" si="2"/>
        <v>6730.6500000000005</v>
      </c>
      <c r="J7" s="57"/>
      <c r="K7" s="57">
        <f t="shared" ref="K7:L7" si="3">SUM(K8:K19)</f>
        <v>10839</v>
      </c>
      <c r="L7" s="68">
        <f t="shared" si="3"/>
        <v>6966</v>
      </c>
      <c r="M7" s="57"/>
      <c r="N7" s="57">
        <f t="shared" ref="N7:O7" si="4">SUM(N8:N19)</f>
        <v>0</v>
      </c>
      <c r="O7" s="68">
        <f t="shared" si="4"/>
        <v>0</v>
      </c>
      <c r="P7" s="57"/>
      <c r="Q7" s="57">
        <f t="shared" ref="Q7:R7" si="5">SUM(Q8:Q19)</f>
        <v>625</v>
      </c>
      <c r="R7" s="57">
        <f t="shared" si="5"/>
        <v>0</v>
      </c>
      <c r="S7" s="72" t="s">
        <v>1</v>
      </c>
    </row>
    <row r="8" spans="1:19" ht="15.75" customHeight="1">
      <c r="A8" s="51" t="s">
        <v>38</v>
      </c>
      <c r="B8" s="58">
        <v>993.4</v>
      </c>
      <c r="C8" s="69">
        <v>4749</v>
      </c>
      <c r="D8" s="58"/>
      <c r="E8" s="58">
        <v>5712</v>
      </c>
      <c r="F8" s="69">
        <v>1991.76</v>
      </c>
      <c r="G8" s="58"/>
      <c r="H8" s="58">
        <v>881</v>
      </c>
      <c r="I8" s="69">
        <v>792</v>
      </c>
      <c r="J8" s="58"/>
      <c r="K8" s="58">
        <v>1302</v>
      </c>
      <c r="L8" s="69">
        <v>27</v>
      </c>
      <c r="M8" s="58"/>
      <c r="N8" s="58">
        <v>0</v>
      </c>
      <c r="O8" s="69">
        <v>0</v>
      </c>
      <c r="P8" s="58"/>
      <c r="Q8" s="58">
        <v>0</v>
      </c>
      <c r="R8" s="58">
        <v>0</v>
      </c>
      <c r="S8" s="73" t="s">
        <v>56</v>
      </c>
    </row>
    <row r="9" spans="1:19" ht="15.75" customHeight="1">
      <c r="A9" s="51" t="s">
        <v>39</v>
      </c>
      <c r="B9" s="58">
        <v>2576</v>
      </c>
      <c r="C9" s="69">
        <v>3465.9</v>
      </c>
      <c r="D9" s="58"/>
      <c r="E9" s="58">
        <v>3864</v>
      </c>
      <c r="F9" s="69">
        <v>1470</v>
      </c>
      <c r="G9" s="58"/>
      <c r="H9" s="58">
        <v>1276</v>
      </c>
      <c r="I9" s="69">
        <v>596</v>
      </c>
      <c r="J9" s="58"/>
      <c r="K9" s="58">
        <v>476</v>
      </c>
      <c r="L9" s="69">
        <v>127</v>
      </c>
      <c r="M9" s="58"/>
      <c r="N9" s="58">
        <v>0</v>
      </c>
      <c r="O9" s="69">
        <v>0</v>
      </c>
      <c r="P9" s="58"/>
      <c r="Q9" s="58">
        <v>0</v>
      </c>
      <c r="R9" s="58">
        <v>0</v>
      </c>
      <c r="S9" s="73" t="s">
        <v>57</v>
      </c>
    </row>
    <row r="10" spans="1:19" ht="15.75" customHeight="1">
      <c r="A10" s="51" t="s">
        <v>40</v>
      </c>
      <c r="B10" s="58">
        <v>1889</v>
      </c>
      <c r="C10" s="69">
        <v>4281.8</v>
      </c>
      <c r="D10" s="58"/>
      <c r="E10" s="58">
        <v>8809</v>
      </c>
      <c r="F10" s="69">
        <v>3633</v>
      </c>
      <c r="G10" s="58"/>
      <c r="H10" s="58">
        <v>1687</v>
      </c>
      <c r="I10" s="69">
        <v>733</v>
      </c>
      <c r="J10" s="58"/>
      <c r="K10" s="58">
        <v>487</v>
      </c>
      <c r="L10" s="69">
        <v>286</v>
      </c>
      <c r="M10" s="58"/>
      <c r="N10" s="58">
        <v>0</v>
      </c>
      <c r="O10" s="69">
        <v>0</v>
      </c>
      <c r="P10" s="58"/>
      <c r="Q10" s="58">
        <v>0</v>
      </c>
      <c r="R10" s="58">
        <v>0</v>
      </c>
      <c r="S10" s="73" t="s">
        <v>58</v>
      </c>
    </row>
    <row r="11" spans="1:19" ht="15.75" customHeight="1">
      <c r="A11" s="51" t="s">
        <v>41</v>
      </c>
      <c r="B11" s="58">
        <v>856</v>
      </c>
      <c r="C11" s="69">
        <v>4043.8</v>
      </c>
      <c r="D11" s="58"/>
      <c r="E11" s="58">
        <v>3941</v>
      </c>
      <c r="F11" s="69">
        <v>2753</v>
      </c>
      <c r="G11" s="58"/>
      <c r="H11" s="58">
        <v>1862</v>
      </c>
      <c r="I11" s="69">
        <v>710.8</v>
      </c>
      <c r="J11" s="58"/>
      <c r="K11" s="58">
        <v>445</v>
      </c>
      <c r="L11" s="69">
        <v>436</v>
      </c>
      <c r="M11" s="58"/>
      <c r="N11" s="58">
        <v>0</v>
      </c>
      <c r="O11" s="69">
        <v>0</v>
      </c>
      <c r="P11" s="58"/>
      <c r="Q11" s="58">
        <v>0</v>
      </c>
      <c r="R11" s="58">
        <v>0</v>
      </c>
      <c r="S11" s="73" t="s">
        <v>70</v>
      </c>
    </row>
    <row r="12" spans="1:19" ht="15.75" customHeight="1">
      <c r="A12" s="51" t="s">
        <v>42</v>
      </c>
      <c r="B12" s="58">
        <v>758.1</v>
      </c>
      <c r="C12" s="69">
        <v>5776.5</v>
      </c>
      <c r="D12" s="58"/>
      <c r="E12" s="58">
        <v>5837</v>
      </c>
      <c r="F12" s="69">
        <v>5336.9</v>
      </c>
      <c r="G12" s="58"/>
      <c r="H12" s="58">
        <v>1314</v>
      </c>
      <c r="I12" s="69">
        <v>513</v>
      </c>
      <c r="J12" s="58"/>
      <c r="K12" s="58">
        <v>489</v>
      </c>
      <c r="L12" s="69">
        <v>146</v>
      </c>
      <c r="M12" s="58"/>
      <c r="N12" s="58">
        <v>0</v>
      </c>
      <c r="O12" s="69">
        <v>0</v>
      </c>
      <c r="P12" s="58"/>
      <c r="Q12" s="58">
        <v>0</v>
      </c>
      <c r="R12" s="58">
        <v>0</v>
      </c>
      <c r="S12" s="73" t="s">
        <v>59</v>
      </c>
    </row>
    <row r="13" spans="1:19" ht="15.75" customHeight="1">
      <c r="A13" s="51" t="s">
        <v>43</v>
      </c>
      <c r="B13" s="58">
        <v>671</v>
      </c>
      <c r="C13" s="69">
        <v>6919.9</v>
      </c>
      <c r="D13" s="58"/>
      <c r="E13" s="58">
        <v>3397</v>
      </c>
      <c r="F13" s="69">
        <v>5652</v>
      </c>
      <c r="G13" s="58"/>
      <c r="H13" s="58">
        <v>900</v>
      </c>
      <c r="I13" s="69">
        <v>489</v>
      </c>
      <c r="J13" s="58"/>
      <c r="K13" s="58">
        <v>1198</v>
      </c>
      <c r="L13" s="69">
        <v>528</v>
      </c>
      <c r="M13" s="58"/>
      <c r="N13" s="58">
        <v>0</v>
      </c>
      <c r="O13" s="69">
        <v>0</v>
      </c>
      <c r="P13" s="58"/>
      <c r="Q13" s="58">
        <v>0</v>
      </c>
      <c r="R13" s="58">
        <v>0</v>
      </c>
      <c r="S13" s="73" t="s">
        <v>60</v>
      </c>
    </row>
    <row r="14" spans="1:19" ht="15.75" customHeight="1">
      <c r="A14" s="51" t="s">
        <v>44</v>
      </c>
      <c r="B14" s="58">
        <v>2204.4</v>
      </c>
      <c r="C14" s="69">
        <v>9323.0499999999993</v>
      </c>
      <c r="D14" s="58"/>
      <c r="E14" s="58">
        <v>6461</v>
      </c>
      <c r="F14" s="69">
        <v>2274</v>
      </c>
      <c r="G14" s="58"/>
      <c r="H14" s="58">
        <v>1374</v>
      </c>
      <c r="I14" s="69">
        <v>450.4</v>
      </c>
      <c r="J14" s="58"/>
      <c r="K14" s="58">
        <v>1152</v>
      </c>
      <c r="L14" s="69">
        <v>594</v>
      </c>
      <c r="M14" s="58"/>
      <c r="N14" s="58">
        <v>0</v>
      </c>
      <c r="O14" s="69">
        <v>0</v>
      </c>
      <c r="P14" s="58"/>
      <c r="Q14" s="58">
        <v>0</v>
      </c>
      <c r="R14" s="58">
        <v>0</v>
      </c>
      <c r="S14" s="73" t="s">
        <v>61</v>
      </c>
    </row>
    <row r="15" spans="1:19" ht="15.75" customHeight="1">
      <c r="A15" s="51" t="s">
        <v>45</v>
      </c>
      <c r="B15" s="58">
        <v>2192</v>
      </c>
      <c r="C15" s="69">
        <v>7676.6</v>
      </c>
      <c r="D15" s="58"/>
      <c r="E15" s="58">
        <v>4187</v>
      </c>
      <c r="F15" s="69">
        <v>2340</v>
      </c>
      <c r="G15" s="58"/>
      <c r="H15" s="58">
        <v>1915</v>
      </c>
      <c r="I15" s="69">
        <v>576.54999999999995</v>
      </c>
      <c r="J15" s="58"/>
      <c r="K15" s="58">
        <v>1519</v>
      </c>
      <c r="L15" s="69">
        <v>456</v>
      </c>
      <c r="M15" s="58"/>
      <c r="N15" s="58">
        <v>0</v>
      </c>
      <c r="O15" s="69">
        <v>0</v>
      </c>
      <c r="P15" s="58"/>
      <c r="Q15" s="58">
        <v>0</v>
      </c>
      <c r="R15" s="58">
        <v>0</v>
      </c>
      <c r="S15" s="73" t="s">
        <v>71</v>
      </c>
    </row>
    <row r="16" spans="1:19" ht="15.75" customHeight="1">
      <c r="A16" s="51" t="s">
        <v>46</v>
      </c>
      <c r="B16" s="58">
        <v>1371</v>
      </c>
      <c r="C16" s="69">
        <v>6440.85</v>
      </c>
      <c r="D16" s="58"/>
      <c r="E16" s="58">
        <v>2228</v>
      </c>
      <c r="F16" s="69">
        <v>2315</v>
      </c>
      <c r="G16" s="58"/>
      <c r="H16" s="58">
        <v>849</v>
      </c>
      <c r="I16" s="69">
        <v>643.1</v>
      </c>
      <c r="J16" s="58"/>
      <c r="K16" s="58">
        <v>1139</v>
      </c>
      <c r="L16" s="69">
        <v>384</v>
      </c>
      <c r="M16" s="58"/>
      <c r="N16" s="58">
        <v>0</v>
      </c>
      <c r="O16" s="69">
        <v>0</v>
      </c>
      <c r="P16" s="58"/>
      <c r="Q16" s="58">
        <v>0</v>
      </c>
      <c r="R16" s="58">
        <v>0</v>
      </c>
      <c r="S16" s="73" t="s">
        <v>62</v>
      </c>
    </row>
    <row r="17" spans="1:19" ht="15.75" customHeight="1">
      <c r="A17" s="51" t="s">
        <v>47</v>
      </c>
      <c r="B17" s="58">
        <v>1214.25</v>
      </c>
      <c r="C17" s="69">
        <v>6266.91</v>
      </c>
      <c r="D17" s="58"/>
      <c r="E17" s="58">
        <v>3815</v>
      </c>
      <c r="F17" s="69">
        <v>1384</v>
      </c>
      <c r="G17" s="58"/>
      <c r="H17" s="58">
        <v>2061.1999999999998</v>
      </c>
      <c r="I17" s="69">
        <v>356</v>
      </c>
      <c r="J17" s="58"/>
      <c r="K17" s="58">
        <v>1124</v>
      </c>
      <c r="L17" s="69">
        <v>1251</v>
      </c>
      <c r="M17" s="58"/>
      <c r="N17" s="58">
        <v>0</v>
      </c>
      <c r="O17" s="69">
        <v>0</v>
      </c>
      <c r="P17" s="58"/>
      <c r="Q17" s="58">
        <v>160</v>
      </c>
      <c r="R17" s="58">
        <v>0</v>
      </c>
      <c r="S17" s="73" t="s">
        <v>72</v>
      </c>
    </row>
    <row r="18" spans="1:19" ht="15.75" customHeight="1">
      <c r="A18" s="51" t="s">
        <v>48</v>
      </c>
      <c r="B18" s="58">
        <v>1623</v>
      </c>
      <c r="C18" s="69">
        <v>7982.75</v>
      </c>
      <c r="D18" s="58"/>
      <c r="E18" s="58">
        <v>2758</v>
      </c>
      <c r="F18" s="69">
        <v>1632</v>
      </c>
      <c r="G18" s="58"/>
      <c r="H18" s="58">
        <v>2427</v>
      </c>
      <c r="I18" s="69">
        <v>564.79999999999995</v>
      </c>
      <c r="J18" s="58"/>
      <c r="K18" s="58">
        <v>651</v>
      </c>
      <c r="L18" s="69">
        <v>1123</v>
      </c>
      <c r="M18" s="58"/>
      <c r="N18" s="58">
        <v>0</v>
      </c>
      <c r="O18" s="69">
        <v>0</v>
      </c>
      <c r="P18" s="58"/>
      <c r="Q18" s="58">
        <v>160</v>
      </c>
      <c r="R18" s="58">
        <v>0</v>
      </c>
      <c r="S18" s="73" t="s">
        <v>63</v>
      </c>
    </row>
    <row r="19" spans="1:19" ht="15.75" customHeight="1">
      <c r="A19" s="52" t="s">
        <v>49</v>
      </c>
      <c r="B19" s="59">
        <v>1548</v>
      </c>
      <c r="C19" s="70">
        <v>6215.36</v>
      </c>
      <c r="D19" s="59"/>
      <c r="E19" s="59">
        <v>6543</v>
      </c>
      <c r="F19" s="70">
        <v>664</v>
      </c>
      <c r="G19" s="59"/>
      <c r="H19" s="59">
        <v>752.8</v>
      </c>
      <c r="I19" s="70">
        <v>306</v>
      </c>
      <c r="J19" s="59"/>
      <c r="K19" s="59">
        <v>857</v>
      </c>
      <c r="L19" s="70">
        <v>1608</v>
      </c>
      <c r="M19" s="59"/>
      <c r="N19" s="59">
        <v>0</v>
      </c>
      <c r="O19" s="70">
        <v>0</v>
      </c>
      <c r="P19" s="59"/>
      <c r="Q19" s="59">
        <v>305</v>
      </c>
      <c r="R19" s="59">
        <v>0</v>
      </c>
      <c r="S19" s="74" t="s">
        <v>64</v>
      </c>
    </row>
    <row r="20" spans="1:19" ht="14.25" customHeight="1">
      <c r="A20" s="47" t="s">
        <v>73</v>
      </c>
      <c r="B20" s="48"/>
      <c r="C20" s="49"/>
      <c r="D20" s="49"/>
      <c r="E20" s="49"/>
      <c r="F20" s="49"/>
      <c r="G20" s="49"/>
      <c r="H20" s="49"/>
      <c r="I20" s="49"/>
      <c r="J20" s="49"/>
      <c r="K20" s="50"/>
      <c r="L20" s="50"/>
      <c r="M20" s="50"/>
      <c r="N20" s="50"/>
      <c r="O20" s="3"/>
      <c r="P20" s="50"/>
      <c r="Q20" s="50"/>
      <c r="R20" s="3"/>
      <c r="S20" s="61" t="s">
        <v>67</v>
      </c>
    </row>
    <row r="21" spans="1:19" ht="14.25" customHeight="1">
      <c r="A21" s="48" t="s">
        <v>35</v>
      </c>
      <c r="B21" s="54"/>
      <c r="C21" s="55"/>
      <c r="D21" s="55"/>
      <c r="E21" s="54"/>
      <c r="F21" s="55"/>
      <c r="G21" s="55"/>
      <c r="H21" s="54"/>
      <c r="I21" s="55"/>
      <c r="J21" s="55"/>
      <c r="K21" s="56"/>
      <c r="L21" s="56"/>
      <c r="M21" s="56"/>
      <c r="P21" s="56"/>
      <c r="S21" s="60" t="s">
        <v>36</v>
      </c>
    </row>
    <row r="22" spans="1:19" ht="7.5" customHeight="1">
      <c r="A22" s="53"/>
      <c r="B22" s="53"/>
      <c r="C22" s="53"/>
      <c r="D22" s="53"/>
      <c r="E22" s="53"/>
      <c r="F22" s="53"/>
      <c r="G22" s="53"/>
      <c r="H22" s="53"/>
      <c r="I22" s="53"/>
      <c r="J22" s="53"/>
    </row>
  </sheetData>
  <mergeCells count="11">
    <mergeCell ref="S5:S6"/>
    <mergeCell ref="A1:S1"/>
    <mergeCell ref="A2:S2"/>
    <mergeCell ref="A3:S3"/>
    <mergeCell ref="A5:A6"/>
    <mergeCell ref="B5:C5"/>
    <mergeCell ref="E5:F5"/>
    <mergeCell ref="H5:I5"/>
    <mergeCell ref="K5:L5"/>
    <mergeCell ref="N5:O5"/>
    <mergeCell ref="Q5:R5"/>
  </mergeCells>
  <pageMargins left="0.19" right="0.16" top="0.23" bottom="0.18" header="0.17" footer="0.16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11.5</vt:lpstr>
      <vt:lpstr>11.21</vt:lpstr>
      <vt:lpstr>'11.21'!Print_Area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2013-07-07T08:59:47Z</cp:lastPrinted>
  <dcterms:created xsi:type="dcterms:W3CDTF">2013-04-28T05:32:41Z</dcterms:created>
  <dcterms:modified xsi:type="dcterms:W3CDTF">2013-07-08T05:45:06Z</dcterms:modified>
</cp:coreProperties>
</file>