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3" sheetId="3" r:id="rId1"/>
  </sheets>
  <definedNames>
    <definedName name="_xlnm.Print_Area" localSheetId="0">'11.3'!$A$1:$J$72</definedName>
  </definedNames>
  <calcPr calcId="124519"/>
</workbook>
</file>

<file path=xl/calcChain.xml><?xml version="1.0" encoding="utf-8"?>
<calcChain xmlns="http://schemas.openxmlformats.org/spreadsheetml/2006/main">
  <c r="I6" i="3"/>
  <c r="H6"/>
  <c r="G6"/>
  <c r="F6"/>
  <c r="E6"/>
  <c r="D6"/>
  <c r="C6"/>
  <c r="B6"/>
  <c r="R26"/>
  <c r="Q26"/>
  <c r="P26"/>
  <c r="R25"/>
  <c r="Q25"/>
  <c r="P25"/>
  <c r="R24"/>
  <c r="Q24"/>
  <c r="P24"/>
</calcChain>
</file>

<file path=xl/sharedStrings.xml><?xml version="1.0" encoding="utf-8"?>
<sst xmlns="http://schemas.openxmlformats.org/spreadsheetml/2006/main" count="99" uniqueCount="96">
  <si>
    <t>Others</t>
  </si>
  <si>
    <t>Source: Transport Authority</t>
  </si>
  <si>
    <t>Registered</t>
  </si>
  <si>
    <t>ctwvWb egudnwLua</t>
  </si>
  <si>
    <t>މައުލޫމާތު ދެއްވީ : ޓްރާންސްޕޯޓް އޮތޯރިޓީ</t>
  </si>
  <si>
    <t>Type of Vehicles</t>
  </si>
  <si>
    <t>Total</t>
  </si>
  <si>
    <t>ޖުމްލަ</t>
  </si>
  <si>
    <t>Motor cycle</t>
  </si>
  <si>
    <t>clwkiaws OTom</t>
  </si>
  <si>
    <t>Car</t>
  </si>
  <si>
    <t>urWk</t>
  </si>
  <si>
    <t>Bus</t>
  </si>
  <si>
    <t>cswb</t>
  </si>
  <si>
    <t>Pick-Up</t>
  </si>
  <si>
    <t>cpwkip</t>
  </si>
  <si>
    <t>Lorry</t>
  </si>
  <si>
    <t>Irol</t>
  </si>
  <si>
    <t>Van</t>
  </si>
  <si>
    <t>cnEv</t>
  </si>
  <si>
    <t>Jeep</t>
  </si>
  <si>
    <t>cpIj</t>
  </si>
  <si>
    <t>Ambulance</t>
  </si>
  <si>
    <t>cscnwluaibcmea</t>
  </si>
  <si>
    <t>Bouser</t>
  </si>
  <si>
    <t>rwzOb</t>
  </si>
  <si>
    <t>Crane</t>
  </si>
  <si>
    <t>cnErck</t>
  </si>
  <si>
    <t>Truck</t>
  </si>
  <si>
    <t>ckwrcT</t>
  </si>
  <si>
    <t>Fork-Lift</t>
  </si>
  <si>
    <t>cTcfil ckrOf</t>
  </si>
  <si>
    <t>Excavator</t>
  </si>
  <si>
    <t>rwTEvwkcsckea</t>
  </si>
  <si>
    <t>Dumper</t>
  </si>
  <si>
    <t>rwpcmwD</t>
  </si>
  <si>
    <t>Tractor</t>
  </si>
  <si>
    <t>rwTckwrcT</t>
  </si>
  <si>
    <t>Reach Stacker</t>
  </si>
  <si>
    <t>rwkeTcs cCIr</t>
  </si>
  <si>
    <t>Land Cruiser</t>
  </si>
  <si>
    <t>rwzUrck cDcnEl</t>
  </si>
  <si>
    <t>Fire Vehicles</t>
  </si>
  <si>
    <t>clwkihev rwywf</t>
  </si>
  <si>
    <t>Backhoe Loader</t>
  </si>
  <si>
    <t>rwDOl Ohckeb</t>
  </si>
  <si>
    <t>Loader</t>
  </si>
  <si>
    <t>rwDOl</t>
  </si>
  <si>
    <t>T-Type Tractor</t>
  </si>
  <si>
    <t>rwTckwrcT cpiawT-IT</t>
  </si>
  <si>
    <t>Ditch Witch</t>
  </si>
  <si>
    <t>cCiv cCiD</t>
  </si>
  <si>
    <t>Dozer Crawler</t>
  </si>
  <si>
    <t>rwlcvOrck rwzOD</t>
  </si>
  <si>
    <t>Grader</t>
  </si>
  <si>
    <t>rwDErcg</t>
  </si>
  <si>
    <t>Roller</t>
  </si>
  <si>
    <t>rwlOr</t>
  </si>
  <si>
    <t>Microbin</t>
  </si>
  <si>
    <t>މައިކްރޯބިން</t>
  </si>
  <si>
    <t>Road Sweeper</t>
  </si>
  <si>
    <t>ރޯޑް ސްވީޕަރ</t>
  </si>
  <si>
    <t>Wheel Paver</t>
  </si>
  <si>
    <t>ވީލް ޕާވަރ</t>
  </si>
  <si>
    <t>Compactor</t>
  </si>
  <si>
    <t>ކޮމްޕެކްޓަރ</t>
  </si>
  <si>
    <t>Tow Truck</t>
  </si>
  <si>
    <t>ޓޯ ޓްރަކް</t>
  </si>
  <si>
    <t>Battery Scooter</t>
  </si>
  <si>
    <t>ބެޓްރީ ސްކޫޓަރ</t>
  </si>
  <si>
    <t>Mini Truck</t>
  </si>
  <si>
    <t>މިނީ ޓްރަކް</t>
  </si>
  <si>
    <t>Pile Driver</t>
  </si>
  <si>
    <t>ޕައިލް ޑްރައިވަރ</t>
  </si>
  <si>
    <t>G.Compactor Truck</t>
  </si>
  <si>
    <t>ޖީ ކޮމްޕެކްޓަރ ޓްރަކް</t>
  </si>
  <si>
    <t>Concrete Mobile Truck</t>
  </si>
  <si>
    <t>ކޮންކްރީޓް މޮބައިލް ޓްރަކް</t>
  </si>
  <si>
    <t>ފިއުލް ޓޭންކް ޓްރަކް</t>
  </si>
  <si>
    <t>ޑަބަލް ކެބް</t>
  </si>
  <si>
    <t>ބެޓްރީ ކާރު</t>
  </si>
  <si>
    <t>ޕްރައިމް މޫވަރ</t>
  </si>
  <si>
    <t>Fuel Tank Truck</t>
  </si>
  <si>
    <t>Double Cab</t>
  </si>
  <si>
    <t>Battery Car</t>
  </si>
  <si>
    <t>Prime Mover</t>
  </si>
  <si>
    <r>
      <rPr>
        <b/>
        <sz val="11"/>
        <rFont val="Calibri"/>
        <family val="2"/>
        <scheme val="minor"/>
      </rPr>
      <t xml:space="preserve">Registered </t>
    </r>
    <r>
      <rPr>
        <b/>
        <sz val="9"/>
        <rFont val="Calibri"/>
        <family val="2"/>
        <scheme val="minor"/>
      </rPr>
      <t xml:space="preserve">   </t>
    </r>
    <r>
      <rPr>
        <b/>
        <sz val="9"/>
        <rFont val="A_Faseyha"/>
      </rPr>
      <t xml:space="preserve">               WviawfcSokIrcTcsijwr</t>
    </r>
  </si>
  <si>
    <r>
      <rPr>
        <b/>
        <sz val="11"/>
        <rFont val="Calibri"/>
        <family val="2"/>
        <scheme val="minor"/>
      </rPr>
      <t>Newly Registered</t>
    </r>
    <r>
      <rPr>
        <b/>
        <sz val="10"/>
        <rFont val="Calibri"/>
        <family val="2"/>
        <scheme val="minor"/>
      </rPr>
      <t xml:space="preserve">   </t>
    </r>
    <r>
      <rPr>
        <b/>
        <sz val="9"/>
        <rFont val="Calibri"/>
        <family val="2"/>
        <scheme val="minor"/>
      </rPr>
      <t xml:space="preserve">            </t>
    </r>
    <r>
      <rPr>
        <b/>
        <sz val="9"/>
        <rFont val="A_Faseyha"/>
      </rPr>
      <t>unuverukIrcTcsijwr cSwlwa</t>
    </r>
  </si>
  <si>
    <t>Table 11.3 :   REGISTERED  AND NEWLY REGISTERED VEHICLES ACCORDING TO TYPE, 2009 - 2012</t>
  </si>
  <si>
    <t>% increase all vehicles</t>
  </si>
  <si>
    <t>% increase in motor cycle</t>
  </si>
  <si>
    <t>% increase in car</t>
  </si>
  <si>
    <t>%share 2012</t>
  </si>
  <si>
    <t>Motor cycles account for 82 percent of all registered vehicles in 2012</t>
  </si>
  <si>
    <t>Newly registered</t>
  </si>
  <si>
    <t xml:space="preserve"> 2012 - 2009 ,urwhwfudnwLua Wvcaud iawgumwgcaea unuverukIrcTcsijwr cSwlwa dwa WviawfcSokIrcTcsijwr :11.3 ulwvWt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</si>
</sst>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[$-409]mmmm\ d\,\ yyyy;@"/>
    <numFmt numFmtId="166" formatCode="_(* #,##0_);_(* \(#,##0\);_(* &quot;-&quot;??_);_(@_)"/>
    <numFmt numFmtId="167" formatCode="0.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_Faseyha"/>
    </font>
    <font>
      <sz val="11"/>
      <name val="Calibri"/>
      <family val="2"/>
      <scheme val="minor"/>
    </font>
    <font>
      <sz val="10"/>
      <name val="MS Sans Serif"/>
      <family val="2"/>
    </font>
    <font>
      <sz val="11"/>
      <name val="A_Faseyha"/>
    </font>
    <font>
      <u/>
      <sz val="10"/>
      <color indexed="12"/>
      <name val="Arial"/>
      <family val="2"/>
    </font>
    <font>
      <sz val="11"/>
      <name val="Faruma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sz val="10"/>
      <name val="Faruma"/>
    </font>
    <font>
      <sz val="10"/>
      <name val="Courier"/>
      <family val="3"/>
    </font>
    <font>
      <b/>
      <sz val="9"/>
      <name val="A_Faseyha"/>
    </font>
    <font>
      <b/>
      <sz val="9"/>
      <name val="A_Randhoo"/>
    </font>
    <font>
      <b/>
      <sz val="9"/>
      <color rgb="FFFF0000"/>
      <name val="A_Randhoo"/>
    </font>
    <font>
      <b/>
      <sz val="10"/>
      <name val="A_Ilham"/>
    </font>
    <font>
      <sz val="10"/>
      <name val="Calibri"/>
      <family val="2"/>
      <scheme val="minor"/>
    </font>
    <font>
      <sz val="10"/>
      <name val="A_Ilham"/>
    </font>
    <font>
      <i/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C00000"/>
      <name val="Arial"/>
      <family val="2"/>
    </font>
    <font>
      <b/>
      <sz val="10"/>
      <color theme="6" tint="-0.249977111117893"/>
      <name val="Arial"/>
      <family val="2"/>
    </font>
    <font>
      <b/>
      <sz val="10"/>
      <color rgb="FF7030A0"/>
      <name val="Arial"/>
      <family val="2"/>
    </font>
    <font>
      <b/>
      <sz val="10"/>
      <color theme="4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0.39997558519241921"/>
      <name val="Arial"/>
      <family val="2"/>
    </font>
    <font>
      <b/>
      <sz val="10"/>
      <color rgb="FFFF7C80"/>
      <name val="Arial"/>
      <family val="2"/>
    </font>
    <font>
      <sz val="11"/>
      <color theme="1"/>
      <name val="Calibri"/>
      <family val="2"/>
      <charset val="1"/>
      <scheme val="minor"/>
    </font>
    <font>
      <i/>
      <sz val="10"/>
      <name val="Calibri"/>
      <family val="2"/>
      <scheme val="minor"/>
    </font>
    <font>
      <b/>
      <sz val="11"/>
      <name val="Faruma"/>
    </font>
    <font>
      <sz val="11"/>
      <name val="A_Ilha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theme="1"/>
      </right>
      <top/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 style="hair">
        <color theme="1"/>
      </right>
      <top style="thin">
        <color indexed="64"/>
      </top>
      <bottom style="hair">
        <color theme="1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2" fillId="0" borderId="0"/>
    <xf numFmtId="0" fontId="9" fillId="0" borderId="0"/>
    <xf numFmtId="0" fontId="1" fillId="0" borderId="0"/>
    <xf numFmtId="0" fontId="9" fillId="0" borderId="0"/>
    <xf numFmtId="164" fontId="16" fillId="0" borderId="0"/>
    <xf numFmtId="40" fontId="5" fillId="0" borderId="0" applyFont="0" applyFill="0" applyBorder="0" applyAlignment="0" applyProtection="0"/>
    <xf numFmtId="166" fontId="16" fillId="0" borderId="0"/>
    <xf numFmtId="165" fontId="16" fillId="0" borderId="0" applyFont="0" applyFill="0" applyBorder="0" applyAlignment="0" applyProtection="0"/>
    <xf numFmtId="166" fontId="16" fillId="0" borderId="0"/>
    <xf numFmtId="164" fontId="16" fillId="0" borderId="0"/>
  </cellStyleXfs>
  <cellXfs count="122">
    <xf numFmtId="0" fontId="0" fillId="0" borderId="0" xfId="0"/>
    <xf numFmtId="0" fontId="11" fillId="2" borderId="2" xfId="0" applyNumberFormat="1" applyFont="1" applyFill="1" applyBorder="1" applyAlignment="1" applyProtection="1">
      <alignment horizontal="center" vertical="center"/>
    </xf>
    <xf numFmtId="0" fontId="18" fillId="2" borderId="3" xfId="0" applyNumberFormat="1" applyFont="1" applyFill="1" applyBorder="1" applyAlignment="1">
      <alignment horizontal="right" vertical="center"/>
    </xf>
    <xf numFmtId="0" fontId="19" fillId="2" borderId="3" xfId="0" applyNumberFormat="1" applyFont="1" applyFill="1" applyBorder="1" applyAlignment="1">
      <alignment horizontal="right" vertical="center"/>
    </xf>
    <xf numFmtId="0" fontId="13" fillId="2" borderId="2" xfId="0" applyNumberFormat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vertical="center"/>
    </xf>
    <xf numFmtId="0" fontId="9" fillId="2" borderId="2" xfId="0" applyNumberFormat="1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vertical="center"/>
    </xf>
    <xf numFmtId="0" fontId="13" fillId="2" borderId="8" xfId="0" applyNumberFormat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vertical="center"/>
    </xf>
    <xf numFmtId="0" fontId="13" fillId="2" borderId="3" xfId="0" applyNumberFormat="1" applyFont="1" applyFill="1" applyBorder="1" applyAlignment="1">
      <alignment horizontal="right" vertical="center"/>
    </xf>
    <xf numFmtId="0" fontId="9" fillId="2" borderId="1" xfId="0" applyNumberFormat="1" applyFont="1" applyFill="1" applyBorder="1"/>
    <xf numFmtId="0" fontId="9" fillId="2" borderId="1" xfId="0" applyNumberFormat="1" applyFont="1" applyFill="1" applyBorder="1" applyAlignment="1">
      <alignment horizontal="left" vertical="center"/>
    </xf>
    <xf numFmtId="0" fontId="9" fillId="2" borderId="1" xfId="0" applyNumberFormat="1" applyFont="1" applyFill="1" applyBorder="1" applyAlignment="1">
      <alignment horizontal="right" vertical="center"/>
    </xf>
    <xf numFmtId="0" fontId="23" fillId="2" borderId="1" xfId="0" applyNumberFormat="1" applyFont="1" applyFill="1" applyBorder="1" applyAlignment="1" applyProtection="1">
      <alignment horizontal="center" vertical="center"/>
    </xf>
    <xf numFmtId="0" fontId="16" fillId="2" borderId="1" xfId="0" applyNumberFormat="1" applyFont="1" applyFill="1" applyBorder="1" applyAlignment="1">
      <alignment vertical="center"/>
    </xf>
    <xf numFmtId="0" fontId="9" fillId="2" borderId="2" xfId="0" applyNumberFormat="1" applyFont="1" applyFill="1" applyBorder="1" applyAlignment="1">
      <alignment horizontal="right" vertical="center"/>
    </xf>
    <xf numFmtId="0" fontId="9" fillId="2" borderId="2" xfId="0" applyNumberFormat="1" applyFont="1" applyFill="1" applyBorder="1"/>
    <xf numFmtId="0" fontId="9" fillId="2" borderId="0" xfId="0" applyNumberFormat="1" applyFont="1" applyFill="1" applyBorder="1" applyAlignment="1">
      <alignment horizontal="right" vertical="center"/>
    </xf>
    <xf numFmtId="0" fontId="11" fillId="2" borderId="0" xfId="0" applyNumberFormat="1" applyFont="1" applyFill="1" applyBorder="1"/>
    <xf numFmtId="0" fontId="9" fillId="2" borderId="0" xfId="0" applyNumberFormat="1" applyFont="1" applyFill="1" applyBorder="1"/>
    <xf numFmtId="0" fontId="9" fillId="2" borderId="3" xfId="0" applyNumberFormat="1" applyFont="1" applyFill="1" applyBorder="1" applyAlignment="1">
      <alignment horizontal="right" vertical="center"/>
    </xf>
    <xf numFmtId="0" fontId="24" fillId="2" borderId="3" xfId="0" applyNumberFormat="1" applyFont="1" applyFill="1" applyBorder="1" applyAlignment="1">
      <alignment horizontal="right" wrapText="1"/>
    </xf>
    <xf numFmtId="0" fontId="25" fillId="2" borderId="3" xfId="0" applyNumberFormat="1" applyFont="1" applyFill="1" applyBorder="1" applyAlignment="1">
      <alignment horizontal="right" wrapText="1"/>
    </xf>
    <xf numFmtId="0" fontId="26" fillId="2" borderId="3" xfId="0" applyNumberFormat="1" applyFont="1" applyFill="1" applyBorder="1" applyAlignment="1">
      <alignment horizontal="right" wrapText="1"/>
    </xf>
    <xf numFmtId="0" fontId="27" fillId="2" borderId="3" xfId="0" applyNumberFormat="1" applyFont="1" applyFill="1" applyBorder="1" applyAlignment="1">
      <alignment horizontal="right" wrapText="1"/>
    </xf>
    <xf numFmtId="0" fontId="28" fillId="2" borderId="3" xfId="0" applyNumberFormat="1" applyFont="1" applyFill="1" applyBorder="1" applyAlignment="1">
      <alignment horizontal="right" wrapText="1"/>
    </xf>
    <xf numFmtId="0" fontId="29" fillId="2" borderId="3" xfId="0" applyNumberFormat="1" applyFont="1" applyFill="1" applyBorder="1" applyAlignment="1">
      <alignment horizontal="right" wrapText="1"/>
    </xf>
    <xf numFmtId="0" fontId="30" fillId="2" borderId="3" xfId="0" applyNumberFormat="1" applyFont="1" applyFill="1" applyBorder="1" applyAlignment="1">
      <alignment horizontal="right" wrapText="1"/>
    </xf>
    <xf numFmtId="0" fontId="31" fillId="2" borderId="3" xfId="0" applyNumberFormat="1" applyFont="1" applyFill="1" applyBorder="1" applyAlignment="1">
      <alignment horizontal="right" wrapText="1"/>
    </xf>
    <xf numFmtId="0" fontId="9" fillId="2" borderId="3" xfId="0" applyNumberFormat="1" applyFont="1" applyFill="1" applyBorder="1"/>
    <xf numFmtId="0" fontId="9" fillId="2" borderId="1" xfId="1" applyNumberFormat="1" applyFont="1" applyFill="1" applyBorder="1"/>
    <xf numFmtId="0" fontId="14" fillId="2" borderId="1" xfId="0" applyNumberFormat="1" applyFont="1" applyFill="1" applyBorder="1" applyAlignment="1">
      <alignment horizontal="right"/>
    </xf>
    <xf numFmtId="0" fontId="22" fillId="2" borderId="1" xfId="0" applyNumberFormat="1" applyFont="1" applyFill="1" applyBorder="1" applyAlignment="1">
      <alignment horizontal="right" vertical="center"/>
    </xf>
    <xf numFmtId="0" fontId="11" fillId="2" borderId="1" xfId="0" applyNumberFormat="1" applyFont="1" applyFill="1" applyBorder="1" applyAlignment="1" applyProtection="1">
      <alignment vertical="center"/>
    </xf>
    <xf numFmtId="0" fontId="11" fillId="2" borderId="1" xfId="0" applyNumberFormat="1" applyFont="1" applyFill="1" applyBorder="1" applyAlignment="1">
      <alignment vertical="center"/>
    </xf>
    <xf numFmtId="0" fontId="13" fillId="2" borderId="1" xfId="1" applyNumberFormat="1" applyFont="1" applyFill="1" applyBorder="1" applyAlignment="1">
      <alignment horizontal="right" vertical="center"/>
    </xf>
    <xf numFmtId="0" fontId="13" fillId="2" borderId="1" xfId="0" applyNumberFormat="1" applyFont="1" applyFill="1" applyBorder="1" applyAlignment="1">
      <alignment horizontal="right" vertical="center"/>
    </xf>
    <xf numFmtId="0" fontId="14" fillId="2" borderId="1" xfId="0" applyNumberFormat="1" applyFont="1" applyFill="1" applyBorder="1" applyAlignment="1" applyProtection="1">
      <alignment horizontal="right" vertical="center"/>
      <protection locked="0"/>
    </xf>
    <xf numFmtId="37" fontId="21" fillId="2" borderId="0" xfId="1" applyNumberFormat="1" applyFont="1" applyFill="1" applyBorder="1" applyAlignment="1">
      <alignment horizontal="right" vertical="center"/>
    </xf>
    <xf numFmtId="0" fontId="9" fillId="2" borderId="10" xfId="0" applyNumberFormat="1" applyFont="1" applyFill="1" applyBorder="1" applyAlignment="1">
      <alignment horizontal="right" vertical="center"/>
    </xf>
    <xf numFmtId="0" fontId="15" fillId="2" borderId="3" xfId="0" applyNumberFormat="1" applyFont="1" applyFill="1" applyBorder="1" applyAlignment="1">
      <alignment horizontal="right" vertical="center"/>
    </xf>
    <xf numFmtId="37" fontId="21" fillId="2" borderId="3" xfId="1" applyNumberFormat="1" applyFont="1" applyFill="1" applyBorder="1" applyAlignment="1">
      <alignment horizontal="right" vertical="center"/>
    </xf>
    <xf numFmtId="37" fontId="21" fillId="2" borderId="17" xfId="1" applyNumberFormat="1" applyFont="1" applyFill="1" applyBorder="1" applyAlignment="1">
      <alignment horizontal="right" vertical="center"/>
    </xf>
    <xf numFmtId="37" fontId="21" fillId="2" borderId="16" xfId="1" applyNumberFormat="1" applyFont="1" applyFill="1" applyBorder="1" applyAlignment="1">
      <alignment horizontal="right" vertical="center"/>
    </xf>
    <xf numFmtId="0" fontId="33" fillId="2" borderId="3" xfId="0" applyNumberFormat="1" applyFont="1" applyFill="1" applyBorder="1" applyAlignment="1" applyProtection="1">
      <alignment horizontal="left" vertical="center"/>
    </xf>
    <xf numFmtId="164" fontId="2" fillId="2" borderId="2" xfId="0" applyNumberFormat="1" applyFont="1" applyFill="1" applyBorder="1" applyAlignment="1" applyProtection="1">
      <alignment horizontal="left" vertical="center"/>
    </xf>
    <xf numFmtId="37" fontId="2" fillId="2" borderId="0" xfId="1" applyNumberFormat="1" applyFont="1" applyFill="1" applyBorder="1" applyAlignment="1" applyProtection="1">
      <alignment horizontal="right" vertical="center"/>
    </xf>
    <xf numFmtId="37" fontId="2" fillId="2" borderId="18" xfId="1" applyNumberFormat="1" applyFont="1" applyFill="1" applyBorder="1" applyAlignment="1" applyProtection="1">
      <alignment horizontal="right" vertical="center"/>
    </xf>
    <xf numFmtId="0" fontId="34" fillId="2" borderId="10" xfId="0" applyNumberFormat="1" applyFont="1" applyFill="1" applyBorder="1" applyAlignment="1">
      <alignment horizontal="right" vertical="center"/>
    </xf>
    <xf numFmtId="0" fontId="4" fillId="2" borderId="1" xfId="0" applyNumberFormat="1" applyFont="1" applyFill="1" applyBorder="1" applyAlignment="1">
      <alignment horizontal="left" vertical="center"/>
    </xf>
    <xf numFmtId="37" fontId="4" fillId="2" borderId="1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 wrapText="1" readingOrder="1"/>
    </xf>
    <xf numFmtId="37" fontId="4" fillId="2" borderId="0" xfId="1" applyNumberFormat="1" applyFont="1" applyFill="1" applyBorder="1" applyAlignment="1">
      <alignment horizontal="right" vertical="center" readingOrder="1"/>
    </xf>
    <xf numFmtId="37" fontId="4" fillId="2" borderId="18" xfId="1" applyNumberFormat="1" applyFont="1" applyFill="1" applyBorder="1" applyAlignment="1">
      <alignment horizontal="right" vertical="center"/>
    </xf>
    <xf numFmtId="37" fontId="4" fillId="2" borderId="10" xfId="1" applyNumberFormat="1" applyFont="1" applyFill="1" applyBorder="1" applyAlignment="1">
      <alignment horizontal="right" vertical="center"/>
    </xf>
    <xf numFmtId="37" fontId="4" fillId="2" borderId="11" xfId="1" applyNumberFormat="1" applyFont="1" applyFill="1" applyBorder="1" applyAlignment="1">
      <alignment horizontal="right" vertical="center"/>
    </xf>
    <xf numFmtId="37" fontId="4" fillId="2" borderId="0" xfId="1" applyNumberFormat="1" applyFont="1" applyFill="1" applyBorder="1" applyAlignment="1">
      <alignment horizontal="right" vertical="center" wrapText="1"/>
    </xf>
    <xf numFmtId="0" fontId="35" fillId="2" borderId="10" xfId="0" applyNumberFormat="1" applyFont="1" applyFill="1" applyBorder="1" applyAlignment="1">
      <alignment horizontal="right" vertical="center"/>
    </xf>
    <xf numFmtId="0" fontId="35" fillId="2" borderId="10" xfId="0" applyNumberFormat="1" applyFont="1" applyFill="1" applyBorder="1" applyAlignment="1">
      <alignment horizontal="right"/>
    </xf>
    <xf numFmtId="0" fontId="8" fillId="2" borderId="10" xfId="0" applyNumberFormat="1" applyFont="1" applyFill="1" applyBorder="1" applyAlignment="1">
      <alignment horizontal="right" vertical="center"/>
    </xf>
    <xf numFmtId="0" fontId="4" fillId="2" borderId="2" xfId="0" applyNumberFormat="1" applyFont="1" applyFill="1" applyBorder="1" applyAlignment="1">
      <alignment horizontal="left" vertical="center"/>
    </xf>
    <xf numFmtId="0" fontId="8" fillId="2" borderId="12" xfId="0" applyNumberFormat="1" applyFont="1" applyFill="1" applyBorder="1" applyAlignment="1">
      <alignment horizontal="right" vertical="center"/>
    </xf>
    <xf numFmtId="37" fontId="4" fillId="2" borderId="2" xfId="1" applyNumberFormat="1" applyFont="1" applyFill="1" applyBorder="1" applyAlignment="1">
      <alignment horizontal="right" vertical="center"/>
    </xf>
    <xf numFmtId="37" fontId="4" fillId="2" borderId="12" xfId="1" applyNumberFormat="1" applyFont="1" applyFill="1" applyBorder="1" applyAlignment="1">
      <alignment horizontal="right" vertical="center"/>
    </xf>
    <xf numFmtId="37" fontId="4" fillId="2" borderId="13" xfId="1" applyNumberFormat="1" applyFont="1" applyFill="1" applyBorder="1" applyAlignment="1">
      <alignment horizontal="right" vertical="center"/>
    </xf>
    <xf numFmtId="0" fontId="4" fillId="2" borderId="0" xfId="0" applyNumberFormat="1" applyFont="1" applyFill="1" applyBorder="1" applyAlignment="1">
      <alignment horizontal="left" vertical="center"/>
    </xf>
    <xf numFmtId="37" fontId="4" fillId="2" borderId="0" xfId="1" applyNumberFormat="1" applyFont="1" applyFill="1" applyBorder="1" applyAlignment="1">
      <alignment horizontal="right" vertical="center"/>
    </xf>
    <xf numFmtId="0" fontId="8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left" vertical="center" readingOrder="1"/>
    </xf>
    <xf numFmtId="0" fontId="8" fillId="2" borderId="14" xfId="0" applyNumberFormat="1" applyFont="1" applyFill="1" applyBorder="1" applyAlignment="1">
      <alignment horizontal="right" vertical="center"/>
    </xf>
    <xf numFmtId="164" fontId="4" fillId="2" borderId="5" xfId="0" applyNumberFormat="1" applyFont="1" applyFill="1" applyBorder="1" applyAlignment="1">
      <alignment horizontal="left" vertical="center" readingOrder="1"/>
    </xf>
    <xf numFmtId="37" fontId="4" fillId="2" borderId="5" xfId="1" applyNumberFormat="1" applyFont="1" applyFill="1" applyBorder="1" applyAlignment="1">
      <alignment horizontal="right" vertical="center" wrapText="1"/>
    </xf>
    <xf numFmtId="37" fontId="4" fillId="2" borderId="5" xfId="1" applyNumberFormat="1" applyFont="1" applyFill="1" applyBorder="1" applyAlignment="1">
      <alignment horizontal="right" vertical="center" readingOrder="1"/>
    </xf>
    <xf numFmtId="37" fontId="4" fillId="2" borderId="19" xfId="1" applyNumberFormat="1" applyFont="1" applyFill="1" applyBorder="1" applyAlignment="1">
      <alignment horizontal="right" vertical="center"/>
    </xf>
    <xf numFmtId="37" fontId="4" fillId="2" borderId="5" xfId="1" applyNumberFormat="1" applyFont="1" applyFill="1" applyBorder="1" applyAlignment="1">
      <alignment horizontal="right" vertical="center"/>
    </xf>
    <xf numFmtId="1" fontId="2" fillId="2" borderId="6" xfId="0" applyNumberFormat="1" applyFont="1" applyFill="1" applyBorder="1" applyAlignment="1" applyProtection="1">
      <alignment horizontal="right" vertical="center"/>
    </xf>
    <xf numFmtId="1" fontId="2" fillId="2" borderId="20" xfId="0" applyNumberFormat="1" applyFont="1" applyFill="1" applyBorder="1" applyAlignment="1" applyProtection="1">
      <alignment horizontal="right" vertical="center"/>
    </xf>
    <xf numFmtId="1" fontId="2" fillId="2" borderId="9" xfId="0" applyNumberFormat="1" applyFont="1" applyFill="1" applyBorder="1" applyAlignment="1" applyProtection="1">
      <alignment horizontal="right" vertical="center"/>
    </xf>
    <xf numFmtId="0" fontId="9" fillId="3" borderId="1" xfId="0" applyNumberFormat="1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horizontal="left" vertical="center"/>
    </xf>
    <xf numFmtId="167" fontId="9" fillId="3" borderId="1" xfId="0" applyNumberFormat="1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167" fontId="9" fillId="3" borderId="1" xfId="0" applyNumberFormat="1" applyFont="1" applyFill="1" applyBorder="1" applyAlignment="1">
      <alignment vertical="center"/>
    </xf>
    <xf numFmtId="167" fontId="9" fillId="2" borderId="1" xfId="0" applyNumberFormat="1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horizontal="right" vertical="center"/>
    </xf>
    <xf numFmtId="0" fontId="9" fillId="3" borderId="11" xfId="0" applyNumberFormat="1" applyFont="1" applyFill="1" applyBorder="1" applyAlignment="1">
      <alignment horizontal="right" vertical="center"/>
    </xf>
    <xf numFmtId="0" fontId="9" fillId="3" borderId="0" xfId="0" applyNumberFormat="1" applyFont="1" applyFill="1" applyBorder="1" applyAlignment="1">
      <alignment horizontal="right" vertical="center"/>
    </xf>
    <xf numFmtId="0" fontId="9" fillId="3" borderId="10" xfId="0" applyNumberFormat="1" applyFont="1" applyFill="1" applyBorder="1" applyAlignment="1">
      <alignment horizontal="right" vertical="center"/>
    </xf>
    <xf numFmtId="164" fontId="2" fillId="3" borderId="4" xfId="0" applyNumberFormat="1" applyFont="1" applyFill="1" applyBorder="1" applyAlignment="1" applyProtection="1">
      <alignment horizontal="left" vertical="center"/>
    </xf>
    <xf numFmtId="1" fontId="2" fillId="3" borderId="6" xfId="0" applyNumberFormat="1" applyFont="1" applyFill="1" applyBorder="1" applyAlignment="1" applyProtection="1">
      <alignment horizontal="right" vertical="center"/>
    </xf>
    <xf numFmtId="1" fontId="2" fillId="3" borderId="20" xfId="0" applyNumberFormat="1" applyFont="1" applyFill="1" applyBorder="1" applyAlignment="1" applyProtection="1">
      <alignment horizontal="right" vertical="center"/>
    </xf>
    <xf numFmtId="37" fontId="4" fillId="3" borderId="1" xfId="1" applyNumberFormat="1" applyFont="1" applyFill="1" applyBorder="1" applyAlignment="1">
      <alignment horizontal="right" vertical="center"/>
    </xf>
    <xf numFmtId="37" fontId="0" fillId="3" borderId="0" xfId="1" applyNumberFormat="1" applyFont="1" applyFill="1" applyBorder="1" applyAlignment="1">
      <alignment horizontal="right" vertical="center" wrapText="1" readingOrder="1"/>
    </xf>
    <xf numFmtId="37" fontId="4" fillId="3" borderId="0" xfId="1" applyNumberFormat="1" applyFont="1" applyFill="1" applyBorder="1" applyAlignment="1">
      <alignment horizontal="right" vertical="center" readingOrder="1"/>
    </xf>
    <xf numFmtId="37" fontId="4" fillId="3" borderId="18" xfId="1" applyNumberFormat="1" applyFont="1" applyFill="1" applyBorder="1" applyAlignment="1">
      <alignment horizontal="right" vertical="center"/>
    </xf>
    <xf numFmtId="37" fontId="4" fillId="3" borderId="10" xfId="1" applyNumberFormat="1" applyFont="1" applyFill="1" applyBorder="1" applyAlignment="1">
      <alignment horizontal="right" vertical="center"/>
    </xf>
    <xf numFmtId="37" fontId="4" fillId="3" borderId="11" xfId="1" applyNumberFormat="1" applyFont="1" applyFill="1" applyBorder="1" applyAlignment="1">
      <alignment horizontal="right" vertical="center"/>
    </xf>
    <xf numFmtId="37" fontId="4" fillId="3" borderId="0" xfId="1" applyNumberFormat="1" applyFont="1" applyFill="1" applyBorder="1" applyAlignment="1">
      <alignment horizontal="right" vertical="center" wrapText="1"/>
    </xf>
    <xf numFmtId="37" fontId="9" fillId="2" borderId="1" xfId="0" applyNumberFormat="1" applyFont="1" applyFill="1" applyBorder="1" applyAlignment="1">
      <alignment horizontal="right" vertical="center"/>
    </xf>
    <xf numFmtId="0" fontId="9" fillId="2" borderId="8" xfId="0" applyNumberFormat="1" applyFont="1" applyFill="1" applyBorder="1" applyAlignment="1">
      <alignment horizontal="right" vertical="center"/>
    </xf>
    <xf numFmtId="37" fontId="9" fillId="2" borderId="8" xfId="0" applyNumberFormat="1" applyFont="1" applyFill="1" applyBorder="1" applyAlignment="1">
      <alignment horizontal="right" vertical="center"/>
    </xf>
    <xf numFmtId="0" fontId="9" fillId="2" borderId="16" xfId="0" applyNumberFormat="1" applyFont="1" applyFill="1" applyBorder="1" applyAlignment="1">
      <alignment horizontal="right" vertical="center"/>
    </xf>
    <xf numFmtId="0" fontId="33" fillId="2" borderId="8" xfId="0" applyNumberFormat="1" applyFont="1" applyFill="1" applyBorder="1" applyAlignment="1" applyProtection="1">
      <alignment horizontal="left" vertical="center"/>
    </xf>
    <xf numFmtId="37" fontId="21" fillId="2" borderId="8" xfId="1" applyNumberFormat="1" applyFont="1" applyFill="1" applyBorder="1" applyAlignment="1">
      <alignment horizontal="right" vertical="center"/>
    </xf>
    <xf numFmtId="37" fontId="21" fillId="2" borderId="15" xfId="1" applyNumberFormat="1" applyFont="1" applyFill="1" applyBorder="1" applyAlignment="1">
      <alignment horizontal="right" vertical="center"/>
    </xf>
    <xf numFmtId="37" fontId="21" fillId="2" borderId="14" xfId="1" applyNumberFormat="1" applyFont="1" applyFill="1" applyBorder="1" applyAlignment="1">
      <alignment horizontal="right" vertical="center"/>
    </xf>
    <xf numFmtId="0" fontId="15" fillId="2" borderId="8" xfId="0" applyNumberFormat="1" applyFont="1" applyFill="1" applyBorder="1" applyAlignment="1">
      <alignment horizontal="right" vertical="center"/>
    </xf>
    <xf numFmtId="0" fontId="8" fillId="2" borderId="9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164" fontId="2" fillId="2" borderId="7" xfId="0" applyNumberFormat="1" applyFont="1" applyFill="1" applyBorder="1" applyAlignment="1" applyProtection="1">
      <alignment horizontal="left" vertical="center"/>
    </xf>
    <xf numFmtId="164" fontId="2" fillId="2" borderId="4" xfId="0" applyNumberFormat="1" applyFont="1" applyFill="1" applyBorder="1" applyAlignment="1" applyProtection="1">
      <alignment horizontal="left" vertical="center"/>
    </xf>
    <xf numFmtId="164" fontId="17" fillId="2" borderId="21" xfId="3" applyNumberFormat="1" applyFont="1" applyFill="1" applyBorder="1" applyAlignment="1" applyProtection="1">
      <alignment horizontal="right" vertical="center" indent="1"/>
    </xf>
    <xf numFmtId="164" fontId="17" fillId="2" borderId="22" xfId="3" applyNumberFormat="1" applyFont="1" applyFill="1" applyBorder="1" applyAlignment="1" applyProtection="1">
      <alignment horizontal="right" vertical="center" indent="1"/>
    </xf>
    <xf numFmtId="164" fontId="17" fillId="2" borderId="24" xfId="3" applyNumberFormat="1" applyFont="1" applyFill="1" applyBorder="1" applyAlignment="1" applyProtection="1">
      <alignment horizontal="right" vertical="center" indent="1"/>
    </xf>
    <xf numFmtId="164" fontId="17" fillId="2" borderId="22" xfId="0" applyNumberFormat="1" applyFont="1" applyFill="1" applyBorder="1" applyAlignment="1" applyProtection="1">
      <alignment horizontal="left" vertical="center" wrapText="1"/>
    </xf>
    <xf numFmtId="164" fontId="17" fillId="2" borderId="23" xfId="0" applyNumberFormat="1" applyFont="1" applyFill="1" applyBorder="1" applyAlignment="1" applyProtection="1">
      <alignment horizontal="left" vertical="center" wrapText="1"/>
    </xf>
    <xf numFmtId="164" fontId="20" fillId="2" borderId="7" xfId="0" applyNumberFormat="1" applyFont="1" applyFill="1" applyBorder="1" applyAlignment="1">
      <alignment horizontal="right" vertical="center"/>
    </xf>
    <xf numFmtId="164" fontId="20" fillId="2" borderId="4" xfId="0" applyNumberFormat="1" applyFont="1" applyFill="1" applyBorder="1" applyAlignment="1">
      <alignment horizontal="right" vertical="center"/>
    </xf>
  </cellXfs>
  <cellStyles count="14">
    <cellStyle name="Comma" xfId="1" builtinId="3"/>
    <cellStyle name="Comma 2" xfId="9"/>
    <cellStyle name="Comma 4" xfId="11"/>
    <cellStyle name="Hyperlink 2" xfId="2"/>
    <cellStyle name="Normal" xfId="0" builtinId="0"/>
    <cellStyle name="Normal 2" xfId="13"/>
    <cellStyle name="Normal 2 2" xfId="8"/>
    <cellStyle name="Normal 2 3" xfId="5"/>
    <cellStyle name="Normal 3" xfId="12"/>
    <cellStyle name="Normal 3 2" xfId="7"/>
    <cellStyle name="Normal 4" xfId="10"/>
    <cellStyle name="Normal 5" xfId="6"/>
    <cellStyle name="Normal 6" xfId="4"/>
    <cellStyle name="Normal_11.1-11.8,11.10-11.13,11.1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11.2: Number of registered vehicles,</a:t>
            </a:r>
            <a:r>
              <a:rPr lang="en-US" sz="1050" baseline="0"/>
              <a:t>  2009 - 2012</a:t>
            </a:r>
            <a:endParaRPr lang="en-US" sz="1050"/>
          </a:p>
        </c:rich>
      </c:tx>
      <c:layout>
        <c:manualLayout>
          <c:xMode val="edge"/>
          <c:yMode val="edge"/>
          <c:x val="0.17707532191942243"/>
          <c:y val="2.2212651989929839E-2"/>
        </c:manualLayout>
      </c:layout>
    </c:title>
    <c:plotArea>
      <c:layout>
        <c:manualLayout>
          <c:layoutTarget val="inner"/>
          <c:xMode val="edge"/>
          <c:yMode val="edge"/>
          <c:x val="0.15996062992125984"/>
          <c:y val="0.15524314668999725"/>
          <c:w val="0.81478540828519741"/>
          <c:h val="0.71753062117235311"/>
        </c:manualLayout>
      </c:layout>
      <c:barChart>
        <c:barDir val="col"/>
        <c:grouping val="clustered"/>
        <c:ser>
          <c:idx val="0"/>
          <c:order val="0"/>
          <c:tx>
            <c:strRef>
              <c:f>'[1]11.3graph'!$A$59</c:f>
              <c:strCache>
                <c:ptCount val="1"/>
                <c:pt idx="0">
                  <c:v>Registered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'[1]11.3graph'!$B$58:$E$58</c:f>
              <c:numCache>
                <c:formatCode>General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'[1]11.3graph'!$B$59:$E$59</c:f>
              <c:numCache>
                <c:formatCode>General</c:formatCode>
                <c:ptCount val="4"/>
                <c:pt idx="0">
                  <c:v>44384</c:v>
                </c:pt>
                <c:pt idx="1">
                  <c:v>47917</c:v>
                </c:pt>
                <c:pt idx="2">
                  <c:v>52191</c:v>
                </c:pt>
                <c:pt idx="3">
                  <c:v>56497</c:v>
                </c:pt>
              </c:numCache>
            </c:numRef>
          </c:val>
        </c:ser>
        <c:ser>
          <c:idx val="1"/>
          <c:order val="1"/>
          <c:tx>
            <c:strRef>
              <c:f>'[1]11.3graph'!$A$60</c:f>
              <c:strCache>
                <c:ptCount val="1"/>
                <c:pt idx="0">
                  <c:v>Newly registered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'[1]11.3graph'!$B$58:$E$58</c:f>
              <c:numCache>
                <c:formatCode>General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'[1]11.3graph'!$B$60:$E$60</c:f>
              <c:numCache>
                <c:formatCode>General</c:formatCode>
                <c:ptCount val="4"/>
                <c:pt idx="0">
                  <c:v>5038</c:v>
                </c:pt>
                <c:pt idx="1">
                  <c:v>3427</c:v>
                </c:pt>
                <c:pt idx="2">
                  <c:v>8574</c:v>
                </c:pt>
                <c:pt idx="3">
                  <c:v>4306</c:v>
                </c:pt>
              </c:numCache>
            </c:numRef>
          </c:val>
        </c:ser>
        <c:axId val="54787072"/>
        <c:axId val="65057152"/>
      </c:barChart>
      <c:catAx>
        <c:axId val="54787072"/>
        <c:scaling>
          <c:orientation val="minMax"/>
        </c:scaling>
        <c:axPos val="b"/>
        <c:numFmt formatCode="General" sourceLinked="1"/>
        <c:tickLblPos val="nextTo"/>
        <c:crossAx val="65057152"/>
        <c:crosses val="autoZero"/>
        <c:auto val="1"/>
        <c:lblAlgn val="ctr"/>
        <c:lblOffset val="100"/>
      </c:catAx>
      <c:valAx>
        <c:axId val="6505715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5.936663483664951E-3"/>
              <c:y val="0.31451089890359463"/>
            </c:manualLayout>
          </c:layout>
        </c:title>
        <c:numFmt formatCode="General" sourceLinked="1"/>
        <c:tickLblPos val="nextTo"/>
        <c:crossAx val="547870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0934339457567822"/>
          <c:y val="0.17091243802857983"/>
          <c:w val="0.44797987751531076"/>
          <c:h val="8.3717191601049915E-2"/>
        </c:manualLayout>
      </c:layout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Figure: 11.4: Percentage share of selected vehicles , 2012</a:t>
            </a:r>
          </a:p>
        </c:rich>
      </c:tx>
      <c:layout>
        <c:manualLayout>
          <c:xMode val="edge"/>
          <c:yMode val="edge"/>
          <c:x val="0.10892558569067756"/>
          <c:y val="3.1028121484814406E-2"/>
        </c:manualLayout>
      </c:layout>
    </c:title>
    <c:plotArea>
      <c:layout>
        <c:manualLayout>
          <c:layoutTarget val="inner"/>
          <c:xMode val="edge"/>
          <c:yMode val="edge"/>
          <c:x val="0.27215884599790902"/>
          <c:y val="0.16723242927967338"/>
          <c:w val="0.48048302879337534"/>
          <c:h val="0.78578995333916624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0.26431150967240213"/>
                  <c:y val="-0.17621982966414915"/>
                </c:manualLayout>
              </c:layout>
              <c:showCatName val="1"/>
              <c:showPercent val="1"/>
            </c:dLbl>
            <c:dLbl>
              <c:idx val="1"/>
              <c:layout>
                <c:manualLayout>
                  <c:x val="-5.4767424905220206E-2"/>
                  <c:y val="0.1443732390594033"/>
                </c:manualLayout>
              </c:layout>
              <c:showCatName val="1"/>
              <c:showPercent val="1"/>
            </c:dLbl>
            <c:dLbl>
              <c:idx val="2"/>
              <c:layout>
                <c:manualLayout>
                  <c:x val="2.2737192573150593E-2"/>
                  <c:y val="5.2790829717713872E-2"/>
                </c:manualLayout>
              </c:layout>
              <c:showCatName val="1"/>
              <c:showPercent val="1"/>
            </c:dLbl>
            <c:dLbl>
              <c:idx val="3"/>
              <c:layout>
                <c:manualLayout>
                  <c:x val="1.0043501506756102E-2"/>
                  <c:y val="6.6432695913010903E-2"/>
                </c:manualLayout>
              </c:layout>
              <c:showCatName val="1"/>
              <c:showPercent val="1"/>
            </c:dLbl>
            <c:showCatName val="1"/>
            <c:showPercent val="1"/>
            <c:showLeaderLines val="1"/>
          </c:dLbls>
          <c:cat>
            <c:strRef>
              <c:f>'11.3'!$N$30:$N$33</c:f>
              <c:strCache>
                <c:ptCount val="4"/>
                <c:pt idx="0">
                  <c:v>Motor cycle</c:v>
                </c:pt>
                <c:pt idx="1">
                  <c:v>Car</c:v>
                </c:pt>
                <c:pt idx="2">
                  <c:v>Pick-Up</c:v>
                </c:pt>
                <c:pt idx="3">
                  <c:v>Others</c:v>
                </c:pt>
              </c:strCache>
            </c:strRef>
          </c:cat>
          <c:val>
            <c:numRef>
              <c:f>'11.3'!$O$30:$O$33</c:f>
              <c:numCache>
                <c:formatCode>0.0</c:formatCode>
                <c:ptCount val="4"/>
                <c:pt idx="0">
                  <c:v>82.144184646972406</c:v>
                </c:pt>
                <c:pt idx="1">
                  <c:v>6.5631803458590721</c:v>
                </c:pt>
                <c:pt idx="2">
                  <c:v>3.1966299095527195</c:v>
                </c:pt>
                <c:pt idx="3">
                  <c:v>8.1</c:v>
                </c:pt>
              </c:numCache>
            </c:numRef>
          </c:val>
        </c:ser>
        <c:dLbls>
          <c:showCatName val="1"/>
          <c:showPercent val="1"/>
        </c:dLbls>
        <c:firstSliceAng val="84"/>
      </c:pieChart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11.3: Growth rates of selected vehicles, 2010 - 2012</a:t>
            </a:r>
          </a:p>
        </c:rich>
      </c:tx>
      <c:layout>
        <c:manualLayout>
          <c:xMode val="edge"/>
          <c:yMode val="edge"/>
          <c:x val="0.15845564502177348"/>
          <c:y val="3.2979976442874009E-2"/>
        </c:manualLayout>
      </c:layout>
    </c:title>
    <c:plotArea>
      <c:layout>
        <c:manualLayout>
          <c:layoutTarget val="inner"/>
          <c:xMode val="edge"/>
          <c:yMode val="edge"/>
          <c:x val="9.2747898038168963E-2"/>
          <c:y val="0.14804644452556032"/>
          <c:w val="0.87669657112070065"/>
          <c:h val="0.70211587509158568"/>
        </c:manualLayout>
      </c:layout>
      <c:lineChart>
        <c:grouping val="standard"/>
        <c:ser>
          <c:idx val="0"/>
          <c:order val="0"/>
          <c:tx>
            <c:strRef>
              <c:f>'11.3'!$N$24:$O$24</c:f>
              <c:strCache>
                <c:ptCount val="1"/>
                <c:pt idx="0">
                  <c:v>% increase all vehicles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pPr>
              <a:solidFill>
                <a:schemeClr val="tx1">
                  <a:lumMod val="50000"/>
                  <a:lumOff val="50000"/>
                </a:schemeClr>
              </a:solidFill>
            </c:spPr>
          </c:marker>
          <c:cat>
            <c:numRef>
              <c:f>'11.3'!$P$23:$R$23</c:f>
              <c:numCache>
                <c:formatCode>0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'11.3'!$P$24:$R$24</c:f>
              <c:numCache>
                <c:formatCode>0.0</c:formatCode>
                <c:ptCount val="3"/>
                <c:pt idx="0">
                  <c:v>7.9600757029560265</c:v>
                </c:pt>
                <c:pt idx="1">
                  <c:v>8.9195901245904494</c:v>
                </c:pt>
                <c:pt idx="2">
                  <c:v>8.2504646394972347</c:v>
                </c:pt>
              </c:numCache>
            </c:numRef>
          </c:val>
        </c:ser>
        <c:ser>
          <c:idx val="1"/>
          <c:order val="1"/>
          <c:tx>
            <c:strRef>
              <c:f>'11.3'!$N$25:$O$25</c:f>
              <c:strCache>
                <c:ptCount val="1"/>
                <c:pt idx="0">
                  <c:v>% increase in motor cycle</c:v>
                </c:pt>
              </c:strCache>
            </c:strRef>
          </c:tx>
          <c:cat>
            <c:numRef>
              <c:f>'11.3'!$P$23:$R$23</c:f>
              <c:numCache>
                <c:formatCode>0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'11.3'!$P$25:$R$25</c:f>
              <c:numCache>
                <c:formatCode>0.0</c:formatCode>
                <c:ptCount val="3"/>
                <c:pt idx="0">
                  <c:v>8.5656813991171745</c:v>
                </c:pt>
                <c:pt idx="1">
                  <c:v>9.5496654657745808</c:v>
                </c:pt>
                <c:pt idx="2">
                  <c:v>9.0155270019496747</c:v>
                </c:pt>
              </c:numCache>
            </c:numRef>
          </c:val>
        </c:ser>
        <c:ser>
          <c:idx val="2"/>
          <c:order val="2"/>
          <c:tx>
            <c:strRef>
              <c:f>'11.3'!$N$26:$O$26</c:f>
              <c:strCache>
                <c:ptCount val="1"/>
                <c:pt idx="0">
                  <c:v>% increase in car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</c:spPr>
          </c:marker>
          <c:cat>
            <c:numRef>
              <c:f>'11.3'!$P$23:$R$23</c:f>
              <c:numCache>
                <c:formatCode>0</c:formatCode>
                <c:ptCount val="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</c:numCache>
            </c:numRef>
          </c:cat>
          <c:val>
            <c:numRef>
              <c:f>'11.3'!$P$26:$R$26</c:f>
              <c:numCache>
                <c:formatCode>0.0</c:formatCode>
                <c:ptCount val="3"/>
                <c:pt idx="0">
                  <c:v>4.0074557315936676</c:v>
                </c:pt>
                <c:pt idx="1">
                  <c:v>4.6893667861409805</c:v>
                </c:pt>
                <c:pt idx="2">
                  <c:v>5.7917261055634883</c:v>
                </c:pt>
              </c:numCache>
            </c:numRef>
          </c:val>
        </c:ser>
        <c:marker val="1"/>
        <c:axId val="70190208"/>
        <c:axId val="70268032"/>
      </c:lineChart>
      <c:catAx>
        <c:axId val="70190208"/>
        <c:scaling>
          <c:orientation val="minMax"/>
        </c:scaling>
        <c:axPos val="b"/>
        <c:numFmt formatCode="0" sourceLinked="1"/>
        <c:tickLblPos val="nextTo"/>
        <c:crossAx val="70268032"/>
        <c:crosses val="autoZero"/>
        <c:auto val="1"/>
        <c:lblAlgn val="ctr"/>
        <c:lblOffset val="100"/>
      </c:catAx>
      <c:valAx>
        <c:axId val="7026803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7.5329566854990607E-3"/>
              <c:y val="0.37591200393237101"/>
            </c:manualLayout>
          </c:layout>
        </c:title>
        <c:numFmt formatCode="General" sourceLinked="0"/>
        <c:tickLblPos val="nextTo"/>
        <c:crossAx val="7019020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9.9427910494239116E-2"/>
          <c:y val="0.76155143151275695"/>
          <c:w val="0.86498588806342758"/>
          <c:h val="7.0615731337469789E-2"/>
        </c:manualLayout>
      </c:layout>
      <c:txPr>
        <a:bodyPr/>
        <a:lstStyle/>
        <a:p>
          <a:pPr>
            <a:defRPr sz="900"/>
          </a:pPr>
          <a:endParaRPr lang="en-US"/>
        </a:p>
      </c:txPr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46</xdr:row>
      <xdr:rowOff>76200</xdr:rowOff>
    </xdr:from>
    <xdr:to>
      <xdr:col>4</xdr:col>
      <xdr:colOff>752474</xdr:colOff>
      <xdr:row>58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146050</xdr:colOff>
      <xdr:row>58</xdr:row>
      <xdr:rowOff>142874</xdr:rowOff>
    </xdr:from>
    <xdr:to>
      <xdr:col>7</xdr:col>
      <xdr:colOff>450850</xdr:colOff>
      <xdr:row>70</xdr:row>
      <xdr:rowOff>190499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152400</xdr:colOff>
      <xdr:row>46</xdr:row>
      <xdr:rowOff>76200</xdr:rowOff>
    </xdr:from>
    <xdr:to>
      <xdr:col>9</xdr:col>
      <xdr:colOff>1371600</xdr:colOff>
      <xdr:row>58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67"/>
  <sheetViews>
    <sheetView tabSelected="1" workbookViewId="0">
      <selection activeCell="F17" sqref="F17"/>
    </sheetView>
  </sheetViews>
  <sheetFormatPr defaultRowHeight="15"/>
  <cols>
    <col min="1" max="1" width="21.140625" style="5" customWidth="1"/>
    <col min="2" max="9" width="11.42578125" style="13" customWidth="1"/>
    <col min="10" max="10" width="23.42578125" style="34" customWidth="1"/>
    <col min="11" max="11" width="2.85546875" style="14" customWidth="1"/>
    <col min="12" max="14" width="18.42578125" style="14" customWidth="1"/>
    <col min="15" max="16" width="9.140625" style="14"/>
    <col min="17" max="16384" width="9.140625" style="5"/>
  </cols>
  <sheetData>
    <row r="1" spans="1:17">
      <c r="K1" s="17"/>
      <c r="L1" s="17"/>
      <c r="M1" s="17"/>
      <c r="N1" s="17"/>
    </row>
    <row r="2" spans="1:17" ht="18">
      <c r="A2" s="110" t="s">
        <v>95</v>
      </c>
      <c r="B2" s="111"/>
      <c r="C2" s="111"/>
      <c r="D2" s="111"/>
      <c r="E2" s="111"/>
      <c r="F2" s="111"/>
      <c r="G2" s="111"/>
      <c r="H2" s="111"/>
      <c r="I2" s="111"/>
      <c r="J2" s="111"/>
      <c r="K2" s="17"/>
      <c r="L2" s="17"/>
      <c r="M2" s="17"/>
      <c r="N2" s="17"/>
    </row>
    <row r="3" spans="1:17" s="36" customFormat="1">
      <c r="A3" s="112" t="s">
        <v>88</v>
      </c>
      <c r="B3" s="112"/>
      <c r="C3" s="112"/>
      <c r="D3" s="112"/>
      <c r="E3" s="112"/>
      <c r="F3" s="112"/>
      <c r="G3" s="112"/>
      <c r="H3" s="112"/>
      <c r="I3" s="112"/>
      <c r="J3" s="112"/>
      <c r="K3" s="1"/>
      <c r="L3" s="17"/>
      <c r="M3" s="1"/>
      <c r="N3" s="1"/>
      <c r="O3" s="35"/>
      <c r="P3" s="35"/>
      <c r="Q3" s="35"/>
    </row>
    <row r="4" spans="1:17" s="36" customFormat="1" ht="18.75" customHeight="1">
      <c r="A4" s="113" t="s">
        <v>5</v>
      </c>
      <c r="B4" s="115" t="s">
        <v>86</v>
      </c>
      <c r="C4" s="116"/>
      <c r="D4" s="116"/>
      <c r="E4" s="117"/>
      <c r="F4" s="118" t="s">
        <v>87</v>
      </c>
      <c r="G4" s="118"/>
      <c r="H4" s="118"/>
      <c r="I4" s="119"/>
      <c r="J4" s="120" t="s">
        <v>3</v>
      </c>
      <c r="K4" s="2"/>
      <c r="L4" s="17"/>
      <c r="M4" s="2"/>
      <c r="N4" s="2"/>
    </row>
    <row r="5" spans="1:17">
      <c r="A5" s="114"/>
      <c r="B5" s="77">
        <v>2009</v>
      </c>
      <c r="C5" s="77">
        <v>2010</v>
      </c>
      <c r="D5" s="77">
        <v>2011</v>
      </c>
      <c r="E5" s="78">
        <v>2012</v>
      </c>
      <c r="F5" s="79">
        <v>2009</v>
      </c>
      <c r="G5" s="77">
        <v>2010</v>
      </c>
      <c r="H5" s="77">
        <v>2011</v>
      </c>
      <c r="I5" s="77">
        <v>2012</v>
      </c>
      <c r="J5" s="121"/>
      <c r="K5" s="3"/>
      <c r="L5" s="17"/>
      <c r="M5" s="2"/>
      <c r="N5" s="2"/>
    </row>
    <row r="6" spans="1:17" ht="21">
      <c r="A6" s="47" t="s">
        <v>6</v>
      </c>
      <c r="B6" s="48">
        <f t="shared" ref="B6:I6" si="0">SUM(B7:B48)</f>
        <v>44384</v>
      </c>
      <c r="C6" s="48">
        <f t="shared" si="0"/>
        <v>47917</v>
      </c>
      <c r="D6" s="48">
        <f t="shared" si="0"/>
        <v>52191</v>
      </c>
      <c r="E6" s="49">
        <f t="shared" si="0"/>
        <v>56497</v>
      </c>
      <c r="F6" s="48">
        <f t="shared" si="0"/>
        <v>5038</v>
      </c>
      <c r="G6" s="48">
        <f t="shared" si="0"/>
        <v>3427</v>
      </c>
      <c r="H6" s="48">
        <f t="shared" si="0"/>
        <v>8574</v>
      </c>
      <c r="I6" s="48">
        <f t="shared" si="0"/>
        <v>4306</v>
      </c>
      <c r="J6" s="50" t="s">
        <v>7</v>
      </c>
      <c r="K6" s="3"/>
      <c r="L6" s="17"/>
      <c r="M6" s="2"/>
      <c r="N6" s="2"/>
    </row>
    <row r="7" spans="1:17" ht="17.25">
      <c r="A7" s="51" t="s">
        <v>8</v>
      </c>
      <c r="B7" s="52">
        <v>35794</v>
      </c>
      <c r="C7" s="53">
        <v>38860</v>
      </c>
      <c r="D7" s="54">
        <v>42571</v>
      </c>
      <c r="E7" s="55">
        <v>46409</v>
      </c>
      <c r="F7" s="56">
        <v>4372</v>
      </c>
      <c r="G7" s="57">
        <v>2983</v>
      </c>
      <c r="H7" s="58">
        <v>7546</v>
      </c>
      <c r="I7" s="58">
        <v>3838</v>
      </c>
      <c r="J7" s="59" t="s">
        <v>9</v>
      </c>
      <c r="K7" s="37"/>
      <c r="L7" s="17"/>
      <c r="M7" s="38"/>
      <c r="N7" s="5"/>
    </row>
    <row r="8" spans="1:17" ht="17.25">
      <c r="A8" s="51" t="s">
        <v>10</v>
      </c>
      <c r="B8" s="52">
        <v>3219</v>
      </c>
      <c r="C8" s="53">
        <v>3348</v>
      </c>
      <c r="D8" s="54">
        <v>3505</v>
      </c>
      <c r="E8" s="55">
        <v>3708</v>
      </c>
      <c r="F8" s="56">
        <v>217</v>
      </c>
      <c r="G8" s="57">
        <v>122</v>
      </c>
      <c r="H8" s="58">
        <v>359</v>
      </c>
      <c r="I8" s="58">
        <v>203</v>
      </c>
      <c r="J8" s="59" t="s">
        <v>11</v>
      </c>
      <c r="K8" s="38"/>
      <c r="L8" s="17"/>
      <c r="M8" s="38"/>
      <c r="N8" s="39"/>
    </row>
    <row r="9" spans="1:17" ht="17.25">
      <c r="A9" s="51" t="s">
        <v>12</v>
      </c>
      <c r="B9" s="52">
        <v>88</v>
      </c>
      <c r="C9" s="53">
        <v>99</v>
      </c>
      <c r="D9" s="54">
        <v>128</v>
      </c>
      <c r="E9" s="55">
        <v>132</v>
      </c>
      <c r="F9" s="56">
        <v>6</v>
      </c>
      <c r="G9" s="57">
        <v>12</v>
      </c>
      <c r="H9" s="58">
        <v>33</v>
      </c>
      <c r="I9" s="58">
        <v>4</v>
      </c>
      <c r="J9" s="59" t="s">
        <v>13</v>
      </c>
      <c r="K9" s="38"/>
      <c r="L9" s="17"/>
      <c r="M9" s="38"/>
      <c r="N9" s="5"/>
      <c r="O9" s="5"/>
      <c r="P9" s="5"/>
    </row>
    <row r="10" spans="1:17" ht="17.25">
      <c r="A10" s="51" t="s">
        <v>14</v>
      </c>
      <c r="B10" s="52">
        <v>1622</v>
      </c>
      <c r="C10" s="53">
        <v>1681</v>
      </c>
      <c r="D10" s="54">
        <v>1754</v>
      </c>
      <c r="E10" s="55">
        <v>1806</v>
      </c>
      <c r="F10" s="56">
        <v>93</v>
      </c>
      <c r="G10" s="57">
        <v>54</v>
      </c>
      <c r="H10" s="58">
        <v>122</v>
      </c>
      <c r="I10" s="58">
        <v>52</v>
      </c>
      <c r="J10" s="59" t="s">
        <v>15</v>
      </c>
      <c r="K10" s="38"/>
      <c r="L10" s="17"/>
      <c r="M10" s="38"/>
      <c r="N10" s="5"/>
      <c r="O10" s="5"/>
      <c r="P10" s="5"/>
    </row>
    <row r="11" spans="1:17" ht="17.25">
      <c r="A11" s="51" t="s">
        <v>16</v>
      </c>
      <c r="B11" s="52">
        <v>739</v>
      </c>
      <c r="C11" s="53">
        <v>750</v>
      </c>
      <c r="D11" s="54">
        <v>756</v>
      </c>
      <c r="E11" s="55">
        <v>768</v>
      </c>
      <c r="F11" s="56">
        <v>35</v>
      </c>
      <c r="G11" s="57">
        <v>9</v>
      </c>
      <c r="H11" s="58">
        <v>19</v>
      </c>
      <c r="I11" s="58">
        <v>12</v>
      </c>
      <c r="J11" s="59" t="s">
        <v>17</v>
      </c>
      <c r="K11" s="38"/>
      <c r="L11" s="17"/>
      <c r="M11" s="38"/>
      <c r="N11" s="5"/>
      <c r="O11" s="5"/>
      <c r="P11" s="5"/>
    </row>
    <row r="12" spans="1:17" ht="17.25">
      <c r="A12" s="51" t="s">
        <v>18</v>
      </c>
      <c r="B12" s="52">
        <v>954</v>
      </c>
      <c r="C12" s="53">
        <v>986</v>
      </c>
      <c r="D12" s="54">
        <v>1034</v>
      </c>
      <c r="E12" s="55">
        <v>1077</v>
      </c>
      <c r="F12" s="56">
        <v>39</v>
      </c>
      <c r="G12" s="57">
        <v>31</v>
      </c>
      <c r="H12" s="58">
        <v>91</v>
      </c>
      <c r="I12" s="58">
        <v>43</v>
      </c>
      <c r="J12" s="59" t="s">
        <v>19</v>
      </c>
      <c r="K12" s="38"/>
      <c r="L12" s="17"/>
      <c r="M12" s="38"/>
      <c r="N12" s="5"/>
      <c r="O12" s="5"/>
      <c r="P12" s="5"/>
    </row>
    <row r="13" spans="1:17" ht="17.25">
      <c r="A13" s="51" t="s">
        <v>20</v>
      </c>
      <c r="B13" s="52">
        <v>373</v>
      </c>
      <c r="C13" s="53">
        <v>391</v>
      </c>
      <c r="D13" s="54">
        <v>474</v>
      </c>
      <c r="E13" s="55">
        <v>484</v>
      </c>
      <c r="F13" s="56">
        <v>29</v>
      </c>
      <c r="G13" s="57">
        <v>18</v>
      </c>
      <c r="H13" s="58">
        <v>93</v>
      </c>
      <c r="I13" s="58">
        <v>10</v>
      </c>
      <c r="J13" s="60" t="s">
        <v>21</v>
      </c>
      <c r="K13" s="38"/>
      <c r="L13" s="17"/>
      <c r="M13" s="38"/>
      <c r="N13" s="5"/>
      <c r="O13" s="5"/>
      <c r="P13" s="5"/>
    </row>
    <row r="14" spans="1:17" ht="17.25">
      <c r="A14" s="51" t="s">
        <v>22</v>
      </c>
      <c r="B14" s="52">
        <v>17</v>
      </c>
      <c r="C14" s="53">
        <v>18</v>
      </c>
      <c r="D14" s="54">
        <v>20</v>
      </c>
      <c r="E14" s="55">
        <v>21</v>
      </c>
      <c r="F14" s="56">
        <v>0</v>
      </c>
      <c r="G14" s="57">
        <v>1</v>
      </c>
      <c r="H14" s="58">
        <v>3</v>
      </c>
      <c r="I14" s="58">
        <v>1</v>
      </c>
      <c r="J14" s="59" t="s">
        <v>23</v>
      </c>
      <c r="K14" s="38"/>
      <c r="L14" s="17"/>
      <c r="M14" s="38"/>
      <c r="P14" s="5"/>
    </row>
    <row r="15" spans="1:17" ht="17.25">
      <c r="A15" s="51" t="s">
        <v>24</v>
      </c>
      <c r="B15" s="52">
        <v>32</v>
      </c>
      <c r="C15" s="53">
        <v>32</v>
      </c>
      <c r="D15" s="54">
        <v>34</v>
      </c>
      <c r="E15" s="55">
        <v>36</v>
      </c>
      <c r="F15" s="56">
        <v>2</v>
      </c>
      <c r="G15" s="57">
        <v>0</v>
      </c>
      <c r="H15" s="58">
        <v>4</v>
      </c>
      <c r="I15" s="58">
        <v>2</v>
      </c>
      <c r="J15" s="59" t="s">
        <v>25</v>
      </c>
      <c r="K15" s="38"/>
      <c r="L15" s="17"/>
      <c r="M15" s="38"/>
      <c r="P15" s="5"/>
    </row>
    <row r="16" spans="1:17" ht="17.25">
      <c r="A16" s="51" t="s">
        <v>26</v>
      </c>
      <c r="B16" s="52">
        <v>121</v>
      </c>
      <c r="C16" s="53">
        <v>125</v>
      </c>
      <c r="D16" s="54">
        <v>130</v>
      </c>
      <c r="E16" s="55">
        <v>134</v>
      </c>
      <c r="F16" s="56">
        <v>10</v>
      </c>
      <c r="G16" s="57">
        <v>4</v>
      </c>
      <c r="H16" s="58">
        <v>9</v>
      </c>
      <c r="I16" s="58">
        <v>4</v>
      </c>
      <c r="J16" s="59" t="s">
        <v>27</v>
      </c>
      <c r="K16" s="38"/>
      <c r="L16" s="17"/>
      <c r="M16" s="38"/>
      <c r="P16" s="85"/>
    </row>
    <row r="17" spans="1:27" ht="17.25">
      <c r="A17" s="51" t="s">
        <v>28</v>
      </c>
      <c r="B17" s="52">
        <v>358</v>
      </c>
      <c r="C17" s="53">
        <v>402</v>
      </c>
      <c r="D17" s="54">
        <v>440</v>
      </c>
      <c r="E17" s="55">
        <v>474</v>
      </c>
      <c r="F17" s="56">
        <v>20</v>
      </c>
      <c r="G17" s="57">
        <v>43</v>
      </c>
      <c r="H17" s="58">
        <v>72</v>
      </c>
      <c r="I17" s="58">
        <v>34</v>
      </c>
      <c r="J17" s="59" t="s">
        <v>29</v>
      </c>
      <c r="K17" s="38"/>
      <c r="L17" s="17"/>
      <c r="M17" s="38"/>
      <c r="P17" s="5"/>
    </row>
    <row r="18" spans="1:27" ht="17.25">
      <c r="A18" s="51" t="s">
        <v>30</v>
      </c>
      <c r="B18" s="52">
        <v>203</v>
      </c>
      <c r="C18" s="53">
        <v>214</v>
      </c>
      <c r="D18" s="54">
        <v>221</v>
      </c>
      <c r="E18" s="55">
        <v>237</v>
      </c>
      <c r="F18" s="56">
        <v>5</v>
      </c>
      <c r="G18" s="57">
        <v>11</v>
      </c>
      <c r="H18" s="58">
        <v>23</v>
      </c>
      <c r="I18" s="58">
        <v>16</v>
      </c>
      <c r="J18" s="59" t="s">
        <v>31</v>
      </c>
      <c r="K18" s="38"/>
      <c r="L18" s="17"/>
      <c r="M18" s="38"/>
      <c r="P18" s="5"/>
    </row>
    <row r="19" spans="1:27" ht="17.25">
      <c r="A19" s="51" t="s">
        <v>32</v>
      </c>
      <c r="B19" s="52">
        <v>288</v>
      </c>
      <c r="C19" s="53">
        <v>304</v>
      </c>
      <c r="D19" s="54">
        <v>333</v>
      </c>
      <c r="E19" s="55">
        <v>345</v>
      </c>
      <c r="F19" s="56">
        <v>25</v>
      </c>
      <c r="G19" s="57">
        <v>16</v>
      </c>
      <c r="H19" s="58">
        <v>41</v>
      </c>
      <c r="I19" s="58">
        <v>12</v>
      </c>
      <c r="J19" s="59" t="s">
        <v>33</v>
      </c>
      <c r="K19" s="38"/>
      <c r="L19" s="17"/>
      <c r="M19" s="38"/>
      <c r="N19" s="5"/>
      <c r="O19" s="5"/>
      <c r="P19" s="5"/>
    </row>
    <row r="20" spans="1:27" ht="17.25">
      <c r="A20" s="51" t="s">
        <v>34</v>
      </c>
      <c r="B20" s="52">
        <v>109</v>
      </c>
      <c r="C20" s="53">
        <v>111</v>
      </c>
      <c r="D20" s="54">
        <v>113</v>
      </c>
      <c r="E20" s="55">
        <v>113</v>
      </c>
      <c r="F20" s="56">
        <v>3</v>
      </c>
      <c r="G20" s="57">
        <v>2</v>
      </c>
      <c r="H20" s="58">
        <v>2</v>
      </c>
      <c r="I20" s="58">
        <v>0</v>
      </c>
      <c r="J20" s="59" t="s">
        <v>35</v>
      </c>
      <c r="K20" s="38"/>
      <c r="L20" s="17"/>
      <c r="M20" s="38"/>
      <c r="N20" s="5"/>
      <c r="O20" s="5"/>
      <c r="P20" s="5"/>
    </row>
    <row r="21" spans="1:27" ht="17.25">
      <c r="A21" s="51" t="s">
        <v>36</v>
      </c>
      <c r="B21" s="52">
        <v>128</v>
      </c>
      <c r="C21" s="53">
        <v>130</v>
      </c>
      <c r="D21" s="54">
        <v>135</v>
      </c>
      <c r="E21" s="55">
        <v>141</v>
      </c>
      <c r="F21" s="56">
        <v>2</v>
      </c>
      <c r="G21" s="57">
        <v>0</v>
      </c>
      <c r="H21" s="58">
        <v>11</v>
      </c>
      <c r="I21" s="58">
        <v>6</v>
      </c>
      <c r="J21" s="59" t="s">
        <v>37</v>
      </c>
      <c r="K21" s="38"/>
      <c r="L21" s="17"/>
      <c r="M21" s="38"/>
      <c r="N21" s="5"/>
      <c r="O21" s="5"/>
      <c r="P21" s="5"/>
    </row>
    <row r="22" spans="1:27" ht="17.25">
      <c r="A22" s="51" t="s">
        <v>38</v>
      </c>
      <c r="B22" s="52">
        <v>7</v>
      </c>
      <c r="C22" s="53">
        <v>7</v>
      </c>
      <c r="D22" s="54">
        <v>7</v>
      </c>
      <c r="E22" s="55">
        <v>8</v>
      </c>
      <c r="F22" s="56">
        <v>3</v>
      </c>
      <c r="G22" s="57">
        <v>0</v>
      </c>
      <c r="H22" s="58">
        <v>1</v>
      </c>
      <c r="I22" s="58">
        <v>1</v>
      </c>
      <c r="J22" s="59" t="s">
        <v>39</v>
      </c>
      <c r="K22" s="38"/>
      <c r="L22" s="17"/>
      <c r="M22" s="38"/>
      <c r="N22" s="5"/>
      <c r="O22" s="5"/>
      <c r="P22" s="5"/>
    </row>
    <row r="23" spans="1:27" ht="17.25">
      <c r="A23" s="51" t="s">
        <v>40</v>
      </c>
      <c r="B23" s="52">
        <v>1</v>
      </c>
      <c r="C23" s="53">
        <v>1</v>
      </c>
      <c r="D23" s="54">
        <v>1</v>
      </c>
      <c r="E23" s="55">
        <v>1</v>
      </c>
      <c r="F23" s="56">
        <v>0</v>
      </c>
      <c r="G23" s="57">
        <v>0</v>
      </c>
      <c r="H23" s="58">
        <v>0</v>
      </c>
      <c r="I23" s="58">
        <v>0</v>
      </c>
      <c r="J23" s="59" t="s">
        <v>41</v>
      </c>
      <c r="K23" s="38"/>
      <c r="L23" s="17"/>
      <c r="M23" s="38"/>
      <c r="N23" s="5"/>
      <c r="O23" s="13"/>
      <c r="P23" s="77">
        <v>2010</v>
      </c>
      <c r="Q23" s="77">
        <v>2011</v>
      </c>
      <c r="R23" s="78">
        <v>2012</v>
      </c>
    </row>
    <row r="24" spans="1:27" ht="17.25">
      <c r="A24" s="51" t="s">
        <v>42</v>
      </c>
      <c r="B24" s="52">
        <v>10</v>
      </c>
      <c r="C24" s="53">
        <v>11</v>
      </c>
      <c r="D24" s="54">
        <v>11</v>
      </c>
      <c r="E24" s="55">
        <v>15</v>
      </c>
      <c r="F24" s="56">
        <v>0</v>
      </c>
      <c r="G24" s="57">
        <v>0</v>
      </c>
      <c r="H24" s="58">
        <v>4</v>
      </c>
      <c r="I24" s="58">
        <v>4</v>
      </c>
      <c r="J24" s="59" t="s">
        <v>43</v>
      </c>
      <c r="K24" s="15"/>
      <c r="L24" s="17"/>
      <c r="M24" s="5"/>
      <c r="N24" s="80" t="s">
        <v>89</v>
      </c>
      <c r="O24" s="81"/>
      <c r="P24" s="82">
        <f t="shared" ref="P24:R26" si="1">((C6/B6)-1)*100</f>
        <v>7.9600757029560265</v>
      </c>
      <c r="Q24" s="82">
        <f t="shared" si="1"/>
        <v>8.9195901245904494</v>
      </c>
      <c r="R24" s="82">
        <f t="shared" si="1"/>
        <v>8.2504646394972347</v>
      </c>
    </row>
    <row r="25" spans="1:27" ht="17.25">
      <c r="A25" s="51" t="s">
        <v>44</v>
      </c>
      <c r="B25" s="52">
        <v>26</v>
      </c>
      <c r="C25" s="53">
        <v>28</v>
      </c>
      <c r="D25" s="54">
        <v>30</v>
      </c>
      <c r="E25" s="55">
        <v>32</v>
      </c>
      <c r="F25" s="56">
        <v>2</v>
      </c>
      <c r="G25" s="57">
        <v>0</v>
      </c>
      <c r="H25" s="58">
        <v>4</v>
      </c>
      <c r="I25" s="58">
        <v>2</v>
      </c>
      <c r="J25" s="59" t="s">
        <v>45</v>
      </c>
      <c r="L25" s="17"/>
      <c r="N25" s="80" t="s">
        <v>90</v>
      </c>
      <c r="O25" s="81"/>
      <c r="P25" s="82">
        <f t="shared" si="1"/>
        <v>8.5656813991171745</v>
      </c>
      <c r="Q25" s="82">
        <f t="shared" si="1"/>
        <v>9.5496654657745808</v>
      </c>
      <c r="R25" s="82">
        <f t="shared" si="1"/>
        <v>9.0155270019496747</v>
      </c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7.25">
      <c r="A26" s="51" t="s">
        <v>46</v>
      </c>
      <c r="B26" s="52">
        <v>96</v>
      </c>
      <c r="C26" s="53">
        <v>98</v>
      </c>
      <c r="D26" s="54">
        <v>101</v>
      </c>
      <c r="E26" s="55">
        <v>109</v>
      </c>
      <c r="F26" s="56">
        <v>4</v>
      </c>
      <c r="G26" s="57">
        <v>0</v>
      </c>
      <c r="H26" s="58">
        <v>11</v>
      </c>
      <c r="I26" s="58">
        <v>8</v>
      </c>
      <c r="J26" s="59" t="s">
        <v>47</v>
      </c>
      <c r="L26" s="17"/>
      <c r="N26" s="80" t="s">
        <v>91</v>
      </c>
      <c r="O26" s="81"/>
      <c r="P26" s="82">
        <f t="shared" si="1"/>
        <v>4.0074557315936676</v>
      </c>
      <c r="Q26" s="82">
        <f t="shared" si="1"/>
        <v>4.6893667861409805</v>
      </c>
      <c r="R26" s="82">
        <f t="shared" si="1"/>
        <v>5.7917261055634883</v>
      </c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7.25">
      <c r="A27" s="51" t="s">
        <v>48</v>
      </c>
      <c r="B27" s="52">
        <v>4</v>
      </c>
      <c r="C27" s="53">
        <v>4</v>
      </c>
      <c r="D27" s="54">
        <v>4</v>
      </c>
      <c r="E27" s="55">
        <v>4</v>
      </c>
      <c r="F27" s="56">
        <v>0</v>
      </c>
      <c r="G27" s="57">
        <v>0</v>
      </c>
      <c r="H27" s="58">
        <v>0</v>
      </c>
      <c r="I27" s="58">
        <v>0</v>
      </c>
      <c r="J27" s="59" t="s">
        <v>49</v>
      </c>
      <c r="L27" s="17"/>
      <c r="N27" s="80"/>
      <c r="O27" s="81"/>
      <c r="P27" s="82"/>
      <c r="Q27" s="82"/>
      <c r="R27" s="82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7.25">
      <c r="A28" s="51" t="s">
        <v>50</v>
      </c>
      <c r="B28" s="52">
        <v>1</v>
      </c>
      <c r="C28" s="53">
        <v>1</v>
      </c>
      <c r="D28" s="54">
        <v>1</v>
      </c>
      <c r="E28" s="55">
        <v>1</v>
      </c>
      <c r="F28" s="56">
        <v>0</v>
      </c>
      <c r="G28" s="57">
        <v>0</v>
      </c>
      <c r="H28" s="58">
        <v>0</v>
      </c>
      <c r="I28" s="58">
        <v>0</v>
      </c>
      <c r="J28" s="59" t="s">
        <v>51</v>
      </c>
      <c r="L28" s="17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7.25">
      <c r="A29" s="51" t="s">
        <v>52</v>
      </c>
      <c r="B29" s="52">
        <v>1</v>
      </c>
      <c r="C29" s="53">
        <v>1</v>
      </c>
      <c r="D29" s="54">
        <v>2</v>
      </c>
      <c r="E29" s="55">
        <v>2</v>
      </c>
      <c r="F29" s="56">
        <v>0</v>
      </c>
      <c r="G29" s="57">
        <v>0</v>
      </c>
      <c r="H29" s="58">
        <v>1</v>
      </c>
      <c r="I29" s="58">
        <v>0</v>
      </c>
      <c r="J29" s="59" t="s">
        <v>53</v>
      </c>
      <c r="L29" s="17"/>
      <c r="N29" s="80"/>
      <c r="O29" s="80" t="s">
        <v>92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7.25">
      <c r="A30" s="51" t="s">
        <v>54</v>
      </c>
      <c r="B30" s="52">
        <v>7</v>
      </c>
      <c r="C30" s="53">
        <v>7</v>
      </c>
      <c r="D30" s="54">
        <v>7</v>
      </c>
      <c r="E30" s="55">
        <v>9</v>
      </c>
      <c r="F30" s="56">
        <v>1</v>
      </c>
      <c r="G30" s="57">
        <v>0</v>
      </c>
      <c r="H30" s="58">
        <v>2</v>
      </c>
      <c r="I30" s="58">
        <v>2</v>
      </c>
      <c r="J30" s="59" t="s">
        <v>55</v>
      </c>
      <c r="L30" s="17"/>
      <c r="N30" s="83" t="s">
        <v>8</v>
      </c>
      <c r="O30" s="84">
        <v>82.144184646972406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7.25">
      <c r="A31" s="51" t="s">
        <v>56</v>
      </c>
      <c r="B31" s="52">
        <v>10</v>
      </c>
      <c r="C31" s="53">
        <v>10</v>
      </c>
      <c r="D31" s="54">
        <v>10</v>
      </c>
      <c r="E31" s="55">
        <v>12</v>
      </c>
      <c r="F31" s="56">
        <v>0</v>
      </c>
      <c r="G31" s="57">
        <v>0</v>
      </c>
      <c r="H31" s="58">
        <v>2</v>
      </c>
      <c r="I31" s="58">
        <v>2</v>
      </c>
      <c r="J31" s="59" t="s">
        <v>57</v>
      </c>
      <c r="L31" s="17"/>
      <c r="N31" s="83" t="s">
        <v>10</v>
      </c>
      <c r="O31" s="84">
        <v>6.5631803458590721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21">
      <c r="A32" s="51" t="s">
        <v>58</v>
      </c>
      <c r="B32" s="52">
        <v>2</v>
      </c>
      <c r="C32" s="53">
        <v>2</v>
      </c>
      <c r="D32" s="54">
        <v>2</v>
      </c>
      <c r="E32" s="55">
        <v>2</v>
      </c>
      <c r="F32" s="56">
        <v>0</v>
      </c>
      <c r="G32" s="57">
        <v>0</v>
      </c>
      <c r="H32" s="58">
        <v>0</v>
      </c>
      <c r="I32" s="58">
        <v>0</v>
      </c>
      <c r="J32" s="61" t="s">
        <v>59</v>
      </c>
      <c r="K32" s="38"/>
      <c r="L32" s="17"/>
      <c r="M32" s="38"/>
      <c r="N32" s="83" t="s">
        <v>14</v>
      </c>
      <c r="O32" s="84">
        <v>3.1966299095527195</v>
      </c>
      <c r="P32" s="5"/>
    </row>
    <row r="33" spans="1:42" ht="21">
      <c r="A33" s="62" t="s">
        <v>60</v>
      </c>
      <c r="B33" s="53">
        <v>1</v>
      </c>
      <c r="C33" s="53">
        <v>1</v>
      </c>
      <c r="D33" s="54">
        <v>2</v>
      </c>
      <c r="E33" s="55">
        <v>3</v>
      </c>
      <c r="F33" s="56">
        <v>0</v>
      </c>
      <c r="G33" s="57">
        <v>0</v>
      </c>
      <c r="H33" s="58">
        <v>2</v>
      </c>
      <c r="I33" s="58">
        <v>1</v>
      </c>
      <c r="J33" s="61" t="s">
        <v>61</v>
      </c>
      <c r="K33" s="4"/>
      <c r="L33" s="17"/>
      <c r="M33" s="4"/>
      <c r="N33" s="80" t="s">
        <v>0</v>
      </c>
      <c r="O33" s="84">
        <v>8.1</v>
      </c>
      <c r="P33" s="5"/>
    </row>
    <row r="34" spans="1:42" ht="21">
      <c r="A34" s="62" t="s">
        <v>62</v>
      </c>
      <c r="B34" s="53">
        <v>1</v>
      </c>
      <c r="C34" s="53">
        <v>1</v>
      </c>
      <c r="D34" s="54">
        <v>1</v>
      </c>
      <c r="E34" s="55">
        <v>3</v>
      </c>
      <c r="F34" s="56">
        <v>0</v>
      </c>
      <c r="G34" s="57">
        <v>0</v>
      </c>
      <c r="H34" s="58">
        <v>2</v>
      </c>
      <c r="I34" s="58">
        <v>2</v>
      </c>
      <c r="J34" s="63" t="s">
        <v>63</v>
      </c>
      <c r="K34" s="4"/>
      <c r="L34" s="17"/>
      <c r="M34" s="4"/>
      <c r="N34" s="5" t="s">
        <v>93</v>
      </c>
      <c r="O34" s="5"/>
      <c r="P34" s="5"/>
    </row>
    <row r="35" spans="1:42" ht="21">
      <c r="A35" s="62" t="s">
        <v>64</v>
      </c>
      <c r="B35" s="53">
        <v>1</v>
      </c>
      <c r="C35" s="53">
        <v>1</v>
      </c>
      <c r="D35" s="54">
        <v>1</v>
      </c>
      <c r="E35" s="55">
        <v>5</v>
      </c>
      <c r="F35" s="56">
        <v>0</v>
      </c>
      <c r="G35" s="57">
        <v>0</v>
      </c>
      <c r="H35" s="58">
        <v>4</v>
      </c>
      <c r="I35" s="58">
        <v>4</v>
      </c>
      <c r="J35" s="63" t="s">
        <v>65</v>
      </c>
      <c r="K35" s="4"/>
      <c r="L35" s="17"/>
      <c r="M35" s="4"/>
      <c r="N35" s="5"/>
      <c r="O35" s="5"/>
      <c r="P35" s="5"/>
    </row>
    <row r="36" spans="1:42" ht="21">
      <c r="A36" s="62" t="s">
        <v>66</v>
      </c>
      <c r="B36" s="53">
        <v>1</v>
      </c>
      <c r="C36" s="53">
        <v>1</v>
      </c>
      <c r="D36" s="54">
        <v>1</v>
      </c>
      <c r="E36" s="55">
        <v>1</v>
      </c>
      <c r="F36" s="56">
        <v>0</v>
      </c>
      <c r="G36" s="57">
        <v>0</v>
      </c>
      <c r="H36" s="58">
        <v>0</v>
      </c>
      <c r="I36" s="58">
        <v>0</v>
      </c>
      <c r="J36" s="63" t="s">
        <v>67</v>
      </c>
      <c r="K36" s="4"/>
      <c r="L36" s="17"/>
      <c r="M36" s="4"/>
      <c r="N36" s="5"/>
      <c r="O36" s="5"/>
      <c r="P36" s="5"/>
    </row>
    <row r="37" spans="1:42" ht="21">
      <c r="A37" s="62" t="s">
        <v>68</v>
      </c>
      <c r="B37" s="52">
        <v>170</v>
      </c>
      <c r="C37" s="53">
        <v>286</v>
      </c>
      <c r="D37" s="54">
        <v>333</v>
      </c>
      <c r="E37" s="55">
        <v>363</v>
      </c>
      <c r="F37" s="56">
        <v>170</v>
      </c>
      <c r="G37" s="57">
        <v>115</v>
      </c>
      <c r="H37" s="58">
        <v>77</v>
      </c>
      <c r="I37" s="58">
        <v>30</v>
      </c>
      <c r="J37" s="63" t="s">
        <v>69</v>
      </c>
      <c r="K37" s="4"/>
      <c r="L37" s="17"/>
      <c r="M37" s="4"/>
      <c r="N37" s="83"/>
      <c r="O37" s="86"/>
      <c r="P37" s="87"/>
      <c r="Q37" s="88"/>
      <c r="R37" s="89"/>
    </row>
    <row r="38" spans="1:42" ht="21">
      <c r="A38" s="62" t="s">
        <v>70</v>
      </c>
      <c r="B38" s="64">
        <v>0</v>
      </c>
      <c r="C38" s="53">
        <v>1</v>
      </c>
      <c r="D38" s="54">
        <v>1</v>
      </c>
      <c r="E38" s="55">
        <v>1</v>
      </c>
      <c r="F38" s="65">
        <v>0</v>
      </c>
      <c r="G38" s="66">
        <v>1</v>
      </c>
      <c r="H38" s="58">
        <v>0</v>
      </c>
      <c r="I38" s="58">
        <v>0</v>
      </c>
      <c r="J38" s="63" t="s">
        <v>71</v>
      </c>
      <c r="K38" s="4"/>
      <c r="L38" s="17"/>
      <c r="M38" s="4"/>
      <c r="N38" s="90"/>
      <c r="O38" s="91">
        <v>2009</v>
      </c>
      <c r="P38" s="91">
        <v>2010</v>
      </c>
      <c r="Q38" s="91">
        <v>2011</v>
      </c>
      <c r="R38" s="92">
        <v>2012</v>
      </c>
    </row>
    <row r="39" spans="1:42" ht="21">
      <c r="A39" s="62" t="s">
        <v>72</v>
      </c>
      <c r="B39" s="64">
        <v>0</v>
      </c>
      <c r="C39" s="53">
        <v>1</v>
      </c>
      <c r="D39" s="54">
        <v>1</v>
      </c>
      <c r="E39" s="55">
        <v>1</v>
      </c>
      <c r="F39" s="65">
        <v>0</v>
      </c>
      <c r="G39" s="66">
        <v>1</v>
      </c>
      <c r="H39" s="58">
        <v>0</v>
      </c>
      <c r="I39" s="58">
        <v>0</v>
      </c>
      <c r="J39" s="63" t="s">
        <v>73</v>
      </c>
      <c r="K39" s="4"/>
      <c r="L39" s="17"/>
      <c r="M39" s="4"/>
      <c r="N39" s="80" t="s">
        <v>2</v>
      </c>
      <c r="O39" s="93">
        <v>44384</v>
      </c>
      <c r="P39" s="94">
        <v>47917</v>
      </c>
      <c r="Q39" s="95">
        <v>52191</v>
      </c>
      <c r="R39" s="96">
        <v>56497</v>
      </c>
    </row>
    <row r="40" spans="1:42" ht="21">
      <c r="A40" s="62" t="s">
        <v>74</v>
      </c>
      <c r="B40" s="64">
        <v>0</v>
      </c>
      <c r="C40" s="53">
        <v>1</v>
      </c>
      <c r="D40" s="54">
        <v>1</v>
      </c>
      <c r="E40" s="55">
        <v>1</v>
      </c>
      <c r="F40" s="65">
        <v>0</v>
      </c>
      <c r="G40" s="66">
        <v>1</v>
      </c>
      <c r="H40" s="58">
        <v>0</v>
      </c>
      <c r="I40" s="58">
        <v>0</v>
      </c>
      <c r="J40" s="63" t="s">
        <v>75</v>
      </c>
      <c r="K40" s="4"/>
      <c r="L40" s="17"/>
      <c r="M40" s="4"/>
      <c r="N40" s="80" t="s">
        <v>94</v>
      </c>
      <c r="O40" s="97">
        <v>5038</v>
      </c>
      <c r="P40" s="98">
        <v>3427</v>
      </c>
      <c r="Q40" s="99">
        <v>8574</v>
      </c>
      <c r="R40" s="99">
        <v>4306</v>
      </c>
    </row>
    <row r="41" spans="1:42" s="6" customFormat="1" ht="21">
      <c r="A41" s="67" t="s">
        <v>76</v>
      </c>
      <c r="B41" s="58">
        <v>0</v>
      </c>
      <c r="C41" s="53">
        <v>3</v>
      </c>
      <c r="D41" s="54">
        <v>3</v>
      </c>
      <c r="E41" s="55">
        <v>7</v>
      </c>
      <c r="F41" s="68">
        <v>0</v>
      </c>
      <c r="G41" s="68">
        <v>3</v>
      </c>
      <c r="H41" s="58">
        <v>4</v>
      </c>
      <c r="I41" s="58">
        <v>4</v>
      </c>
      <c r="J41" s="69" t="s">
        <v>77</v>
      </c>
      <c r="K41" s="4"/>
      <c r="L41" s="17"/>
      <c r="M41" s="4"/>
    </row>
    <row r="42" spans="1:42" s="8" customFormat="1" ht="21">
      <c r="A42" s="70" t="s">
        <v>82</v>
      </c>
      <c r="B42" s="58">
        <v>0</v>
      </c>
      <c r="C42" s="58">
        <v>0</v>
      </c>
      <c r="D42" s="54">
        <v>9</v>
      </c>
      <c r="E42" s="55">
        <v>10</v>
      </c>
      <c r="F42" s="68">
        <v>0</v>
      </c>
      <c r="G42" s="68">
        <v>0</v>
      </c>
      <c r="H42" s="58">
        <v>10</v>
      </c>
      <c r="I42" s="58">
        <v>1</v>
      </c>
      <c r="J42" s="71" t="s">
        <v>78</v>
      </c>
      <c r="K42" s="7"/>
      <c r="L42" s="17"/>
      <c r="M42" s="7"/>
    </row>
    <row r="43" spans="1:42" s="10" customFormat="1" ht="17.25" customHeight="1">
      <c r="A43" s="70" t="s">
        <v>83</v>
      </c>
      <c r="B43" s="58">
        <v>0</v>
      </c>
      <c r="C43" s="58">
        <v>0</v>
      </c>
      <c r="D43" s="54">
        <v>5</v>
      </c>
      <c r="E43" s="55">
        <v>11</v>
      </c>
      <c r="F43" s="68">
        <v>0</v>
      </c>
      <c r="G43" s="68">
        <v>0</v>
      </c>
      <c r="H43" s="58">
        <v>11</v>
      </c>
      <c r="I43" s="58">
        <v>6</v>
      </c>
      <c r="J43" s="61" t="s">
        <v>79</v>
      </c>
      <c r="K43" s="9"/>
      <c r="L43" s="17"/>
      <c r="M43" s="9"/>
      <c r="N43" s="9"/>
    </row>
    <row r="44" spans="1:42" ht="21">
      <c r="A44" s="70" t="s">
        <v>84</v>
      </c>
      <c r="B44" s="58">
        <v>0</v>
      </c>
      <c r="C44" s="58">
        <v>0</v>
      </c>
      <c r="D44" s="54">
        <v>9</v>
      </c>
      <c r="E44" s="55">
        <v>9</v>
      </c>
      <c r="F44" s="68">
        <v>0</v>
      </c>
      <c r="G44" s="68">
        <v>0</v>
      </c>
      <c r="H44" s="58">
        <v>9</v>
      </c>
      <c r="I44" s="58">
        <v>0</v>
      </c>
      <c r="J44" s="63" t="s">
        <v>80</v>
      </c>
      <c r="K44" s="11"/>
      <c r="L44" s="17"/>
      <c r="M44" s="11"/>
      <c r="N44" s="11"/>
      <c r="O44" s="5"/>
      <c r="P44" s="5"/>
      <c r="Y44" s="12"/>
    </row>
    <row r="45" spans="1:42" ht="21">
      <c r="A45" s="72" t="s">
        <v>85</v>
      </c>
      <c r="B45" s="73">
        <v>0</v>
      </c>
      <c r="C45" s="73">
        <v>0</v>
      </c>
      <c r="D45" s="74">
        <v>0</v>
      </c>
      <c r="E45" s="75">
        <v>2</v>
      </c>
      <c r="F45" s="76">
        <v>0</v>
      </c>
      <c r="G45" s="76">
        <v>0</v>
      </c>
      <c r="H45" s="73">
        <v>2</v>
      </c>
      <c r="I45" s="73">
        <v>2</v>
      </c>
      <c r="J45" s="109" t="s">
        <v>81</v>
      </c>
      <c r="L45" s="17"/>
      <c r="O45" s="15"/>
      <c r="P45" s="5"/>
      <c r="Y45" s="12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</row>
    <row r="46" spans="1:42" s="6" customFormat="1" ht="18.75">
      <c r="A46" s="104" t="s">
        <v>1</v>
      </c>
      <c r="B46" s="105"/>
      <c r="C46" s="106"/>
      <c r="D46" s="40"/>
      <c r="E46" s="107"/>
      <c r="F46" s="105"/>
      <c r="G46" s="105"/>
      <c r="H46" s="105"/>
      <c r="I46" s="105"/>
      <c r="J46" s="108" t="s">
        <v>4</v>
      </c>
      <c r="K46" s="17"/>
      <c r="L46" s="17"/>
      <c r="M46" s="17"/>
      <c r="N46" s="17"/>
      <c r="O46" s="17"/>
      <c r="Y46" s="18"/>
    </row>
    <row r="47" spans="1:42" s="8" customFormat="1" ht="21">
      <c r="A47" s="70"/>
      <c r="B47" s="58"/>
      <c r="C47" s="58"/>
      <c r="D47" s="54"/>
      <c r="E47" s="68"/>
      <c r="F47" s="68"/>
      <c r="G47" s="68"/>
      <c r="H47" s="58"/>
      <c r="I47" s="58"/>
      <c r="J47" s="69"/>
      <c r="K47" s="19"/>
      <c r="L47" s="17"/>
      <c r="M47" s="19"/>
      <c r="N47" s="19"/>
      <c r="O47" s="19"/>
      <c r="P47" s="20"/>
      <c r="Q47" s="21"/>
      <c r="R47" s="21"/>
      <c r="S47" s="21"/>
      <c r="T47" s="21"/>
      <c r="U47" s="21"/>
      <c r="V47" s="21"/>
      <c r="W47" s="21"/>
      <c r="X47" s="21"/>
      <c r="Y47" s="21"/>
    </row>
    <row r="48" spans="1:42" s="10" customFormat="1" ht="21">
      <c r="A48" s="70"/>
      <c r="B48" s="58"/>
      <c r="C48" s="58"/>
      <c r="D48" s="54"/>
      <c r="E48" s="68"/>
      <c r="F48" s="68"/>
      <c r="G48" s="68"/>
      <c r="H48" s="58"/>
      <c r="I48" s="58"/>
      <c r="J48" s="69"/>
      <c r="K48" s="103"/>
      <c r="L48" s="17"/>
      <c r="M48" s="22"/>
      <c r="N48" s="22"/>
      <c r="O48" s="22"/>
      <c r="P48" s="23"/>
      <c r="Q48" s="24"/>
      <c r="R48" s="25"/>
      <c r="S48" s="26"/>
      <c r="T48" s="27"/>
      <c r="U48" s="28"/>
      <c r="V48" s="29"/>
      <c r="W48" s="30"/>
      <c r="X48" s="31"/>
      <c r="Y48" s="31"/>
    </row>
    <row r="49" spans="1:25" ht="12.75">
      <c r="A49" s="8"/>
      <c r="B49" s="8"/>
      <c r="C49" s="8"/>
      <c r="D49" s="8"/>
      <c r="E49" s="8"/>
      <c r="F49" s="8"/>
      <c r="G49" s="8"/>
      <c r="H49" s="8"/>
      <c r="I49" s="8"/>
      <c r="J49" s="8"/>
      <c r="K49" s="41"/>
      <c r="L49" s="17"/>
      <c r="P49" s="32"/>
      <c r="Q49" s="32"/>
      <c r="R49" s="32"/>
      <c r="S49" s="32"/>
      <c r="T49" s="32"/>
      <c r="U49" s="32"/>
      <c r="V49" s="32"/>
      <c r="W49" s="33"/>
      <c r="X49" s="12"/>
      <c r="Y49" s="12"/>
    </row>
    <row r="50" spans="1:25" ht="12.75">
      <c r="A50" s="8"/>
      <c r="B50" s="8"/>
      <c r="C50" s="8"/>
      <c r="D50" s="8"/>
      <c r="E50" s="8"/>
      <c r="F50" s="8"/>
      <c r="G50" s="8"/>
      <c r="H50" s="8"/>
      <c r="I50" s="8"/>
      <c r="J50" s="8"/>
      <c r="K50" s="41"/>
      <c r="L50" s="17"/>
      <c r="P50" s="5"/>
      <c r="Y50" s="12"/>
    </row>
    <row r="51" spans="1:25" ht="12.75">
      <c r="A51" s="10"/>
      <c r="B51" s="10"/>
      <c r="C51" s="10"/>
      <c r="D51" s="10"/>
      <c r="E51" s="10"/>
      <c r="F51" s="10"/>
      <c r="G51" s="10"/>
      <c r="H51" s="10"/>
      <c r="I51" s="10"/>
      <c r="J51" s="10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ht="18.75">
      <c r="A52" s="46"/>
      <c r="B52" s="43"/>
      <c r="C52" s="44"/>
      <c r="D52" s="40"/>
      <c r="E52" s="45"/>
      <c r="F52" s="43"/>
      <c r="G52" s="43"/>
      <c r="H52" s="43"/>
      <c r="I52" s="43"/>
      <c r="J52" s="4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>
      <c r="B53" s="5"/>
      <c r="C53" s="5"/>
      <c r="D53" s="5"/>
      <c r="E53" s="5"/>
      <c r="F53" s="14"/>
      <c r="G53" s="14"/>
      <c r="H53" s="14"/>
      <c r="I53" s="14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>
      <c r="B54" s="5"/>
      <c r="C54" s="5"/>
      <c r="D54" s="5"/>
      <c r="E54" s="5"/>
      <c r="F54" s="14"/>
      <c r="G54" s="14"/>
      <c r="H54" s="14"/>
      <c r="I54" s="14"/>
    </row>
    <row r="55" spans="1:25">
      <c r="B55" s="5"/>
      <c r="C55" s="5"/>
      <c r="D55" s="5"/>
      <c r="E55" s="5"/>
      <c r="F55" s="14"/>
      <c r="G55" s="14"/>
      <c r="H55" s="14"/>
      <c r="I55" s="14"/>
    </row>
    <row r="56" spans="1:25">
      <c r="B56" s="5"/>
      <c r="C56" s="5"/>
      <c r="D56" s="5"/>
      <c r="E56" s="5"/>
      <c r="F56" s="14"/>
      <c r="G56" s="14"/>
      <c r="H56" s="14"/>
      <c r="I56" s="14"/>
    </row>
    <row r="57" spans="1:25">
      <c r="B57" s="14"/>
      <c r="C57" s="100"/>
      <c r="D57" s="100"/>
      <c r="E57" s="5"/>
      <c r="F57" s="14"/>
      <c r="G57" s="14"/>
      <c r="H57" s="14"/>
      <c r="I57" s="14"/>
    </row>
    <row r="58" spans="1:25">
      <c r="A58" s="6"/>
      <c r="B58" s="101"/>
      <c r="C58" s="102"/>
      <c r="D58" s="102"/>
      <c r="E58" s="5"/>
      <c r="F58" s="14"/>
      <c r="G58" s="14"/>
      <c r="H58" s="14"/>
      <c r="I58" s="14"/>
    </row>
    <row r="59" spans="1:25">
      <c r="A59" s="6"/>
      <c r="B59" s="101"/>
      <c r="C59" s="102"/>
      <c r="D59" s="102"/>
      <c r="E59" s="5"/>
      <c r="F59" s="14"/>
      <c r="G59" s="14"/>
      <c r="H59" s="14"/>
      <c r="I59" s="14"/>
    </row>
    <row r="60" spans="1:25">
      <c r="A60" s="6"/>
      <c r="B60" s="101"/>
      <c r="C60" s="102"/>
      <c r="D60" s="102"/>
      <c r="E60" s="5"/>
      <c r="F60" s="14"/>
      <c r="G60" s="14"/>
      <c r="H60" s="14"/>
      <c r="I60" s="14"/>
    </row>
    <row r="61" spans="1:25">
      <c r="A61" s="51"/>
      <c r="B61" s="52"/>
      <c r="C61" s="53"/>
      <c r="D61" s="54"/>
      <c r="E61" s="54"/>
      <c r="F61" s="54"/>
      <c r="G61" s="57"/>
      <c r="H61" s="58"/>
      <c r="I61" s="58"/>
    </row>
    <row r="62" spans="1:25">
      <c r="A62" s="51"/>
      <c r="B62" s="52"/>
      <c r="C62" s="53"/>
      <c r="D62" s="54"/>
      <c r="E62" s="54"/>
      <c r="F62" s="54"/>
      <c r="G62" s="57"/>
      <c r="H62" s="58"/>
      <c r="I62" s="58"/>
    </row>
    <row r="63" spans="1:25">
      <c r="D63" s="54"/>
      <c r="E63" s="54"/>
      <c r="F63" s="54"/>
    </row>
    <row r="64" spans="1:25">
      <c r="D64" s="54"/>
      <c r="E64" s="54"/>
      <c r="F64" s="54"/>
    </row>
    <row r="65" spans="4:6">
      <c r="D65" s="54"/>
      <c r="E65" s="54"/>
      <c r="F65" s="54"/>
    </row>
    <row r="66" spans="4:6">
      <c r="D66" s="54"/>
      <c r="E66" s="54"/>
      <c r="F66" s="54"/>
    </row>
    <row r="67" spans="4:6">
      <c r="D67" s="54"/>
      <c r="E67" s="54"/>
      <c r="F67" s="54"/>
    </row>
  </sheetData>
  <mergeCells count="6">
    <mergeCell ref="A2:J2"/>
    <mergeCell ref="A3:J3"/>
    <mergeCell ref="A4:A5"/>
    <mergeCell ref="B4:E4"/>
    <mergeCell ref="F4:I4"/>
    <mergeCell ref="J4:J5"/>
  </mergeCells>
  <pageMargins left="0.44" right="0.05" top="0.21" bottom="0.05" header="0.38" footer="0.05"/>
  <pageSetup paperSize="9" scale="65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11.3</vt:lpstr>
      <vt:lpstr>'11.3'!Print_Area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2013-07-08T06:19:27Z</cp:lastPrinted>
  <dcterms:created xsi:type="dcterms:W3CDTF">2013-04-28T05:32:41Z</dcterms:created>
  <dcterms:modified xsi:type="dcterms:W3CDTF">2013-07-08T06:20:13Z</dcterms:modified>
</cp:coreProperties>
</file>