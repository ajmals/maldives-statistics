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1"/>
  </bookViews>
  <sheets>
    <sheet name="11.15" sheetId="17" r:id="rId1"/>
  </sheets>
  <calcPr calcId="124519"/>
</workbook>
</file>

<file path=xl/calcChain.xml><?xml version="1.0" encoding="utf-8"?>
<calcChain xmlns="http://schemas.openxmlformats.org/spreadsheetml/2006/main">
  <c r="AB53" i="17"/>
  <c r="AB50"/>
  <c r="AB49"/>
  <c r="AB48"/>
  <c r="AB45"/>
  <c r="AB44"/>
  <c r="AB43"/>
  <c r="AB42"/>
  <c r="I17"/>
  <c r="G17"/>
  <c r="C17"/>
  <c r="B17"/>
  <c r="G16"/>
  <c r="C16"/>
  <c r="B16"/>
  <c r="G15"/>
  <c r="C15"/>
  <c r="B15"/>
  <c r="I14"/>
  <c r="G14"/>
  <c r="C14"/>
  <c r="B14"/>
  <c r="I13"/>
  <c r="G13"/>
  <c r="C13"/>
  <c r="B13"/>
  <c r="I12"/>
  <c r="G12"/>
  <c r="C12"/>
  <c r="B12"/>
  <c r="G11"/>
  <c r="C11"/>
  <c r="B11"/>
  <c r="G10"/>
  <c r="C10"/>
  <c r="B10"/>
  <c r="I9"/>
  <c r="G9"/>
  <c r="C9"/>
  <c r="B9"/>
  <c r="I8"/>
  <c r="G8"/>
  <c r="C8"/>
  <c r="B8"/>
  <c r="I7"/>
  <c r="G7"/>
  <c r="C7"/>
  <c r="B7"/>
  <c r="I6"/>
  <c r="G6"/>
  <c r="C6"/>
  <c r="B6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<sst xmlns="http://schemas.openxmlformats.org/spreadsheetml/2006/main" count="73" uniqueCount="47">
  <si>
    <t>Total</t>
  </si>
  <si>
    <t>International Flights</t>
  </si>
  <si>
    <t>Source: Civil Aviation Authority</t>
  </si>
  <si>
    <t>Month</t>
  </si>
  <si>
    <t>Domestic Flights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</si>
  <si>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</si>
  <si>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</si>
  <si>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</si>
  <si>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</si>
  <si>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</si>
  <si>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</si>
  <si>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</si>
  <si>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</si>
  <si>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</si>
  <si>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</si>
  <si>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</si>
  <si>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</si>
  <si>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</si>
  <si>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Scheduled</t>
  </si>
  <si>
    <t>Chartered</t>
  </si>
  <si>
    <t>Non-Scheduled</t>
  </si>
  <si>
    <t>Jan</t>
  </si>
  <si>
    <t>Feb</t>
  </si>
  <si>
    <t>Aug</t>
  </si>
  <si>
    <t>Sep</t>
  </si>
  <si>
    <t>Oct</t>
  </si>
  <si>
    <t>Nov</t>
  </si>
  <si>
    <t>Dec</t>
  </si>
  <si>
    <t>Domestic</t>
  </si>
  <si>
    <t>International</t>
  </si>
  <si>
    <t>Table  11.15 :  AIRCRAFT MOVEMENT AT IBRAHIM NASIR INTERNATIONAL AIRPORT BY MONTH, 2012</t>
  </si>
  <si>
    <t>މައުލޫމާތު ދެއްވީ: ސިވިލް އޭވިއޭޝަން އޮތޯރިޓީ</t>
  </si>
  <si>
    <t>cswm</t>
  </si>
  <si>
    <t>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</si>
  <si>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</si>
  <si>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</si>
  <si>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</si>
  <si>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</si>
  <si>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</si>
  <si>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</si>
  <si>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</si>
  <si>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</si>
  <si>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rwbcmeTcpes</t>
  </si>
  <si>
    <t>rwbUTckoa</t>
  </si>
  <si>
    <t>rwbcmevon</t>
  </si>
  <si>
    <t>rwbcmesiD</t>
  </si>
  <si>
    <t>ތާވަލު 11.15: މަސްމަހުގެ ގޮތުން ބައިނަލް އަޤްވާމީ ވައިގެބަނދަރުން ދަތުރުކުރި ފްލައިޓްތައް، 2012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</si>
</sst>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[$-409]mmmm\ d\,\ yyyy;@"/>
    <numFmt numFmtId="166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_Randhoo"/>
    </font>
    <font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9"/>
      <name val="Calibri"/>
      <family val="2"/>
      <scheme val="minor"/>
    </font>
    <font>
      <sz val="10"/>
      <name val="Garamond"/>
      <family val="1"/>
    </font>
    <font>
      <b/>
      <sz val="12"/>
      <name val="A_Randhoo"/>
    </font>
    <font>
      <b/>
      <sz val="11"/>
      <color theme="1"/>
      <name val="Faruma"/>
    </font>
    <font>
      <b/>
      <sz val="10"/>
      <name val="A_Randhoo"/>
    </font>
    <font>
      <sz val="10"/>
      <name val="A_Randhoo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4" fillId="0" borderId="0"/>
    <xf numFmtId="0" fontId="1" fillId="0" borderId="0"/>
    <xf numFmtId="0" fontId="4" fillId="0" borderId="0"/>
    <xf numFmtId="164" fontId="10" fillId="0" borderId="0"/>
    <xf numFmtId="40" fontId="2" fillId="0" borderId="0" applyFont="0" applyFill="0" applyBorder="0" applyAlignment="0" applyProtection="0"/>
    <xf numFmtId="166" fontId="10" fillId="0" borderId="0"/>
    <xf numFmtId="165" fontId="10" fillId="0" borderId="0" applyFont="0" applyFill="0" applyBorder="0" applyAlignment="0" applyProtection="0"/>
    <xf numFmtId="166" fontId="10" fillId="0" borderId="0"/>
    <xf numFmtId="164" fontId="10" fillId="0" borderId="0"/>
    <xf numFmtId="0" fontId="4" fillId="0" borderId="0"/>
    <xf numFmtId="0" fontId="14" fillId="0" borderId="0"/>
  </cellStyleXfs>
  <cellXfs count="55">
    <xf numFmtId="0" fontId="0" fillId="0" borderId="0" xfId="0"/>
    <xf numFmtId="164" fontId="11" fillId="2" borderId="0" xfId="0" applyNumberFormat="1" applyFont="1" applyFill="1" applyBorder="1"/>
    <xf numFmtId="164" fontId="0" fillId="2" borderId="0" xfId="0" applyNumberFormat="1" applyFill="1" applyBorder="1"/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/>
    <xf numFmtId="0" fontId="9" fillId="2" borderId="0" xfId="0" applyNumberFormat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right" vertical="center"/>
    </xf>
    <xf numFmtId="3" fontId="6" fillId="2" borderId="7" xfId="11" applyNumberFormat="1" applyFont="1" applyFill="1" applyBorder="1" applyAlignment="1" applyProtection="1">
      <alignment horizontal="right" vertical="center"/>
    </xf>
    <xf numFmtId="3" fontId="6" fillId="2" borderId="9" xfId="11" applyNumberFormat="1" applyFont="1" applyFill="1" applyBorder="1" applyAlignment="1" applyProtection="1">
      <alignment horizontal="right" vertical="center"/>
    </xf>
    <xf numFmtId="164" fontId="6" fillId="2" borderId="0" xfId="11" applyNumberFormat="1" applyFont="1" applyFill="1" applyBorder="1" applyAlignment="1" applyProtection="1">
      <alignment horizontal="left" vertical="center"/>
    </xf>
    <xf numFmtId="164" fontId="6" fillId="2" borderId="3" xfId="11" applyNumberFormat="1" applyFont="1" applyFill="1" applyBorder="1" applyAlignment="1" applyProtection="1">
      <alignment horizontal="right" vertical="center"/>
    </xf>
    <xf numFmtId="164" fontId="13" fillId="2" borderId="0" xfId="11" applyNumberFormat="1" applyFont="1" applyFill="1" applyBorder="1" applyAlignment="1" applyProtection="1">
      <alignment horizontal="left" vertical="center"/>
    </xf>
    <xf numFmtId="164" fontId="13" fillId="2" borderId="0" xfId="11" applyNumberFormat="1" applyFont="1" applyFill="1" applyAlignment="1" applyProtection="1">
      <alignment horizontal="left" vertical="center"/>
    </xf>
    <xf numFmtId="0" fontId="7" fillId="2" borderId="0" xfId="12" applyFont="1" applyFill="1" applyAlignment="1">
      <alignment vertical="center"/>
    </xf>
    <xf numFmtId="164" fontId="6" fillId="2" borderId="9" xfId="11" applyNumberFormat="1" applyFont="1" applyFill="1" applyBorder="1" applyAlignment="1" applyProtection="1">
      <alignment horizontal="right" vertical="center"/>
    </xf>
    <xf numFmtId="3" fontId="6" fillId="2" borderId="0" xfId="11" applyNumberFormat="1" applyFont="1" applyFill="1" applyBorder="1" applyAlignment="1" applyProtection="1">
      <alignment horizontal="right" vertical="center"/>
    </xf>
    <xf numFmtId="3" fontId="6" fillId="2" borderId="8" xfId="11" applyNumberFormat="1" applyFont="1" applyFill="1" applyBorder="1" applyAlignment="1" applyProtection="1">
      <alignment horizontal="right" vertical="center"/>
    </xf>
    <xf numFmtId="3" fontId="6" fillId="2" borderId="5" xfId="11" applyNumberFormat="1" applyFont="1" applyFill="1" applyBorder="1" applyAlignment="1" applyProtection="1">
      <alignment horizontal="right" vertical="center"/>
    </xf>
    <xf numFmtId="3" fontId="8" fillId="2" borderId="0" xfId="11" applyNumberFormat="1" applyFont="1" applyFill="1" applyBorder="1" applyAlignment="1" applyProtection="1">
      <alignment horizontal="right" vertical="center"/>
      <protection locked="0"/>
    </xf>
    <xf numFmtId="3" fontId="8" fillId="2" borderId="8" xfId="11" applyNumberFormat="1" applyFont="1" applyFill="1" applyBorder="1" applyAlignment="1" applyProtection="1">
      <alignment horizontal="right" vertical="center"/>
      <protection locked="0"/>
    </xf>
    <xf numFmtId="3" fontId="8" fillId="2" borderId="3" xfId="11" applyNumberFormat="1" applyFont="1" applyFill="1" applyBorder="1" applyAlignment="1" applyProtection="1">
      <alignment horizontal="right" vertical="center"/>
      <protection locked="0"/>
    </xf>
    <xf numFmtId="3" fontId="8" fillId="2" borderId="10" xfId="11" applyNumberFormat="1" applyFont="1" applyFill="1" applyBorder="1" applyAlignment="1" applyProtection="1">
      <alignment horizontal="right" vertical="center"/>
      <protection locked="0"/>
    </xf>
    <xf numFmtId="164" fontId="7" fillId="2" borderId="0" xfId="11" applyNumberFormat="1" applyFont="1" applyFill="1" applyBorder="1" applyAlignment="1"/>
    <xf numFmtId="164" fontId="15" fillId="2" borderId="0" xfId="11" applyNumberFormat="1" applyFont="1" applyFill="1" applyBorder="1" applyAlignment="1">
      <alignment vertical="center"/>
    </xf>
    <xf numFmtId="164" fontId="8" fillId="2" borderId="0" xfId="11" applyNumberFormat="1" applyFont="1" applyFill="1" applyBorder="1" applyAlignment="1" applyProtection="1">
      <alignment horizontal="left" vertical="center"/>
    </xf>
    <xf numFmtId="164" fontId="8" fillId="2" borderId="3" xfId="11" applyNumberFormat="1" applyFont="1" applyFill="1" applyBorder="1" applyAlignment="1" applyProtection="1">
      <alignment horizontal="left" vertical="center"/>
    </xf>
    <xf numFmtId="164" fontId="6" fillId="2" borderId="13" xfId="11" applyNumberFormat="1" applyFont="1" applyFill="1" applyBorder="1" applyAlignment="1" applyProtection="1">
      <alignment horizontal="right" vertical="center"/>
    </xf>
    <xf numFmtId="164" fontId="6" fillId="2" borderId="11" xfId="11" applyNumberFormat="1" applyFont="1" applyFill="1" applyBorder="1" applyAlignment="1" applyProtection="1">
      <alignment horizontal="right" vertical="center"/>
    </xf>
    <xf numFmtId="3" fontId="6" fillId="2" borderId="3" xfId="11" applyNumberFormat="1" applyFont="1" applyFill="1" applyBorder="1" applyAlignment="1" applyProtection="1">
      <alignment horizontal="right" vertical="center"/>
    </xf>
    <xf numFmtId="37" fontId="8" fillId="2" borderId="0" xfId="11" applyNumberFormat="1" applyFont="1" applyFill="1" applyBorder="1" applyAlignment="1" applyProtection="1">
      <alignment vertical="center"/>
    </xf>
    <xf numFmtId="0" fontId="8" fillId="2" borderId="0" xfId="12" applyFont="1" applyFill="1" applyBorder="1" applyAlignment="1">
      <alignment vertical="center"/>
    </xf>
    <xf numFmtId="164" fontId="0" fillId="2" borderId="0" xfId="0" applyNumberFormat="1" applyFill="1" applyAlignment="1">
      <alignment horizontal="right" vertical="center"/>
    </xf>
    <xf numFmtId="164" fontId="6" fillId="2" borderId="10" xfId="11" applyNumberFormat="1" applyFont="1" applyFill="1" applyBorder="1" applyAlignment="1" applyProtection="1">
      <alignment horizontal="right" vertical="center" wrapText="1"/>
    </xf>
    <xf numFmtId="164" fontId="6" fillId="2" borderId="3" xfId="11" applyNumberFormat="1" applyFont="1" applyFill="1" applyBorder="1" applyAlignment="1" applyProtection="1">
      <alignment horizontal="right" vertical="center" wrapText="1"/>
    </xf>
    <xf numFmtId="164" fontId="0" fillId="3" borderId="0" xfId="0" applyNumberFormat="1" applyFill="1"/>
    <xf numFmtId="164" fontId="8" fillId="3" borderId="0" xfId="11" applyNumberFormat="1" applyFont="1" applyFill="1" applyBorder="1" applyAlignment="1" applyProtection="1">
      <alignment horizontal="left" vertical="center"/>
    </xf>
    <xf numFmtId="3" fontId="8" fillId="3" borderId="0" xfId="11" applyNumberFormat="1" applyFont="1" applyFill="1" applyBorder="1" applyAlignment="1" applyProtection="1">
      <alignment horizontal="right" vertical="center"/>
      <protection locked="0"/>
    </xf>
    <xf numFmtId="164" fontId="8" fillId="3" borderId="3" xfId="11" applyNumberFormat="1" applyFont="1" applyFill="1" applyBorder="1" applyAlignment="1" applyProtection="1">
      <alignment horizontal="left" vertical="center"/>
    </xf>
    <xf numFmtId="3" fontId="8" fillId="3" borderId="3" xfId="11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Border="1" applyAlignment="1">
      <alignment horizontal="right" vertical="center"/>
    </xf>
    <xf numFmtId="0" fontId="17" fillId="2" borderId="0" xfId="13" applyFont="1" applyFill="1" applyBorder="1" applyAlignment="1">
      <alignment horizontal="right"/>
    </xf>
    <xf numFmtId="0" fontId="18" fillId="2" borderId="0" xfId="13" applyFont="1" applyFill="1" applyBorder="1" applyAlignment="1">
      <alignment horizontal="right"/>
    </xf>
    <xf numFmtId="0" fontId="18" fillId="2" borderId="3" xfId="13" applyFont="1" applyFill="1" applyBorder="1" applyAlignment="1">
      <alignment horizontal="right"/>
    </xf>
    <xf numFmtId="0" fontId="16" fillId="2" borderId="4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horizontal="center" vertical="center"/>
    </xf>
    <xf numFmtId="164" fontId="19" fillId="2" borderId="3" xfId="11" applyNumberFormat="1" applyFont="1" applyFill="1" applyBorder="1" applyAlignment="1" applyProtection="1">
      <alignment horizontal="center" vertical="center"/>
    </xf>
    <xf numFmtId="0" fontId="17" fillId="2" borderId="2" xfId="13" applyFont="1" applyFill="1" applyBorder="1" applyAlignment="1">
      <alignment horizontal="right" vertical="center"/>
    </xf>
    <xf numFmtId="0" fontId="17" fillId="2" borderId="3" xfId="13" applyFont="1" applyFill="1" applyBorder="1" applyAlignment="1">
      <alignment horizontal="right" vertical="center"/>
    </xf>
    <xf numFmtId="164" fontId="5" fillId="2" borderId="2" xfId="11" applyNumberFormat="1" applyFont="1" applyFill="1" applyBorder="1" applyAlignment="1" applyProtection="1">
      <alignment horizontal="left" vertical="center"/>
    </xf>
    <xf numFmtId="164" fontId="5" fillId="2" borderId="3" xfId="11" applyNumberFormat="1" applyFont="1" applyFill="1" applyBorder="1" applyAlignment="1" applyProtection="1">
      <alignment horizontal="left" vertical="center"/>
    </xf>
    <xf numFmtId="164" fontId="6" fillId="2" borderId="6" xfId="11" applyNumberFormat="1" applyFont="1" applyFill="1" applyBorder="1" applyAlignment="1" applyProtection="1">
      <alignment horizontal="right" vertical="center" wrapText="1"/>
    </xf>
    <xf numFmtId="164" fontId="6" fillId="2" borderId="10" xfId="11" applyNumberFormat="1" applyFont="1" applyFill="1" applyBorder="1" applyAlignment="1" applyProtection="1">
      <alignment horizontal="right" vertical="center" wrapText="1"/>
    </xf>
    <xf numFmtId="164" fontId="6" fillId="2" borderId="13" xfId="11" applyNumberFormat="1" applyFont="1" applyFill="1" applyBorder="1" applyAlignment="1" applyProtection="1">
      <alignment horizontal="center" vertical="center"/>
    </xf>
    <xf numFmtId="164" fontId="6" fillId="2" borderId="11" xfId="11" applyNumberFormat="1" applyFont="1" applyFill="1" applyBorder="1" applyAlignment="1" applyProtection="1">
      <alignment horizontal="center" vertical="center"/>
    </xf>
    <xf numFmtId="164" fontId="6" fillId="2" borderId="12" xfId="11" applyNumberFormat="1" applyFont="1" applyFill="1" applyBorder="1" applyAlignment="1" applyProtection="1">
      <alignment horizontal="center" vertical="center"/>
    </xf>
  </cellXfs>
  <cellStyles count="14">
    <cellStyle name="Comma 2" xfId="7"/>
    <cellStyle name="Comma 4" xfId="9"/>
    <cellStyle name="Hyperlink 2" xfId="1"/>
    <cellStyle name="Normal" xfId="0" builtinId="0"/>
    <cellStyle name="Normal 2" xfId="11"/>
    <cellStyle name="Normal 2 2" xfId="6"/>
    <cellStyle name="Normal 2 3" xfId="3"/>
    <cellStyle name="Normal 3" xfId="10"/>
    <cellStyle name="Normal 3 2" xfId="5"/>
    <cellStyle name="Normal 4" xfId="8"/>
    <cellStyle name="Normal 5" xfId="4"/>
    <cellStyle name="Normal 6" xfId="2"/>
    <cellStyle name="Normal_IX-6(Trans &amp; Comm)" xfId="12"/>
    <cellStyle name="Normal_X-5 (Electricity)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11.12: </a:t>
            </a:r>
            <a:r>
              <a:rPr lang="en-US" sz="1000"/>
              <a:t>International aircraft movements at Ibrahim Nasir International airport, 2012 </a:t>
            </a:r>
          </a:p>
        </c:rich>
      </c:tx>
      <c:layout>
        <c:manualLayout>
          <c:xMode val="edge"/>
          <c:yMode val="edge"/>
          <c:x val="0.15570863629330137"/>
          <c:y val="4.7641741679664687E-2"/>
        </c:manualLayout>
      </c:layout>
    </c:title>
    <c:plotArea>
      <c:layout>
        <c:manualLayout>
          <c:layoutTarget val="inner"/>
          <c:xMode val="edge"/>
          <c:yMode val="edge"/>
          <c:x val="0.11193780349120278"/>
          <c:y val="0.15214552834833595"/>
          <c:w val="0.87069733252042114"/>
          <c:h val="0.71668088624960113"/>
        </c:manualLayout>
      </c:layout>
      <c:barChart>
        <c:barDir val="col"/>
        <c:grouping val="clustered"/>
        <c:ser>
          <c:idx val="0"/>
          <c:order val="0"/>
          <c:tx>
            <c:strRef>
              <c:f>'11.15'!$AA$25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'11.15'!$Z$26:$Z$37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'11.15'!$AA$26:$AA$37</c:f>
              <c:numCache>
                <c:formatCode>General_)</c:formatCode>
                <c:ptCount val="12"/>
                <c:pt idx="0">
                  <c:v>1474</c:v>
                </c:pt>
                <c:pt idx="1">
                  <c:v>1246</c:v>
                </c:pt>
                <c:pt idx="2">
                  <c:v>1254</c:v>
                </c:pt>
                <c:pt idx="3">
                  <c:v>1252</c:v>
                </c:pt>
                <c:pt idx="4">
                  <c:v>1236</c:v>
                </c:pt>
                <c:pt idx="5">
                  <c:v>1230</c:v>
                </c:pt>
                <c:pt idx="6">
                  <c:v>1276</c:v>
                </c:pt>
                <c:pt idx="7">
                  <c:v>1254</c:v>
                </c:pt>
                <c:pt idx="8">
                  <c:v>1258</c:v>
                </c:pt>
                <c:pt idx="9">
                  <c:v>1322</c:v>
                </c:pt>
                <c:pt idx="10">
                  <c:v>1286</c:v>
                </c:pt>
                <c:pt idx="11">
                  <c:v>1380</c:v>
                </c:pt>
              </c:numCache>
            </c:numRef>
          </c:val>
        </c:ser>
        <c:ser>
          <c:idx val="1"/>
          <c:order val="1"/>
          <c:tx>
            <c:strRef>
              <c:f>'11.15'!$AB$25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'11.15'!$Z$26:$Z$37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'11.15'!$AB$26:$AB$37</c:f>
              <c:numCache>
                <c:formatCode>General_)</c:formatCode>
                <c:ptCount val="12"/>
                <c:pt idx="0">
                  <c:v>260</c:v>
                </c:pt>
                <c:pt idx="1">
                  <c:v>202</c:v>
                </c:pt>
                <c:pt idx="2">
                  <c:v>162</c:v>
                </c:pt>
                <c:pt idx="3">
                  <c:v>152</c:v>
                </c:pt>
                <c:pt idx="4">
                  <c:v>126</c:v>
                </c:pt>
                <c:pt idx="5">
                  <c:v>108</c:v>
                </c:pt>
                <c:pt idx="6">
                  <c:v>132</c:v>
                </c:pt>
                <c:pt idx="7">
                  <c:v>124</c:v>
                </c:pt>
                <c:pt idx="8">
                  <c:v>122</c:v>
                </c:pt>
                <c:pt idx="9">
                  <c:v>136</c:v>
                </c:pt>
                <c:pt idx="10">
                  <c:v>156</c:v>
                </c:pt>
                <c:pt idx="11">
                  <c:v>156</c:v>
                </c:pt>
              </c:numCache>
            </c:numRef>
          </c:val>
        </c:ser>
        <c:ser>
          <c:idx val="2"/>
          <c:order val="2"/>
          <c:tx>
            <c:strRef>
              <c:f>'11.15'!$AC$25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cat>
            <c:strRef>
              <c:f>'11.15'!$Z$26:$Z$37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'11.15'!$AC$26:$AC$37</c:f>
              <c:numCache>
                <c:formatCode>General_)</c:formatCode>
                <c:ptCount val="12"/>
                <c:pt idx="0">
                  <c:v>360</c:v>
                </c:pt>
                <c:pt idx="1">
                  <c:v>152</c:v>
                </c:pt>
                <c:pt idx="2">
                  <c:v>166</c:v>
                </c:pt>
                <c:pt idx="3">
                  <c:v>204</c:v>
                </c:pt>
                <c:pt idx="4">
                  <c:v>122</c:v>
                </c:pt>
                <c:pt idx="5">
                  <c:v>114</c:v>
                </c:pt>
                <c:pt idx="6">
                  <c:v>100</c:v>
                </c:pt>
                <c:pt idx="7">
                  <c:v>80</c:v>
                </c:pt>
                <c:pt idx="8">
                  <c:v>94</c:v>
                </c:pt>
                <c:pt idx="9">
                  <c:v>156</c:v>
                </c:pt>
                <c:pt idx="10">
                  <c:v>200</c:v>
                </c:pt>
                <c:pt idx="11">
                  <c:v>230</c:v>
                </c:pt>
              </c:numCache>
            </c:numRef>
          </c:val>
        </c:ser>
        <c:gapWidth val="59"/>
        <c:axId val="89689472"/>
        <c:axId val="89851392"/>
      </c:barChart>
      <c:catAx>
        <c:axId val="89689472"/>
        <c:scaling>
          <c:orientation val="minMax"/>
        </c:scaling>
        <c:axPos val="b"/>
        <c:tickLblPos val="nextTo"/>
        <c:crossAx val="89851392"/>
        <c:crosses val="autoZero"/>
        <c:auto val="1"/>
        <c:lblAlgn val="ctr"/>
        <c:lblOffset val="100"/>
      </c:catAx>
      <c:valAx>
        <c:axId val="89851392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1.2485153529567342E-2"/>
              <c:y val="7.4195403378873578E-2"/>
            </c:manualLayout>
          </c:layout>
        </c:title>
        <c:numFmt formatCode="#,##0" sourceLinked="0"/>
        <c:tickLblPos val="nextTo"/>
        <c:crossAx val="8968947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7035798449411287"/>
          <c:y val="0.17662204724409447"/>
          <c:w val="0.48351351468216391"/>
          <c:h val="7.7374953130858709E-2"/>
        </c:manualLayout>
      </c:layout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 b="1" i="0" u="none" strike="noStrike" baseline="0"/>
              <a:t>Figure 11.13: </a:t>
            </a:r>
            <a:r>
              <a:rPr lang="en-US" sz="1000" b="1" i="0" baseline="0"/>
              <a:t>Domestic aircraft  movements at </a:t>
            </a:r>
            <a:r>
              <a:rPr lang="en-US" sz="1000" b="1" i="0" u="none" strike="noStrike" baseline="0"/>
              <a:t>at Ibrahim Nasir International airport, 2012 </a:t>
            </a:r>
            <a:endParaRPr lang="en-US" sz="1000"/>
          </a:p>
        </c:rich>
      </c:tx>
      <c:layout>
        <c:manualLayout>
          <c:xMode val="edge"/>
          <c:yMode val="edge"/>
          <c:x val="0.13616246217630451"/>
          <c:y val="5.2380952380952375E-2"/>
        </c:manualLayout>
      </c:layout>
    </c:title>
    <c:plotArea>
      <c:layout>
        <c:manualLayout>
          <c:layoutTarget val="inner"/>
          <c:xMode val="edge"/>
          <c:yMode val="edge"/>
          <c:x val="8.6135258092738448E-2"/>
          <c:y val="0.15967866516685414"/>
          <c:w val="0.88925476815398052"/>
          <c:h val="0.71912665271857656"/>
        </c:manualLayout>
      </c:layout>
      <c:barChart>
        <c:barDir val="col"/>
        <c:grouping val="clustered"/>
        <c:ser>
          <c:idx val="0"/>
          <c:order val="0"/>
          <c:tx>
            <c:strRef>
              <c:f>'11.15'!$AA$41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'11.15'!$Z$42:$Z$53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'11.15'!$AA$42:$AA$53</c:f>
              <c:numCache>
                <c:formatCode>#,##0</c:formatCode>
                <c:ptCount val="12"/>
                <c:pt idx="0">
                  <c:v>1376</c:v>
                </c:pt>
                <c:pt idx="1">
                  <c:v>1182</c:v>
                </c:pt>
                <c:pt idx="2">
                  <c:v>1124</c:v>
                </c:pt>
                <c:pt idx="3">
                  <c:v>1066</c:v>
                </c:pt>
                <c:pt idx="4">
                  <c:v>1006</c:v>
                </c:pt>
                <c:pt idx="5">
                  <c:v>1044</c:v>
                </c:pt>
                <c:pt idx="6">
                  <c:v>1168</c:v>
                </c:pt>
                <c:pt idx="7">
                  <c:v>1276</c:v>
                </c:pt>
                <c:pt idx="8">
                  <c:v>1190</c:v>
                </c:pt>
                <c:pt idx="9">
                  <c:v>1358</c:v>
                </c:pt>
                <c:pt idx="10">
                  <c:v>1396</c:v>
                </c:pt>
                <c:pt idx="11">
                  <c:v>1626</c:v>
                </c:pt>
              </c:numCache>
            </c:numRef>
          </c:val>
        </c:ser>
        <c:ser>
          <c:idx val="1"/>
          <c:order val="1"/>
          <c:tx>
            <c:strRef>
              <c:f>'11.15'!$AB$41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'11.15'!$Z$42:$Z$53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'11.15'!$AB$42:$AB$53</c:f>
              <c:numCache>
                <c:formatCode>#,##0</c:formatCode>
                <c:ptCount val="12"/>
                <c:pt idx="0">
                  <c:v>4221</c:v>
                </c:pt>
                <c:pt idx="1">
                  <c:v>3725</c:v>
                </c:pt>
                <c:pt idx="2">
                  <c:v>3631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3347</c:v>
                </c:pt>
                <c:pt idx="7">
                  <c:v>3249</c:v>
                </c:pt>
                <c:pt idx="8">
                  <c:v>16</c:v>
                </c:pt>
                <c:pt idx="9">
                  <c:v>6</c:v>
                </c:pt>
                <c:pt idx="10">
                  <c:v>22</c:v>
                </c:pt>
                <c:pt idx="11">
                  <c:v>3710</c:v>
                </c:pt>
              </c:numCache>
            </c:numRef>
          </c:val>
        </c:ser>
        <c:axId val="90244992"/>
        <c:axId val="90246528"/>
      </c:barChart>
      <c:catAx>
        <c:axId val="90244992"/>
        <c:scaling>
          <c:orientation val="minMax"/>
        </c:scaling>
        <c:axPos val="b"/>
        <c:tickLblPos val="nextTo"/>
        <c:crossAx val="90246528"/>
        <c:crosses val="autoZero"/>
        <c:auto val="1"/>
        <c:lblAlgn val="ctr"/>
        <c:lblOffset val="100"/>
      </c:catAx>
      <c:valAx>
        <c:axId val="90246528"/>
        <c:scaling>
          <c:orientation val="minMax"/>
        </c:scaling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6.6666666666666706E-3"/>
              <c:y val="7.3374953130858664E-2"/>
            </c:manualLayout>
          </c:layout>
        </c:title>
        <c:numFmt formatCode="#,##0" sourceLinked="0"/>
        <c:tickLblPos val="nextTo"/>
        <c:crossAx val="9024499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350753130381034"/>
          <c:y val="0.21015260592425933"/>
          <c:w val="0.23572108486439214"/>
          <c:h val="6.2694413198350257E-2"/>
        </c:manualLayout>
      </c:layout>
      <c:txPr>
        <a:bodyPr/>
        <a:lstStyle/>
        <a:p>
          <a:pPr>
            <a:defRPr b="0"/>
          </a:pPr>
          <a:endParaRPr lang="en-US"/>
        </a:p>
      </c:txPr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660398</xdr:colOff>
      <xdr:row>19</xdr:row>
      <xdr:rowOff>38099</xdr:rowOff>
    </xdr:from>
    <xdr:to>
      <xdr:col>9</xdr:col>
      <xdr:colOff>85724</xdr:colOff>
      <xdr:row>36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38</xdr:row>
      <xdr:rowOff>149224</xdr:rowOff>
    </xdr:from>
    <xdr:to>
      <xdr:col>9</xdr:col>
      <xdr:colOff>114300</xdr:colOff>
      <xdr:row>56</xdr:row>
      <xdr:rowOff>114299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3"/>
  <sheetViews>
    <sheetView tabSelected="1" workbookViewId="0">
      <selection activeCell="K21" sqref="K21"/>
    </sheetView>
  </sheetViews>
  <sheetFormatPr defaultRowHeight="12.75" customHeight="1"/>
  <cols>
    <col min="1" max="1" width="11.7109375" style="4" customWidth="1"/>
    <col min="2" max="2" width="10.5703125" style="4" customWidth="1"/>
    <col min="3" max="3" width="10.7109375" style="4" customWidth="1"/>
    <col min="4" max="4" width="10.28515625" style="4" customWidth="1"/>
    <col min="5" max="5" width="10.7109375" style="4" customWidth="1"/>
    <col min="6" max="6" width="11.85546875" style="4" customWidth="1"/>
    <col min="7" max="8" width="10.7109375" style="4" customWidth="1"/>
    <col min="9" max="9" width="14.28515625" style="4" customWidth="1"/>
    <col min="10" max="10" width="16.28515625" style="4" customWidth="1"/>
    <col min="11" max="11" width="11.7109375" style="4" customWidth="1"/>
    <col min="12" max="16384" width="9.140625" style="4"/>
  </cols>
  <sheetData>
    <row r="1" spans="1:10" ht="19.5" customHeight="1">
      <c r="A1" s="43" t="s">
        <v>46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9.5" customHeight="1">
      <c r="A2" s="45" t="s">
        <v>30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ht="15" customHeight="1">
      <c r="A3" s="48" t="s">
        <v>3</v>
      </c>
      <c r="B3" s="50" t="s">
        <v>17</v>
      </c>
      <c r="C3" s="52" t="s">
        <v>1</v>
      </c>
      <c r="D3" s="53"/>
      <c r="E3" s="53"/>
      <c r="F3" s="54"/>
      <c r="G3" s="52" t="s">
        <v>4</v>
      </c>
      <c r="H3" s="53"/>
      <c r="I3" s="53"/>
      <c r="J3" s="46" t="s">
        <v>32</v>
      </c>
    </row>
    <row r="4" spans="1:10" s="3" customFormat="1" ht="15" customHeight="1">
      <c r="A4" s="49"/>
      <c r="B4" s="51"/>
      <c r="C4" s="14" t="s">
        <v>0</v>
      </c>
      <c r="D4" s="10" t="s">
        <v>18</v>
      </c>
      <c r="E4" s="10" t="s">
        <v>19</v>
      </c>
      <c r="F4" s="32" t="s">
        <v>20</v>
      </c>
      <c r="G4" s="26" t="s">
        <v>0</v>
      </c>
      <c r="H4" s="27" t="s">
        <v>18</v>
      </c>
      <c r="I4" s="33" t="s">
        <v>20</v>
      </c>
      <c r="J4" s="47"/>
    </row>
    <row r="5" spans="1:10" ht="15" customHeight="1">
      <c r="A5" s="9" t="s">
        <v>0</v>
      </c>
      <c r="B5" s="15">
        <f>SUM(C5+G5)</f>
        <v>56041</v>
      </c>
      <c r="C5" s="7">
        <f>SUM(D5+E5+F5)</f>
        <v>19282</v>
      </c>
      <c r="D5" s="15">
        <f>SUM(D6:D17)</f>
        <v>15468</v>
      </c>
      <c r="E5" s="15">
        <f t="shared" ref="E5:F5" si="0">SUM(E6:E17)</f>
        <v>1836</v>
      </c>
      <c r="F5" s="16">
        <f t="shared" si="0"/>
        <v>1978</v>
      </c>
      <c r="G5" s="17">
        <f>SUM(H5+I5)</f>
        <v>36759</v>
      </c>
      <c r="H5" s="15">
        <f>SUM(H6:H17)</f>
        <v>14812</v>
      </c>
      <c r="I5" s="15">
        <f>SUM(I6:I17)</f>
        <v>21947</v>
      </c>
      <c r="J5" s="40" t="s">
        <v>33</v>
      </c>
    </row>
    <row r="6" spans="1:10" ht="17.25">
      <c r="A6" s="24" t="s">
        <v>5</v>
      </c>
      <c r="B6" s="15">
        <f>SUM(C6+G6)</f>
        <v>7691</v>
      </c>
      <c r="C6" s="7">
        <f t="shared" ref="C6:C17" si="1">SUM(D6+E6+F6)</f>
        <v>2094</v>
      </c>
      <c r="D6" s="18">
        <v>1474</v>
      </c>
      <c r="E6" s="18">
        <v>260</v>
      </c>
      <c r="F6" s="19">
        <v>360</v>
      </c>
      <c r="G6" s="7">
        <f>SUM(H6+I6)</f>
        <v>5597</v>
      </c>
      <c r="H6" s="18">
        <v>1376</v>
      </c>
      <c r="I6" s="18">
        <f>4121+100</f>
        <v>4221</v>
      </c>
      <c r="J6" s="41" t="s">
        <v>34</v>
      </c>
    </row>
    <row r="7" spans="1:10" ht="17.25">
      <c r="A7" s="24" t="s">
        <v>6</v>
      </c>
      <c r="B7" s="15">
        <f t="shared" ref="B7:B17" si="2">SUM(C7+G7)</f>
        <v>6507</v>
      </c>
      <c r="C7" s="7">
        <f t="shared" si="1"/>
        <v>1600</v>
      </c>
      <c r="D7" s="18">
        <v>1246</v>
      </c>
      <c r="E7" s="18">
        <v>202</v>
      </c>
      <c r="F7" s="19">
        <v>152</v>
      </c>
      <c r="G7" s="7">
        <f t="shared" ref="G7:G17" si="3">SUM(H7+I7)</f>
        <v>4907</v>
      </c>
      <c r="H7" s="18">
        <v>1182</v>
      </c>
      <c r="I7" s="18">
        <f>3711+14</f>
        <v>3725</v>
      </c>
      <c r="J7" s="41" t="s">
        <v>35</v>
      </c>
    </row>
    <row r="8" spans="1:10" ht="17.25">
      <c r="A8" s="24" t="s">
        <v>7</v>
      </c>
      <c r="B8" s="15">
        <f t="shared" si="2"/>
        <v>6337</v>
      </c>
      <c r="C8" s="7">
        <f t="shared" si="1"/>
        <v>1582</v>
      </c>
      <c r="D8" s="18">
        <v>1254</v>
      </c>
      <c r="E8" s="18">
        <v>162</v>
      </c>
      <c r="F8" s="19">
        <v>166</v>
      </c>
      <c r="G8" s="7">
        <f t="shared" si="3"/>
        <v>4755</v>
      </c>
      <c r="H8" s="18">
        <v>1124</v>
      </c>
      <c r="I8" s="18">
        <f>3607+24</f>
        <v>3631</v>
      </c>
      <c r="J8" s="41" t="s">
        <v>36</v>
      </c>
    </row>
    <row r="9" spans="1:10" ht="17.25">
      <c r="A9" s="24" t="s">
        <v>8</v>
      </c>
      <c r="B9" s="15">
        <f t="shared" si="2"/>
        <v>2694</v>
      </c>
      <c r="C9" s="7">
        <f t="shared" si="1"/>
        <v>1608</v>
      </c>
      <c r="D9" s="18">
        <v>1252</v>
      </c>
      <c r="E9" s="18">
        <v>152</v>
      </c>
      <c r="F9" s="19">
        <v>204</v>
      </c>
      <c r="G9" s="7">
        <f t="shared" si="3"/>
        <v>1086</v>
      </c>
      <c r="H9" s="18">
        <v>1066</v>
      </c>
      <c r="I9" s="18">
        <f>20</f>
        <v>20</v>
      </c>
      <c r="J9" s="41" t="s">
        <v>37</v>
      </c>
    </row>
    <row r="10" spans="1:10" ht="17.25">
      <c r="A10" s="24" t="s">
        <v>9</v>
      </c>
      <c r="B10" s="15">
        <f t="shared" si="2"/>
        <v>2490</v>
      </c>
      <c r="C10" s="7">
        <f t="shared" si="1"/>
        <v>1484</v>
      </c>
      <c r="D10" s="18">
        <v>1236</v>
      </c>
      <c r="E10" s="18">
        <v>126</v>
      </c>
      <c r="F10" s="19">
        <v>122</v>
      </c>
      <c r="G10" s="7">
        <f t="shared" si="3"/>
        <v>1006</v>
      </c>
      <c r="H10" s="18">
        <v>1006</v>
      </c>
      <c r="I10" s="18">
        <v>0</v>
      </c>
      <c r="J10" s="41" t="s">
        <v>38</v>
      </c>
    </row>
    <row r="11" spans="1:10" ht="17.25">
      <c r="A11" s="24" t="s">
        <v>10</v>
      </c>
      <c r="B11" s="15">
        <f t="shared" si="2"/>
        <v>2496</v>
      </c>
      <c r="C11" s="7">
        <f t="shared" si="1"/>
        <v>1452</v>
      </c>
      <c r="D11" s="18">
        <v>1230</v>
      </c>
      <c r="E11" s="18">
        <v>108</v>
      </c>
      <c r="F11" s="19">
        <v>114</v>
      </c>
      <c r="G11" s="7">
        <f t="shared" si="3"/>
        <v>1044</v>
      </c>
      <c r="H11" s="18">
        <v>1044</v>
      </c>
      <c r="I11" s="18">
        <v>0</v>
      </c>
      <c r="J11" s="41" t="s">
        <v>39</v>
      </c>
    </row>
    <row r="12" spans="1:10" ht="17.25">
      <c r="A12" s="24" t="s">
        <v>11</v>
      </c>
      <c r="B12" s="15">
        <f t="shared" si="2"/>
        <v>6023</v>
      </c>
      <c r="C12" s="7">
        <f t="shared" si="1"/>
        <v>1508</v>
      </c>
      <c r="D12" s="18">
        <v>1276</v>
      </c>
      <c r="E12" s="18">
        <v>132</v>
      </c>
      <c r="F12" s="19">
        <v>100</v>
      </c>
      <c r="G12" s="7">
        <f t="shared" si="3"/>
        <v>4515</v>
      </c>
      <c r="H12" s="18">
        <v>1168</v>
      </c>
      <c r="I12" s="18">
        <f>3341+6</f>
        <v>3347</v>
      </c>
      <c r="J12" s="41" t="s">
        <v>40</v>
      </c>
    </row>
    <row r="13" spans="1:10" ht="17.25">
      <c r="A13" s="24" t="s">
        <v>12</v>
      </c>
      <c r="B13" s="15">
        <f t="shared" si="2"/>
        <v>5983</v>
      </c>
      <c r="C13" s="7">
        <f t="shared" si="1"/>
        <v>1458</v>
      </c>
      <c r="D13" s="18">
        <v>1254</v>
      </c>
      <c r="E13" s="18">
        <v>124</v>
      </c>
      <c r="F13" s="19">
        <v>80</v>
      </c>
      <c r="G13" s="7">
        <f t="shared" si="3"/>
        <v>4525</v>
      </c>
      <c r="H13" s="18">
        <v>1276</v>
      </c>
      <c r="I13" s="18">
        <f>3243+6</f>
        <v>3249</v>
      </c>
      <c r="J13" s="41" t="s">
        <v>41</v>
      </c>
    </row>
    <row r="14" spans="1:10" ht="17.25">
      <c r="A14" s="24" t="s">
        <v>13</v>
      </c>
      <c r="B14" s="15">
        <f t="shared" si="2"/>
        <v>2680</v>
      </c>
      <c r="C14" s="7">
        <f t="shared" si="1"/>
        <v>1474</v>
      </c>
      <c r="D14" s="18">
        <v>1258</v>
      </c>
      <c r="E14" s="18">
        <v>122</v>
      </c>
      <c r="F14" s="19">
        <v>94</v>
      </c>
      <c r="G14" s="7">
        <f t="shared" si="3"/>
        <v>1206</v>
      </c>
      <c r="H14" s="18">
        <v>1190</v>
      </c>
      <c r="I14" s="18">
        <f>16</f>
        <v>16</v>
      </c>
      <c r="J14" s="41" t="s">
        <v>42</v>
      </c>
    </row>
    <row r="15" spans="1:10" ht="17.25">
      <c r="A15" s="24" t="s">
        <v>14</v>
      </c>
      <c r="B15" s="15">
        <f t="shared" si="2"/>
        <v>2978</v>
      </c>
      <c r="C15" s="7">
        <f t="shared" si="1"/>
        <v>1614</v>
      </c>
      <c r="D15" s="18">
        <v>1322</v>
      </c>
      <c r="E15" s="18">
        <v>136</v>
      </c>
      <c r="F15" s="19">
        <v>156</v>
      </c>
      <c r="G15" s="7">
        <f t="shared" si="3"/>
        <v>1364</v>
      </c>
      <c r="H15" s="18">
        <v>1358</v>
      </c>
      <c r="I15" s="18">
        <v>6</v>
      </c>
      <c r="J15" s="41" t="s">
        <v>43</v>
      </c>
    </row>
    <row r="16" spans="1:10" ht="17.25">
      <c r="A16" s="24" t="s">
        <v>15</v>
      </c>
      <c r="B16" s="15">
        <f t="shared" si="2"/>
        <v>3060</v>
      </c>
      <c r="C16" s="7">
        <f t="shared" si="1"/>
        <v>1642</v>
      </c>
      <c r="D16" s="18">
        <v>1286</v>
      </c>
      <c r="E16" s="18">
        <v>156</v>
      </c>
      <c r="F16" s="19">
        <v>200</v>
      </c>
      <c r="G16" s="7">
        <f t="shared" si="3"/>
        <v>1418</v>
      </c>
      <c r="H16" s="18">
        <v>1396</v>
      </c>
      <c r="I16" s="18">
        <v>22</v>
      </c>
      <c r="J16" s="41" t="s">
        <v>44</v>
      </c>
    </row>
    <row r="17" spans="1:30" ht="14.25" customHeight="1">
      <c r="A17" s="25" t="s">
        <v>16</v>
      </c>
      <c r="B17" s="28">
        <f t="shared" si="2"/>
        <v>7102</v>
      </c>
      <c r="C17" s="8">
        <f t="shared" si="1"/>
        <v>1766</v>
      </c>
      <c r="D17" s="20">
        <v>1380</v>
      </c>
      <c r="E17" s="20">
        <v>156</v>
      </c>
      <c r="F17" s="21">
        <v>230</v>
      </c>
      <c r="G17" s="8">
        <f t="shared" si="3"/>
        <v>5336</v>
      </c>
      <c r="H17" s="20">
        <v>1626</v>
      </c>
      <c r="I17" s="20">
        <f>3684+26</f>
        <v>3710</v>
      </c>
      <c r="J17" s="42" t="s">
        <v>45</v>
      </c>
    </row>
    <row r="18" spans="1:30" ht="14.25" customHeight="1">
      <c r="A18" s="12" t="s">
        <v>2</v>
      </c>
      <c r="B18" s="11"/>
      <c r="C18" s="29"/>
      <c r="D18" s="29"/>
      <c r="E18" s="29"/>
      <c r="F18" s="29"/>
      <c r="G18" s="29"/>
      <c r="H18" s="30"/>
      <c r="I18" s="6"/>
      <c r="J18" s="6" t="s">
        <v>31</v>
      </c>
      <c r="L18" s="22"/>
      <c r="M18" s="13"/>
    </row>
    <row r="19" spans="1:30" ht="12.75" customHeight="1">
      <c r="A19" s="1"/>
      <c r="B19" s="1"/>
      <c r="C19" s="23"/>
      <c r="D19" s="23"/>
      <c r="E19" s="23"/>
      <c r="F19" s="23"/>
      <c r="G19" s="23"/>
      <c r="H19" s="23"/>
      <c r="I19" s="23"/>
      <c r="K19" s="23"/>
      <c r="L19" s="23"/>
      <c r="M19" s="23"/>
      <c r="N19" s="23"/>
      <c r="O19" s="23"/>
    </row>
    <row r="20" spans="1:30" s="31" customFormat="1" ht="15">
      <c r="A20" s="24"/>
      <c r="B20" s="15"/>
      <c r="C20" s="15"/>
      <c r="D20" s="18"/>
      <c r="E20" s="18"/>
      <c r="F20" s="18"/>
      <c r="G20" s="15"/>
      <c r="H20" s="18"/>
      <c r="I20" s="18"/>
      <c r="J20" s="39"/>
      <c r="K20" s="39"/>
    </row>
    <row r="21" spans="1:30" ht="18.75">
      <c r="A21" s="11"/>
      <c r="B21" s="11"/>
      <c r="C21" s="29"/>
      <c r="D21" s="29"/>
      <c r="E21" s="29"/>
      <c r="F21" s="29"/>
      <c r="G21" s="29"/>
      <c r="H21" s="30"/>
      <c r="I21" s="5"/>
      <c r="J21" s="2"/>
      <c r="K21" s="2"/>
    </row>
    <row r="22" spans="1:30" ht="15">
      <c r="A22" s="2"/>
      <c r="B22" s="2"/>
      <c r="C22" s="2"/>
      <c r="D22" s="2"/>
      <c r="E22" s="2"/>
      <c r="F22" s="2"/>
      <c r="G22" s="2"/>
      <c r="H22" s="2"/>
      <c r="I22" s="2"/>
    </row>
    <row r="23" spans="1:30" ht="15"/>
    <row r="24" spans="1:30" ht="12.75" customHeight="1">
      <c r="Z24" s="34" t="s">
        <v>29</v>
      </c>
      <c r="AA24" s="34"/>
      <c r="AB24" s="34"/>
      <c r="AC24" s="34"/>
      <c r="AD24" s="34"/>
    </row>
    <row r="25" spans="1:30" ht="12.75" customHeight="1">
      <c r="Z25" s="34"/>
      <c r="AA25" s="34" t="s">
        <v>18</v>
      </c>
      <c r="AB25" s="34" t="s">
        <v>19</v>
      </c>
      <c r="AC25" s="34" t="s">
        <v>20</v>
      </c>
      <c r="AD25" s="34"/>
    </row>
    <row r="26" spans="1:30" ht="12.75" customHeight="1">
      <c r="Z26" s="35" t="s">
        <v>21</v>
      </c>
      <c r="AA26" s="34">
        <v>1474</v>
      </c>
      <c r="AB26" s="34">
        <v>260</v>
      </c>
      <c r="AC26" s="34">
        <v>360</v>
      </c>
      <c r="AD26" s="34"/>
    </row>
    <row r="27" spans="1:30" ht="12.75" customHeight="1">
      <c r="Z27" s="35" t="s">
        <v>22</v>
      </c>
      <c r="AA27" s="34">
        <v>1246</v>
      </c>
      <c r="AB27" s="34">
        <v>202</v>
      </c>
      <c r="AC27" s="34">
        <v>152</v>
      </c>
      <c r="AD27" s="34"/>
    </row>
    <row r="28" spans="1:30" ht="12.75" customHeight="1">
      <c r="Z28" s="35" t="s">
        <v>7</v>
      </c>
      <c r="AA28" s="34">
        <v>1254</v>
      </c>
      <c r="AB28" s="34">
        <v>162</v>
      </c>
      <c r="AC28" s="34">
        <v>166</v>
      </c>
      <c r="AD28" s="34"/>
    </row>
    <row r="29" spans="1:30" ht="12.75" customHeight="1">
      <c r="Z29" s="35" t="s">
        <v>8</v>
      </c>
      <c r="AA29" s="34">
        <v>1252</v>
      </c>
      <c r="AB29" s="34">
        <v>152</v>
      </c>
      <c r="AC29" s="34">
        <v>204</v>
      </c>
      <c r="AD29" s="34"/>
    </row>
    <row r="30" spans="1:30" ht="12.75" customHeight="1">
      <c r="Z30" s="35" t="s">
        <v>9</v>
      </c>
      <c r="AA30" s="34">
        <v>1236</v>
      </c>
      <c r="AB30" s="34">
        <v>126</v>
      </c>
      <c r="AC30" s="34">
        <v>122</v>
      </c>
      <c r="AD30" s="34"/>
    </row>
    <row r="31" spans="1:30" ht="12.75" customHeight="1">
      <c r="Z31" s="35" t="s">
        <v>10</v>
      </c>
      <c r="AA31" s="34">
        <v>1230</v>
      </c>
      <c r="AB31" s="34">
        <v>108</v>
      </c>
      <c r="AC31" s="34">
        <v>114</v>
      </c>
      <c r="AD31" s="34"/>
    </row>
    <row r="32" spans="1:30" ht="12.75" customHeight="1">
      <c r="Z32" s="35" t="s">
        <v>11</v>
      </c>
      <c r="AA32" s="34">
        <v>1276</v>
      </c>
      <c r="AB32" s="34">
        <v>132</v>
      </c>
      <c r="AC32" s="34">
        <v>100</v>
      </c>
      <c r="AD32" s="34"/>
    </row>
    <row r="33" spans="26:30" ht="12.75" customHeight="1">
      <c r="Z33" s="35" t="s">
        <v>23</v>
      </c>
      <c r="AA33" s="34">
        <v>1254</v>
      </c>
      <c r="AB33" s="34">
        <v>124</v>
      </c>
      <c r="AC33" s="34">
        <v>80</v>
      </c>
      <c r="AD33" s="34"/>
    </row>
    <row r="34" spans="26:30" ht="12.75" customHeight="1">
      <c r="Z34" s="35" t="s">
        <v>24</v>
      </c>
      <c r="AA34" s="34">
        <v>1258</v>
      </c>
      <c r="AB34" s="34">
        <v>122</v>
      </c>
      <c r="AC34" s="34">
        <v>94</v>
      </c>
      <c r="AD34" s="34"/>
    </row>
    <row r="35" spans="26:30" ht="12.75" customHeight="1">
      <c r="Z35" s="35" t="s">
        <v>25</v>
      </c>
      <c r="AA35" s="34">
        <v>1322</v>
      </c>
      <c r="AB35" s="34">
        <v>136</v>
      </c>
      <c r="AC35" s="34">
        <v>156</v>
      </c>
      <c r="AD35" s="34"/>
    </row>
    <row r="36" spans="26:30" ht="12.75" customHeight="1">
      <c r="Z36" s="35" t="s">
        <v>26</v>
      </c>
      <c r="AA36" s="34">
        <v>1286</v>
      </c>
      <c r="AB36" s="34">
        <v>156</v>
      </c>
      <c r="AC36" s="34">
        <v>200</v>
      </c>
      <c r="AD36" s="34"/>
    </row>
    <row r="37" spans="26:30" ht="12.75" customHeight="1">
      <c r="Z37" s="37" t="s">
        <v>27</v>
      </c>
      <c r="AA37" s="34">
        <v>1380</v>
      </c>
      <c r="AB37" s="34">
        <v>156</v>
      </c>
      <c r="AC37" s="34">
        <v>230</v>
      </c>
      <c r="AD37" s="34"/>
    </row>
    <row r="38" spans="26:30" ht="12.75" customHeight="1">
      <c r="Z38" s="34"/>
      <c r="AA38" s="34"/>
      <c r="AB38" s="34"/>
      <c r="AC38" s="34"/>
      <c r="AD38" s="34"/>
    </row>
    <row r="39" spans="26:30" ht="12.75" customHeight="1">
      <c r="Z39" s="34"/>
      <c r="AA39" s="34"/>
      <c r="AB39" s="34"/>
      <c r="AC39" s="34"/>
      <c r="AD39" s="34"/>
    </row>
    <row r="40" spans="26:30" ht="12.75" customHeight="1">
      <c r="Z40" s="34" t="s">
        <v>28</v>
      </c>
      <c r="AA40" s="34"/>
      <c r="AB40" s="34"/>
      <c r="AC40" s="34"/>
      <c r="AD40" s="34"/>
    </row>
    <row r="41" spans="26:30" ht="12.75" customHeight="1">
      <c r="Z41" s="34"/>
      <c r="AA41" s="34" t="s">
        <v>18</v>
      </c>
      <c r="AB41" s="34" t="s">
        <v>19</v>
      </c>
      <c r="AC41" s="34"/>
      <c r="AD41" s="34"/>
    </row>
    <row r="42" spans="26:30" ht="12.75" customHeight="1">
      <c r="Z42" s="35" t="s">
        <v>21</v>
      </c>
      <c r="AA42" s="36">
        <v>1376</v>
      </c>
      <c r="AB42" s="36">
        <f>4121+100</f>
        <v>4221</v>
      </c>
      <c r="AC42" s="34"/>
      <c r="AD42" s="34"/>
    </row>
    <row r="43" spans="26:30" ht="12.75" customHeight="1">
      <c r="Z43" s="35" t="s">
        <v>22</v>
      </c>
      <c r="AA43" s="36">
        <v>1182</v>
      </c>
      <c r="AB43" s="36">
        <f>3711+14</f>
        <v>3725</v>
      </c>
      <c r="AC43" s="34"/>
      <c r="AD43" s="34"/>
    </row>
    <row r="44" spans="26:30" ht="12.75" customHeight="1">
      <c r="Z44" s="35" t="s">
        <v>7</v>
      </c>
      <c r="AA44" s="36">
        <v>1124</v>
      </c>
      <c r="AB44" s="36">
        <f>3607+24</f>
        <v>3631</v>
      </c>
      <c r="AC44" s="34"/>
      <c r="AD44" s="34"/>
    </row>
    <row r="45" spans="26:30" ht="12.75" customHeight="1">
      <c r="Z45" s="35" t="s">
        <v>8</v>
      </c>
      <c r="AA45" s="36">
        <v>1066</v>
      </c>
      <c r="AB45" s="36">
        <f>20</f>
        <v>20</v>
      </c>
      <c r="AC45" s="34"/>
      <c r="AD45" s="34"/>
    </row>
    <row r="46" spans="26:30" ht="12.75" customHeight="1">
      <c r="Z46" s="35" t="s">
        <v>9</v>
      </c>
      <c r="AA46" s="36">
        <v>1006</v>
      </c>
      <c r="AB46" s="36">
        <v>0</v>
      </c>
      <c r="AC46" s="34"/>
      <c r="AD46" s="34"/>
    </row>
    <row r="47" spans="26:30" ht="12.75" customHeight="1">
      <c r="Z47" s="35" t="s">
        <v>10</v>
      </c>
      <c r="AA47" s="36">
        <v>1044</v>
      </c>
      <c r="AB47" s="36">
        <v>0</v>
      </c>
      <c r="AC47" s="34"/>
      <c r="AD47" s="34"/>
    </row>
    <row r="48" spans="26:30" ht="12.75" customHeight="1">
      <c r="Z48" s="35" t="s">
        <v>11</v>
      </c>
      <c r="AA48" s="36">
        <v>1168</v>
      </c>
      <c r="AB48" s="36">
        <f>3341+6</f>
        <v>3347</v>
      </c>
      <c r="AC48" s="34"/>
      <c r="AD48" s="34"/>
    </row>
    <row r="49" spans="26:30" ht="12.75" customHeight="1">
      <c r="Z49" s="35" t="s">
        <v>23</v>
      </c>
      <c r="AA49" s="36">
        <v>1276</v>
      </c>
      <c r="AB49" s="36">
        <f>3243+6</f>
        <v>3249</v>
      </c>
      <c r="AC49" s="34"/>
      <c r="AD49" s="34"/>
    </row>
    <row r="50" spans="26:30" ht="12.75" customHeight="1">
      <c r="Z50" s="35" t="s">
        <v>24</v>
      </c>
      <c r="AA50" s="36">
        <v>1190</v>
      </c>
      <c r="AB50" s="36">
        <f>16</f>
        <v>16</v>
      </c>
      <c r="AC50" s="34"/>
      <c r="AD50" s="34"/>
    </row>
    <row r="51" spans="26:30" ht="12.75" customHeight="1">
      <c r="Z51" s="35" t="s">
        <v>25</v>
      </c>
      <c r="AA51" s="36">
        <v>1358</v>
      </c>
      <c r="AB51" s="36">
        <v>6</v>
      </c>
      <c r="AC51" s="34"/>
      <c r="AD51" s="34"/>
    </row>
    <row r="52" spans="26:30" ht="12.75" customHeight="1">
      <c r="Z52" s="35" t="s">
        <v>26</v>
      </c>
      <c r="AA52" s="36">
        <v>1396</v>
      </c>
      <c r="AB52" s="36">
        <v>22</v>
      </c>
      <c r="AC52" s="34"/>
      <c r="AD52" s="34"/>
    </row>
    <row r="53" spans="26:30" ht="12.75" customHeight="1">
      <c r="Z53" s="37" t="s">
        <v>27</v>
      </c>
      <c r="AA53" s="38">
        <v>1626</v>
      </c>
      <c r="AB53" s="38">
        <f>3684+26</f>
        <v>3710</v>
      </c>
      <c r="AC53" s="34"/>
      <c r="AD53" s="34"/>
    </row>
  </sheetData>
  <mergeCells count="7">
    <mergeCell ref="A1:J1"/>
    <mergeCell ref="A2:J2"/>
    <mergeCell ref="J3:J4"/>
    <mergeCell ref="A3:A4"/>
    <mergeCell ref="B3:B4"/>
    <mergeCell ref="C3:F3"/>
    <mergeCell ref="G3:I3"/>
  </mergeCells>
  <pageMargins left="0.57999999999999996" right="0.16" top="0.75" bottom="0.75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11.15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2013-07-07T08:59:47Z</cp:lastPrinted>
  <dcterms:created xsi:type="dcterms:W3CDTF">2013-04-28T05:32:41Z</dcterms:created>
  <dcterms:modified xsi:type="dcterms:W3CDTF">2013-07-08T05:40:11Z</dcterms:modified>
</cp:coreProperties>
</file>