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11" sheetId="13" r:id="rId1"/>
  </sheets>
  <definedNames>
    <definedName name="_xlnm.Print_Area" localSheetId="0">'11.11'!$A$1:$N$21</definedName>
  </definedNames>
  <calcPr calcId="124519"/>
</workbook>
</file>

<file path=xl/calcChain.xml><?xml version="1.0" encoding="utf-8"?>
<calcChain xmlns="http://schemas.openxmlformats.org/spreadsheetml/2006/main">
  <c r="G13" i="13"/>
  <c r="G7"/>
  <c r="D16"/>
  <c r="C16"/>
  <c r="B16"/>
  <c r="C15"/>
  <c r="B15"/>
  <c r="L13"/>
  <c r="K13"/>
  <c r="I13"/>
  <c r="H13"/>
  <c r="E13"/>
  <c r="D13"/>
  <c r="C13"/>
  <c r="B13"/>
  <c r="D10"/>
  <c r="C10"/>
  <c r="B10"/>
  <c r="D8"/>
  <c r="C8"/>
  <c r="B8"/>
  <c r="L7"/>
  <c r="K7"/>
  <c r="I7"/>
  <c r="H7"/>
  <c r="E7"/>
  <c r="D7"/>
  <c r="C7"/>
  <c r="B7"/>
</calcChain>
</file>

<file path=xl/sharedStrings.xml><?xml version="1.0" encoding="utf-8"?>
<sst xmlns="http://schemas.openxmlformats.org/spreadsheetml/2006/main" count="58" uniqueCount="48">
  <si>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</si>
  <si>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</si>
  <si>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</si>
  <si>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</si>
  <si>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</si>
  <si>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</si>
  <si>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</si>
  <si>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</si>
  <si>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</si>
  <si>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</si>
  <si>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</si>
  <si>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</si>
  <si>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</si>
  <si>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</si>
  <si>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</si>
  <si>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</si>
  <si>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</si>
  <si>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</si>
  <si>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</si>
  <si>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</si>
  <si>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</si>
  <si>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</si>
  <si>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</si>
  <si>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</si>
  <si>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Mega Maldives</t>
  </si>
  <si>
    <t xml:space="preserve"> cscviDclOm Wgem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</si>
  <si>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</si>
  <si>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</si>
  <si>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</si>
  <si>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</si>
  <si>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</si>
  <si>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</si>
  <si>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</si>
  <si>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</si>
  <si>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</si>
  <si>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</si>
  <si>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</si>
  <si>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</si>
  <si>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 xml:space="preserve">Note: </t>
  </si>
  <si>
    <t>Gan international flights do not have the permit to handle Cargo &amp; Mail</t>
  </si>
  <si>
    <t xml:space="preserve">.evekwtcTiawlcf WviretctWkwrwH iawgukwtcscnwlEvrws idwa Wmwkcnwk clwkinckeT ,gcninErcT ,cnugenOTof Inenemih iawgiawbim 1_/  </t>
  </si>
  <si>
    <t>Villa Air</t>
  </si>
  <si>
    <t>ވިލާ އެއަރ</t>
  </si>
  <si>
    <r>
      <rPr>
        <i/>
        <vertAlign val="superscript"/>
        <sz val="10"/>
        <rFont val="Calibri"/>
        <family val="2"/>
        <scheme val="minor"/>
      </rPr>
      <t>1_</t>
    </r>
    <r>
      <rPr>
        <i/>
        <sz val="10"/>
        <rFont val="Calibri"/>
        <family val="2"/>
        <scheme val="minor"/>
      </rPr>
      <t>/  Includes movements by photo, training, technical and surveillance flights</t>
    </r>
  </si>
  <si>
    <t>ނޯޓް:</t>
  </si>
  <si>
    <t xml:space="preserve">Table 11.11  TRANSPORT MOVEMENTS AT GAN INTERNATIONAL AIRPORT  BY AIRLINE, CROSS-CLASSIFIED BY PASSENGER, CARGO AND MAIL, 2012                   </t>
  </si>
  <si>
    <t>2012 ,cliaem iaWlwdum unulufua iaWncnurwjcniswf irukurutwfurutwd cnurwhwfuTOb egukwtcniawlrwaea ikeaikea cSwrwdnwbegiawv ImWvcqwaclwniawb egumwg  11.11:clwvWt</t>
  </si>
  <si>
    <t>ގަން އިންޓަރނޭޝަނަލް އެއަރޕޯޓަށް ބައިނަލް އަޤްވާވީ ޕްލައިޓްތަކުން މުދާ އަދި މެއިލް އެތެރެކުރުމުގެ ހުއްދަ ދެވިފައެއްނުވެއެވެ.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</si>
</sst>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b/>
      <sz val="12"/>
      <name val="A_Randhoo"/>
    </font>
    <font>
      <sz val="10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i/>
      <vertAlign val="superscript"/>
      <sz val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5" fillId="0" borderId="0"/>
    <xf numFmtId="0" fontId="1" fillId="0" borderId="0"/>
    <xf numFmtId="0" fontId="5" fillId="0" borderId="0"/>
    <xf numFmtId="164" fontId="13" fillId="0" borderId="0"/>
    <xf numFmtId="0" fontId="5" fillId="0" borderId="0"/>
    <xf numFmtId="40" fontId="3" fillId="0" borderId="0" applyFont="0" applyFill="0" applyBorder="0" applyAlignment="0" applyProtection="0"/>
    <xf numFmtId="166" fontId="13" fillId="0" borderId="0"/>
    <xf numFmtId="165" fontId="13" fillId="0" borderId="0" applyFont="0" applyFill="0" applyBorder="0" applyAlignment="0" applyProtection="0"/>
    <xf numFmtId="166" fontId="13" fillId="0" borderId="0"/>
    <xf numFmtId="164" fontId="13" fillId="0" borderId="0"/>
    <xf numFmtId="0" fontId="5" fillId="0" borderId="0"/>
  </cellStyleXfs>
  <cellXfs count="58">
    <xf numFmtId="0" fontId="0" fillId="0" borderId="0" xfId="0"/>
    <xf numFmtId="0" fontId="12" fillId="2" borderId="1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Border="1" applyAlignment="1" applyProtection="1">
      <alignment horizontal="left"/>
    </xf>
    <xf numFmtId="164" fontId="21" fillId="2" borderId="0" xfId="12" applyNumberFormat="1" applyFont="1" applyFill="1" applyBorder="1" applyAlignment="1" applyProtection="1">
      <alignment horizontal="left" vertical="center"/>
    </xf>
    <xf numFmtId="0" fontId="7" fillId="2" borderId="0" xfId="7" applyFont="1" applyFill="1" applyAlignment="1">
      <alignment vertical="center"/>
    </xf>
    <xf numFmtId="164" fontId="8" fillId="2" borderId="2" xfId="12" applyNumberFormat="1" applyFont="1" applyFill="1" applyBorder="1" applyAlignment="1" applyProtection="1">
      <alignment horizontal="left" vertical="center"/>
    </xf>
    <xf numFmtId="164" fontId="22" fillId="2" borderId="2" xfId="12" applyNumberFormat="1" applyFont="1" applyFill="1" applyBorder="1" applyAlignment="1">
      <alignment horizontal="right" vertical="center"/>
    </xf>
    <xf numFmtId="164" fontId="14" fillId="2" borderId="0" xfId="12" applyNumberFormat="1" applyFont="1" applyFill="1" applyBorder="1" applyAlignment="1">
      <alignment horizontal="right" vertical="center"/>
    </xf>
    <xf numFmtId="0" fontId="10" fillId="2" borderId="0" xfId="7" applyFont="1" applyFill="1" applyBorder="1" applyAlignment="1">
      <alignment vertical="center"/>
    </xf>
    <xf numFmtId="164" fontId="8" fillId="2" borderId="0" xfId="12" applyNumberFormat="1" applyFont="1" applyFill="1" applyBorder="1" applyAlignment="1" applyProtection="1">
      <alignment horizontal="left" vertical="center"/>
    </xf>
    <xf numFmtId="164" fontId="18" fillId="2" borderId="0" xfId="12" applyNumberFormat="1" applyFont="1" applyFill="1" applyBorder="1" applyAlignment="1">
      <alignment horizontal="right" vertical="center"/>
    </xf>
    <xf numFmtId="164" fontId="8" fillId="2" borderId="2" xfId="12" applyNumberFormat="1" applyFont="1" applyFill="1" applyBorder="1" applyAlignment="1">
      <alignment vertical="center"/>
    </xf>
    <xf numFmtId="164" fontId="8" fillId="2" borderId="2" xfId="12" applyNumberFormat="1" applyFont="1" applyFill="1" applyBorder="1" applyAlignment="1" applyProtection="1">
      <alignment horizontal="right" vertical="center"/>
    </xf>
    <xf numFmtId="38" fontId="15" fillId="2" borderId="0" xfId="8" applyNumberFormat="1" applyFont="1" applyFill="1" applyAlignment="1">
      <alignment horizontal="right" vertical="center"/>
    </xf>
    <xf numFmtId="38" fontId="15" fillId="2" borderId="0" xfId="8" applyNumberFormat="1" applyFont="1" applyFill="1" applyBorder="1" applyAlignment="1" applyProtection="1">
      <alignment horizontal="right" vertical="center"/>
    </xf>
    <xf numFmtId="0" fontId="20" fillId="2" borderId="0" xfId="7" applyFont="1" applyFill="1" applyBorder="1" applyAlignment="1">
      <alignment horizontal="right"/>
    </xf>
    <xf numFmtId="38" fontId="15" fillId="2" borderId="0" xfId="8" applyNumberFormat="1" applyFont="1" applyFill="1" applyBorder="1" applyAlignment="1">
      <alignment horizontal="right" vertical="center"/>
    </xf>
    <xf numFmtId="164" fontId="14" fillId="2" borderId="0" xfId="12" applyNumberFormat="1" applyFont="1" applyFill="1" applyAlignment="1">
      <alignment horizontal="right" vertical="center"/>
    </xf>
    <xf numFmtId="38" fontId="6" fillId="2" borderId="0" xfId="8" applyNumberFormat="1" applyFont="1" applyFill="1" applyAlignment="1" applyProtection="1">
      <alignment horizontal="right" vertical="center"/>
    </xf>
    <xf numFmtId="38" fontId="6" fillId="2" borderId="0" xfId="8" applyNumberFormat="1" applyFont="1" applyFill="1" applyAlignment="1">
      <alignment horizontal="right" vertical="center"/>
    </xf>
    <xf numFmtId="37" fontId="10" fillId="2" borderId="0" xfId="12" applyNumberFormat="1" applyFont="1" applyFill="1" applyBorder="1" applyAlignment="1" applyProtection="1">
      <alignment horizontal="right" vertical="center"/>
    </xf>
    <xf numFmtId="37" fontId="10" fillId="2" borderId="0" xfId="12" applyNumberFormat="1" applyFont="1" applyFill="1" applyAlignment="1" applyProtection="1">
      <alignment vertical="center"/>
    </xf>
    <xf numFmtId="0" fontId="9" fillId="2" borderId="0" xfId="13" applyFont="1" applyFill="1" applyAlignment="1">
      <alignment vertical="center"/>
    </xf>
    <xf numFmtId="164" fontId="9" fillId="2" borderId="0" xfId="12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7" fillId="2" borderId="2" xfId="12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/>
    <xf numFmtId="164" fontId="14" fillId="2" borderId="2" xfId="12" applyNumberFormat="1" applyFont="1" applyFill="1" applyBorder="1" applyAlignment="1">
      <alignment horizontal="right" vertical="center"/>
    </xf>
    <xf numFmtId="164" fontId="8" fillId="2" borderId="2" xfId="12" applyNumberFormat="1" applyFont="1" applyFill="1" applyBorder="1" applyAlignment="1" applyProtection="1">
      <alignment vertical="center"/>
    </xf>
    <xf numFmtId="164" fontId="14" fillId="2" borderId="0" xfId="12" applyNumberFormat="1" applyFont="1" applyFill="1" applyBorder="1" applyAlignment="1">
      <alignment horizontal="right" vertical="center" wrapText="1"/>
    </xf>
    <xf numFmtId="0" fontId="14" fillId="2" borderId="0" xfId="7" applyFont="1" applyFill="1" applyBorder="1" applyAlignment="1">
      <alignment horizontal="right" vertical="center"/>
    </xf>
    <xf numFmtId="0" fontId="14" fillId="2" borderId="2" xfId="7" applyFont="1" applyFill="1" applyBorder="1" applyAlignment="1">
      <alignment vertical="center"/>
    </xf>
    <xf numFmtId="38" fontId="6" fillId="2" borderId="0" xfId="8" applyNumberFormat="1" applyFont="1" applyFill="1" applyBorder="1" applyAlignment="1">
      <alignment horizontal="right" vertical="center"/>
    </xf>
    <xf numFmtId="0" fontId="18" fillId="2" borderId="0" xfId="7" applyFont="1" applyFill="1" applyBorder="1" applyAlignment="1">
      <alignment horizontal="right" vertical="center"/>
    </xf>
    <xf numFmtId="0" fontId="20" fillId="2" borderId="0" xfId="7" applyFont="1" applyFill="1" applyBorder="1" applyAlignment="1">
      <alignment horizontal="right" vertical="center"/>
    </xf>
    <xf numFmtId="164" fontId="6" fillId="2" borderId="0" xfId="12" applyNumberFormat="1" applyFont="1" applyFill="1" applyBorder="1" applyAlignment="1" applyProtection="1">
      <alignment horizontal="left" vertical="center"/>
    </xf>
    <xf numFmtId="38" fontId="6" fillId="2" borderId="0" xfId="8" applyNumberFormat="1" applyFont="1" applyFill="1" applyAlignment="1">
      <alignment horizontal="right"/>
    </xf>
    <xf numFmtId="164" fontId="18" fillId="2" borderId="0" xfId="12" applyNumberFormat="1" applyFont="1" applyFill="1" applyBorder="1" applyAlignment="1" applyProtection="1">
      <alignment horizontal="right" vertical="center"/>
    </xf>
    <xf numFmtId="38" fontId="15" fillId="2" borderId="0" xfId="8" applyNumberFormat="1" applyFont="1" applyFill="1" applyBorder="1" applyAlignment="1" applyProtection="1">
      <alignment horizontal="right" vertical="center"/>
      <protection locked="0"/>
    </xf>
    <xf numFmtId="38" fontId="15" fillId="2" borderId="0" xfId="8" applyNumberFormat="1" applyFont="1" applyFill="1" applyAlignment="1">
      <alignment horizontal="right"/>
    </xf>
    <xf numFmtId="38" fontId="15" fillId="2" borderId="2" xfId="8" applyNumberFormat="1" applyFont="1" applyFill="1" applyBorder="1" applyAlignment="1" applyProtection="1">
      <alignment horizontal="right" vertical="center"/>
      <protection locked="0"/>
    </xf>
    <xf numFmtId="38" fontId="15" fillId="2" borderId="2" xfId="8" applyNumberFormat="1" applyFont="1" applyFill="1" applyBorder="1" applyAlignment="1">
      <alignment horizontal="right" vertical="center"/>
    </xf>
    <xf numFmtId="0" fontId="20" fillId="2" borderId="2" xfId="7" applyFont="1" applyFill="1" applyBorder="1" applyAlignment="1">
      <alignment horizontal="right" vertical="center"/>
    </xf>
    <xf numFmtId="164" fontId="17" fillId="2" borderId="0" xfId="12" applyNumberFormat="1" applyFont="1" applyFill="1" applyBorder="1" applyAlignment="1">
      <alignment vertical="center"/>
    </xf>
    <xf numFmtId="164" fontId="10" fillId="2" borderId="0" xfId="12" applyNumberFormat="1" applyFont="1" applyFill="1" applyBorder="1" applyAlignment="1" applyProtection="1">
      <alignment horizontal="right" vertical="center"/>
    </xf>
    <xf numFmtId="164" fontId="13" fillId="2" borderId="0" xfId="0" applyNumberFormat="1" applyFont="1" applyFill="1"/>
    <xf numFmtId="164" fontId="17" fillId="2" borderId="0" xfId="12" applyNumberFormat="1" applyFont="1" applyFill="1" applyBorder="1" applyAlignment="1" applyProtection="1">
      <alignment horizontal="left" vertical="center"/>
    </xf>
    <xf numFmtId="164" fontId="11" fillId="2" borderId="0" xfId="12" applyNumberFormat="1" applyFont="1" applyFill="1" applyAlignment="1" applyProtection="1">
      <alignment horizontal="left" vertical="center"/>
    </xf>
    <xf numFmtId="0" fontId="12" fillId="2" borderId="0" xfId="7" applyFont="1" applyFill="1" applyBorder="1" applyAlignment="1">
      <alignment horizontal="right"/>
    </xf>
    <xf numFmtId="164" fontId="15" fillId="2" borderId="0" xfId="12" applyNumberFormat="1" applyFont="1" applyFill="1" applyBorder="1" applyAlignment="1" applyProtection="1">
      <alignment horizontal="left" vertical="center"/>
    </xf>
    <xf numFmtId="164" fontId="17" fillId="2" borderId="0" xfId="12" applyNumberFormat="1" applyFont="1" applyFill="1" applyAlignment="1" applyProtection="1">
      <alignment horizontal="left" vertical="center"/>
    </xf>
    <xf numFmtId="164" fontId="6" fillId="2" borderId="0" xfId="12" applyNumberFormat="1" applyFont="1" applyFill="1" applyBorder="1" applyAlignment="1">
      <alignment horizontal="left" vertical="center"/>
    </xf>
    <xf numFmtId="164" fontId="15" fillId="2" borderId="0" xfId="12" applyNumberFormat="1" applyFont="1" applyFill="1" applyBorder="1" applyAlignment="1">
      <alignment horizontal="left" vertical="center"/>
    </xf>
    <xf numFmtId="164" fontId="15" fillId="2" borderId="2" xfId="0" applyNumberFormat="1" applyFont="1" applyFill="1" applyBorder="1" applyAlignment="1" applyProtection="1">
      <alignment horizontal="left" vertical="center"/>
    </xf>
    <xf numFmtId="0" fontId="12" fillId="2" borderId="0" xfId="7" applyFont="1" applyFill="1" applyBorder="1" applyAlignment="1">
      <alignment horizontal="right" vertical="center"/>
    </xf>
    <xf numFmtId="164" fontId="12" fillId="2" borderId="0" xfId="0" applyNumberFormat="1" applyFont="1" applyFill="1"/>
    <xf numFmtId="164" fontId="19" fillId="2" borderId="0" xfId="12" applyNumberFormat="1" applyFont="1" applyFill="1" applyBorder="1" applyAlignment="1">
      <alignment horizontal="center" vertical="center"/>
    </xf>
    <xf numFmtId="164" fontId="24" fillId="2" borderId="0" xfId="12" applyNumberFormat="1" applyFont="1" applyFill="1" applyBorder="1" applyAlignment="1" applyProtection="1">
      <alignment horizontal="center" vertical="center"/>
    </xf>
  </cellXfs>
  <cellStyles count="14">
    <cellStyle name="Comma 2" xfId="8"/>
    <cellStyle name="Comma 4" xfId="10"/>
    <cellStyle name="Hyperlink 2" xfId="1"/>
    <cellStyle name="Normal" xfId="0" builtinId="0"/>
    <cellStyle name="Normal 2" xfId="12"/>
    <cellStyle name="Normal 2 2" xfId="6"/>
    <cellStyle name="Normal 2 3" xfId="3"/>
    <cellStyle name="Normal 3" xfId="11"/>
    <cellStyle name="Normal 3 2" xfId="5"/>
    <cellStyle name="Normal 4" xfId="9"/>
    <cellStyle name="Normal 5" xfId="4"/>
    <cellStyle name="Normal 6" xfId="2"/>
    <cellStyle name="Normal_IX-6(Trans &amp; Comm)" xfId="13"/>
    <cellStyle name="Normal_IX-9(Trans &amp; Comm)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activeCell="A2" sqref="A2:M2"/>
    </sheetView>
  </sheetViews>
  <sheetFormatPr defaultRowHeight="15"/>
  <cols>
    <col min="1" max="1" width="22.85546875" style="24" customWidth="1"/>
    <col min="2" max="2" width="14.85546875" style="24" customWidth="1"/>
    <col min="3" max="4" width="12.28515625" style="24" customWidth="1"/>
    <col min="5" max="5" width="15.7109375" style="24" customWidth="1"/>
    <col min="6" max="6" width="3" style="24" customWidth="1"/>
    <col min="7" max="7" width="11.28515625" style="24" customWidth="1"/>
    <col min="8" max="8" width="12.85546875" style="24" customWidth="1"/>
    <col min="9" max="9" width="16.7109375" style="24" customWidth="1"/>
    <col min="10" max="10" width="2.7109375" style="24" customWidth="1"/>
    <col min="11" max="12" width="11.42578125" style="24" customWidth="1"/>
    <col min="13" max="13" width="38.85546875" style="24" customWidth="1"/>
    <col min="14" max="14" width="4.140625" style="24" customWidth="1"/>
    <col min="15" max="16384" width="9.140625" style="24"/>
  </cols>
  <sheetData>
    <row r="1" spans="1:13" ht="17.25" customHeight="1">
      <c r="A1" s="56" t="s">
        <v>46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9.5" customHeight="1">
      <c r="A2" s="57" t="s">
        <v>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26" customFormat="1" ht="9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7.25" customHeight="1">
      <c r="A4" s="3"/>
      <c r="B4" s="4"/>
      <c r="C4" s="5" t="s">
        <v>2</v>
      </c>
      <c r="D4" s="6"/>
      <c r="E4" s="27" t="s">
        <v>3</v>
      </c>
      <c r="F4" s="7"/>
      <c r="G4" s="28" t="s">
        <v>4</v>
      </c>
      <c r="H4" s="6"/>
      <c r="I4" s="27" t="s">
        <v>5</v>
      </c>
      <c r="J4" s="7"/>
      <c r="K4" s="5" t="s">
        <v>6</v>
      </c>
      <c r="L4" s="27" t="s">
        <v>7</v>
      </c>
      <c r="M4" s="8"/>
    </row>
    <row r="5" spans="1:13" ht="24" customHeight="1">
      <c r="A5" s="9" t="s">
        <v>8</v>
      </c>
      <c r="B5" s="7" t="s">
        <v>9</v>
      </c>
      <c r="C5" s="7" t="s">
        <v>10</v>
      </c>
      <c r="D5" s="17" t="s">
        <v>11</v>
      </c>
      <c r="E5" s="7" t="s">
        <v>12</v>
      </c>
      <c r="F5" s="7"/>
      <c r="G5" s="7" t="s">
        <v>13</v>
      </c>
      <c r="H5" s="7" t="s">
        <v>14</v>
      </c>
      <c r="I5" s="29" t="s">
        <v>12</v>
      </c>
      <c r="J5" s="7"/>
      <c r="K5" s="7" t="s">
        <v>13</v>
      </c>
      <c r="L5" s="17" t="s">
        <v>14</v>
      </c>
      <c r="M5" s="30" t="s">
        <v>15</v>
      </c>
    </row>
    <row r="6" spans="1:13" ht="17.25" customHeight="1">
      <c r="A6" s="11"/>
      <c r="B6" s="12" t="s">
        <v>16</v>
      </c>
      <c r="C6" s="12" t="s">
        <v>17</v>
      </c>
      <c r="D6" s="12" t="s">
        <v>18</v>
      </c>
      <c r="E6" s="12" t="s">
        <v>19</v>
      </c>
      <c r="F6" s="12"/>
      <c r="G6" s="12" t="s">
        <v>17</v>
      </c>
      <c r="H6" s="12" t="s">
        <v>18</v>
      </c>
      <c r="I6" s="12" t="s">
        <v>19</v>
      </c>
      <c r="J6" s="12"/>
      <c r="K6" s="12" t="s">
        <v>17</v>
      </c>
      <c r="L6" s="12" t="s">
        <v>18</v>
      </c>
      <c r="M6" s="31"/>
    </row>
    <row r="7" spans="1:13" ht="20.25" customHeight="1">
      <c r="A7" s="51" t="s">
        <v>1</v>
      </c>
      <c r="B7" s="32">
        <f>SUM(B8+B13)</f>
        <v>5469</v>
      </c>
      <c r="C7" s="32">
        <f>SUM(C8+C13)</f>
        <v>53278</v>
      </c>
      <c r="D7" s="32">
        <f>SUM(D8+D13)</f>
        <v>53752</v>
      </c>
      <c r="E7" s="32">
        <f>SUM(E8+E13)</f>
        <v>10640</v>
      </c>
      <c r="F7" s="32"/>
      <c r="G7" s="32">
        <f>SUM(G13)</f>
        <v>256716.5</v>
      </c>
      <c r="H7" s="32">
        <f>SUM(H13)</f>
        <v>26118.100000000002</v>
      </c>
      <c r="I7" s="32">
        <f>SUM(I13)</f>
        <v>9580.5</v>
      </c>
      <c r="J7" s="32"/>
      <c r="K7" s="32">
        <f>SUM(K13)</f>
        <v>5559.4</v>
      </c>
      <c r="L7" s="32">
        <f>SUM(L13)</f>
        <v>999.80000000000007</v>
      </c>
      <c r="M7" s="33" t="s">
        <v>0</v>
      </c>
    </row>
    <row r="8" spans="1:13" ht="20.25" customHeight="1">
      <c r="A8" s="51" t="s">
        <v>20</v>
      </c>
      <c r="B8" s="32">
        <f>SUM(B9+B10+B12)</f>
        <v>164</v>
      </c>
      <c r="C8" s="32">
        <f>SUM(C9+C10+C12)</f>
        <v>779</v>
      </c>
      <c r="D8" s="32">
        <f>SUM(D9+D10+D12)</f>
        <v>1339</v>
      </c>
      <c r="E8" s="32">
        <v>0</v>
      </c>
      <c r="F8" s="32"/>
      <c r="G8" s="32">
        <v>0</v>
      </c>
      <c r="H8" s="32">
        <v>0</v>
      </c>
      <c r="I8" s="32">
        <v>0</v>
      </c>
      <c r="J8" s="32"/>
      <c r="K8" s="32">
        <v>0</v>
      </c>
      <c r="L8" s="32">
        <v>0</v>
      </c>
      <c r="M8" s="33" t="s">
        <v>21</v>
      </c>
    </row>
    <row r="9" spans="1:13" ht="20.25" customHeight="1">
      <c r="A9" s="51" t="s">
        <v>22</v>
      </c>
      <c r="B9" s="32">
        <v>0</v>
      </c>
      <c r="C9" s="32">
        <v>0</v>
      </c>
      <c r="D9" s="32">
        <v>0</v>
      </c>
      <c r="E9" s="32">
        <v>0</v>
      </c>
      <c r="F9" s="32"/>
      <c r="G9" s="32">
        <v>0</v>
      </c>
      <c r="H9" s="32">
        <v>0</v>
      </c>
      <c r="I9" s="32">
        <v>0</v>
      </c>
      <c r="J9" s="32"/>
      <c r="K9" s="32">
        <v>0</v>
      </c>
      <c r="L9" s="32">
        <v>0</v>
      </c>
      <c r="M9" s="33" t="s">
        <v>23</v>
      </c>
    </row>
    <row r="10" spans="1:13" ht="20.25" customHeight="1">
      <c r="A10" s="51" t="s">
        <v>26</v>
      </c>
      <c r="B10" s="32">
        <f>SUM(B11:B11)</f>
        <v>8</v>
      </c>
      <c r="C10" s="32">
        <f>SUM(C11:C11)</f>
        <v>385</v>
      </c>
      <c r="D10" s="32">
        <f>SUM(D11:D11)</f>
        <v>967</v>
      </c>
      <c r="E10" s="32">
        <v>0</v>
      </c>
      <c r="F10" s="32"/>
      <c r="G10" s="32">
        <v>0</v>
      </c>
      <c r="H10" s="32">
        <v>0</v>
      </c>
      <c r="I10" s="32">
        <v>0</v>
      </c>
      <c r="J10" s="32"/>
      <c r="K10" s="32">
        <v>0</v>
      </c>
      <c r="L10" s="32">
        <v>0</v>
      </c>
      <c r="M10" s="33" t="s">
        <v>27</v>
      </c>
    </row>
    <row r="11" spans="1:13" ht="20.25" customHeight="1">
      <c r="A11" s="52" t="s">
        <v>24</v>
      </c>
      <c r="B11" s="16">
        <v>8</v>
      </c>
      <c r="C11" s="16">
        <v>385</v>
      </c>
      <c r="D11" s="16">
        <v>967</v>
      </c>
      <c r="E11" s="16">
        <v>0</v>
      </c>
      <c r="F11" s="16"/>
      <c r="G11" s="16">
        <v>0</v>
      </c>
      <c r="H11" s="16">
        <v>0</v>
      </c>
      <c r="I11" s="16">
        <v>0</v>
      </c>
      <c r="J11" s="16"/>
      <c r="K11" s="16">
        <v>0</v>
      </c>
      <c r="L11" s="16">
        <v>0</v>
      </c>
      <c r="M11" s="15" t="s">
        <v>25</v>
      </c>
    </row>
    <row r="12" spans="1:13" ht="20.25" customHeight="1">
      <c r="A12" s="35" t="s">
        <v>28</v>
      </c>
      <c r="B12" s="19">
        <v>156</v>
      </c>
      <c r="C12" s="19">
        <v>394</v>
      </c>
      <c r="D12" s="36">
        <v>372</v>
      </c>
      <c r="E12" s="19">
        <v>0</v>
      </c>
      <c r="F12" s="19"/>
      <c r="G12" s="19">
        <v>0</v>
      </c>
      <c r="H12" s="19">
        <v>0</v>
      </c>
      <c r="I12" s="19">
        <v>0</v>
      </c>
      <c r="J12" s="19"/>
      <c r="K12" s="19">
        <v>0</v>
      </c>
      <c r="L12" s="19">
        <v>0</v>
      </c>
      <c r="M12" s="37" t="s">
        <v>29</v>
      </c>
    </row>
    <row r="13" spans="1:13" ht="20.25" customHeight="1">
      <c r="A13" s="35" t="s">
        <v>30</v>
      </c>
      <c r="B13" s="18">
        <f>SUM(B14:B17)</f>
        <v>5305</v>
      </c>
      <c r="C13" s="18">
        <f>SUM(C14:C17)</f>
        <v>52499</v>
      </c>
      <c r="D13" s="18">
        <f>SUM(D14:D17)</f>
        <v>52413</v>
      </c>
      <c r="E13" s="18">
        <f>SUM(E14:E17)</f>
        <v>10640</v>
      </c>
      <c r="F13" s="18"/>
      <c r="G13" s="18">
        <f>SUM(G14:G17)</f>
        <v>256716.5</v>
      </c>
      <c r="H13" s="18">
        <f>SUM(H14:H17)</f>
        <v>26118.100000000002</v>
      </c>
      <c r="I13" s="18">
        <f>SUM(I14:I17)</f>
        <v>9580.5</v>
      </c>
      <c r="J13" s="18"/>
      <c r="K13" s="18">
        <f>SUM(K14:K17)</f>
        <v>5559.4</v>
      </c>
      <c r="L13" s="18">
        <f>SUM(L14:L17)</f>
        <v>999.80000000000007</v>
      </c>
      <c r="M13" s="10" t="s">
        <v>31</v>
      </c>
    </row>
    <row r="14" spans="1:13" ht="20.25" customHeight="1">
      <c r="A14" s="49" t="s">
        <v>36</v>
      </c>
      <c r="B14" s="13">
        <v>3333</v>
      </c>
      <c r="C14" s="13">
        <v>45259</v>
      </c>
      <c r="D14" s="13">
        <v>44686</v>
      </c>
      <c r="E14" s="13">
        <v>10181</v>
      </c>
      <c r="F14" s="38"/>
      <c r="G14" s="13">
        <v>250559.5</v>
      </c>
      <c r="H14" s="13">
        <v>25355.100000000002</v>
      </c>
      <c r="I14" s="13">
        <v>9171.5</v>
      </c>
      <c r="J14" s="14"/>
      <c r="K14" s="39">
        <v>5522.4</v>
      </c>
      <c r="L14" s="39">
        <v>974.2</v>
      </c>
      <c r="M14" s="34" t="s">
        <v>37</v>
      </c>
    </row>
    <row r="15" spans="1:13" ht="20.25" customHeight="1">
      <c r="A15" s="52" t="s">
        <v>24</v>
      </c>
      <c r="B15" s="13">
        <f>1+6</f>
        <v>7</v>
      </c>
      <c r="C15" s="13">
        <f>164+362</f>
        <v>526</v>
      </c>
      <c r="D15" s="13">
        <v>451</v>
      </c>
      <c r="E15" s="16">
        <v>0</v>
      </c>
      <c r="F15" s="38"/>
      <c r="G15" s="16">
        <v>0</v>
      </c>
      <c r="H15" s="13">
        <v>4</v>
      </c>
      <c r="I15" s="16">
        <v>0</v>
      </c>
      <c r="J15" s="14"/>
      <c r="K15" s="16">
        <v>0</v>
      </c>
      <c r="L15" s="16">
        <v>0</v>
      </c>
      <c r="M15" s="15" t="s">
        <v>25</v>
      </c>
    </row>
    <row r="16" spans="1:13" ht="20.25" customHeight="1">
      <c r="A16" s="52" t="s">
        <v>41</v>
      </c>
      <c r="B16" s="13">
        <f>453+8</f>
        <v>461</v>
      </c>
      <c r="C16" s="13">
        <f>6635+60</f>
        <v>6695</v>
      </c>
      <c r="D16" s="13">
        <f>7240+36</f>
        <v>7276</v>
      </c>
      <c r="E16" s="13">
        <v>459</v>
      </c>
      <c r="F16" s="38"/>
      <c r="G16" s="13">
        <v>6157</v>
      </c>
      <c r="H16" s="13">
        <v>759</v>
      </c>
      <c r="I16" s="13">
        <v>409</v>
      </c>
      <c r="J16" s="14"/>
      <c r="K16" s="39">
        <v>37</v>
      </c>
      <c r="L16" s="39">
        <v>25.6</v>
      </c>
      <c r="M16" s="48" t="s">
        <v>42</v>
      </c>
    </row>
    <row r="17" spans="1:13" ht="17.25" customHeight="1">
      <c r="A17" s="53" t="s">
        <v>32</v>
      </c>
      <c r="B17" s="40">
        <v>1504</v>
      </c>
      <c r="C17" s="41">
        <v>19</v>
      </c>
      <c r="D17" s="41">
        <v>0</v>
      </c>
      <c r="E17" s="41">
        <v>0</v>
      </c>
      <c r="F17" s="41"/>
      <c r="G17" s="41">
        <v>0</v>
      </c>
      <c r="H17" s="41">
        <v>0</v>
      </c>
      <c r="I17" s="41">
        <v>0</v>
      </c>
      <c r="J17" s="41"/>
      <c r="K17" s="41">
        <v>0</v>
      </c>
      <c r="L17" s="41">
        <v>0</v>
      </c>
      <c r="M17" s="42" t="s">
        <v>33</v>
      </c>
    </row>
    <row r="18" spans="1:13" ht="12" customHeight="1">
      <c r="A18" s="2" t="s">
        <v>38</v>
      </c>
      <c r="B18" s="3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4" t="s">
        <v>44</v>
      </c>
    </row>
    <row r="19" spans="1:13" s="45" customFormat="1" ht="17.25" customHeight="1">
      <c r="A19" s="43" t="s">
        <v>39</v>
      </c>
      <c r="B19" s="44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5" t="s">
        <v>47</v>
      </c>
    </row>
    <row r="20" spans="1:13" s="45" customFormat="1" ht="15" customHeight="1">
      <c r="A20" s="46" t="s">
        <v>43</v>
      </c>
      <c r="B20" s="44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3" t="s">
        <v>40</v>
      </c>
    </row>
    <row r="21" spans="1:13" s="45" customFormat="1" ht="15" customHeight="1">
      <c r="A21" s="50" t="s">
        <v>34</v>
      </c>
      <c r="B21" s="47"/>
      <c r="C21" s="21"/>
      <c r="D21" s="21"/>
      <c r="E21" s="21"/>
      <c r="F21" s="21"/>
      <c r="G21" s="21"/>
      <c r="H21" s="22"/>
      <c r="I21" s="22"/>
      <c r="J21" s="22"/>
      <c r="M21" s="1" t="s">
        <v>35</v>
      </c>
    </row>
  </sheetData>
  <mergeCells count="2">
    <mergeCell ref="A1:M1"/>
    <mergeCell ref="A2:M2"/>
  </mergeCells>
  <pageMargins left="0.17" right="0.17" top="0.6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</vt:lpstr>
      <vt:lpstr>'11.11'!Print_Area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2013-07-08T05:07:14Z</dcterms:modified>
</cp:coreProperties>
</file>