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5135" windowHeight="7365" tabRatio="911"/>
  </bookViews>
  <sheets>
    <sheet name="11.20" sheetId="19" r:id="rId1"/>
  </sheets>
  <definedNames>
    <definedName name="_xlnm.Print_Area" localSheetId="0">'11.20'!$A$1:$G$20</definedName>
  </definedNames>
  <calcPr calcId="124519"/>
</workbook>
</file>

<file path=xl/calcChain.xml><?xml version="1.0" encoding="utf-8"?>
<calcChain xmlns="http://schemas.openxmlformats.org/spreadsheetml/2006/main">
  <c r="B18" i="19"/>
  <c r="B17"/>
  <c r="B16"/>
  <c r="B15"/>
  <c r="B14"/>
  <c r="B13"/>
  <c r="B12"/>
  <c r="B11"/>
  <c r="B10"/>
  <c r="B9"/>
  <c r="B8"/>
  <c r="B7"/>
  <c r="F6"/>
  <c r="E6"/>
  <c r="D6"/>
  <c r="C6"/>
  <c r="B6"/>
</calcChain>
</file>

<file path=xl/sharedStrings.xml><?xml version="1.0" encoding="utf-8"?>
<sst xmlns="http://schemas.openxmlformats.org/spreadsheetml/2006/main" count="40" uniqueCount="38">
  <si>
    <t>wlcmuj</t>
  </si>
  <si>
    <t>Total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</si>
  <si>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</si>
  <si>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</si>
  <si>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</si>
  <si>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</si>
  <si>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</si>
  <si>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</si>
  <si>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</si>
  <si>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</si>
  <si>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</si>
  <si>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</si>
  <si>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</si>
  <si>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</si>
  <si>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</si>
  <si>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</si>
  <si>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</si>
  <si>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</si>
  <si>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</si>
  <si>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cswm</t>
  </si>
  <si>
    <t>Irwaunej</t>
  </si>
  <si>
    <t>Irwaurcbef</t>
  </si>
  <si>
    <t>cCrWm</t>
  </si>
  <si>
    <t>Em</t>
  </si>
  <si>
    <t>cnUj</t>
  </si>
  <si>
    <t>iawluj</t>
  </si>
  <si>
    <t>rwbcmeTcpes</t>
  </si>
  <si>
    <t>rwbcmevon</t>
  </si>
  <si>
    <t>rwbcmesiD</t>
  </si>
  <si>
    <t>Inward</t>
  </si>
  <si>
    <t>Outward</t>
  </si>
  <si>
    <t xml:space="preserve"> Total </t>
  </si>
  <si>
    <t>clircpEa</t>
  </si>
  <si>
    <t>cTcswgoa</t>
  </si>
  <si>
    <t>rwbUTckoa</t>
  </si>
  <si>
    <t>Table  11.20 :  MAIL HANDLED AT IBRAHIM NASIR INTERNATIONAL AIRPORT  BY MONTH, 2012</t>
  </si>
  <si>
    <t xml:space="preserve">(in Kg) </t>
  </si>
  <si>
    <t>ތާވަލު 11.20: މަސްމަހުގެ ގޮތުން އިބްރާހީމް ނާސިރު އިންޓަރނޭޝަނަލް އެއަރޕޯޓުން އުފުލުނު މެއިލް، 2012</t>
  </si>
</sst>
</file>

<file path=xl/styles.xml><?xml version="1.0" encoding="utf-8"?>
<styleSheet xmlns="http://schemas.openxmlformats.org/spreadsheetml/2006/main">
  <numFmts count="4">
    <numFmt numFmtId="164" formatCode="General_)"/>
    <numFmt numFmtId="165" formatCode="[$-409]mmmm\ d\,\ yyyy;@"/>
    <numFmt numFmtId="166" formatCode="_(* #,##0_);_(* \(#,##0\);_(* &quot;-&quot;??_);_(@_)"/>
    <numFmt numFmtId="167" formatCode="#,##0.0_);[Red]\(#,##0.0\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0"/>
      <name val="Faruma"/>
    </font>
    <font>
      <sz val="9"/>
      <name val="Faruma"/>
    </font>
    <font>
      <sz val="10"/>
      <name val="Courier"/>
      <family val="3"/>
    </font>
    <font>
      <sz val="1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i/>
      <sz val="9"/>
      <name val="Calibri"/>
      <family val="2"/>
      <scheme val="minor"/>
    </font>
    <font>
      <i/>
      <sz val="10"/>
      <name val="Calibri"/>
      <family val="2"/>
      <scheme val="minor"/>
    </font>
    <font>
      <b/>
      <sz val="11"/>
      <name val="Faruma"/>
    </font>
    <font>
      <b/>
      <sz val="10"/>
      <name val="A_Randhoo"/>
    </font>
    <font>
      <sz val="10"/>
      <name val="Garamond"/>
      <family val="1"/>
    </font>
    <font>
      <sz val="10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4" fillId="0" borderId="0"/>
    <xf numFmtId="0" fontId="6" fillId="0" borderId="0"/>
    <xf numFmtId="0" fontId="1" fillId="0" borderId="0"/>
    <xf numFmtId="0" fontId="6" fillId="0" borderId="0"/>
    <xf numFmtId="164" fontId="12" fillId="0" borderId="0"/>
    <xf numFmtId="40" fontId="4" fillId="0" borderId="0" applyFont="0" applyFill="0" applyBorder="0" applyAlignment="0" applyProtection="0"/>
    <xf numFmtId="166" fontId="12" fillId="0" borderId="0"/>
    <xf numFmtId="165" fontId="12" fillId="0" borderId="0" applyFont="0" applyFill="0" applyBorder="0" applyAlignment="0" applyProtection="0"/>
    <xf numFmtId="166" fontId="12" fillId="0" borderId="0"/>
    <xf numFmtId="164" fontId="12" fillId="0" borderId="0"/>
    <xf numFmtId="0" fontId="6" fillId="0" borderId="0"/>
    <xf numFmtId="0" fontId="19" fillId="0" borderId="0"/>
  </cellStyleXfs>
  <cellXfs count="40">
    <xf numFmtId="0" fontId="0" fillId="0" borderId="0" xfId="0"/>
    <xf numFmtId="0" fontId="10" fillId="2" borderId="1" xfId="0" applyNumberFormat="1" applyFont="1" applyFill="1" applyBorder="1" applyAlignment="1">
      <alignment horizontal="right" vertical="center"/>
    </xf>
    <xf numFmtId="164" fontId="8" fillId="2" borderId="0" xfId="11" applyNumberFormat="1" applyFont="1" applyFill="1" applyBorder="1" applyAlignment="1" applyProtection="1">
      <alignment horizontal="left" vertical="center"/>
    </xf>
    <xf numFmtId="164" fontId="8" fillId="2" borderId="3" xfId="11" applyNumberFormat="1" applyFont="1" applyFill="1" applyBorder="1" applyAlignment="1" applyProtection="1">
      <alignment horizontal="right" vertical="center"/>
    </xf>
    <xf numFmtId="164" fontId="15" fillId="2" borderId="0" xfId="11" applyNumberFormat="1" applyFont="1" applyFill="1" applyAlignment="1" applyProtection="1">
      <alignment horizontal="left" vertical="center"/>
    </xf>
    <xf numFmtId="37" fontId="9" fillId="2" borderId="0" xfId="11" applyNumberFormat="1" applyFont="1" applyFill="1" applyAlignment="1" applyProtection="1">
      <alignment vertical="center"/>
    </xf>
    <xf numFmtId="164" fontId="3" fillId="2" borderId="0" xfId="0" applyNumberFormat="1" applyFont="1" applyFill="1"/>
    <xf numFmtId="164" fontId="16" fillId="2" borderId="0" xfId="11" applyNumberFormat="1" applyFont="1" applyFill="1" applyBorder="1" applyAlignment="1">
      <alignment vertical="center"/>
    </xf>
    <xf numFmtId="164" fontId="8" fillId="2" borderId="6" xfId="11" applyNumberFormat="1" applyFont="1" applyFill="1" applyBorder="1" applyAlignment="1" applyProtection="1">
      <alignment horizontal="right" vertical="center"/>
    </xf>
    <xf numFmtId="164" fontId="9" fillId="2" borderId="0" xfId="11" applyNumberFormat="1" applyFont="1" applyFill="1" applyBorder="1" applyAlignment="1" applyProtection="1">
      <alignment horizontal="left" vertical="center"/>
    </xf>
    <xf numFmtId="164" fontId="9" fillId="2" borderId="3" xfId="11" applyNumberFormat="1" applyFont="1" applyFill="1" applyBorder="1" applyAlignment="1" applyProtection="1">
      <alignment horizontal="left" vertical="center"/>
    </xf>
    <xf numFmtId="164" fontId="7" fillId="2" borderId="2" xfId="11" applyNumberFormat="1" applyFont="1" applyFill="1" applyBorder="1" applyAlignment="1" applyProtection="1">
      <alignment horizontal="left" vertical="center"/>
    </xf>
    <xf numFmtId="164" fontId="7" fillId="2" borderId="3" xfId="11" applyNumberFormat="1" applyFont="1" applyFill="1" applyBorder="1" applyAlignment="1" applyProtection="1">
      <alignment horizontal="left" vertical="center"/>
    </xf>
    <xf numFmtId="164" fontId="13" fillId="2" borderId="0" xfId="0" applyNumberFormat="1" applyFont="1" applyFill="1"/>
    <xf numFmtId="167" fontId="8" fillId="2" borderId="3" xfId="7" applyNumberFormat="1" applyFont="1" applyFill="1" applyBorder="1" applyAlignment="1" applyProtection="1">
      <alignment horizontal="right" vertical="center"/>
    </xf>
    <xf numFmtId="164" fontId="7" fillId="2" borderId="3" xfId="11" applyNumberFormat="1" applyFont="1" applyFill="1" applyBorder="1" applyAlignment="1" applyProtection="1">
      <alignment horizontal="right" vertical="center"/>
    </xf>
    <xf numFmtId="167" fontId="8" fillId="2" borderId="0" xfId="7" applyNumberFormat="1" applyFont="1" applyFill="1" applyBorder="1" applyAlignment="1" applyProtection="1">
      <alignment horizontal="right" vertical="center"/>
    </xf>
    <xf numFmtId="164" fontId="8" fillId="2" borderId="0" xfId="11" applyNumberFormat="1" applyFont="1" applyFill="1" applyBorder="1" applyAlignment="1" applyProtection="1">
      <alignment horizontal="right" vertical="center"/>
    </xf>
    <xf numFmtId="167" fontId="8" fillId="2" borderId="4" xfId="7" applyNumberFormat="1" applyFont="1" applyFill="1" applyBorder="1" applyAlignment="1" applyProtection="1">
      <alignment horizontal="right" vertical="center"/>
    </xf>
    <xf numFmtId="167" fontId="8" fillId="2" borderId="2" xfId="7" applyNumberFormat="1" applyFont="1" applyFill="1" applyBorder="1" applyAlignment="1" applyProtection="1">
      <alignment horizontal="right" vertical="center"/>
    </xf>
    <xf numFmtId="167" fontId="9" fillId="2" borderId="0" xfId="7" applyNumberFormat="1" applyFont="1" applyFill="1" applyBorder="1" applyAlignment="1">
      <alignment horizontal="right"/>
    </xf>
    <xf numFmtId="167" fontId="9" fillId="2" borderId="5" xfId="7" applyNumberFormat="1" applyFont="1" applyFill="1" applyBorder="1" applyAlignment="1" applyProtection="1">
      <alignment horizontal="right" vertical="center"/>
      <protection locked="0"/>
    </xf>
    <xf numFmtId="167" fontId="9" fillId="2" borderId="0" xfId="7" applyNumberFormat="1" applyFont="1" applyFill="1" applyBorder="1" applyAlignment="1" applyProtection="1">
      <alignment horizontal="right" vertical="center"/>
      <protection locked="0"/>
    </xf>
    <xf numFmtId="167" fontId="9" fillId="2" borderId="3" xfId="7" applyNumberFormat="1" applyFont="1" applyFill="1" applyBorder="1" applyAlignment="1">
      <alignment horizontal="right"/>
    </xf>
    <xf numFmtId="167" fontId="9" fillId="2" borderId="6" xfId="7" applyNumberFormat="1" applyFont="1" applyFill="1" applyBorder="1" applyAlignment="1" applyProtection="1">
      <alignment horizontal="right" vertical="center"/>
    </xf>
    <xf numFmtId="167" fontId="9" fillId="2" borderId="3" xfId="7" applyNumberFormat="1" applyFont="1" applyFill="1" applyBorder="1" applyAlignment="1" applyProtection="1">
      <alignment horizontal="right" vertical="center"/>
    </xf>
    <xf numFmtId="0" fontId="6" fillId="2" borderId="0" xfId="12" applyFont="1" applyFill="1" applyAlignment="1">
      <alignment vertical="center"/>
    </xf>
    <xf numFmtId="164" fontId="7" fillId="2" borderId="0" xfId="11" applyNumberFormat="1" applyFont="1" applyFill="1" applyBorder="1" applyAlignment="1" applyProtection="1">
      <alignment vertical="center"/>
    </xf>
    <xf numFmtId="0" fontId="11" fillId="2" borderId="1" xfId="0" applyNumberFormat="1" applyFont="1" applyFill="1" applyBorder="1" applyAlignment="1">
      <alignment horizontal="right" vertical="center"/>
    </xf>
    <xf numFmtId="0" fontId="18" fillId="2" borderId="0" xfId="13" applyFont="1" applyFill="1" applyBorder="1" applyAlignment="1">
      <alignment horizontal="right"/>
    </xf>
    <xf numFmtId="0" fontId="20" fillId="2" borderId="0" xfId="13" applyFont="1" applyFill="1" applyBorder="1" applyAlignment="1">
      <alignment horizontal="right"/>
    </xf>
    <xf numFmtId="0" fontId="20" fillId="2" borderId="3" xfId="13" applyFont="1" applyFill="1" applyBorder="1" applyAlignment="1">
      <alignment horizontal="right"/>
    </xf>
    <xf numFmtId="164" fontId="11" fillId="2" borderId="0" xfId="0" applyNumberFormat="1" applyFont="1" applyFill="1" applyAlignment="1">
      <alignment vertical="center"/>
    </xf>
    <xf numFmtId="0" fontId="18" fillId="2" borderId="2" xfId="13" applyFont="1" applyFill="1" applyBorder="1" applyAlignment="1">
      <alignment horizontal="right" vertical="center"/>
    </xf>
    <xf numFmtId="0" fontId="18" fillId="2" borderId="3" xfId="13" applyFont="1" applyFill="1" applyBorder="1" applyAlignment="1">
      <alignment horizontal="right" vertical="center"/>
    </xf>
    <xf numFmtId="164" fontId="17" fillId="2" borderId="0" xfId="0" applyNumberFormat="1" applyFont="1" applyFill="1" applyAlignment="1">
      <alignment horizontal="center"/>
    </xf>
    <xf numFmtId="164" fontId="2" fillId="2" borderId="0" xfId="11" applyNumberFormat="1" applyFont="1" applyFill="1" applyAlignment="1" applyProtection="1">
      <alignment horizontal="center" vertical="center"/>
    </xf>
    <xf numFmtId="164" fontId="8" fillId="2" borderId="3" xfId="11" applyNumberFormat="1" applyFont="1" applyFill="1" applyBorder="1" applyAlignment="1" applyProtection="1">
      <alignment horizontal="center" vertical="center"/>
    </xf>
    <xf numFmtId="164" fontId="8" fillId="2" borderId="7" xfId="11" applyNumberFormat="1" applyFont="1" applyFill="1" applyBorder="1" applyAlignment="1" applyProtection="1">
      <alignment horizontal="center" vertical="center" wrapText="1"/>
    </xf>
    <xf numFmtId="164" fontId="8" fillId="2" borderId="8" xfId="11" applyNumberFormat="1" applyFont="1" applyFill="1" applyBorder="1" applyAlignment="1" applyProtection="1">
      <alignment horizontal="center" vertical="center" wrapText="1"/>
    </xf>
  </cellXfs>
  <cellStyles count="14">
    <cellStyle name="Comma 2" xfId="7"/>
    <cellStyle name="Comma 4" xfId="9"/>
    <cellStyle name="Hyperlink 2" xfId="1"/>
    <cellStyle name="Normal" xfId="0" builtinId="0"/>
    <cellStyle name="Normal 2" xfId="11"/>
    <cellStyle name="Normal 2 2" xfId="6"/>
    <cellStyle name="Normal 2 3" xfId="3"/>
    <cellStyle name="Normal 3" xfId="10"/>
    <cellStyle name="Normal 3 2" xfId="5"/>
    <cellStyle name="Normal 4" xfId="8"/>
    <cellStyle name="Normal 5" xfId="4"/>
    <cellStyle name="Normal 6" xfId="2"/>
    <cellStyle name="Normal_IX-8 (Trans &amp; Comm)" xfId="12"/>
    <cellStyle name="Normal_X-5 (Electricity)" xfId="1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>
      <selection activeCell="I7" sqref="I7"/>
    </sheetView>
  </sheetViews>
  <sheetFormatPr defaultRowHeight="15"/>
  <cols>
    <col min="1" max="1" width="12.140625" style="6" customWidth="1"/>
    <col min="2" max="6" width="14.5703125" style="6" customWidth="1"/>
    <col min="7" max="7" width="15.7109375" style="6" customWidth="1"/>
    <col min="8" max="8" width="9.140625" style="6"/>
    <col min="9" max="9" width="8.85546875" style="6" customWidth="1"/>
    <col min="10" max="16384" width="9.140625" style="6"/>
  </cols>
  <sheetData>
    <row r="1" spans="1:9" ht="23.25" customHeight="1">
      <c r="A1" s="35" t="s">
        <v>37</v>
      </c>
      <c r="B1" s="35"/>
      <c r="C1" s="35"/>
      <c r="D1" s="35"/>
      <c r="E1" s="35"/>
      <c r="F1" s="35"/>
      <c r="G1" s="35"/>
      <c r="H1" s="13"/>
      <c r="I1" s="27"/>
    </row>
    <row r="2" spans="1:9" ht="15" customHeight="1">
      <c r="A2" s="36" t="s">
        <v>35</v>
      </c>
      <c r="B2" s="36"/>
      <c r="C2" s="36"/>
      <c r="D2" s="36"/>
      <c r="E2" s="36"/>
      <c r="F2" s="36"/>
      <c r="G2" s="36"/>
      <c r="H2" s="13"/>
      <c r="I2" s="27"/>
    </row>
    <row r="3" spans="1:9">
      <c r="A3" s="37" t="s">
        <v>36</v>
      </c>
      <c r="B3" s="37"/>
      <c r="C3" s="37"/>
      <c r="D3" s="37"/>
      <c r="E3" s="37"/>
      <c r="F3" s="37"/>
      <c r="G3" s="37"/>
      <c r="H3" s="13"/>
      <c r="I3" s="27"/>
    </row>
    <row r="4" spans="1:9">
      <c r="A4" s="11"/>
      <c r="B4" s="11"/>
      <c r="C4" s="38" t="s">
        <v>2</v>
      </c>
      <c r="D4" s="38"/>
      <c r="E4" s="39" t="s">
        <v>6</v>
      </c>
      <c r="F4" s="38"/>
      <c r="G4" s="33" t="s">
        <v>19</v>
      </c>
      <c r="H4" s="13"/>
      <c r="I4" s="27"/>
    </row>
    <row r="5" spans="1:9">
      <c r="A5" s="12" t="s">
        <v>5</v>
      </c>
      <c r="B5" s="15" t="s">
        <v>31</v>
      </c>
      <c r="C5" s="3" t="s">
        <v>29</v>
      </c>
      <c r="D5" s="3" t="s">
        <v>30</v>
      </c>
      <c r="E5" s="8" t="s">
        <v>29</v>
      </c>
      <c r="F5" s="17" t="s">
        <v>30</v>
      </c>
      <c r="G5" s="34"/>
      <c r="H5" s="13"/>
      <c r="I5" s="27"/>
    </row>
    <row r="6" spans="1:9" ht="17.25">
      <c r="A6" s="2" t="s">
        <v>1</v>
      </c>
      <c r="B6" s="16">
        <f>SUM(C6:F6)</f>
        <v>168837.47</v>
      </c>
      <c r="C6" s="16">
        <f>SUM(C7:C18)</f>
        <v>133266.73000000001</v>
      </c>
      <c r="D6" s="16">
        <f>SUM(D7:D18)</f>
        <v>17441.079999999998</v>
      </c>
      <c r="E6" s="18">
        <f>SUM(E7:E18)</f>
        <v>4379.0899999999992</v>
      </c>
      <c r="F6" s="19">
        <f>SUM(F7:F18)</f>
        <v>13750.570000000003</v>
      </c>
      <c r="G6" s="29" t="s">
        <v>0</v>
      </c>
      <c r="H6" s="13"/>
      <c r="I6" s="27"/>
    </row>
    <row r="7" spans="1:9" ht="17.25">
      <c r="A7" s="9" t="s">
        <v>7</v>
      </c>
      <c r="B7" s="16">
        <f t="shared" ref="B7:B18" si="0">SUM(C7:F7)</f>
        <v>13299.240000000002</v>
      </c>
      <c r="C7" s="20">
        <v>9967.27</v>
      </c>
      <c r="D7" s="20">
        <v>1825.9700000000003</v>
      </c>
      <c r="E7" s="21">
        <v>296.60000000000002</v>
      </c>
      <c r="F7" s="22">
        <v>1209.4000000000001</v>
      </c>
      <c r="G7" s="30" t="s">
        <v>20</v>
      </c>
      <c r="H7" s="13"/>
      <c r="I7" s="27"/>
    </row>
    <row r="8" spans="1:9" ht="17.25">
      <c r="A8" s="9" t="s">
        <v>8</v>
      </c>
      <c r="B8" s="16">
        <f t="shared" si="0"/>
        <v>15961.8</v>
      </c>
      <c r="C8" s="20">
        <v>13238.08</v>
      </c>
      <c r="D8" s="20">
        <v>1495.4699999999998</v>
      </c>
      <c r="E8" s="21">
        <v>268.38</v>
      </c>
      <c r="F8" s="22">
        <v>959.87</v>
      </c>
      <c r="G8" s="30" t="s">
        <v>21</v>
      </c>
      <c r="H8" s="13"/>
      <c r="I8" s="27"/>
    </row>
    <row r="9" spans="1:9" ht="17.25">
      <c r="A9" s="9" t="s">
        <v>9</v>
      </c>
      <c r="B9" s="16">
        <f t="shared" si="0"/>
        <v>11526.329999999998</v>
      </c>
      <c r="C9" s="20">
        <v>8425.9699999999993</v>
      </c>
      <c r="D9" s="20">
        <v>1581.7899999999997</v>
      </c>
      <c r="E9" s="21">
        <v>491.1</v>
      </c>
      <c r="F9" s="22">
        <v>1027.47</v>
      </c>
      <c r="G9" s="30" t="s">
        <v>22</v>
      </c>
      <c r="H9" s="13"/>
      <c r="I9" s="27"/>
    </row>
    <row r="10" spans="1:9" ht="17.25">
      <c r="A10" s="9" t="s">
        <v>10</v>
      </c>
      <c r="B10" s="16">
        <f t="shared" si="0"/>
        <v>13316.57</v>
      </c>
      <c r="C10" s="20">
        <v>10014.950000000001</v>
      </c>
      <c r="D10" s="20">
        <v>1800.82</v>
      </c>
      <c r="E10" s="21">
        <v>408.6</v>
      </c>
      <c r="F10" s="22">
        <v>1092.1999999999998</v>
      </c>
      <c r="G10" s="30" t="s">
        <v>32</v>
      </c>
      <c r="H10" s="13"/>
      <c r="I10" s="27"/>
    </row>
    <row r="11" spans="1:9" ht="17.25">
      <c r="A11" s="9" t="s">
        <v>11</v>
      </c>
      <c r="B11" s="16">
        <f t="shared" si="0"/>
        <v>18667.32</v>
      </c>
      <c r="C11" s="20">
        <v>15506.27</v>
      </c>
      <c r="D11" s="20">
        <v>1316.6499999999999</v>
      </c>
      <c r="E11" s="21">
        <v>436.79999999999995</v>
      </c>
      <c r="F11" s="22">
        <v>1407.6</v>
      </c>
      <c r="G11" s="30" t="s">
        <v>23</v>
      </c>
      <c r="H11" s="13"/>
      <c r="I11" s="13"/>
    </row>
    <row r="12" spans="1:9" ht="17.25">
      <c r="A12" s="9" t="s">
        <v>12</v>
      </c>
      <c r="B12" s="16">
        <f t="shared" si="0"/>
        <v>12761.18</v>
      </c>
      <c r="C12" s="20">
        <v>9929.3799999999992</v>
      </c>
      <c r="D12" s="20">
        <v>1235.6100000000001</v>
      </c>
      <c r="E12" s="21">
        <v>310.91999999999996</v>
      </c>
      <c r="F12" s="22">
        <v>1285.27</v>
      </c>
      <c r="G12" s="30" t="s">
        <v>24</v>
      </c>
      <c r="H12" s="13"/>
      <c r="I12" s="13"/>
    </row>
    <row r="13" spans="1:9" ht="17.25">
      <c r="A13" s="9" t="s">
        <v>13</v>
      </c>
      <c r="B13" s="16">
        <f t="shared" si="0"/>
        <v>12091.4</v>
      </c>
      <c r="C13" s="20">
        <v>8745.5</v>
      </c>
      <c r="D13" s="20">
        <v>1690.9</v>
      </c>
      <c r="E13" s="21">
        <v>473.40000000000003</v>
      </c>
      <c r="F13" s="22">
        <v>1181.5999999999999</v>
      </c>
      <c r="G13" s="30" t="s">
        <v>25</v>
      </c>
      <c r="H13" s="13"/>
      <c r="I13" s="13"/>
    </row>
    <row r="14" spans="1:9" ht="17.25">
      <c r="A14" s="9" t="s">
        <v>14</v>
      </c>
      <c r="B14" s="16">
        <f t="shared" si="0"/>
        <v>10692.230000000001</v>
      </c>
      <c r="C14" s="20">
        <v>8350.5500000000011</v>
      </c>
      <c r="D14" s="20">
        <v>1122.8400000000001</v>
      </c>
      <c r="E14" s="21">
        <v>303.64</v>
      </c>
      <c r="F14" s="22">
        <v>915.2</v>
      </c>
      <c r="G14" s="30" t="s">
        <v>33</v>
      </c>
      <c r="H14" s="13"/>
      <c r="I14" s="13"/>
    </row>
    <row r="15" spans="1:9" ht="17.25">
      <c r="A15" s="9" t="s">
        <v>15</v>
      </c>
      <c r="B15" s="16">
        <f t="shared" si="0"/>
        <v>11606.680000000002</v>
      </c>
      <c r="C15" s="20">
        <v>8743.4500000000007</v>
      </c>
      <c r="D15" s="20">
        <v>1357.26</v>
      </c>
      <c r="E15" s="21">
        <v>325.87</v>
      </c>
      <c r="F15" s="22">
        <v>1180.0999999999999</v>
      </c>
      <c r="G15" s="30" t="s">
        <v>26</v>
      </c>
      <c r="H15" s="13"/>
      <c r="I15" s="13"/>
    </row>
    <row r="16" spans="1:9" ht="17.25">
      <c r="A16" s="9" t="s">
        <v>16</v>
      </c>
      <c r="B16" s="16">
        <f t="shared" si="0"/>
        <v>12255.300000000001</v>
      </c>
      <c r="C16" s="20">
        <v>9417.11</v>
      </c>
      <c r="D16" s="20">
        <v>1410.83</v>
      </c>
      <c r="E16" s="21">
        <v>290.65999999999997</v>
      </c>
      <c r="F16" s="22">
        <v>1136.7</v>
      </c>
      <c r="G16" s="30" t="s">
        <v>34</v>
      </c>
      <c r="H16" s="13"/>
      <c r="I16" s="13"/>
    </row>
    <row r="17" spans="1:9" ht="17.25">
      <c r="A17" s="9" t="s">
        <v>17</v>
      </c>
      <c r="B17" s="16">
        <f t="shared" si="0"/>
        <v>24018.339999999997</v>
      </c>
      <c r="C17" s="20">
        <v>21126.66</v>
      </c>
      <c r="D17" s="20">
        <v>1356.76</v>
      </c>
      <c r="E17" s="21">
        <v>321.46000000000004</v>
      </c>
      <c r="F17" s="22">
        <v>1213.46</v>
      </c>
      <c r="G17" s="30" t="s">
        <v>27</v>
      </c>
      <c r="H17" s="13"/>
      <c r="I17" s="13"/>
    </row>
    <row r="18" spans="1:9" ht="17.25">
      <c r="A18" s="10" t="s">
        <v>18</v>
      </c>
      <c r="B18" s="14">
        <f t="shared" si="0"/>
        <v>12641.08</v>
      </c>
      <c r="C18" s="23">
        <v>9801.5399999999991</v>
      </c>
      <c r="D18" s="23">
        <v>1246.18</v>
      </c>
      <c r="E18" s="24">
        <v>451.66</v>
      </c>
      <c r="F18" s="25">
        <v>1141.7</v>
      </c>
      <c r="G18" s="31" t="s">
        <v>28</v>
      </c>
      <c r="H18" s="13"/>
      <c r="I18" s="13"/>
    </row>
    <row r="19" spans="1:9" ht="18.75">
      <c r="A19" s="4" t="s">
        <v>3</v>
      </c>
      <c r="B19" s="4"/>
      <c r="C19" s="5"/>
      <c r="D19" s="5"/>
      <c r="E19" s="5"/>
      <c r="F19" s="1"/>
      <c r="G19" s="28" t="s">
        <v>4</v>
      </c>
      <c r="H19" s="13"/>
      <c r="I19" s="13"/>
    </row>
    <row r="20" spans="1:9">
      <c r="A20" s="7"/>
      <c r="B20" s="26"/>
      <c r="C20" s="26"/>
      <c r="D20" s="26"/>
      <c r="E20" s="26"/>
      <c r="F20" s="26"/>
    </row>
    <row r="21" spans="1:9" ht="17.25">
      <c r="A21" s="26"/>
      <c r="B21" s="26"/>
      <c r="C21" s="26"/>
      <c r="D21" s="26"/>
      <c r="E21" s="26"/>
      <c r="F21" s="26"/>
      <c r="G21" s="32"/>
    </row>
  </sheetData>
  <mergeCells count="6">
    <mergeCell ref="G4:G5"/>
    <mergeCell ref="A1:G1"/>
    <mergeCell ref="A2:G2"/>
    <mergeCell ref="A3:G3"/>
    <mergeCell ref="C4:D4"/>
    <mergeCell ref="E4:F4"/>
  </mergeCells>
  <pageMargins left="0.63" right="0.16" top="0.75" bottom="0.75" header="0.3" footer="0.3"/>
  <pageSetup paperSize="9" scale="12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11.20</vt:lpstr>
      <vt:lpstr>'11.20'!Print_Area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2013-07-08T06:36:22Z</cp:lastPrinted>
  <dcterms:created xsi:type="dcterms:W3CDTF">2013-04-28T05:32:41Z</dcterms:created>
  <dcterms:modified xsi:type="dcterms:W3CDTF">2013-07-08T06:36:37Z</dcterms:modified>
</cp:coreProperties>
</file>