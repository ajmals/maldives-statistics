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2.xml" ContentType="application/vnd.openxmlformats-officedocument.drawingml.char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05" windowWidth="15135" windowHeight="7365" tabRatio="911"/>
  </bookViews>
  <sheets>
    <sheet name="11.6 " sheetId="6" r:id="rId1"/>
  </sheets>
  <definedNames>
    <definedName name="_xlnm.Print_Area" localSheetId="0">'11.6 '!$A$1:$L$59</definedName>
  </definedNames>
  <calcPr calcId="124519"/>
</workbook>
</file>

<file path=xl/calcChain.xml><?xml version="1.0" encoding="utf-8"?>
<calcChain xmlns="http://schemas.openxmlformats.org/spreadsheetml/2006/main">
  <c r="J5" i="6"/>
  <c r="J30"/>
  <c r="J29"/>
  <c r="J27"/>
  <c r="J25"/>
  <c r="J23"/>
  <c r="J22"/>
  <c r="J24"/>
  <c r="J26"/>
  <c r="J28"/>
  <c r="J21"/>
  <c r="J14"/>
  <c r="J6"/>
  <c r="J7"/>
  <c r="J8"/>
  <c r="J9"/>
  <c r="J10"/>
  <c r="J11"/>
  <c r="J12"/>
  <c r="J13"/>
  <c r="I10"/>
  <c r="I7"/>
  <c r="I6"/>
  <c r="I21"/>
  <c r="I22"/>
  <c r="I27"/>
  <c r="I25" l="1"/>
  <c r="C21" l="1"/>
  <c r="G21"/>
  <c r="E21"/>
  <c r="D21"/>
  <c r="B21" s="1"/>
  <c r="D5"/>
  <c r="E5"/>
  <c r="G5"/>
  <c r="C5"/>
  <c r="B5" l="1"/>
  <c r="I5" s="1"/>
  <c r="B7"/>
  <c r="B8"/>
  <c r="I8" s="1"/>
  <c r="B9"/>
  <c r="I9" s="1"/>
  <c r="B10"/>
  <c r="B11"/>
  <c r="I11" s="1"/>
  <c r="B12"/>
  <c r="I12" s="1"/>
  <c r="B13"/>
  <c r="I13" s="1"/>
  <c r="B14"/>
  <c r="I14" s="1"/>
  <c r="B6"/>
  <c r="B30" l="1"/>
  <c r="I30" s="1"/>
  <c r="B29"/>
  <c r="I29" s="1"/>
  <c r="B28"/>
  <c r="I28" s="1"/>
  <c r="B27"/>
  <c r="B26"/>
  <c r="I26" s="1"/>
  <c r="B25"/>
  <c r="B24"/>
  <c r="I24" s="1"/>
  <c r="B23"/>
  <c r="I23" s="1"/>
  <c r="B22"/>
</calcChain>
</file>

<file path=xl/sharedStrings.xml><?xml version="1.0" encoding="utf-8"?>
<sst xmlns="http://schemas.openxmlformats.org/spreadsheetml/2006/main" count="89" uniqueCount="40">
  <si>
    <t>Source: Transport Authority</t>
  </si>
  <si>
    <t>ctwvWb egudnwLua</t>
  </si>
  <si>
    <t>Type of Vehicles</t>
  </si>
  <si>
    <t>Total</t>
  </si>
  <si>
    <t>ޖުމްލަ</t>
  </si>
  <si>
    <t>Motor cycle</t>
  </si>
  <si>
    <t>clwkiaws OTom</t>
  </si>
  <si>
    <t>Car</t>
  </si>
  <si>
    <t>urWk</t>
  </si>
  <si>
    <t>Bus</t>
  </si>
  <si>
    <t>cswb</t>
  </si>
  <si>
    <t>Pick-Up</t>
  </si>
  <si>
    <t>cpwkip</t>
  </si>
  <si>
    <t>Lorry</t>
  </si>
  <si>
    <t>Irol</t>
  </si>
  <si>
    <t>Van</t>
  </si>
  <si>
    <t>cnEv</t>
  </si>
  <si>
    <t>Jeep</t>
  </si>
  <si>
    <t>cpIj</t>
  </si>
  <si>
    <t>Male'</t>
  </si>
  <si>
    <t xml:space="preserve">Hulhumale' </t>
  </si>
  <si>
    <t>Addu</t>
  </si>
  <si>
    <t>Other atolls</t>
  </si>
  <si>
    <t xml:space="preserve">Battery Scooter      </t>
  </si>
  <si>
    <t>Other vehicles</t>
  </si>
  <si>
    <t>މާލެ</t>
  </si>
  <si>
    <t>TABLE 11.6: SELECTED VEHICLES ACCORDING TO REGISTRATION, 2012</t>
  </si>
  <si>
    <t>TABLE 11.6: SELECTED VEHICLES ACCORDING TO REGISTRATION, 2011</t>
  </si>
  <si>
    <t>% share in Male'</t>
  </si>
  <si>
    <t>ބެޓެރީ ސްކޫޓަރ</t>
  </si>
  <si>
    <t>އެހެނިހެން އުޅަނދުފަހަރު</t>
  </si>
  <si>
    <t>ހުޅުމާލެ</t>
  </si>
  <si>
    <t>އައްޑޫ</t>
  </si>
  <si>
    <t>އެހެނިހެން އަތޮޅުތައް</t>
  </si>
  <si>
    <t>މާލޭގެ އިންސައްތަ</t>
  </si>
  <si>
    <t>ތާވަލު 11.6: ރަޖިސްޓްރީކުރެވުނު އެއްގަމުގައި ދުއްވާ އުޅަނދުފަހަރު، 2012</t>
  </si>
  <si>
    <t>ތާވަލު 11.6: ރަޖިސްޓްރީކުރެވުނު އެއްގަމުގައި ދުއްވާ އުޅަނދުފަހަރު، 2011</t>
  </si>
  <si>
    <t>% share in Total</t>
  </si>
  <si>
    <t>މުޅި ޖުމްލަ އިންސައްތަ</t>
  </si>
  <si>
    <t xml:space="preserve">މަޢުލޫމާތު ދެއްވި ފަރާތް: ޓްރާންސްޕޯޓް އޮތޯރިޓީ </t>
  </si>
</sst>
</file>

<file path=xl/styles.xml><?xml version="1.0" encoding="utf-8"?>
<styleSheet xmlns="http://schemas.openxmlformats.org/spreadsheetml/2006/main">
  <numFmts count="4">
    <numFmt numFmtId="43" formatCode="_(* #,##0.00_);_(* \(#,##0.00\);_(* &quot;-&quot;??_);_(@_)"/>
    <numFmt numFmtId="164" formatCode="General_)"/>
    <numFmt numFmtId="165" formatCode="[$-409]mmmm\ d\,\ yyyy;@"/>
    <numFmt numFmtId="166" formatCode="_(* #,##0_);_(* \(#,##0\);_(* &quot;-&quot;??_);_(@_)"/>
  </numFmts>
  <fonts count="2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0"/>
      <name val="MS Sans Serif"/>
      <family val="2"/>
    </font>
    <font>
      <u/>
      <sz val="10"/>
      <color indexed="12"/>
      <name val="Arial"/>
      <family val="2"/>
    </font>
    <font>
      <sz val="10"/>
      <name val="Arial"/>
      <family val="2"/>
    </font>
    <font>
      <b/>
      <sz val="10"/>
      <name val="Calibri"/>
      <family val="2"/>
      <scheme val="minor"/>
    </font>
    <font>
      <b/>
      <sz val="9"/>
      <name val="Calibri"/>
      <family val="2"/>
      <scheme val="minor"/>
    </font>
    <font>
      <sz val="10"/>
      <name val="Faruma"/>
    </font>
    <font>
      <sz val="10"/>
      <name val="Courier"/>
      <family val="3"/>
    </font>
    <font>
      <b/>
      <sz val="10"/>
      <name val="A_Ilham"/>
    </font>
    <font>
      <sz val="10"/>
      <name val="Calibri"/>
      <family val="2"/>
      <scheme val="minor"/>
    </font>
    <font>
      <sz val="10"/>
      <name val="A_Ilham"/>
    </font>
    <font>
      <sz val="11"/>
      <color theme="1"/>
      <name val="Calibri"/>
      <family val="2"/>
      <charset val="1"/>
      <scheme val="minor"/>
    </font>
    <font>
      <i/>
      <sz val="9"/>
      <name val="Calibri"/>
      <family val="2"/>
      <scheme val="minor"/>
    </font>
    <font>
      <i/>
      <sz val="10"/>
      <name val="Calibri"/>
      <family val="2"/>
      <scheme val="minor"/>
    </font>
    <font>
      <b/>
      <sz val="11"/>
      <name val="Faruma"/>
    </font>
    <font>
      <b/>
      <sz val="10"/>
      <name val="Faruma"/>
    </font>
    <font>
      <sz val="10"/>
      <name val="Garamond"/>
      <family val="1"/>
    </font>
    <font>
      <b/>
      <sz val="10"/>
      <color theme="1"/>
      <name val="Faruma"/>
    </font>
    <font>
      <b/>
      <sz val="9"/>
      <name val="Faruma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theme="0"/>
      </right>
      <top style="thin">
        <color theme="0"/>
      </top>
      <bottom style="thin">
        <color indexed="64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 style="thin">
        <color rgb="FFFFFFFF"/>
      </left>
      <right/>
      <top/>
      <bottom style="thin">
        <color indexed="64"/>
      </bottom>
      <diagonal/>
    </border>
    <border>
      <left style="thin">
        <color rgb="FFFFFFFF"/>
      </left>
      <right/>
      <top/>
      <bottom style="thin">
        <color rgb="FFFFFFFF"/>
      </bottom>
      <diagonal/>
    </border>
    <border>
      <left/>
      <right style="thin">
        <color rgb="FFFFFFFF"/>
      </right>
      <top/>
      <bottom style="thin">
        <color rgb="FFFFFFFF"/>
      </bottom>
      <diagonal/>
    </border>
    <border>
      <left/>
      <right/>
      <top/>
      <bottom style="thin">
        <color rgb="FFFFFFFF"/>
      </bottom>
      <diagonal/>
    </border>
    <border>
      <left style="thin">
        <color rgb="FFFFFFFF"/>
      </left>
      <right/>
      <top/>
      <bottom/>
      <diagonal/>
    </border>
    <border>
      <left style="thin">
        <color rgb="FFFFFFFF"/>
      </left>
      <right/>
      <top style="thin">
        <color indexed="64"/>
      </top>
      <bottom/>
      <diagonal/>
    </border>
    <border>
      <left/>
      <right/>
      <top style="hair">
        <color indexed="64"/>
      </top>
      <bottom style="thin">
        <color indexed="64"/>
      </bottom>
      <diagonal/>
    </border>
  </borders>
  <cellStyleXfs count="13">
    <xf numFmtId="0" fontId="0" fillId="0" borderId="0"/>
    <xf numFmtId="43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14" fillId="0" borderId="0"/>
    <xf numFmtId="0" fontId="6" fillId="0" borderId="0"/>
    <xf numFmtId="0" fontId="1" fillId="0" borderId="0"/>
    <xf numFmtId="0" fontId="6" fillId="0" borderId="0"/>
    <xf numFmtId="164" fontId="10" fillId="0" borderId="0"/>
    <xf numFmtId="40" fontId="4" fillId="0" borderId="0" applyFont="0" applyFill="0" applyBorder="0" applyAlignment="0" applyProtection="0"/>
    <xf numFmtId="166" fontId="10" fillId="0" borderId="0"/>
    <xf numFmtId="165" fontId="10" fillId="0" borderId="0" applyFont="0" applyFill="0" applyBorder="0" applyAlignment="0" applyProtection="0"/>
    <xf numFmtId="166" fontId="10" fillId="0" borderId="0"/>
    <xf numFmtId="164" fontId="10" fillId="0" borderId="0"/>
  </cellStyleXfs>
  <cellXfs count="61">
    <xf numFmtId="0" fontId="0" fillId="0" borderId="0" xfId="0"/>
    <xf numFmtId="0" fontId="1" fillId="2" borderId="0" xfId="5" applyFont="1" applyFill="1"/>
    <xf numFmtId="164" fontId="15" fillId="2" borderId="6" xfId="5" applyNumberFormat="1" applyFont="1" applyFill="1" applyBorder="1" applyAlignment="1">
      <alignment horizontal="left" vertical="center"/>
    </xf>
    <xf numFmtId="0" fontId="1" fillId="2" borderId="0" xfId="5" applyFont="1" applyFill="1" applyAlignment="1">
      <alignment horizontal="center"/>
    </xf>
    <xf numFmtId="164" fontId="8" fillId="2" borderId="8" xfId="5" applyNumberFormat="1" applyFont="1" applyFill="1" applyBorder="1"/>
    <xf numFmtId="164" fontId="1" fillId="2" borderId="0" xfId="5" applyNumberFormat="1" applyFont="1" applyFill="1"/>
    <xf numFmtId="164" fontId="8" fillId="2" borderId="7" xfId="5" applyNumberFormat="1" applyFont="1" applyFill="1" applyBorder="1"/>
    <xf numFmtId="164" fontId="16" fillId="2" borderId="9" xfId="5" applyNumberFormat="1" applyFont="1" applyFill="1" applyBorder="1" applyAlignment="1">
      <alignment horizontal="center" vertical="center"/>
    </xf>
    <xf numFmtId="164" fontId="3" fillId="2" borderId="0" xfId="5" applyNumberFormat="1" applyFont="1" applyFill="1"/>
    <xf numFmtId="164" fontId="15" fillId="2" borderId="0" xfId="5" applyNumberFormat="1" applyFont="1" applyFill="1" applyBorder="1" applyAlignment="1">
      <alignment horizontal="left" vertical="center"/>
    </xf>
    <xf numFmtId="164" fontId="16" fillId="2" borderId="0" xfId="5" applyNumberFormat="1" applyFont="1" applyFill="1" applyBorder="1" applyAlignment="1">
      <alignment horizontal="center" vertical="center"/>
    </xf>
    <xf numFmtId="38" fontId="12" fillId="2" borderId="0" xfId="5" applyNumberFormat="1" applyFont="1" applyFill="1" applyBorder="1" applyAlignment="1">
      <alignment horizontal="center"/>
    </xf>
    <xf numFmtId="0" fontId="3" fillId="2" borderId="0" xfId="5" applyFont="1" applyFill="1" applyAlignment="1">
      <alignment horizontal="center"/>
    </xf>
    <xf numFmtId="0" fontId="3" fillId="2" borderId="0" xfId="5" applyFont="1" applyFill="1"/>
    <xf numFmtId="3" fontId="12" fillId="2" borderId="0" xfId="0" applyNumberFormat="1" applyFont="1" applyFill="1" applyBorder="1" applyAlignment="1">
      <alignment horizontal="right" wrapText="1"/>
    </xf>
    <xf numFmtId="3" fontId="1" fillId="2" borderId="0" xfId="5" applyNumberFormat="1" applyFont="1" applyFill="1" applyAlignment="1">
      <alignment horizontal="center"/>
    </xf>
    <xf numFmtId="164" fontId="12" fillId="2" borderId="0" xfId="0" applyNumberFormat="1" applyFont="1" applyFill="1" applyAlignment="1">
      <alignment horizontal="center"/>
    </xf>
    <xf numFmtId="164" fontId="1" fillId="2" borderId="0" xfId="5" applyNumberFormat="1" applyFont="1" applyFill="1" applyAlignment="1">
      <alignment horizontal="center"/>
    </xf>
    <xf numFmtId="164" fontId="15" fillId="2" borderId="9" xfId="5" applyNumberFormat="1" applyFont="1" applyFill="1" applyBorder="1" applyAlignment="1">
      <alignment horizontal="left" vertical="center"/>
    </xf>
    <xf numFmtId="166" fontId="1" fillId="2" borderId="0" xfId="1" applyNumberFormat="1" applyFont="1" applyFill="1"/>
    <xf numFmtId="164" fontId="15" fillId="2" borderId="11" xfId="5" applyNumberFormat="1" applyFont="1" applyFill="1" applyBorder="1" applyAlignment="1">
      <alignment horizontal="left" vertical="center"/>
    </xf>
    <xf numFmtId="3" fontId="7" fillId="2" borderId="1" xfId="5" applyNumberFormat="1" applyFont="1" applyFill="1" applyBorder="1" applyAlignment="1">
      <alignment horizontal="right" vertical="center"/>
    </xf>
    <xf numFmtId="164" fontId="7" fillId="2" borderId="1" xfId="5" applyNumberFormat="1" applyFont="1" applyFill="1" applyBorder="1" applyAlignment="1">
      <alignment vertical="center"/>
    </xf>
    <xf numFmtId="3" fontId="7" fillId="2" borderId="1" xfId="5" applyNumberFormat="1" applyFont="1" applyFill="1" applyBorder="1" applyAlignment="1">
      <alignment horizontal="right" vertical="center" indent="2"/>
    </xf>
    <xf numFmtId="3" fontId="12" fillId="2" borderId="0" xfId="1" applyNumberFormat="1" applyFont="1" applyFill="1" applyBorder="1" applyAlignment="1">
      <alignment horizontal="right" vertical="center"/>
    </xf>
    <xf numFmtId="3" fontId="12" fillId="2" borderId="0" xfId="1" applyNumberFormat="1" applyFont="1" applyFill="1" applyBorder="1" applyAlignment="1">
      <alignment horizontal="right" vertical="center" wrapText="1"/>
    </xf>
    <xf numFmtId="3" fontId="12" fillId="2" borderId="2" xfId="1" applyNumberFormat="1" applyFont="1" applyFill="1" applyBorder="1" applyAlignment="1">
      <alignment horizontal="right" vertical="center"/>
    </xf>
    <xf numFmtId="3" fontId="12" fillId="2" borderId="0" xfId="1" applyNumberFormat="1" applyFont="1" applyFill="1" applyBorder="1" applyAlignment="1">
      <alignment horizontal="right" vertical="center" indent="2"/>
    </xf>
    <xf numFmtId="3" fontId="12" fillId="2" borderId="2" xfId="1" applyNumberFormat="1" applyFont="1" applyFill="1" applyBorder="1" applyAlignment="1">
      <alignment horizontal="right" vertical="center" indent="2"/>
    </xf>
    <xf numFmtId="164" fontId="12" fillId="2" borderId="2" xfId="5" applyNumberFormat="1" applyFont="1" applyFill="1" applyBorder="1"/>
    <xf numFmtId="164" fontId="12" fillId="2" borderId="10" xfId="5" applyNumberFormat="1" applyFont="1" applyFill="1" applyBorder="1"/>
    <xf numFmtId="164" fontId="3" fillId="2" borderId="0" xfId="5" applyNumberFormat="1" applyFont="1" applyFill="1" applyAlignment="1">
      <alignment horizontal="center"/>
    </xf>
    <xf numFmtId="164" fontId="15" fillId="2" borderId="6" xfId="5" applyNumberFormat="1" applyFont="1" applyFill="1" applyBorder="1" applyAlignment="1">
      <alignment horizontal="center"/>
    </xf>
    <xf numFmtId="164" fontId="15" fillId="2" borderId="9" xfId="5" applyNumberFormat="1" applyFont="1" applyFill="1" applyBorder="1" applyAlignment="1">
      <alignment horizontal="center"/>
    </xf>
    <xf numFmtId="164" fontId="16" fillId="2" borderId="9" xfId="5" applyNumberFormat="1" applyFont="1" applyFill="1" applyBorder="1" applyAlignment="1">
      <alignment horizontal="center"/>
    </xf>
    <xf numFmtId="164" fontId="7" fillId="2" borderId="11" xfId="5" applyNumberFormat="1" applyFont="1" applyFill="1" applyBorder="1" applyAlignment="1">
      <alignment horizontal="left" vertical="center"/>
    </xf>
    <xf numFmtId="164" fontId="12" fillId="2" borderId="8" xfId="5" applyNumberFormat="1" applyFont="1" applyFill="1" applyBorder="1" applyAlignment="1">
      <alignment horizontal="left" vertical="center"/>
    </xf>
    <xf numFmtId="164" fontId="12" fillId="2" borderId="7" xfId="5" applyNumberFormat="1" applyFont="1" applyFill="1" applyBorder="1" applyAlignment="1">
      <alignment horizontal="left" vertical="center"/>
    </xf>
    <xf numFmtId="0" fontId="9" fillId="2" borderId="3" xfId="0" applyNumberFormat="1" applyFont="1" applyFill="1" applyBorder="1" applyAlignment="1">
      <alignment horizontal="right" vertical="center"/>
    </xf>
    <xf numFmtId="3" fontId="7" fillId="2" borderId="0" xfId="5" applyNumberFormat="1" applyFont="1" applyFill="1" applyBorder="1" applyAlignment="1">
      <alignment horizontal="right" vertical="center"/>
    </xf>
    <xf numFmtId="1" fontId="7" fillId="2" borderId="5" xfId="5" applyNumberFormat="1" applyFont="1" applyFill="1" applyBorder="1" applyAlignment="1">
      <alignment horizontal="right" vertical="center"/>
    </xf>
    <xf numFmtId="1" fontId="8" fillId="2" borderId="5" xfId="5" applyNumberFormat="1" applyFont="1" applyFill="1" applyBorder="1" applyAlignment="1">
      <alignment horizontal="right" vertical="center" wrapText="1"/>
    </xf>
    <xf numFmtId="1" fontId="18" fillId="2" borderId="13" xfId="5" applyNumberFormat="1" applyFont="1" applyFill="1" applyBorder="1" applyAlignment="1">
      <alignment horizontal="right" vertical="center"/>
    </xf>
    <xf numFmtId="1" fontId="21" fillId="2" borderId="13" xfId="5" applyNumberFormat="1" applyFont="1" applyFill="1" applyBorder="1" applyAlignment="1">
      <alignment horizontal="right" vertical="center" wrapText="1"/>
    </xf>
    <xf numFmtId="164" fontId="16" fillId="2" borderId="0" xfId="5" applyNumberFormat="1" applyFont="1" applyFill="1" applyBorder="1" applyAlignment="1">
      <alignment horizontal="center"/>
    </xf>
    <xf numFmtId="0" fontId="20" fillId="2" borderId="0" xfId="5" applyFont="1" applyFill="1" applyAlignment="1">
      <alignment horizontal="right" vertical="center"/>
    </xf>
    <xf numFmtId="0" fontId="13" fillId="2" borderId="4" xfId="0" applyNumberFormat="1" applyFont="1" applyFill="1" applyBorder="1" applyAlignment="1">
      <alignment horizontal="right" vertical="center"/>
    </xf>
    <xf numFmtId="0" fontId="9" fillId="2" borderId="4" xfId="0" applyNumberFormat="1" applyFont="1" applyFill="1" applyBorder="1" applyAlignment="1">
      <alignment horizontal="right" vertical="center"/>
    </xf>
    <xf numFmtId="1" fontId="7" fillId="2" borderId="0" xfId="5" applyNumberFormat="1" applyFont="1" applyFill="1" applyBorder="1" applyAlignment="1">
      <alignment horizontal="right" vertical="center" indent="2"/>
    </xf>
    <xf numFmtId="1" fontId="12" fillId="2" borderId="0" xfId="5" applyNumberFormat="1" applyFont="1" applyFill="1" applyBorder="1" applyAlignment="1">
      <alignment horizontal="right" vertical="center" indent="2"/>
    </xf>
    <xf numFmtId="1" fontId="12" fillId="2" borderId="2" xfId="5" applyNumberFormat="1" applyFont="1" applyFill="1" applyBorder="1" applyAlignment="1">
      <alignment horizontal="right" vertical="center" indent="2"/>
    </xf>
    <xf numFmtId="1" fontId="12" fillId="2" borderId="0" xfId="5" applyNumberFormat="1" applyFont="1" applyFill="1" applyAlignment="1">
      <alignment horizontal="right" vertical="center" indent="2"/>
    </xf>
    <xf numFmtId="1" fontId="7" fillId="2" borderId="0" xfId="5" applyNumberFormat="1" applyFont="1" applyFill="1" applyAlignment="1">
      <alignment horizontal="right" vertical="center" indent="2"/>
    </xf>
    <xf numFmtId="164" fontId="9" fillId="2" borderId="0" xfId="5" applyNumberFormat="1" applyFont="1" applyFill="1" applyAlignment="1">
      <alignment horizontal="right" vertical="center"/>
    </xf>
    <xf numFmtId="164" fontId="7" fillId="2" borderId="12" xfId="5" applyNumberFormat="1" applyFont="1" applyFill="1" applyBorder="1" applyAlignment="1">
      <alignment horizontal="left" vertical="center"/>
    </xf>
    <xf numFmtId="164" fontId="7" fillId="2" borderId="7" xfId="5" applyNumberFormat="1" applyFont="1" applyFill="1" applyBorder="1" applyAlignment="1">
      <alignment horizontal="left" vertical="center"/>
    </xf>
    <xf numFmtId="164" fontId="11" fillId="2" borderId="1" xfId="0" applyNumberFormat="1" applyFont="1" applyFill="1" applyBorder="1" applyAlignment="1">
      <alignment horizontal="right" vertical="center"/>
    </xf>
    <xf numFmtId="164" fontId="11" fillId="2" borderId="2" xfId="0" applyNumberFormat="1" applyFont="1" applyFill="1" applyBorder="1" applyAlignment="1">
      <alignment horizontal="right" vertical="center"/>
    </xf>
    <xf numFmtId="164" fontId="2" fillId="2" borderId="11" xfId="5" applyNumberFormat="1" applyFont="1" applyFill="1" applyBorder="1" applyAlignment="1">
      <alignment horizontal="center" vertical="center"/>
    </xf>
    <xf numFmtId="164" fontId="2" fillId="2" borderId="0" xfId="5" applyNumberFormat="1" applyFont="1" applyFill="1" applyBorder="1" applyAlignment="1">
      <alignment horizontal="center" vertical="center"/>
    </xf>
    <xf numFmtId="164" fontId="17" fillId="2" borderId="2" xfId="5" applyNumberFormat="1" applyFont="1" applyFill="1" applyBorder="1" applyAlignment="1">
      <alignment horizontal="center" vertical="center"/>
    </xf>
  </cellXfs>
  <cellStyles count="13">
    <cellStyle name="Comma" xfId="1" builtinId="3"/>
    <cellStyle name="Comma 2" xfId="8"/>
    <cellStyle name="Comma 4" xfId="10"/>
    <cellStyle name="Hyperlink 2" xfId="2"/>
    <cellStyle name="Normal" xfId="0" builtinId="0"/>
    <cellStyle name="Normal 2" xfId="12"/>
    <cellStyle name="Normal 2 2" xfId="7"/>
    <cellStyle name="Normal 2 3" xfId="4"/>
    <cellStyle name="Normal 3" xfId="11"/>
    <cellStyle name="Normal 3 2" xfId="6"/>
    <cellStyle name="Normal 4" xfId="9"/>
    <cellStyle name="Normal 5" xfId="5"/>
    <cellStyle name="Normal 6" xfId="3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"/>
  <c:chart>
    <c:title>
      <c:tx>
        <c:rich>
          <a:bodyPr/>
          <a:lstStyle/>
          <a:p>
            <a:pPr>
              <a:defRPr sz="1050"/>
            </a:pPr>
            <a:r>
              <a:rPr lang="en-US" sz="1050"/>
              <a:t>Figure 11.5:</a:t>
            </a:r>
            <a:r>
              <a:rPr lang="en-US" sz="1050" baseline="0"/>
              <a:t> Number of  vehicles registered , 2011 - 2012</a:t>
            </a:r>
            <a:endParaRPr lang="en-US" sz="1050"/>
          </a:p>
        </c:rich>
      </c:tx>
      <c:layout>
        <c:manualLayout>
          <c:xMode val="edge"/>
          <c:yMode val="edge"/>
          <c:x val="0.24540332458442701"/>
          <c:y val="3.8316124881277003E-2"/>
        </c:manualLayout>
      </c:layout>
    </c:title>
    <c:plotArea>
      <c:layout>
        <c:manualLayout>
          <c:layoutTarget val="inner"/>
          <c:xMode val="edge"/>
          <c:yMode val="edge"/>
          <c:x val="0.10249598345661337"/>
          <c:y val="0.15123050795121198"/>
          <c:w val="0.87176934701344155"/>
          <c:h val="0.64287672212179714"/>
        </c:manualLayout>
      </c:layout>
      <c:barChart>
        <c:barDir val="col"/>
        <c:grouping val="clustered"/>
        <c:ser>
          <c:idx val="0"/>
          <c:order val="0"/>
          <c:tx>
            <c:strRef>
              <c:f>'11.6 '!$O$5</c:f>
              <c:strCache>
                <c:ptCount val="1"/>
                <c:pt idx="0">
                  <c:v>2011</c:v>
                </c:pt>
              </c:strCache>
            </c:strRef>
          </c:tx>
          <c:spPr>
            <a:solidFill>
              <a:schemeClr val="accent2">
                <a:lumMod val="75000"/>
              </a:schemeClr>
            </a:solidFill>
          </c:spPr>
          <c:cat>
            <c:strRef>
              <c:f>'11.6 '!$N$6:$N$14</c:f>
              <c:strCache>
                <c:ptCount val="9"/>
                <c:pt idx="0">
                  <c:v>Motor cycle</c:v>
                </c:pt>
                <c:pt idx="1">
                  <c:v>Car</c:v>
                </c:pt>
                <c:pt idx="2">
                  <c:v>Bus</c:v>
                </c:pt>
                <c:pt idx="3">
                  <c:v>Pick-Up</c:v>
                </c:pt>
                <c:pt idx="4">
                  <c:v>Lorry</c:v>
                </c:pt>
                <c:pt idx="5">
                  <c:v>Van</c:v>
                </c:pt>
                <c:pt idx="6">
                  <c:v>Jeep</c:v>
                </c:pt>
                <c:pt idx="7">
                  <c:v>Battery Scooter      </c:v>
                </c:pt>
                <c:pt idx="8">
                  <c:v>Other vehicles</c:v>
                </c:pt>
              </c:strCache>
            </c:strRef>
          </c:cat>
          <c:val>
            <c:numRef>
              <c:f>'11.6 '!$O$6:$O$14</c:f>
              <c:numCache>
                <c:formatCode>_(* #,##0_);_(* \(#,##0\);_(* "-"??_);_(@_)</c:formatCode>
                <c:ptCount val="9"/>
                <c:pt idx="0">
                  <c:v>42571</c:v>
                </c:pt>
                <c:pt idx="1">
                  <c:v>3505</c:v>
                </c:pt>
                <c:pt idx="2">
                  <c:v>232</c:v>
                </c:pt>
                <c:pt idx="3">
                  <c:v>1215</c:v>
                </c:pt>
                <c:pt idx="4">
                  <c:v>1079</c:v>
                </c:pt>
                <c:pt idx="5">
                  <c:v>756</c:v>
                </c:pt>
                <c:pt idx="6">
                  <c:v>1034</c:v>
                </c:pt>
                <c:pt idx="7">
                  <c:v>333</c:v>
                </c:pt>
                <c:pt idx="8">
                  <c:v>1466</c:v>
                </c:pt>
              </c:numCache>
            </c:numRef>
          </c:val>
        </c:ser>
        <c:ser>
          <c:idx val="1"/>
          <c:order val="1"/>
          <c:tx>
            <c:strRef>
              <c:f>'11.6 '!$P$5</c:f>
              <c:strCache>
                <c:ptCount val="1"/>
                <c:pt idx="0">
                  <c:v>2012</c:v>
                </c:pt>
              </c:strCache>
            </c:strRef>
          </c:tx>
          <c:spPr>
            <a:solidFill>
              <a:schemeClr val="tx1">
                <a:lumMod val="50000"/>
                <a:lumOff val="50000"/>
              </a:schemeClr>
            </a:solidFill>
          </c:spPr>
          <c:cat>
            <c:strRef>
              <c:f>'11.6 '!$N$6:$N$14</c:f>
              <c:strCache>
                <c:ptCount val="9"/>
                <c:pt idx="0">
                  <c:v>Motor cycle</c:v>
                </c:pt>
                <c:pt idx="1">
                  <c:v>Car</c:v>
                </c:pt>
                <c:pt idx="2">
                  <c:v>Bus</c:v>
                </c:pt>
                <c:pt idx="3">
                  <c:v>Pick-Up</c:v>
                </c:pt>
                <c:pt idx="4">
                  <c:v>Lorry</c:v>
                </c:pt>
                <c:pt idx="5">
                  <c:v>Van</c:v>
                </c:pt>
                <c:pt idx="6">
                  <c:v>Jeep</c:v>
                </c:pt>
                <c:pt idx="7">
                  <c:v>Battery Scooter      </c:v>
                </c:pt>
                <c:pt idx="8">
                  <c:v>Other vehicles</c:v>
                </c:pt>
              </c:strCache>
            </c:strRef>
          </c:cat>
          <c:val>
            <c:numRef>
              <c:f>'11.6 '!$P$6:$P$14</c:f>
              <c:numCache>
                <c:formatCode>_(* #,##0_);_(* \(#,##0\);_(* "-"??_);_(@_)</c:formatCode>
                <c:ptCount val="9"/>
                <c:pt idx="0">
                  <c:v>46409</c:v>
                </c:pt>
                <c:pt idx="1">
                  <c:v>3708</c:v>
                </c:pt>
                <c:pt idx="2">
                  <c:v>132</c:v>
                </c:pt>
                <c:pt idx="3">
                  <c:v>1806</c:v>
                </c:pt>
                <c:pt idx="4">
                  <c:v>768</c:v>
                </c:pt>
                <c:pt idx="5">
                  <c:v>1077</c:v>
                </c:pt>
                <c:pt idx="6">
                  <c:v>484</c:v>
                </c:pt>
                <c:pt idx="7">
                  <c:v>363</c:v>
                </c:pt>
                <c:pt idx="8">
                  <c:v>1750</c:v>
                </c:pt>
              </c:numCache>
            </c:numRef>
          </c:val>
        </c:ser>
        <c:gapWidth val="36"/>
        <c:axId val="84824448"/>
        <c:axId val="84825984"/>
      </c:barChart>
      <c:catAx>
        <c:axId val="84824448"/>
        <c:scaling>
          <c:orientation val="minMax"/>
        </c:scaling>
        <c:axPos val="b"/>
        <c:majorTickMark val="none"/>
        <c:tickLblPos val="nextTo"/>
        <c:txPr>
          <a:bodyPr rot="0" vert="horz"/>
          <a:lstStyle/>
          <a:p>
            <a:pPr>
              <a:defRPr/>
            </a:pPr>
            <a:endParaRPr lang="en-US"/>
          </a:p>
        </c:txPr>
        <c:crossAx val="84825984"/>
        <c:crosses val="autoZero"/>
        <c:auto val="1"/>
        <c:lblAlgn val="ctr"/>
        <c:lblOffset val="100"/>
      </c:catAx>
      <c:valAx>
        <c:axId val="84825984"/>
        <c:scaling>
          <c:orientation val="minMax"/>
        </c:scaling>
        <c:axPos val="l"/>
        <c:majorGridlines>
          <c:spPr>
            <a:ln>
              <a:solidFill>
                <a:schemeClr val="bg1"/>
              </a:solidFill>
            </a:ln>
          </c:spPr>
        </c:majorGridlines>
        <c:numFmt formatCode="_(* #,##0_);_(* \(#,##0\);_(* &quot;-&quot;??_);_(@_)" sourceLinked="1"/>
        <c:majorTickMark val="none"/>
        <c:tickLblPos val="nextTo"/>
        <c:spPr>
          <a:solidFill>
            <a:sysClr val="window" lastClr="FFFFFF"/>
          </a:solidFill>
        </c:spPr>
        <c:txPr>
          <a:bodyPr/>
          <a:lstStyle/>
          <a:p>
            <a:pPr>
              <a:defRPr sz="900"/>
            </a:pPr>
            <a:endParaRPr lang="en-US"/>
          </a:p>
        </c:txPr>
        <c:crossAx val="84824448"/>
        <c:crosses val="autoZero"/>
        <c:crossBetween val="between"/>
      </c:valAx>
      <c:spPr>
        <a:solidFill>
          <a:schemeClr val="bg1"/>
        </a:solidFill>
        <a:ln>
          <a:solidFill>
            <a:schemeClr val="bg1">
              <a:lumMod val="65000"/>
            </a:schemeClr>
          </a:solidFill>
        </a:ln>
      </c:spPr>
    </c:plotArea>
    <c:legend>
      <c:legendPos val="r"/>
      <c:layout>
        <c:manualLayout>
          <c:xMode val="edge"/>
          <c:yMode val="edge"/>
          <c:x val="0.63239042746497942"/>
          <c:y val="0.21758714012888472"/>
          <c:w val="0.24323947231636966"/>
          <c:h val="8.9057467038410082E-2"/>
        </c:manualLayout>
      </c:layout>
    </c:legend>
    <c:plotVisOnly val="1"/>
  </c:chart>
  <c:printSettings>
    <c:headerFooter/>
    <c:pageMargins b="0.75000000000000056" l="0.70000000000000051" r="0.70000000000000051" t="0.75000000000000056" header="0.30000000000000027" footer="0.30000000000000027"/>
    <c:pageSetup orientation="portrait"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 sz="1100"/>
              <a:t>Figure 11.6: Percentage share of registered vehicles in Male'  2012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6.0926477178157606E-2"/>
          <c:y val="0.16808280543879384"/>
          <c:w val="0.91671579924460667"/>
          <c:h val="0.60792808793637643"/>
        </c:manualLayout>
      </c:layout>
      <c:barChart>
        <c:barDir val="col"/>
        <c:grouping val="clustered"/>
        <c:ser>
          <c:idx val="0"/>
          <c:order val="0"/>
          <c:spPr>
            <a:solidFill>
              <a:schemeClr val="accent2">
                <a:lumMod val="75000"/>
              </a:schemeClr>
            </a:solidFill>
          </c:spPr>
          <c:dLbls>
            <c:numFmt formatCode="#,##0" sourceLinked="0"/>
            <c:showVal val="1"/>
          </c:dLbls>
          <c:cat>
            <c:strRef>
              <c:f>'11.6 '!$A$6:$A$14</c:f>
              <c:strCache>
                <c:ptCount val="9"/>
                <c:pt idx="0">
                  <c:v>Motor cycle</c:v>
                </c:pt>
                <c:pt idx="1">
                  <c:v>Car</c:v>
                </c:pt>
                <c:pt idx="2">
                  <c:v>Bus</c:v>
                </c:pt>
                <c:pt idx="3">
                  <c:v>Pick-Up</c:v>
                </c:pt>
                <c:pt idx="4">
                  <c:v>Lorry</c:v>
                </c:pt>
                <c:pt idx="5">
                  <c:v>Van</c:v>
                </c:pt>
                <c:pt idx="6">
                  <c:v>Jeep</c:v>
                </c:pt>
                <c:pt idx="7">
                  <c:v>Battery Scooter      </c:v>
                </c:pt>
                <c:pt idx="8">
                  <c:v>Other vehicles</c:v>
                </c:pt>
              </c:strCache>
            </c:strRef>
          </c:cat>
          <c:val>
            <c:numRef>
              <c:f>'11.6 '!$I$6:$I$14</c:f>
              <c:numCache>
                <c:formatCode>0</c:formatCode>
                <c:ptCount val="9"/>
                <c:pt idx="0">
                  <c:v>77.435411234889784</c:v>
                </c:pt>
                <c:pt idx="1">
                  <c:v>70.873786407766985</c:v>
                </c:pt>
                <c:pt idx="2">
                  <c:v>53.787878787878782</c:v>
                </c:pt>
                <c:pt idx="3">
                  <c:v>58.250276854928018</c:v>
                </c:pt>
                <c:pt idx="4">
                  <c:v>64.583333333333343</c:v>
                </c:pt>
                <c:pt idx="5">
                  <c:v>54.967502321262764</c:v>
                </c:pt>
                <c:pt idx="6">
                  <c:v>76.446280991735534</c:v>
                </c:pt>
                <c:pt idx="7">
                  <c:v>57.851239669421481</c:v>
                </c:pt>
                <c:pt idx="8">
                  <c:v>53.2</c:v>
                </c:pt>
              </c:numCache>
            </c:numRef>
          </c:val>
        </c:ser>
        <c:axId val="84833024"/>
        <c:axId val="84834560"/>
      </c:barChart>
      <c:catAx>
        <c:axId val="84833024"/>
        <c:scaling>
          <c:orientation val="minMax"/>
        </c:scaling>
        <c:axPos val="b"/>
        <c:tickLblPos val="nextTo"/>
        <c:crossAx val="84834560"/>
        <c:crosses val="autoZero"/>
        <c:auto val="1"/>
        <c:lblAlgn val="ctr"/>
        <c:lblOffset val="100"/>
      </c:catAx>
      <c:valAx>
        <c:axId val="84834560"/>
        <c:scaling>
          <c:orientation val="minMax"/>
        </c:scaling>
        <c:axPos val="l"/>
        <c:majorGridlines>
          <c:spPr>
            <a:ln>
              <a:solidFill>
                <a:schemeClr val="bg1"/>
              </a:solidFill>
            </a:ln>
          </c:spPr>
        </c:majorGridlines>
        <c:title>
          <c:tx>
            <c:rich>
              <a:bodyPr rot="0" vert="horz"/>
              <a:lstStyle/>
              <a:p>
                <a:pPr>
                  <a:defRPr sz="800" b="0"/>
                </a:pPr>
                <a:r>
                  <a:rPr lang="en-US" sz="800" b="0"/>
                  <a:t>In percent</a:t>
                </a:r>
              </a:p>
            </c:rich>
          </c:tx>
          <c:layout>
            <c:manualLayout>
              <c:xMode val="edge"/>
              <c:yMode val="edge"/>
              <c:x val="1.6260162601626018E-2"/>
              <c:y val="6.8023997000374953E-2"/>
            </c:manualLayout>
          </c:layout>
        </c:title>
        <c:numFmt formatCode="0" sourceLinked="0"/>
        <c:tickLblPos val="nextTo"/>
        <c:crossAx val="84833024"/>
        <c:crosses val="autoZero"/>
        <c:crossBetween val="between"/>
      </c:valAx>
      <c:spPr>
        <a:ln>
          <a:solidFill>
            <a:schemeClr val="bg1">
              <a:lumMod val="65000"/>
            </a:schemeClr>
          </a:solidFill>
        </a:ln>
      </c:spPr>
    </c:plotArea>
    <c:plotVisOnly val="1"/>
  </c:chart>
  <c:printSettings>
    <c:headerFooter/>
    <c:pageMargins b="0.75000000000000078" l="0.70000000000000062" r="0.70000000000000062" t="0.75000000000000078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1162050</xdr:colOff>
      <xdr:row>31</xdr:row>
      <xdr:rowOff>38099</xdr:rowOff>
    </xdr:from>
    <xdr:to>
      <xdr:col>10</xdr:col>
      <xdr:colOff>314325</xdr:colOff>
      <xdr:row>44</xdr:row>
      <xdr:rowOff>9524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1228725</xdr:colOff>
      <xdr:row>45</xdr:row>
      <xdr:rowOff>76200</xdr:rowOff>
    </xdr:from>
    <xdr:to>
      <xdr:col>10</xdr:col>
      <xdr:colOff>342900</xdr:colOff>
      <xdr:row>58</xdr:row>
      <xdr:rowOff>133350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0.01515</cdr:x>
      <cdr:y>0.05448</cdr:y>
    </cdr:from>
    <cdr:to>
      <cdr:x>0.08939</cdr:x>
      <cdr:y>0.09339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95250" y="133351"/>
          <a:ext cx="466725" cy="952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0.01515</cdr:x>
      <cdr:y>0.03891</cdr:y>
    </cdr:from>
    <cdr:to>
      <cdr:x>0.14394</cdr:x>
      <cdr:y>0.09728</cdr:y>
    </cdr:to>
    <cdr:sp macro="" textlink="">
      <cdr:nvSpPr>
        <cdr:cNvPr id="3" name="TextBox 2"/>
        <cdr:cNvSpPr txBox="1"/>
      </cdr:nvSpPr>
      <cdr:spPr>
        <a:xfrm xmlns:a="http://schemas.openxmlformats.org/drawingml/2006/main">
          <a:off x="95250" y="95251"/>
          <a:ext cx="809625" cy="14287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/>
        <a:p xmlns:a="http://schemas.openxmlformats.org/drawingml/2006/main">
          <a:r>
            <a:rPr lang="en-US" sz="800"/>
            <a:t>Numbers</a:t>
          </a:r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theme="0"/>
  </sheetPr>
  <dimension ref="A1:P43"/>
  <sheetViews>
    <sheetView tabSelected="1" workbookViewId="0">
      <selection activeCell="A34" sqref="A34"/>
    </sheetView>
  </sheetViews>
  <sheetFormatPr defaultRowHeight="15"/>
  <cols>
    <col min="1" max="1" width="20.140625" style="1" customWidth="1"/>
    <col min="2" max="2" width="8.7109375" style="1" customWidth="1"/>
    <col min="3" max="3" width="10" style="3" bestFit="1" customWidth="1"/>
    <col min="4" max="4" width="11.5703125" style="3" customWidth="1"/>
    <col min="5" max="5" width="10.28515625" style="3" customWidth="1"/>
    <col min="6" max="6" width="1.7109375" style="3" customWidth="1"/>
    <col min="7" max="7" width="15.140625" style="3" customWidth="1"/>
    <col min="8" max="8" width="2.28515625" style="3" customWidth="1"/>
    <col min="9" max="9" width="11.7109375" style="1" customWidth="1"/>
    <col min="10" max="10" width="15.42578125" style="1" customWidth="1"/>
    <col min="11" max="11" width="18.5703125" style="1" customWidth="1"/>
    <col min="12" max="12" width="9.140625" style="1"/>
    <col min="13" max="13" width="47.140625" style="1" customWidth="1"/>
    <col min="14" max="14" width="9.140625" style="1"/>
    <col min="15" max="16" width="10.5703125" style="1" bestFit="1" customWidth="1"/>
    <col min="17" max="16384" width="9.140625" style="1"/>
  </cols>
  <sheetData>
    <row r="1" spans="1:16" ht="17.25" customHeight="1">
      <c r="A1" s="58" t="s">
        <v>26</v>
      </c>
      <c r="B1" s="59"/>
      <c r="C1" s="59"/>
      <c r="D1" s="59"/>
      <c r="E1" s="59"/>
      <c r="F1" s="59"/>
      <c r="G1" s="59"/>
      <c r="H1" s="59"/>
      <c r="I1" s="59"/>
      <c r="J1" s="59"/>
      <c r="K1" s="59"/>
    </row>
    <row r="2" spans="1:16" ht="18.75" customHeight="1">
      <c r="A2" s="60" t="s">
        <v>35</v>
      </c>
      <c r="B2" s="60"/>
      <c r="C2" s="60"/>
      <c r="D2" s="60"/>
      <c r="E2" s="60"/>
      <c r="F2" s="60"/>
      <c r="G2" s="60"/>
      <c r="H2" s="60"/>
      <c r="I2" s="60"/>
      <c r="J2" s="60"/>
      <c r="K2" s="60"/>
    </row>
    <row r="3" spans="1:16" ht="24.75" customHeight="1">
      <c r="A3" s="54" t="s">
        <v>2</v>
      </c>
      <c r="B3" s="40" t="s">
        <v>3</v>
      </c>
      <c r="C3" s="40" t="s">
        <v>19</v>
      </c>
      <c r="D3" s="40" t="s">
        <v>20</v>
      </c>
      <c r="E3" s="40" t="s">
        <v>21</v>
      </c>
      <c r="F3" s="40"/>
      <c r="G3" s="40" t="s">
        <v>22</v>
      </c>
      <c r="H3" s="40"/>
      <c r="I3" s="41" t="s">
        <v>28</v>
      </c>
      <c r="J3" s="41" t="s">
        <v>37</v>
      </c>
      <c r="K3" s="56" t="s">
        <v>1</v>
      </c>
    </row>
    <row r="4" spans="1:16" ht="16.5" customHeight="1">
      <c r="A4" s="55"/>
      <c r="B4" s="42" t="s">
        <v>4</v>
      </c>
      <c r="C4" s="42" t="s">
        <v>25</v>
      </c>
      <c r="D4" s="42" t="s">
        <v>31</v>
      </c>
      <c r="E4" s="42" t="s">
        <v>32</v>
      </c>
      <c r="F4" s="42"/>
      <c r="G4" s="42" t="s">
        <v>33</v>
      </c>
      <c r="H4" s="42"/>
      <c r="I4" s="43" t="s">
        <v>34</v>
      </c>
      <c r="J4" s="43" t="s">
        <v>38</v>
      </c>
      <c r="K4" s="57"/>
    </row>
    <row r="5" spans="1:16" ht="18.75">
      <c r="A5" s="35" t="s">
        <v>3</v>
      </c>
      <c r="B5" s="39">
        <f>SUM(C5:G5)</f>
        <v>56497</v>
      </c>
      <c r="C5" s="39">
        <f>SUM(C6:C14)</f>
        <v>42287</v>
      </c>
      <c r="D5" s="39">
        <f t="shared" ref="D5:G5" si="0">SUM(D6:D14)</f>
        <v>164</v>
      </c>
      <c r="E5" s="39">
        <f t="shared" si="0"/>
        <v>4557</v>
      </c>
      <c r="F5" s="39"/>
      <c r="G5" s="39">
        <f t="shared" si="0"/>
        <v>9489</v>
      </c>
      <c r="H5" s="39"/>
      <c r="I5" s="48">
        <f>C5/B5*100</f>
        <v>74.848222029488284</v>
      </c>
      <c r="J5" s="51">
        <f>B5/$B$5*100</f>
        <v>100</v>
      </c>
      <c r="K5" s="45" t="s">
        <v>4</v>
      </c>
      <c r="O5" s="1">
        <v>2011</v>
      </c>
      <c r="P5" s="1">
        <v>2012</v>
      </c>
    </row>
    <row r="6" spans="1:16" ht="18" customHeight="1">
      <c r="A6" s="36" t="s">
        <v>5</v>
      </c>
      <c r="B6" s="24">
        <f>SUM(C6:G6)</f>
        <v>46409</v>
      </c>
      <c r="C6" s="24">
        <v>35937</v>
      </c>
      <c r="D6" s="24">
        <v>56</v>
      </c>
      <c r="E6" s="25">
        <v>3485</v>
      </c>
      <c r="F6" s="25"/>
      <c r="G6" s="24">
        <v>6931</v>
      </c>
      <c r="H6" s="24"/>
      <c r="I6" s="49">
        <f>C6/B6*100</f>
        <v>77.435411234889784</v>
      </c>
      <c r="J6" s="51">
        <f>B6/$B$5*100</f>
        <v>82.144184646972406</v>
      </c>
      <c r="K6" s="46" t="s">
        <v>6</v>
      </c>
      <c r="M6" s="5"/>
      <c r="N6" s="4" t="s">
        <v>5</v>
      </c>
      <c r="O6" s="19">
        <v>42571</v>
      </c>
      <c r="P6" s="19">
        <v>46409</v>
      </c>
    </row>
    <row r="7" spans="1:16" ht="18" customHeight="1">
      <c r="A7" s="36" t="s">
        <v>7</v>
      </c>
      <c r="B7" s="24">
        <f t="shared" ref="B7:B14" si="1">SUM(C7:G7)</f>
        <v>3708</v>
      </c>
      <c r="C7" s="24">
        <v>2628</v>
      </c>
      <c r="D7" s="24">
        <v>25</v>
      </c>
      <c r="E7" s="24">
        <v>517</v>
      </c>
      <c r="F7" s="24"/>
      <c r="G7" s="24">
        <v>538</v>
      </c>
      <c r="H7" s="24"/>
      <c r="I7" s="49">
        <f>C7/B7*100</f>
        <v>70.873786407766985</v>
      </c>
      <c r="J7" s="51">
        <f t="shared" ref="J7:J13" si="2">B7/$B$5*100</f>
        <v>6.5631803458590721</v>
      </c>
      <c r="K7" s="46" t="s">
        <v>8</v>
      </c>
      <c r="M7" s="5"/>
      <c r="N7" s="4" t="s">
        <v>7</v>
      </c>
      <c r="O7" s="19">
        <v>3505</v>
      </c>
      <c r="P7" s="19">
        <v>3708</v>
      </c>
    </row>
    <row r="8" spans="1:16" ht="18" customHeight="1">
      <c r="A8" s="36" t="s">
        <v>9</v>
      </c>
      <c r="B8" s="24">
        <f t="shared" si="1"/>
        <v>132</v>
      </c>
      <c r="C8" s="24">
        <v>71</v>
      </c>
      <c r="D8" s="24">
        <v>1</v>
      </c>
      <c r="E8" s="24">
        <v>35</v>
      </c>
      <c r="F8" s="24"/>
      <c r="G8" s="24">
        <v>25</v>
      </c>
      <c r="H8" s="24"/>
      <c r="I8" s="49">
        <f t="shared" ref="I8:I14" si="3">C8/B8*100</f>
        <v>53.787878787878782</v>
      </c>
      <c r="J8" s="51">
        <f t="shared" si="2"/>
        <v>0.23364072428624527</v>
      </c>
      <c r="K8" s="46" t="s">
        <v>10</v>
      </c>
      <c r="M8" s="5"/>
      <c r="N8" s="4" t="s">
        <v>9</v>
      </c>
      <c r="O8" s="19">
        <v>232</v>
      </c>
      <c r="P8" s="19">
        <v>132</v>
      </c>
    </row>
    <row r="9" spans="1:16" ht="18" customHeight="1">
      <c r="A9" s="36" t="s">
        <v>11</v>
      </c>
      <c r="B9" s="24">
        <f t="shared" si="1"/>
        <v>1806</v>
      </c>
      <c r="C9" s="24">
        <v>1052</v>
      </c>
      <c r="D9" s="24">
        <v>25</v>
      </c>
      <c r="E9" s="24">
        <v>150</v>
      </c>
      <c r="F9" s="24"/>
      <c r="G9" s="24">
        <v>579</v>
      </c>
      <c r="H9" s="24"/>
      <c r="I9" s="49">
        <f t="shared" si="3"/>
        <v>58.250276854928018</v>
      </c>
      <c r="J9" s="51">
        <f t="shared" si="2"/>
        <v>3.1966299095527195</v>
      </c>
      <c r="K9" s="46" t="s">
        <v>12</v>
      </c>
      <c r="M9" s="5"/>
      <c r="N9" s="4" t="s">
        <v>11</v>
      </c>
      <c r="O9" s="19">
        <v>1215</v>
      </c>
      <c r="P9" s="19">
        <v>1806</v>
      </c>
    </row>
    <row r="10" spans="1:16" ht="18" customHeight="1">
      <c r="A10" s="36" t="s">
        <v>13</v>
      </c>
      <c r="B10" s="24">
        <f t="shared" si="1"/>
        <v>768</v>
      </c>
      <c r="C10" s="24">
        <v>496</v>
      </c>
      <c r="D10" s="24">
        <v>5</v>
      </c>
      <c r="E10" s="24">
        <v>47</v>
      </c>
      <c r="F10" s="24"/>
      <c r="G10" s="24">
        <v>220</v>
      </c>
      <c r="H10" s="24"/>
      <c r="I10" s="49">
        <f>C10/B10*100</f>
        <v>64.583333333333343</v>
      </c>
      <c r="J10" s="51">
        <f t="shared" si="2"/>
        <v>1.3593642140290634</v>
      </c>
      <c r="K10" s="46" t="s">
        <v>14</v>
      </c>
      <c r="M10" s="5"/>
      <c r="N10" s="4" t="s">
        <v>13</v>
      </c>
      <c r="O10" s="19">
        <v>1079</v>
      </c>
      <c r="P10" s="19">
        <v>768</v>
      </c>
    </row>
    <row r="11" spans="1:16" ht="18" customHeight="1">
      <c r="A11" s="36" t="s">
        <v>15</v>
      </c>
      <c r="B11" s="24">
        <f t="shared" si="1"/>
        <v>1077</v>
      </c>
      <c r="C11" s="24">
        <v>592</v>
      </c>
      <c r="D11" s="24">
        <v>16</v>
      </c>
      <c r="E11" s="24">
        <v>120</v>
      </c>
      <c r="F11" s="24"/>
      <c r="G11" s="24">
        <v>349</v>
      </c>
      <c r="H11" s="24"/>
      <c r="I11" s="49">
        <f t="shared" si="3"/>
        <v>54.967502321262764</v>
      </c>
      <c r="J11" s="51">
        <f t="shared" si="2"/>
        <v>1.9062959095173198</v>
      </c>
      <c r="K11" s="46" t="s">
        <v>16</v>
      </c>
      <c r="M11" s="5"/>
      <c r="N11" s="4" t="s">
        <v>15</v>
      </c>
      <c r="O11" s="19">
        <v>756</v>
      </c>
      <c r="P11" s="19">
        <v>1077</v>
      </c>
    </row>
    <row r="12" spans="1:16" ht="18" customHeight="1">
      <c r="A12" s="36" t="s">
        <v>17</v>
      </c>
      <c r="B12" s="24">
        <f t="shared" si="1"/>
        <v>484</v>
      </c>
      <c r="C12" s="24">
        <v>370</v>
      </c>
      <c r="D12" s="24">
        <v>7</v>
      </c>
      <c r="E12" s="24">
        <v>52</v>
      </c>
      <c r="F12" s="24"/>
      <c r="G12" s="24">
        <v>55</v>
      </c>
      <c r="H12" s="24"/>
      <c r="I12" s="49">
        <f t="shared" si="3"/>
        <v>76.446280991735534</v>
      </c>
      <c r="J12" s="51">
        <f t="shared" si="2"/>
        <v>0.85668265571623281</v>
      </c>
      <c r="K12" s="46" t="s">
        <v>18</v>
      </c>
      <c r="M12" s="5"/>
      <c r="N12" s="4" t="s">
        <v>17</v>
      </c>
      <c r="O12" s="19">
        <v>1034</v>
      </c>
      <c r="P12" s="19">
        <v>484</v>
      </c>
    </row>
    <row r="13" spans="1:16" ht="18" customHeight="1">
      <c r="A13" s="36" t="s">
        <v>23</v>
      </c>
      <c r="B13" s="24">
        <f t="shared" si="1"/>
        <v>363</v>
      </c>
      <c r="C13" s="24">
        <v>210</v>
      </c>
      <c r="D13" s="24">
        <v>8</v>
      </c>
      <c r="E13" s="24">
        <v>9</v>
      </c>
      <c r="F13" s="24"/>
      <c r="G13" s="24">
        <v>136</v>
      </c>
      <c r="H13" s="24"/>
      <c r="I13" s="49">
        <f t="shared" si="3"/>
        <v>57.851239669421481</v>
      </c>
      <c r="J13" s="51">
        <f t="shared" si="2"/>
        <v>0.64251199178717455</v>
      </c>
      <c r="K13" s="47" t="s">
        <v>29</v>
      </c>
      <c r="M13" s="5"/>
      <c r="N13" s="4" t="s">
        <v>23</v>
      </c>
      <c r="O13" s="19">
        <v>333</v>
      </c>
      <c r="P13" s="19">
        <v>363</v>
      </c>
    </row>
    <row r="14" spans="1:16" ht="18" customHeight="1">
      <c r="A14" s="37" t="s">
        <v>24</v>
      </c>
      <c r="B14" s="26">
        <f t="shared" si="1"/>
        <v>1750</v>
      </c>
      <c r="C14" s="26">
        <v>931</v>
      </c>
      <c r="D14" s="26">
        <v>21</v>
      </c>
      <c r="E14" s="26">
        <v>142</v>
      </c>
      <c r="F14" s="26"/>
      <c r="G14" s="26">
        <v>656</v>
      </c>
      <c r="H14" s="26"/>
      <c r="I14" s="50">
        <f t="shared" si="3"/>
        <v>53.2</v>
      </c>
      <c r="J14" s="50">
        <f>B14/$B$5*100</f>
        <v>3.097509602279767</v>
      </c>
      <c r="K14" s="38" t="s">
        <v>30</v>
      </c>
      <c r="M14" s="5"/>
      <c r="N14" s="6" t="s">
        <v>24</v>
      </c>
      <c r="O14" s="19">
        <v>1466</v>
      </c>
      <c r="P14" s="19">
        <v>1750</v>
      </c>
    </row>
    <row r="15" spans="1:16" ht="18.75">
      <c r="A15" s="32" t="s">
        <v>0</v>
      </c>
      <c r="B15" s="33"/>
      <c r="C15" s="34"/>
      <c r="D15" s="34"/>
      <c r="E15" s="34"/>
      <c r="F15" s="34"/>
      <c r="G15" s="34"/>
      <c r="H15" s="44"/>
      <c r="I15" s="31"/>
      <c r="J15" s="31"/>
      <c r="K15" s="53" t="s">
        <v>39</v>
      </c>
    </row>
    <row r="16" spans="1:16">
      <c r="A16" s="20"/>
      <c r="B16" s="9"/>
      <c r="C16" s="10"/>
      <c r="D16" s="10"/>
      <c r="E16" s="10"/>
      <c r="F16" s="10"/>
      <c r="G16" s="10"/>
      <c r="H16" s="10"/>
      <c r="I16" s="8"/>
      <c r="J16" s="8"/>
      <c r="K16" s="8"/>
    </row>
    <row r="17" spans="1:13" ht="24.75" customHeight="1">
      <c r="A17" s="58" t="s">
        <v>27</v>
      </c>
      <c r="B17" s="59"/>
      <c r="C17" s="59"/>
      <c r="D17" s="59"/>
      <c r="E17" s="59"/>
      <c r="F17" s="59"/>
      <c r="G17" s="59"/>
      <c r="H17" s="59"/>
      <c r="I17" s="59"/>
      <c r="J17" s="59"/>
      <c r="K17" s="59"/>
    </row>
    <row r="18" spans="1:13" ht="17.25" customHeight="1">
      <c r="A18" s="60" t="s">
        <v>36</v>
      </c>
      <c r="B18" s="60"/>
      <c r="C18" s="60"/>
      <c r="D18" s="60"/>
      <c r="E18" s="60"/>
      <c r="F18" s="60"/>
      <c r="G18" s="60"/>
      <c r="H18" s="60"/>
      <c r="I18" s="60"/>
      <c r="J18" s="60"/>
      <c r="K18" s="60"/>
    </row>
    <row r="19" spans="1:13" ht="15" customHeight="1">
      <c r="A19" s="54" t="s">
        <v>2</v>
      </c>
      <c r="B19" s="40" t="s">
        <v>3</v>
      </c>
      <c r="C19" s="40" t="s">
        <v>19</v>
      </c>
      <c r="D19" s="40" t="s">
        <v>20</v>
      </c>
      <c r="E19" s="40" t="s">
        <v>21</v>
      </c>
      <c r="F19" s="40"/>
      <c r="G19" s="40" t="s">
        <v>22</v>
      </c>
      <c r="H19" s="40"/>
      <c r="I19" s="41" t="s">
        <v>28</v>
      </c>
      <c r="J19" s="41" t="s">
        <v>37</v>
      </c>
      <c r="K19" s="56" t="s">
        <v>1</v>
      </c>
    </row>
    <row r="20" spans="1:13" ht="15" customHeight="1">
      <c r="A20" s="55"/>
      <c r="B20" s="42" t="s">
        <v>4</v>
      </c>
      <c r="C20" s="42" t="s">
        <v>25</v>
      </c>
      <c r="D20" s="42" t="s">
        <v>31</v>
      </c>
      <c r="E20" s="42" t="s">
        <v>32</v>
      </c>
      <c r="F20" s="42"/>
      <c r="G20" s="42" t="s">
        <v>33</v>
      </c>
      <c r="H20" s="42"/>
      <c r="I20" s="43" t="s">
        <v>34</v>
      </c>
      <c r="J20" s="43" t="s">
        <v>38</v>
      </c>
      <c r="K20" s="57"/>
    </row>
    <row r="21" spans="1:13" ht="18.75">
      <c r="A21" s="22" t="s">
        <v>3</v>
      </c>
      <c r="B21" s="21">
        <f>SUM(C21:G21)</f>
        <v>52191</v>
      </c>
      <c r="C21" s="21">
        <f>SUM(C22:C30)</f>
        <v>38792</v>
      </c>
      <c r="D21" s="23">
        <f t="shared" ref="D21" si="4">SUM(D22:D30)</f>
        <v>140</v>
      </c>
      <c r="E21" s="21">
        <f t="shared" ref="E21" si="5">SUM(E22:E30)</f>
        <v>4294</v>
      </c>
      <c r="F21" s="21"/>
      <c r="G21" s="21">
        <f t="shared" ref="G21" si="6">SUM(G22:G30)</f>
        <v>8965</v>
      </c>
      <c r="H21" s="39"/>
      <c r="I21" s="52">
        <f>C21/B21*100</f>
        <v>74.32699124370103</v>
      </c>
      <c r="J21" s="51">
        <f>B21/$B$21*100</f>
        <v>100</v>
      </c>
      <c r="K21" s="45" t="s">
        <v>4</v>
      </c>
    </row>
    <row r="22" spans="1:13" ht="18" customHeight="1">
      <c r="A22" s="30" t="s">
        <v>5</v>
      </c>
      <c r="B22" s="24">
        <f t="shared" ref="B22:B30" si="7">SUM(C22:G22)</f>
        <v>42571</v>
      </c>
      <c r="C22" s="24">
        <v>32634</v>
      </c>
      <c r="D22" s="27">
        <v>54</v>
      </c>
      <c r="E22" s="25">
        <v>3343</v>
      </c>
      <c r="F22" s="25"/>
      <c r="G22" s="24">
        <v>6540</v>
      </c>
      <c r="H22" s="24"/>
      <c r="I22" s="51">
        <f>C22/B22*100</f>
        <v>76.657818702872845</v>
      </c>
      <c r="J22" s="51">
        <f>B22/$B$21*100</f>
        <v>81.567703243854311</v>
      </c>
      <c r="K22" s="46" t="s">
        <v>6</v>
      </c>
      <c r="M22" s="5"/>
    </row>
    <row r="23" spans="1:13" ht="18" customHeight="1">
      <c r="A23" s="30" t="s">
        <v>7</v>
      </c>
      <c r="B23" s="24">
        <f t="shared" si="7"/>
        <v>3505</v>
      </c>
      <c r="C23" s="24">
        <v>2523</v>
      </c>
      <c r="D23" s="27">
        <v>8</v>
      </c>
      <c r="E23" s="24">
        <v>437</v>
      </c>
      <c r="F23" s="24"/>
      <c r="G23" s="24">
        <v>537</v>
      </c>
      <c r="H23" s="24"/>
      <c r="I23" s="51">
        <f t="shared" ref="I23:I28" si="8">C23/B23*100</f>
        <v>71.982881597717551</v>
      </c>
      <c r="J23" s="51">
        <f>B23/$B$21*100</f>
        <v>6.715717269260983</v>
      </c>
      <c r="K23" s="46" t="s">
        <v>8</v>
      </c>
      <c r="M23" s="5"/>
    </row>
    <row r="24" spans="1:13" ht="18" customHeight="1">
      <c r="A24" s="30" t="s">
        <v>9</v>
      </c>
      <c r="B24" s="24">
        <f t="shared" si="7"/>
        <v>232</v>
      </c>
      <c r="C24" s="24">
        <v>68</v>
      </c>
      <c r="D24" s="27">
        <v>1</v>
      </c>
      <c r="E24" s="24">
        <v>35</v>
      </c>
      <c r="F24" s="24"/>
      <c r="G24" s="24">
        <v>128</v>
      </c>
      <c r="H24" s="24"/>
      <c r="I24" s="51">
        <f>C24/B24*100</f>
        <v>29.310344827586203</v>
      </c>
      <c r="J24" s="51">
        <f t="shared" ref="J24:J28" si="9">B24/$B$21*100</f>
        <v>0.44452108601099805</v>
      </c>
      <c r="K24" s="46" t="s">
        <v>10</v>
      </c>
      <c r="M24" s="5"/>
    </row>
    <row r="25" spans="1:13" ht="18" customHeight="1">
      <c r="A25" s="30" t="s">
        <v>11</v>
      </c>
      <c r="B25" s="24">
        <f t="shared" si="7"/>
        <v>1215</v>
      </c>
      <c r="C25" s="24">
        <v>1026</v>
      </c>
      <c r="D25" s="27">
        <v>22</v>
      </c>
      <c r="E25" s="24">
        <v>143</v>
      </c>
      <c r="F25" s="24"/>
      <c r="G25" s="24">
        <v>24</v>
      </c>
      <c r="H25" s="24"/>
      <c r="I25" s="51">
        <f>C25/B25*100</f>
        <v>84.444444444444443</v>
      </c>
      <c r="J25" s="51">
        <f>B25/$B$21*100</f>
        <v>2.3279875840662183</v>
      </c>
      <c r="K25" s="46" t="s">
        <v>12</v>
      </c>
      <c r="M25" s="5"/>
    </row>
    <row r="26" spans="1:13" ht="18" customHeight="1">
      <c r="A26" s="30" t="s">
        <v>13</v>
      </c>
      <c r="B26" s="24">
        <f t="shared" si="7"/>
        <v>1079</v>
      </c>
      <c r="C26" s="24">
        <v>492</v>
      </c>
      <c r="D26" s="27">
        <v>4</v>
      </c>
      <c r="E26" s="24">
        <v>44</v>
      </c>
      <c r="F26" s="24"/>
      <c r="G26" s="24">
        <v>539</v>
      </c>
      <c r="H26" s="24"/>
      <c r="I26" s="51">
        <f t="shared" si="8"/>
        <v>45.597775718257644</v>
      </c>
      <c r="J26" s="51">
        <f t="shared" si="9"/>
        <v>2.0674062577839094</v>
      </c>
      <c r="K26" s="46" t="s">
        <v>14</v>
      </c>
      <c r="M26" s="5"/>
    </row>
    <row r="27" spans="1:13" ht="18" customHeight="1">
      <c r="A27" s="30" t="s">
        <v>15</v>
      </c>
      <c r="B27" s="24">
        <f t="shared" si="7"/>
        <v>756</v>
      </c>
      <c r="C27" s="24">
        <v>579</v>
      </c>
      <c r="D27" s="27">
        <v>0</v>
      </c>
      <c r="E27" s="24">
        <v>113</v>
      </c>
      <c r="F27" s="24"/>
      <c r="G27" s="24">
        <v>64</v>
      </c>
      <c r="H27" s="24"/>
      <c r="I27" s="51">
        <f>C27/B27*100</f>
        <v>76.587301587301596</v>
      </c>
      <c r="J27" s="51">
        <f>B27/$B$21*100</f>
        <v>1.4485256078634248</v>
      </c>
      <c r="K27" s="46" t="s">
        <v>16</v>
      </c>
      <c r="M27" s="5"/>
    </row>
    <row r="28" spans="1:13" ht="18" customHeight="1">
      <c r="A28" s="30" t="s">
        <v>17</v>
      </c>
      <c r="B28" s="24">
        <f t="shared" si="7"/>
        <v>1034</v>
      </c>
      <c r="C28" s="24">
        <v>362</v>
      </c>
      <c r="D28" s="27">
        <v>6</v>
      </c>
      <c r="E28" s="24">
        <v>52</v>
      </c>
      <c r="F28" s="24"/>
      <c r="G28" s="24">
        <v>614</v>
      </c>
      <c r="H28" s="24"/>
      <c r="I28" s="51">
        <f t="shared" si="8"/>
        <v>35.009671179883945</v>
      </c>
      <c r="J28" s="51">
        <f t="shared" si="9"/>
        <v>1.9811844954110862</v>
      </c>
      <c r="K28" s="46" t="s">
        <v>18</v>
      </c>
      <c r="M28" s="5"/>
    </row>
    <row r="29" spans="1:13" ht="18" customHeight="1">
      <c r="A29" s="30" t="s">
        <v>23</v>
      </c>
      <c r="B29" s="24">
        <f t="shared" si="7"/>
        <v>333</v>
      </c>
      <c r="C29" s="24">
        <v>199</v>
      </c>
      <c r="D29" s="27">
        <v>8</v>
      </c>
      <c r="E29" s="24">
        <v>9</v>
      </c>
      <c r="F29" s="24"/>
      <c r="G29" s="24">
        <v>117</v>
      </c>
      <c r="H29" s="24"/>
      <c r="I29" s="51">
        <f>C29/B29*100</f>
        <v>59.75975975975976</v>
      </c>
      <c r="J29" s="51">
        <f>B29/$B$21*100</f>
        <v>0.63804104155888941</v>
      </c>
      <c r="K29" s="47" t="s">
        <v>29</v>
      </c>
      <c r="M29" s="5"/>
    </row>
    <row r="30" spans="1:13" ht="18" customHeight="1">
      <c r="A30" s="29" t="s">
        <v>24</v>
      </c>
      <c r="B30" s="26">
        <f t="shared" si="7"/>
        <v>1466</v>
      </c>
      <c r="C30" s="26">
        <v>909</v>
      </c>
      <c r="D30" s="28">
        <v>37</v>
      </c>
      <c r="E30" s="26">
        <v>118</v>
      </c>
      <c r="F30" s="26"/>
      <c r="G30" s="26">
        <v>402</v>
      </c>
      <c r="H30" s="26"/>
      <c r="I30" s="50">
        <f>C30/B30*100</f>
        <v>62.005457025920876</v>
      </c>
      <c r="J30" s="50">
        <f>B30/$B$21*100</f>
        <v>2.8089134141901861</v>
      </c>
      <c r="K30" s="38" t="s">
        <v>30</v>
      </c>
      <c r="M30" s="5"/>
    </row>
    <row r="31" spans="1:13" ht="18.75">
      <c r="A31" s="2" t="s">
        <v>0</v>
      </c>
      <c r="B31" s="18"/>
      <c r="C31" s="7"/>
      <c r="D31" s="7"/>
      <c r="E31" s="7"/>
      <c r="F31" s="7"/>
      <c r="G31" s="7"/>
      <c r="H31" s="10"/>
      <c r="I31" s="8"/>
      <c r="J31" s="8"/>
      <c r="K31" s="53" t="s">
        <v>39</v>
      </c>
    </row>
    <row r="32" spans="1:13">
      <c r="A32" s="9"/>
      <c r="B32" s="9"/>
      <c r="C32" s="10"/>
      <c r="D32" s="10"/>
      <c r="E32" s="11"/>
      <c r="F32" s="11"/>
      <c r="G32" s="10"/>
      <c r="H32" s="10"/>
      <c r="I32" s="8"/>
      <c r="J32" s="8"/>
      <c r="K32" s="8"/>
    </row>
    <row r="34" spans="3:11">
      <c r="C34" s="12"/>
      <c r="D34" s="12"/>
      <c r="E34" s="12"/>
      <c r="F34" s="12"/>
      <c r="G34" s="12"/>
      <c r="H34" s="12"/>
      <c r="I34" s="13"/>
      <c r="J34" s="13"/>
      <c r="K34" s="13"/>
    </row>
    <row r="39" spans="3:11">
      <c r="G39" s="14"/>
      <c r="H39" s="14"/>
    </row>
    <row r="40" spans="3:11">
      <c r="G40" s="15"/>
      <c r="H40" s="15"/>
    </row>
    <row r="41" spans="3:11">
      <c r="C41" s="16"/>
    </row>
    <row r="43" spans="3:11">
      <c r="C43" s="17"/>
      <c r="D43" s="15"/>
    </row>
  </sheetData>
  <mergeCells count="8">
    <mergeCell ref="A19:A20"/>
    <mergeCell ref="K19:K20"/>
    <mergeCell ref="A1:K1"/>
    <mergeCell ref="A2:K2"/>
    <mergeCell ref="A17:K17"/>
    <mergeCell ref="A18:K18"/>
    <mergeCell ref="A3:A4"/>
    <mergeCell ref="K3:K4"/>
  </mergeCells>
  <pageMargins left="0.31" right="0.19" top="0.52" bottom="0.59" header="0.3" footer="0.3"/>
  <pageSetup paperSize="9" scale="78" orientation="portrait" r:id="rId1"/>
  <colBreaks count="1" manualBreakCount="1">
    <brk id="12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11.6 </vt:lpstr>
      <vt:lpstr>'11.6 '!Print_Area</vt:lpstr>
    </vt:vector>
  </TitlesOfParts>
  <Company>Department of National Planning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f.shifaza</cp:lastModifiedBy>
  <cp:lastPrinted>2013-07-07T08:59:47Z</cp:lastPrinted>
  <dcterms:created xsi:type="dcterms:W3CDTF">2013-04-28T05:32:41Z</dcterms:created>
  <dcterms:modified xsi:type="dcterms:W3CDTF">2013-07-08T03:43:16Z</dcterms:modified>
</cp:coreProperties>
</file>