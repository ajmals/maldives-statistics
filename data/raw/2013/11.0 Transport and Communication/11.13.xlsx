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1"/>
  </bookViews>
  <sheets>
    <sheet name="11.13" sheetId="15" r:id="rId1"/>
  </sheets>
  <calcPr calcId="124519"/>
</workbook>
</file>

<file path=xl/calcChain.xml><?xml version="1.0" encoding="utf-8"?>
<calcChain xmlns="http://schemas.openxmlformats.org/spreadsheetml/2006/main">
  <c r="AH27" i="15"/>
  <c r="AG27"/>
  <c r="AF27"/>
  <c r="AH26"/>
  <c r="AG26"/>
  <c r="AF26"/>
  <c r="AH25"/>
  <c r="AG25"/>
  <c r="AF25"/>
  <c r="AH24"/>
  <c r="AG24"/>
  <c r="AF24"/>
  <c r="AH23"/>
  <c r="AG23"/>
  <c r="AF23"/>
  <c r="AH22"/>
  <c r="AG22"/>
  <c r="AF22"/>
  <c r="R8" l="1"/>
  <c r="Q8"/>
  <c r="O8"/>
  <c r="N8"/>
  <c r="L8"/>
  <c r="K8"/>
  <c r="I8"/>
  <c r="H8"/>
  <c r="F8"/>
  <c r="E8"/>
  <c r="C8"/>
  <c r="B8"/>
</calcChain>
</file>

<file path=xl/sharedStrings.xml><?xml version="1.0" encoding="utf-8"?>
<sst xmlns="http://schemas.openxmlformats.org/spreadsheetml/2006/main" count="80" uniqueCount="50">
  <si>
    <t>wlcmuj</t>
  </si>
  <si>
    <t>Total</t>
  </si>
  <si>
    <t>iawa</t>
  </si>
  <si>
    <t>iruf</t>
  </si>
  <si>
    <t>In</t>
  </si>
  <si>
    <t>Out</t>
  </si>
  <si>
    <t>Source: Civil Aviation Authority</t>
  </si>
  <si>
    <t>މައުލޫމާތު ދެއްވީ: ސިވިލް އޭވިއޭޝަން އޮތޯރިޓީ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</si>
  <si>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</si>
  <si>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</si>
  <si>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</si>
  <si>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</si>
  <si>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</si>
  <si>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</si>
  <si>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</si>
  <si>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</si>
  <si>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</si>
  <si>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</si>
  <si>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</si>
  <si>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</si>
  <si>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</si>
  <si>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Udcawk .l</t>
  </si>
  <si>
    <t>UdcaeDWk .dg</t>
  </si>
  <si>
    <t>UdWminwh .dh</t>
  </si>
  <si>
    <t>ޏ.ފުވައްމުލައް</t>
  </si>
  <si>
    <t>އދ.މާމިގިލި</t>
  </si>
  <si>
    <t>L.Kadhdhoo</t>
  </si>
  <si>
    <t>GDh.Kaadedhdhoo</t>
  </si>
  <si>
    <t>HDh.Hanimaadhoo</t>
  </si>
  <si>
    <t xml:space="preserve">Gn.Fuvahmulah </t>
  </si>
  <si>
    <t>ADh.Maamigili</t>
  </si>
  <si>
    <t>cswm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</si>
  <si>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</si>
  <si>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</si>
  <si>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</si>
  <si>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</si>
  <si>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</si>
  <si>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</si>
  <si>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</si>
  <si>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</si>
  <si>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rwbcmeTcpes</t>
  </si>
  <si>
    <t>rwbOTckoa</t>
  </si>
  <si>
    <t>rwbcmevon</t>
  </si>
  <si>
    <t>rwbcmesiD</t>
  </si>
  <si>
    <t>2012 ,ctogiruh urutwfurutwd egcnurwjcniswf iawgukwturwdnwb egiawv egEjcaWr cnutogeguhwmcswm  :11.13 ulwvWt</t>
  </si>
  <si>
    <t>Table 11.13 :  PASSENGER MOVEMENTS AT DOMESTIC AIRPORTS BY MONTH, 2012</t>
  </si>
  <si>
    <t>B.Dharavandhoo</t>
  </si>
  <si>
    <t>ބ.ދަރަވަންދޫ</t>
  </si>
  <si>
    <t>Note: B.Dharavandhoo  started flight operations during the month of October 2012</t>
  </si>
  <si>
    <t xml:space="preserve">ނޯޓް: ބ.ދަރަވަންދޫއަށް ދަތުރުތައް ފެށިފައިވަނީ އޮކްޓޯބަރ 2012 ން ފެށިގެންނެވެ. 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</si>
</sst>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General_)"/>
    <numFmt numFmtId="165" formatCode="[$-409]mmmm\ d\,\ yyyy;@"/>
    <numFmt numFmtId="166" formatCode="_(* #,##0_);_(* \(#,##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10"/>
      <name val="Calibri"/>
      <family val="2"/>
      <scheme val="minor"/>
    </font>
    <font>
      <i/>
      <sz val="10"/>
      <name val="Arial"/>
      <family val="2"/>
    </font>
    <font>
      <sz val="11"/>
      <color theme="1"/>
      <name val="Calibri"/>
      <family val="2"/>
      <charset val="1"/>
      <scheme val="minor"/>
    </font>
    <font>
      <i/>
      <sz val="9"/>
      <name val="Calibri"/>
      <family val="2"/>
      <scheme val="minor"/>
    </font>
    <font>
      <b/>
      <sz val="10"/>
      <name val="A_Randhoo"/>
    </font>
    <font>
      <b/>
      <sz val="12"/>
      <name val="A_Randhoo"/>
    </font>
    <font>
      <sz val="10"/>
      <name val="A_Randhoo"/>
    </font>
    <font>
      <sz val="10"/>
      <color theme="1"/>
      <name val="Calibri"/>
      <family val="2"/>
      <scheme val="minor"/>
    </font>
    <font>
      <b/>
      <sz val="10.5"/>
      <name val="A_Randhoo Aa"/>
    </font>
    <font>
      <b/>
      <sz val="10.5"/>
      <name val="A_Reethi"/>
    </font>
    <font>
      <b/>
      <sz val="10.5"/>
      <name val="Calibri"/>
      <family val="2"/>
      <scheme val="minor"/>
    </font>
    <font>
      <sz val="10"/>
      <color theme="1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5" fillId="0" borderId="0"/>
    <xf numFmtId="0" fontId="1" fillId="0" borderId="0"/>
    <xf numFmtId="0" fontId="5" fillId="0" borderId="0"/>
    <xf numFmtId="164" fontId="9" fillId="0" borderId="0"/>
    <xf numFmtId="40" fontId="3" fillId="0" borderId="0" applyFont="0" applyFill="0" applyBorder="0" applyAlignment="0" applyProtection="0"/>
    <xf numFmtId="166" fontId="9" fillId="0" borderId="0"/>
    <xf numFmtId="165" fontId="9" fillId="0" borderId="0" applyFont="0" applyFill="0" applyBorder="0" applyAlignment="0" applyProtection="0"/>
    <xf numFmtId="166" fontId="9" fillId="0" borderId="0"/>
    <xf numFmtId="164" fontId="9" fillId="0" borderId="0"/>
    <xf numFmtId="0" fontId="5" fillId="0" borderId="0"/>
  </cellStyleXfs>
  <cellXfs count="45">
    <xf numFmtId="0" fontId="0" fillId="0" borderId="0" xfId="0"/>
    <xf numFmtId="164" fontId="0" fillId="2" borderId="0" xfId="0" applyNumberFormat="1" applyFill="1" applyBorder="1"/>
    <xf numFmtId="164" fontId="0" fillId="2" borderId="0" xfId="0" applyNumberFormat="1" applyFill="1"/>
    <xf numFmtId="0" fontId="8" fillId="2" borderId="0" xfId="0" applyNumberFormat="1" applyFont="1" applyFill="1" applyBorder="1" applyAlignment="1">
      <alignment horizontal="right" vertical="center"/>
    </xf>
    <xf numFmtId="3" fontId="6" fillId="2" borderId="0" xfId="12" applyNumberFormat="1" applyFont="1" applyFill="1" applyBorder="1" applyAlignment="1">
      <alignment horizontal="right"/>
    </xf>
    <xf numFmtId="164" fontId="14" fillId="2" borderId="0" xfId="12" applyNumberFormat="1" applyFont="1" applyFill="1" applyBorder="1" applyAlignment="1">
      <alignment horizontal="right" vertical="center"/>
    </xf>
    <xf numFmtId="164" fontId="13" fillId="2" borderId="0" xfId="12" applyNumberFormat="1" applyFont="1" applyFill="1" applyBorder="1" applyAlignment="1" applyProtection="1">
      <alignment horizontal="left" vertical="center"/>
    </xf>
    <xf numFmtId="164" fontId="13" fillId="2" borderId="0" xfId="12" applyNumberFormat="1" applyFont="1" applyFill="1" applyAlignment="1" applyProtection="1">
      <alignment horizontal="left" vertical="center"/>
    </xf>
    <xf numFmtId="164" fontId="6" fillId="2" borderId="0" xfId="12" applyNumberFormat="1" applyFont="1" applyFill="1" applyBorder="1" applyAlignment="1" applyProtection="1">
      <alignment horizontal="left" vertical="center"/>
    </xf>
    <xf numFmtId="164" fontId="9" fillId="2" borderId="0" xfId="0" applyNumberFormat="1" applyFont="1" applyFill="1"/>
    <xf numFmtId="164" fontId="7" fillId="2" borderId="3" xfId="12" applyNumberFormat="1" applyFont="1" applyFill="1" applyBorder="1" applyAlignment="1">
      <alignment horizontal="right" vertical="center"/>
    </xf>
    <xf numFmtId="164" fontId="10" fillId="2" borderId="0" xfId="12" applyNumberFormat="1" applyFont="1" applyFill="1" applyBorder="1" applyAlignment="1" applyProtection="1">
      <alignment horizontal="left" vertical="center"/>
    </xf>
    <xf numFmtId="3" fontId="10" fillId="2" borderId="0" xfId="12" applyNumberFormat="1" applyFont="1" applyFill="1" applyBorder="1" applyAlignment="1">
      <alignment horizontal="right"/>
    </xf>
    <xf numFmtId="3" fontId="10" fillId="2" borderId="0" xfId="8" applyNumberFormat="1" applyFont="1" applyFill="1" applyBorder="1" applyAlignment="1">
      <alignment horizontal="right"/>
    </xf>
    <xf numFmtId="164" fontId="16" fillId="2" borderId="0" xfId="12" applyNumberFormat="1" applyFont="1" applyFill="1" applyBorder="1" applyAlignment="1">
      <alignment horizontal="right" vertical="center"/>
    </xf>
    <xf numFmtId="164" fontId="10" fillId="2" borderId="3" xfId="12" applyNumberFormat="1" applyFont="1" applyFill="1" applyBorder="1" applyAlignment="1" applyProtection="1">
      <alignment horizontal="left" vertical="center"/>
    </xf>
    <xf numFmtId="3" fontId="10" fillId="2" borderId="3" xfId="12" applyNumberFormat="1" applyFont="1" applyFill="1" applyBorder="1" applyAlignment="1">
      <alignment horizontal="right"/>
    </xf>
    <xf numFmtId="3" fontId="10" fillId="2" borderId="3" xfId="8" applyNumberFormat="1" applyFont="1" applyFill="1" applyBorder="1" applyAlignment="1">
      <alignment horizontal="right"/>
    </xf>
    <xf numFmtId="164" fontId="16" fillId="2" borderId="3" xfId="12" applyNumberFormat="1" applyFont="1" applyFill="1" applyBorder="1" applyAlignment="1">
      <alignment horizontal="right" vertical="center"/>
    </xf>
    <xf numFmtId="164" fontId="11" fillId="2" borderId="0" xfId="12" applyNumberFormat="1" applyFont="1" applyFill="1" applyAlignment="1" applyProtection="1">
      <alignment horizontal="left" vertical="center"/>
    </xf>
    <xf numFmtId="37" fontId="5" fillId="2" borderId="0" xfId="12" applyNumberFormat="1" applyFont="1" applyFill="1" applyAlignment="1" applyProtection="1">
      <alignment vertical="center"/>
    </xf>
    <xf numFmtId="164" fontId="16" fillId="2" borderId="0" xfId="12" applyNumberFormat="1" applyFont="1" applyFill="1" applyBorder="1" applyAlignment="1"/>
    <xf numFmtId="0" fontId="16" fillId="2" borderId="0" xfId="13" applyFont="1" applyFill="1" applyAlignment="1">
      <alignment vertical="center"/>
    </xf>
    <xf numFmtId="164" fontId="0" fillId="3" borderId="0" xfId="0" applyNumberFormat="1" applyFill="1"/>
    <xf numFmtId="166" fontId="0" fillId="2" borderId="0" xfId="1" applyNumberFormat="1" applyFont="1" applyFill="1"/>
    <xf numFmtId="166" fontId="0" fillId="3" borderId="0" xfId="1" applyNumberFormat="1" applyFont="1" applyFill="1"/>
    <xf numFmtId="164" fontId="17" fillId="2" borderId="0" xfId="0" applyNumberFormat="1" applyFont="1" applyFill="1"/>
    <xf numFmtId="164" fontId="18" fillId="2" borderId="2" xfId="12" applyNumberFormat="1" applyFont="1" applyFill="1" applyBorder="1" applyAlignment="1">
      <alignment horizontal="center" vertical="center"/>
    </xf>
    <xf numFmtId="164" fontId="19" fillId="2" borderId="2" xfId="12" applyNumberFormat="1" applyFont="1" applyFill="1" applyBorder="1" applyAlignment="1">
      <alignment horizontal="center" vertical="center"/>
    </xf>
    <xf numFmtId="164" fontId="20" fillId="2" borderId="0" xfId="12" applyNumberFormat="1" applyFont="1" applyFill="1" applyBorder="1" applyAlignment="1">
      <alignment horizontal="center" vertical="center" wrapText="1"/>
    </xf>
    <xf numFmtId="164" fontId="18" fillId="2" borderId="0" xfId="12" applyNumberFormat="1" applyFont="1" applyFill="1" applyBorder="1" applyAlignment="1">
      <alignment horizontal="right" vertical="center"/>
    </xf>
    <xf numFmtId="164" fontId="20" fillId="2" borderId="3" xfId="12" applyNumberFormat="1" applyFont="1" applyFill="1" applyBorder="1" applyAlignment="1">
      <alignment horizontal="right" vertical="center"/>
    </xf>
    <xf numFmtId="164" fontId="21" fillId="2" borderId="0" xfId="0" applyNumberFormat="1" applyFont="1" applyFill="1" applyAlignment="1">
      <alignment vertical="center"/>
    </xf>
    <xf numFmtId="0" fontId="8" fillId="2" borderId="1" xfId="0" applyNumberFormat="1" applyFont="1" applyFill="1" applyBorder="1" applyAlignment="1">
      <alignment horizontal="right" vertical="center"/>
    </xf>
    <xf numFmtId="164" fontId="15" fillId="2" borderId="0" xfId="12" applyNumberFormat="1" applyFont="1" applyFill="1" applyBorder="1" applyAlignment="1">
      <alignment horizontal="center" vertical="center"/>
    </xf>
    <xf numFmtId="164" fontId="2" fillId="2" borderId="0" xfId="12" applyNumberFormat="1" applyFont="1" applyFill="1" applyBorder="1" applyAlignment="1">
      <alignment horizontal="center" vertical="center"/>
    </xf>
    <xf numFmtId="164" fontId="19" fillId="2" borderId="2" xfId="12" applyNumberFormat="1" applyFont="1" applyFill="1" applyBorder="1" applyAlignment="1">
      <alignment horizontal="center" vertical="center"/>
    </xf>
    <xf numFmtId="164" fontId="20" fillId="2" borderId="3" xfId="12" applyNumberFormat="1" applyFont="1" applyFill="1" applyBorder="1" applyAlignment="1">
      <alignment horizontal="center" vertical="center" wrapText="1"/>
    </xf>
    <xf numFmtId="164" fontId="6" fillId="2" borderId="2" xfId="12" applyNumberFormat="1" applyFont="1" applyFill="1" applyBorder="1" applyAlignment="1">
      <alignment horizontal="left" vertical="center"/>
    </xf>
    <xf numFmtId="164" fontId="6" fillId="2" borderId="0" xfId="12" applyNumberFormat="1" applyFont="1" applyFill="1" applyBorder="1" applyAlignment="1">
      <alignment horizontal="left" vertical="center"/>
    </xf>
    <xf numFmtId="164" fontId="6" fillId="2" borderId="3" xfId="12" applyNumberFormat="1" applyFont="1" applyFill="1" applyBorder="1" applyAlignment="1">
      <alignment horizontal="left" vertical="center"/>
    </xf>
    <xf numFmtId="164" fontId="18" fillId="2" borderId="2" xfId="12" applyNumberFormat="1" applyFont="1" applyFill="1" applyBorder="1" applyAlignment="1">
      <alignment horizontal="center" vertical="center"/>
    </xf>
    <xf numFmtId="164" fontId="14" fillId="2" borderId="2" xfId="12" applyNumberFormat="1" applyFont="1" applyFill="1" applyBorder="1" applyAlignment="1">
      <alignment horizontal="right" vertical="center"/>
    </xf>
    <xf numFmtId="164" fontId="14" fillId="2" borderId="0" xfId="12" applyNumberFormat="1" applyFont="1" applyFill="1" applyBorder="1" applyAlignment="1">
      <alignment horizontal="right" vertical="center"/>
    </xf>
    <xf numFmtId="164" fontId="14" fillId="2" borderId="3" xfId="12" applyNumberFormat="1" applyFont="1" applyFill="1" applyBorder="1" applyAlignment="1">
      <alignment horizontal="right" vertical="center"/>
    </xf>
  </cellXfs>
  <cellStyles count="14">
    <cellStyle name="Comma" xfId="1" builtinId="3"/>
    <cellStyle name="Comma 2" xfId="8"/>
    <cellStyle name="Comma 4" xfId="10"/>
    <cellStyle name="Hyperlink 2" xfId="2"/>
    <cellStyle name="Normal" xfId="0" builtinId="0"/>
    <cellStyle name="Normal 2" xfId="12"/>
    <cellStyle name="Normal 2 2" xfId="7"/>
    <cellStyle name="Normal 2 3" xfId="4"/>
    <cellStyle name="Normal 3" xfId="11"/>
    <cellStyle name="Normal 3 2" xfId="6"/>
    <cellStyle name="Normal 4" xfId="9"/>
    <cellStyle name="Normal 5" xfId="5"/>
    <cellStyle name="Normal 6" xfId="3"/>
    <cellStyle name="Normal_IX-6(Trans &amp; Comm)" xfId="1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/>
            </a:pPr>
            <a:r>
              <a:rPr lang="en-US" sz="1100" b="1" i="0" u="none" strike="noStrike" baseline="0"/>
              <a:t>Figure 11.10: </a:t>
            </a:r>
            <a:r>
              <a:rPr lang="en-US" sz="1100"/>
              <a:t>Passanger movement at Domestic</a:t>
            </a:r>
            <a:r>
              <a:rPr lang="en-US" sz="1100" baseline="0"/>
              <a:t> airports, 2012</a:t>
            </a:r>
            <a:endParaRPr lang="en-US" sz="1100"/>
          </a:p>
        </c:rich>
      </c:tx>
      <c:layout>
        <c:manualLayout>
          <c:xMode val="edge"/>
          <c:yMode val="edge"/>
          <c:x val="0.27424702990714417"/>
          <c:y val="2.3497879800416552E-2"/>
        </c:manualLayout>
      </c:layout>
    </c:title>
    <c:plotArea>
      <c:layout>
        <c:manualLayout>
          <c:layoutTarget val="inner"/>
          <c:xMode val="edge"/>
          <c:yMode val="edge"/>
          <c:x val="9.889857196591216E-2"/>
          <c:y val="0.13950351368764888"/>
          <c:w val="0.88530158072510357"/>
          <c:h val="0.71406561380901756"/>
        </c:manualLayout>
      </c:layout>
      <c:barChart>
        <c:barDir val="col"/>
        <c:grouping val="clustered"/>
        <c:ser>
          <c:idx val="0"/>
          <c:order val="0"/>
          <c:tx>
            <c:strRef>
              <c:f>'[1]11.13fig'!$B$31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strRef>
              <c:f>'[1]11.13fig'!$A$32:$A$37</c:f>
              <c:strCache>
                <c:ptCount val="6"/>
                <c:pt idx="0">
                  <c:v>ADh.Maamigili</c:v>
                </c:pt>
                <c:pt idx="1">
                  <c:v>GDh.Kaadedhdhoo</c:v>
                </c:pt>
                <c:pt idx="2">
                  <c:v>HDh.Hanimaadhoo</c:v>
                </c:pt>
                <c:pt idx="3">
                  <c:v>L.Kadhdhoo</c:v>
                </c:pt>
                <c:pt idx="4">
                  <c:v>Gn.Fuvahmulah </c:v>
                </c:pt>
                <c:pt idx="5">
                  <c:v>B.Dharavandhoo</c:v>
                </c:pt>
              </c:strCache>
            </c:strRef>
          </c:cat>
          <c:val>
            <c:numRef>
              <c:f>'[1]11.13fig'!$B$32:$B$37</c:f>
              <c:numCache>
                <c:formatCode>General</c:formatCode>
                <c:ptCount val="6"/>
                <c:pt idx="0">
                  <c:v>56882</c:v>
                </c:pt>
                <c:pt idx="1">
                  <c:v>49715</c:v>
                </c:pt>
                <c:pt idx="2">
                  <c:v>35254</c:v>
                </c:pt>
                <c:pt idx="3">
                  <c:v>25349</c:v>
                </c:pt>
                <c:pt idx="4">
                  <c:v>10256</c:v>
                </c:pt>
                <c:pt idx="5">
                  <c:v>1913</c:v>
                </c:pt>
              </c:numCache>
            </c:numRef>
          </c:val>
        </c:ser>
        <c:ser>
          <c:idx val="1"/>
          <c:order val="1"/>
          <c:tx>
            <c:strRef>
              <c:f>'[1]11.13fig'!$C$31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'[1]11.13fig'!$A$32:$A$37</c:f>
              <c:strCache>
                <c:ptCount val="6"/>
                <c:pt idx="0">
                  <c:v>ADh.Maamigili</c:v>
                </c:pt>
                <c:pt idx="1">
                  <c:v>GDh.Kaadedhdhoo</c:v>
                </c:pt>
                <c:pt idx="2">
                  <c:v>HDh.Hanimaadhoo</c:v>
                </c:pt>
                <c:pt idx="3">
                  <c:v>L.Kadhdhoo</c:v>
                </c:pt>
                <c:pt idx="4">
                  <c:v>Gn.Fuvahmulah </c:v>
                </c:pt>
                <c:pt idx="5">
                  <c:v>B.Dharavandhoo</c:v>
                </c:pt>
              </c:strCache>
            </c:strRef>
          </c:cat>
          <c:val>
            <c:numRef>
              <c:f>'[1]11.13fig'!$C$32:$C$37</c:f>
              <c:numCache>
                <c:formatCode>General</c:formatCode>
                <c:ptCount val="6"/>
                <c:pt idx="0">
                  <c:v>52155</c:v>
                </c:pt>
                <c:pt idx="1">
                  <c:v>49180</c:v>
                </c:pt>
                <c:pt idx="2">
                  <c:v>35917</c:v>
                </c:pt>
                <c:pt idx="3">
                  <c:v>25818</c:v>
                </c:pt>
                <c:pt idx="4">
                  <c:v>11030</c:v>
                </c:pt>
                <c:pt idx="5">
                  <c:v>2123</c:v>
                </c:pt>
              </c:numCache>
            </c:numRef>
          </c:val>
        </c:ser>
        <c:axId val="89680128"/>
        <c:axId val="89687552"/>
      </c:barChart>
      <c:catAx>
        <c:axId val="89680128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89687552"/>
        <c:crosses val="autoZero"/>
        <c:auto val="1"/>
        <c:lblAlgn val="ctr"/>
        <c:lblOffset val="100"/>
      </c:catAx>
      <c:valAx>
        <c:axId val="89687552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1.474938886575022E-2"/>
              <c:y val="3.2207929396604724E-2"/>
            </c:manualLayout>
          </c:layout>
        </c:title>
        <c:numFmt formatCode="#,##0" sourceLinked="0"/>
        <c:tickLblPos val="nextTo"/>
        <c:crossAx val="89680128"/>
        <c:crosses val="autoZero"/>
        <c:crossBetween val="between"/>
      </c:valAx>
      <c:spPr>
        <a:ln>
          <a:solidFill>
            <a:sysClr val="windowText" lastClr="000000">
              <a:lumMod val="50000"/>
              <a:lumOff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68113474513005157"/>
          <c:y val="0.20519552384471787"/>
          <c:w val="0.21724868766404223"/>
          <c:h val="7.2871688911226612E-2"/>
        </c:manualLayout>
      </c:layout>
      <c:overlay val="1"/>
      <c:txPr>
        <a:bodyPr/>
        <a:lstStyle/>
        <a:p>
          <a:pPr>
            <a:defRPr sz="1050"/>
          </a:pPr>
          <a:endParaRPr lang="en-US"/>
        </a:p>
      </c:txPr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686663</xdr:colOff>
      <xdr:row>22</xdr:row>
      <xdr:rowOff>18184</xdr:rowOff>
    </xdr:from>
    <xdr:to>
      <xdr:col>14</xdr:col>
      <xdr:colOff>200890</xdr:colOff>
      <xdr:row>35</xdr:row>
      <xdr:rowOff>65809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35"/>
  <sheetViews>
    <sheetView tabSelected="1" zoomScale="93" zoomScaleNormal="93" workbookViewId="0">
      <selection sqref="A1:S1"/>
    </sheetView>
  </sheetViews>
  <sheetFormatPr defaultRowHeight="15"/>
  <cols>
    <col min="1" max="3" width="12.5703125" style="2" customWidth="1"/>
    <col min="4" max="4" width="2.42578125" style="2" customWidth="1"/>
    <col min="5" max="6" width="12.5703125" style="2" customWidth="1"/>
    <col min="7" max="7" width="2" style="2" customWidth="1"/>
    <col min="8" max="9" width="12.5703125" style="2" customWidth="1"/>
    <col min="10" max="10" width="3" style="2" customWidth="1"/>
    <col min="11" max="12" width="12.5703125" style="2" customWidth="1"/>
    <col min="13" max="13" width="2.28515625" style="2" customWidth="1"/>
    <col min="14" max="15" width="12.5703125" style="2" customWidth="1"/>
    <col min="16" max="16" width="2.28515625" style="2" customWidth="1"/>
    <col min="17" max="18" width="12.5703125" style="2" customWidth="1"/>
    <col min="19" max="19" width="19.7109375" style="2" customWidth="1"/>
    <col min="20" max="16384" width="9.140625" style="2"/>
  </cols>
  <sheetData>
    <row r="1" spans="1:19" ht="19.5">
      <c r="A1" s="34" t="s">
        <v>44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ht="15.75">
      <c r="A2" s="35" t="s">
        <v>45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</row>
    <row r="3" spans="1:19" s="1" customFormat="1" ht="7.5" customHeight="1"/>
    <row r="4" spans="1:19" s="9" customFormat="1" ht="19.5">
      <c r="A4" s="38" t="s">
        <v>8</v>
      </c>
      <c r="B4" s="41" t="s">
        <v>21</v>
      </c>
      <c r="C4" s="41"/>
      <c r="D4" s="27"/>
      <c r="E4" s="41" t="s">
        <v>22</v>
      </c>
      <c r="F4" s="41"/>
      <c r="G4" s="27"/>
      <c r="H4" s="41" t="s">
        <v>23</v>
      </c>
      <c r="I4" s="41"/>
      <c r="J4" s="27"/>
      <c r="K4" s="36" t="s">
        <v>24</v>
      </c>
      <c r="L4" s="36"/>
      <c r="M4" s="28"/>
      <c r="N4" s="36" t="s">
        <v>25</v>
      </c>
      <c r="O4" s="36"/>
      <c r="P4" s="28"/>
      <c r="Q4" s="36" t="s">
        <v>47</v>
      </c>
      <c r="R4" s="36"/>
      <c r="S4" s="42" t="s">
        <v>31</v>
      </c>
    </row>
    <row r="5" spans="1:19" s="26" customFormat="1" ht="15.75" customHeight="1">
      <c r="A5" s="39"/>
      <c r="B5" s="37" t="s">
        <v>26</v>
      </c>
      <c r="C5" s="37"/>
      <c r="D5" s="29"/>
      <c r="E5" s="37" t="s">
        <v>27</v>
      </c>
      <c r="F5" s="37"/>
      <c r="G5" s="29"/>
      <c r="H5" s="37" t="s">
        <v>28</v>
      </c>
      <c r="I5" s="37"/>
      <c r="J5" s="29"/>
      <c r="K5" s="37" t="s">
        <v>29</v>
      </c>
      <c r="L5" s="37"/>
      <c r="M5" s="29"/>
      <c r="N5" s="37" t="s">
        <v>30</v>
      </c>
      <c r="O5" s="37"/>
      <c r="P5" s="29"/>
      <c r="Q5" s="37" t="s">
        <v>46</v>
      </c>
      <c r="R5" s="37"/>
      <c r="S5" s="43"/>
    </row>
    <row r="6" spans="1:19" s="26" customFormat="1" ht="15.75">
      <c r="A6" s="39"/>
      <c r="B6" s="30" t="s">
        <v>2</v>
      </c>
      <c r="C6" s="30" t="s">
        <v>3</v>
      </c>
      <c r="D6" s="30"/>
      <c r="E6" s="30" t="s">
        <v>2</v>
      </c>
      <c r="F6" s="30" t="s">
        <v>3</v>
      </c>
      <c r="G6" s="30"/>
      <c r="H6" s="30" t="s">
        <v>2</v>
      </c>
      <c r="I6" s="30" t="s">
        <v>3</v>
      </c>
      <c r="J6" s="30"/>
      <c r="K6" s="30" t="s">
        <v>2</v>
      </c>
      <c r="L6" s="30" t="s">
        <v>3</v>
      </c>
      <c r="M6" s="30"/>
      <c r="N6" s="30" t="s">
        <v>2</v>
      </c>
      <c r="O6" s="30" t="s">
        <v>3</v>
      </c>
      <c r="P6" s="30"/>
      <c r="Q6" s="30" t="s">
        <v>2</v>
      </c>
      <c r="R6" s="30" t="s">
        <v>3</v>
      </c>
      <c r="S6" s="43"/>
    </row>
    <row r="7" spans="1:19" s="26" customFormat="1" ht="14.25">
      <c r="A7" s="40"/>
      <c r="B7" s="31" t="s">
        <v>4</v>
      </c>
      <c r="C7" s="31" t="s">
        <v>5</v>
      </c>
      <c r="D7" s="31"/>
      <c r="E7" s="31" t="s">
        <v>4</v>
      </c>
      <c r="F7" s="31" t="s">
        <v>5</v>
      </c>
      <c r="G7" s="31"/>
      <c r="H7" s="31" t="s">
        <v>4</v>
      </c>
      <c r="I7" s="31" t="s">
        <v>5</v>
      </c>
      <c r="J7" s="31"/>
      <c r="K7" s="31" t="s">
        <v>4</v>
      </c>
      <c r="L7" s="31" t="s">
        <v>5</v>
      </c>
      <c r="M7" s="31"/>
      <c r="N7" s="31" t="s">
        <v>4</v>
      </c>
      <c r="O7" s="31" t="s">
        <v>5</v>
      </c>
      <c r="P7" s="31"/>
      <c r="Q7" s="31" t="s">
        <v>4</v>
      </c>
      <c r="R7" s="31" t="s">
        <v>5</v>
      </c>
      <c r="S7" s="44"/>
    </row>
    <row r="8" spans="1:19" s="9" customFormat="1" ht="15.75">
      <c r="A8" s="8" t="s">
        <v>1</v>
      </c>
      <c r="B8" s="4">
        <f>SUM(B9:B20)</f>
        <v>25349</v>
      </c>
      <c r="C8" s="4">
        <f t="shared" ref="C8" si="0">SUM(C9:C20)</f>
        <v>25818</v>
      </c>
      <c r="D8" s="4"/>
      <c r="E8" s="4">
        <f t="shared" ref="E8:F8" si="1">SUM(E9:E20)</f>
        <v>49715</v>
      </c>
      <c r="F8" s="4">
        <f t="shared" si="1"/>
        <v>49180</v>
      </c>
      <c r="G8" s="4"/>
      <c r="H8" s="4">
        <f>SUM(H9:H20)</f>
        <v>35254</v>
      </c>
      <c r="I8" s="4">
        <f>SUM(I9:I20)</f>
        <v>35917</v>
      </c>
      <c r="J8" s="4"/>
      <c r="K8" s="4">
        <f>SUM(K9:K20)</f>
        <v>10256</v>
      </c>
      <c r="L8" s="4">
        <f t="shared" ref="L8" si="2">SUM(L9:L20)</f>
        <v>11030</v>
      </c>
      <c r="M8" s="4"/>
      <c r="N8" s="4">
        <f t="shared" ref="N8:O8" si="3">SUM(N9:N20)</f>
        <v>56882</v>
      </c>
      <c r="O8" s="4">
        <f t="shared" si="3"/>
        <v>52155</v>
      </c>
      <c r="P8" s="4"/>
      <c r="Q8" s="4">
        <f t="shared" ref="Q8:R8" si="4">SUM(Q9:Q20)</f>
        <v>1913</v>
      </c>
      <c r="R8" s="4">
        <f t="shared" si="4"/>
        <v>2123</v>
      </c>
      <c r="S8" s="5" t="s">
        <v>0</v>
      </c>
    </row>
    <row r="9" spans="1:19" s="9" customFormat="1" ht="15.75">
      <c r="A9" s="11" t="s">
        <v>9</v>
      </c>
      <c r="B9" s="12">
        <v>1930</v>
      </c>
      <c r="C9" s="12">
        <v>2088</v>
      </c>
      <c r="D9" s="12"/>
      <c r="E9" s="13">
        <v>4871</v>
      </c>
      <c r="F9" s="13">
        <v>4795</v>
      </c>
      <c r="G9" s="13"/>
      <c r="H9" s="12">
        <v>2738</v>
      </c>
      <c r="I9" s="12">
        <v>3171</v>
      </c>
      <c r="J9" s="12"/>
      <c r="K9" s="12">
        <v>828</v>
      </c>
      <c r="L9" s="12">
        <v>897</v>
      </c>
      <c r="M9" s="12"/>
      <c r="N9" s="12">
        <v>5952</v>
      </c>
      <c r="O9" s="12">
        <v>5230</v>
      </c>
      <c r="P9" s="12"/>
      <c r="Q9" s="12">
        <v>0</v>
      </c>
      <c r="R9" s="12">
        <v>0</v>
      </c>
      <c r="S9" s="14" t="s">
        <v>32</v>
      </c>
    </row>
    <row r="10" spans="1:19" s="9" customFormat="1" ht="15.75">
      <c r="A10" s="11" t="s">
        <v>10</v>
      </c>
      <c r="B10" s="12">
        <v>1529</v>
      </c>
      <c r="C10" s="12">
        <v>1612</v>
      </c>
      <c r="D10" s="12"/>
      <c r="E10" s="13">
        <v>3719</v>
      </c>
      <c r="F10" s="13">
        <v>3853</v>
      </c>
      <c r="G10" s="13"/>
      <c r="H10" s="12">
        <v>2264</v>
      </c>
      <c r="I10" s="12">
        <v>2506</v>
      </c>
      <c r="J10" s="12"/>
      <c r="K10" s="12">
        <v>634</v>
      </c>
      <c r="L10" s="12">
        <v>650</v>
      </c>
      <c r="M10" s="12"/>
      <c r="N10" s="12">
        <v>5952</v>
      </c>
      <c r="O10" s="12">
        <v>5230</v>
      </c>
      <c r="P10" s="12"/>
      <c r="Q10" s="12">
        <v>0</v>
      </c>
      <c r="R10" s="12">
        <v>0</v>
      </c>
      <c r="S10" s="14" t="s">
        <v>33</v>
      </c>
    </row>
    <row r="11" spans="1:19" s="9" customFormat="1" ht="15.75">
      <c r="A11" s="11" t="s">
        <v>11</v>
      </c>
      <c r="B11" s="12">
        <v>2049</v>
      </c>
      <c r="C11" s="12">
        <v>1972</v>
      </c>
      <c r="D11" s="12"/>
      <c r="E11" s="13">
        <v>3758</v>
      </c>
      <c r="F11" s="13">
        <v>3822</v>
      </c>
      <c r="G11" s="13"/>
      <c r="H11" s="12">
        <v>2267</v>
      </c>
      <c r="I11" s="12">
        <v>2116</v>
      </c>
      <c r="J11" s="12"/>
      <c r="K11" s="12">
        <v>825</v>
      </c>
      <c r="L11" s="12">
        <v>864</v>
      </c>
      <c r="M11" s="12"/>
      <c r="N11" s="12">
        <v>4338</v>
      </c>
      <c r="O11" s="12">
        <v>3909</v>
      </c>
      <c r="P11" s="12"/>
      <c r="Q11" s="12">
        <v>0</v>
      </c>
      <c r="R11" s="12">
        <v>0</v>
      </c>
      <c r="S11" s="14" t="s">
        <v>34</v>
      </c>
    </row>
    <row r="12" spans="1:19" s="9" customFormat="1" ht="15.75">
      <c r="A12" s="11" t="s">
        <v>12</v>
      </c>
      <c r="B12" s="12">
        <v>2007</v>
      </c>
      <c r="C12" s="12">
        <v>2064</v>
      </c>
      <c r="D12" s="12"/>
      <c r="E12" s="13">
        <v>4468</v>
      </c>
      <c r="F12" s="13">
        <v>4460</v>
      </c>
      <c r="G12" s="13"/>
      <c r="H12" s="12">
        <v>2861</v>
      </c>
      <c r="I12" s="12">
        <v>3000</v>
      </c>
      <c r="J12" s="12"/>
      <c r="K12" s="12">
        <v>662</v>
      </c>
      <c r="L12" s="12">
        <v>693</v>
      </c>
      <c r="M12" s="12"/>
      <c r="N12" s="12">
        <v>3756</v>
      </c>
      <c r="O12" s="12">
        <v>3471</v>
      </c>
      <c r="P12" s="12"/>
      <c r="Q12" s="12">
        <v>0</v>
      </c>
      <c r="R12" s="12">
        <v>0</v>
      </c>
      <c r="S12" s="14" t="s">
        <v>35</v>
      </c>
    </row>
    <row r="13" spans="1:19" s="9" customFormat="1" ht="15.75">
      <c r="A13" s="11" t="s">
        <v>13</v>
      </c>
      <c r="B13" s="12">
        <v>1807</v>
      </c>
      <c r="C13" s="12">
        <v>2038</v>
      </c>
      <c r="D13" s="12"/>
      <c r="E13" s="13">
        <v>3450</v>
      </c>
      <c r="F13" s="13">
        <v>3889</v>
      </c>
      <c r="G13" s="13"/>
      <c r="H13" s="12">
        <v>2299</v>
      </c>
      <c r="I13" s="12">
        <v>2319</v>
      </c>
      <c r="J13" s="12"/>
      <c r="K13" s="12">
        <v>929</v>
      </c>
      <c r="L13" s="12">
        <v>1073</v>
      </c>
      <c r="M13" s="12"/>
      <c r="N13" s="12">
        <v>2419</v>
      </c>
      <c r="O13" s="12">
        <v>2993</v>
      </c>
      <c r="P13" s="12"/>
      <c r="Q13" s="12">
        <v>0</v>
      </c>
      <c r="R13" s="12">
        <v>0</v>
      </c>
      <c r="S13" s="14" t="s">
        <v>36</v>
      </c>
    </row>
    <row r="14" spans="1:19" s="9" customFormat="1" ht="15.75">
      <c r="A14" s="11" t="s">
        <v>14</v>
      </c>
      <c r="B14" s="12">
        <v>2080</v>
      </c>
      <c r="C14" s="12">
        <v>2019</v>
      </c>
      <c r="D14" s="12"/>
      <c r="E14" s="13">
        <v>4046</v>
      </c>
      <c r="F14" s="13">
        <v>3787</v>
      </c>
      <c r="G14" s="13"/>
      <c r="H14" s="12">
        <v>2675</v>
      </c>
      <c r="I14" s="12">
        <v>2347</v>
      </c>
      <c r="J14" s="12"/>
      <c r="K14" s="12">
        <v>929</v>
      </c>
      <c r="L14" s="12">
        <v>898</v>
      </c>
      <c r="M14" s="12"/>
      <c r="N14" s="12">
        <v>2722</v>
      </c>
      <c r="O14" s="12">
        <v>2341</v>
      </c>
      <c r="P14" s="12"/>
      <c r="Q14" s="12">
        <v>0</v>
      </c>
      <c r="R14" s="12">
        <v>0</v>
      </c>
      <c r="S14" s="14" t="s">
        <v>37</v>
      </c>
    </row>
    <row r="15" spans="1:19" s="9" customFormat="1" ht="15.75">
      <c r="A15" s="11" t="s">
        <v>15</v>
      </c>
      <c r="B15" s="12">
        <v>2268</v>
      </c>
      <c r="C15" s="12">
        <v>2008</v>
      </c>
      <c r="D15" s="12"/>
      <c r="E15" s="13">
        <v>4469</v>
      </c>
      <c r="F15" s="13">
        <v>4203</v>
      </c>
      <c r="G15" s="13"/>
      <c r="H15" s="12">
        <v>3865</v>
      </c>
      <c r="I15" s="12">
        <v>3674</v>
      </c>
      <c r="J15" s="12"/>
      <c r="K15" s="12">
        <v>842</v>
      </c>
      <c r="L15" s="12">
        <v>771</v>
      </c>
      <c r="M15" s="12"/>
      <c r="N15" s="12">
        <v>3817</v>
      </c>
      <c r="O15" s="12">
        <v>3258</v>
      </c>
      <c r="P15" s="12"/>
      <c r="Q15" s="12">
        <v>0</v>
      </c>
      <c r="R15" s="12">
        <v>0</v>
      </c>
      <c r="S15" s="14" t="s">
        <v>38</v>
      </c>
    </row>
    <row r="16" spans="1:19" s="9" customFormat="1" ht="15.75">
      <c r="A16" s="11" t="s">
        <v>16</v>
      </c>
      <c r="B16" s="12">
        <v>2194</v>
      </c>
      <c r="C16" s="12">
        <v>2330</v>
      </c>
      <c r="D16" s="12"/>
      <c r="E16" s="13">
        <v>4398</v>
      </c>
      <c r="F16" s="13">
        <v>4693</v>
      </c>
      <c r="G16" s="13"/>
      <c r="H16" s="12">
        <v>3470</v>
      </c>
      <c r="I16" s="12">
        <v>4390</v>
      </c>
      <c r="J16" s="12"/>
      <c r="K16" s="12">
        <v>785</v>
      </c>
      <c r="L16" s="12">
        <v>851</v>
      </c>
      <c r="M16" s="12"/>
      <c r="N16" s="12">
        <v>3742</v>
      </c>
      <c r="O16" s="12">
        <v>4162</v>
      </c>
      <c r="P16" s="12"/>
      <c r="Q16" s="12">
        <v>0</v>
      </c>
      <c r="R16" s="12">
        <v>0</v>
      </c>
      <c r="S16" s="14" t="s">
        <v>39</v>
      </c>
    </row>
    <row r="17" spans="1:34" s="9" customFormat="1" ht="21" customHeight="1">
      <c r="A17" s="11" t="s">
        <v>17</v>
      </c>
      <c r="B17" s="12">
        <v>1902</v>
      </c>
      <c r="C17" s="12">
        <v>2057</v>
      </c>
      <c r="D17" s="12"/>
      <c r="E17" s="13">
        <v>3910</v>
      </c>
      <c r="F17" s="13">
        <v>3553</v>
      </c>
      <c r="G17" s="13"/>
      <c r="H17" s="12">
        <v>2604</v>
      </c>
      <c r="I17" s="12">
        <v>2407</v>
      </c>
      <c r="J17" s="12"/>
      <c r="K17" s="12">
        <v>760</v>
      </c>
      <c r="L17" s="12">
        <v>817</v>
      </c>
      <c r="M17" s="12"/>
      <c r="N17" s="12">
        <v>5605</v>
      </c>
      <c r="O17" s="12">
        <v>4417</v>
      </c>
      <c r="P17" s="12"/>
      <c r="Q17" s="12">
        <v>0</v>
      </c>
      <c r="R17" s="12">
        <v>0</v>
      </c>
      <c r="S17" s="14" t="s">
        <v>40</v>
      </c>
    </row>
    <row r="18" spans="1:34" s="9" customFormat="1" ht="21" customHeight="1">
      <c r="A18" s="11" t="s">
        <v>18</v>
      </c>
      <c r="B18" s="12">
        <v>2294</v>
      </c>
      <c r="C18" s="12">
        <v>2015</v>
      </c>
      <c r="D18" s="12"/>
      <c r="E18" s="13">
        <v>3650</v>
      </c>
      <c r="F18" s="13">
        <v>3472</v>
      </c>
      <c r="G18" s="13"/>
      <c r="H18" s="12">
        <v>3868</v>
      </c>
      <c r="I18" s="12">
        <v>3332</v>
      </c>
      <c r="J18" s="12"/>
      <c r="K18" s="12">
        <v>753</v>
      </c>
      <c r="L18" s="12">
        <v>793</v>
      </c>
      <c r="M18" s="12"/>
      <c r="N18" s="12">
        <v>6400</v>
      </c>
      <c r="O18" s="12">
        <v>5769</v>
      </c>
      <c r="P18" s="12"/>
      <c r="Q18" s="12">
        <v>414</v>
      </c>
      <c r="R18" s="12">
        <v>651</v>
      </c>
      <c r="S18" s="14" t="s">
        <v>41</v>
      </c>
    </row>
    <row r="19" spans="1:34" s="9" customFormat="1" ht="21" customHeight="1">
      <c r="A19" s="11" t="s">
        <v>19</v>
      </c>
      <c r="B19" s="12">
        <v>2368</v>
      </c>
      <c r="C19" s="12">
        <v>2939</v>
      </c>
      <c r="D19" s="12"/>
      <c r="E19" s="13">
        <v>3926</v>
      </c>
      <c r="F19" s="13">
        <v>3672</v>
      </c>
      <c r="G19" s="13"/>
      <c r="H19" s="12">
        <v>3299</v>
      </c>
      <c r="I19" s="12">
        <v>3873</v>
      </c>
      <c r="J19" s="12"/>
      <c r="K19" s="12">
        <v>932</v>
      </c>
      <c r="L19" s="12">
        <v>1333</v>
      </c>
      <c r="M19" s="12"/>
      <c r="N19" s="12">
        <v>5808</v>
      </c>
      <c r="O19" s="12">
        <v>5355</v>
      </c>
      <c r="P19" s="12"/>
      <c r="Q19" s="12">
        <v>375</v>
      </c>
      <c r="R19" s="12">
        <v>536</v>
      </c>
      <c r="S19" s="14" t="s">
        <v>42</v>
      </c>
    </row>
    <row r="20" spans="1:34" s="9" customFormat="1" ht="21" customHeight="1">
      <c r="A20" s="15" t="s">
        <v>20</v>
      </c>
      <c r="B20" s="16">
        <v>2921</v>
      </c>
      <c r="C20" s="16">
        <v>2676</v>
      </c>
      <c r="D20" s="16"/>
      <c r="E20" s="17">
        <v>5050</v>
      </c>
      <c r="F20" s="17">
        <v>4981</v>
      </c>
      <c r="G20" s="17"/>
      <c r="H20" s="16">
        <v>3044</v>
      </c>
      <c r="I20" s="16">
        <v>2782</v>
      </c>
      <c r="J20" s="16"/>
      <c r="K20" s="16">
        <v>1377</v>
      </c>
      <c r="L20" s="16">
        <v>1390</v>
      </c>
      <c r="M20" s="16"/>
      <c r="N20" s="16">
        <v>6371</v>
      </c>
      <c r="O20" s="16">
        <v>6020</v>
      </c>
      <c r="P20" s="16"/>
      <c r="Q20" s="16">
        <v>1124</v>
      </c>
      <c r="R20" s="16">
        <v>936</v>
      </c>
      <c r="S20" s="18" t="s">
        <v>43</v>
      </c>
    </row>
    <row r="21" spans="1:34" ht="15" customHeight="1">
      <c r="A21" s="6" t="s">
        <v>48</v>
      </c>
      <c r="S21" s="32" t="s">
        <v>49</v>
      </c>
      <c r="AF21" s="9"/>
      <c r="AG21" s="10" t="s">
        <v>4</v>
      </c>
      <c r="AH21" s="10" t="s">
        <v>5</v>
      </c>
    </row>
    <row r="22" spans="1:34" ht="15" customHeight="1">
      <c r="A22" s="7" t="s">
        <v>6</v>
      </c>
      <c r="S22" s="33" t="s">
        <v>7</v>
      </c>
      <c r="AF22" s="11">
        <f>B9</f>
        <v>1930</v>
      </c>
      <c r="AG22" s="24">
        <f>B12</f>
        <v>2007</v>
      </c>
      <c r="AH22" s="24">
        <f>C12</f>
        <v>2064</v>
      </c>
    </row>
    <row r="23" spans="1:34" s="9" customFormat="1" ht="18" customHeight="1">
      <c r="B23" s="19"/>
      <c r="C23" s="20"/>
      <c r="D23" s="20"/>
      <c r="E23" s="20"/>
      <c r="F23" s="21"/>
      <c r="G23" s="21"/>
      <c r="T23" s="22"/>
      <c r="U23" s="22"/>
      <c r="X23" s="22"/>
      <c r="AF23" s="2">
        <f>E9</f>
        <v>4871</v>
      </c>
      <c r="AG23" s="24">
        <f>E12</f>
        <v>4468</v>
      </c>
      <c r="AH23" s="24">
        <f>F12</f>
        <v>4460</v>
      </c>
    </row>
    <row r="24" spans="1:34" ht="18.75">
      <c r="A24" s="11"/>
      <c r="S24" s="3"/>
      <c r="AF24" s="2">
        <f>H9</f>
        <v>2738</v>
      </c>
      <c r="AG24" s="24">
        <f>H12</f>
        <v>2861</v>
      </c>
      <c r="AH24" s="24">
        <f>I12</f>
        <v>3000</v>
      </c>
    </row>
    <row r="25" spans="1:34">
      <c r="AF25" s="2">
        <f>K9</f>
        <v>828</v>
      </c>
      <c r="AG25" s="24">
        <f>K12</f>
        <v>662</v>
      </c>
      <c r="AH25" s="24">
        <f>L12</f>
        <v>693</v>
      </c>
    </row>
    <row r="26" spans="1:34">
      <c r="AF26" s="2">
        <f>N9</f>
        <v>5952</v>
      </c>
      <c r="AG26" s="24">
        <f>N12</f>
        <v>3756</v>
      </c>
      <c r="AH26" s="24">
        <f>O12</f>
        <v>3471</v>
      </c>
    </row>
    <row r="27" spans="1:34" ht="17.25">
      <c r="D27" s="20"/>
      <c r="E27" s="20"/>
      <c r="F27" s="21"/>
      <c r="G27" s="21"/>
      <c r="H27" s="9"/>
      <c r="I27" s="9"/>
      <c r="J27" s="9"/>
      <c r="K27" s="9"/>
      <c r="L27" s="9"/>
      <c r="AF27" s="2">
        <f>Q9</f>
        <v>0</v>
      </c>
      <c r="AG27" s="24">
        <f>Q12</f>
        <v>0</v>
      </c>
      <c r="AH27" s="24">
        <f>R12</f>
        <v>0</v>
      </c>
    </row>
    <row r="29" spans="1:34">
      <c r="AF29" s="23"/>
      <c r="AG29" s="23" t="s">
        <v>4</v>
      </c>
      <c r="AH29" s="23" t="s">
        <v>5</v>
      </c>
    </row>
    <row r="30" spans="1:34">
      <c r="AF30" s="23" t="s">
        <v>30</v>
      </c>
      <c r="AG30" s="25">
        <v>56882</v>
      </c>
      <c r="AH30" s="25">
        <v>52155</v>
      </c>
    </row>
    <row r="31" spans="1:34">
      <c r="AF31" s="23" t="s">
        <v>27</v>
      </c>
      <c r="AG31" s="25">
        <v>49715</v>
      </c>
      <c r="AH31" s="25">
        <v>49180</v>
      </c>
    </row>
    <row r="32" spans="1:34">
      <c r="AF32" s="23" t="s">
        <v>28</v>
      </c>
      <c r="AG32" s="25">
        <v>35254</v>
      </c>
      <c r="AH32" s="25">
        <v>35917</v>
      </c>
    </row>
    <row r="33" spans="32:34">
      <c r="AF33" s="23" t="s">
        <v>26</v>
      </c>
      <c r="AG33" s="25">
        <v>25349</v>
      </c>
      <c r="AH33" s="25">
        <v>25818</v>
      </c>
    </row>
    <row r="34" spans="32:34">
      <c r="AF34" s="23" t="s">
        <v>29</v>
      </c>
      <c r="AG34" s="25">
        <v>10256</v>
      </c>
      <c r="AH34" s="25">
        <v>11030</v>
      </c>
    </row>
    <row r="35" spans="32:34">
      <c r="AF35" s="23" t="s">
        <v>46</v>
      </c>
      <c r="AG35" s="25">
        <v>1913</v>
      </c>
      <c r="AH35" s="25">
        <v>2123</v>
      </c>
    </row>
  </sheetData>
  <mergeCells count="16">
    <mergeCell ref="A1:S1"/>
    <mergeCell ref="A2:S2"/>
    <mergeCell ref="Q4:R4"/>
    <mergeCell ref="Q5:R5"/>
    <mergeCell ref="A4:A7"/>
    <mergeCell ref="B4:C4"/>
    <mergeCell ref="E4:F4"/>
    <mergeCell ref="H4:I4"/>
    <mergeCell ref="K4:L4"/>
    <mergeCell ref="N4:O4"/>
    <mergeCell ref="B5:C5"/>
    <mergeCell ref="E5:F5"/>
    <mergeCell ref="H5:I5"/>
    <mergeCell ref="K5:L5"/>
    <mergeCell ref="N5:O5"/>
    <mergeCell ref="S4:S7"/>
  </mergeCells>
  <pageMargins left="0.17" right="0.17" top="0.75" bottom="0.62" header="0.3" footer="0.3"/>
  <pageSetup paperSize="9" scale="74" orientation="landscape" r:id="rId1"/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11.13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2013-07-07T08:59:47Z</cp:lastPrinted>
  <dcterms:created xsi:type="dcterms:W3CDTF">2013-04-28T05:32:41Z</dcterms:created>
  <dcterms:modified xsi:type="dcterms:W3CDTF">2013-07-08T05:38:56Z</dcterms:modified>
</cp:coreProperties>
</file>