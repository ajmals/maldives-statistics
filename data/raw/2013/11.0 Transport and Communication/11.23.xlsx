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23" sheetId="11" r:id="rId1"/>
  </sheets>
  <definedNames>
    <definedName name="_xlnm.Print_Area" localSheetId="0">'11.23'!$A$1:$AA$53</definedName>
  </definedNames>
  <calcPr calcId="124519"/>
</workbook>
</file>

<file path=xl/calcChain.xml><?xml version="1.0" encoding="utf-8"?>
<calcChain xmlns="http://schemas.openxmlformats.org/spreadsheetml/2006/main">
  <c r="L10" i="11"/>
  <c r="J31"/>
  <c r="I31"/>
  <c r="H31"/>
  <c r="G31"/>
  <c r="F31"/>
  <c r="E31"/>
  <c r="D31"/>
  <c r="C31"/>
  <c r="H30"/>
  <c r="G30"/>
  <c r="F30"/>
  <c r="E30"/>
  <c r="D30"/>
  <c r="C30"/>
  <c r="H29"/>
  <c r="G29"/>
  <c r="F29"/>
  <c r="E29"/>
  <c r="D29"/>
  <c r="K13"/>
  <c r="J13"/>
  <c r="J29" s="1"/>
  <c r="I13"/>
  <c r="I29" s="1"/>
  <c r="C13"/>
  <c r="C29" s="1"/>
  <c r="J10"/>
  <c r="I10"/>
  <c r="H10"/>
  <c r="G10"/>
  <c r="F10"/>
  <c r="E10"/>
  <c r="D10"/>
  <c r="C10"/>
  <c r="K5"/>
  <c r="J5"/>
  <c r="J30" s="1"/>
  <c r="I5"/>
  <c r="I30" s="1"/>
</calcChain>
</file>

<file path=xl/sharedStrings.xml><?xml version="1.0" encoding="utf-8"?>
<sst xmlns="http://schemas.openxmlformats.org/spreadsheetml/2006/main" count="63" uniqueCount="51">
  <si>
    <t>-</t>
  </si>
  <si>
    <t>Source: Telecom Operators – Dhiraagu and Wataniya</t>
  </si>
  <si>
    <t>Prepared by: Communications Authority of Maldives (CAM)</t>
  </si>
  <si>
    <t>cawtctwvWb</t>
  </si>
  <si>
    <t>Fixed Telephone Lines</t>
  </si>
  <si>
    <t xml:space="preserve">          cniawl cnOfeleT cDcsckif</t>
  </si>
  <si>
    <t>Male' &amp; Greater Male' region</t>
  </si>
  <si>
    <t xml:space="preserve">1_/ elWm  </t>
  </si>
  <si>
    <t>Other Regions</t>
  </si>
  <si>
    <t>cSwrcSwrELuairid</t>
  </si>
  <si>
    <t xml:space="preserve">cawtcTOsir  </t>
  </si>
  <si>
    <t xml:space="preserve">cSwrcSwrELUnirid  </t>
  </si>
  <si>
    <t>Pay Phones (excluding private pay phones)</t>
  </si>
  <si>
    <t xml:space="preserve">         cnOfEp</t>
  </si>
  <si>
    <t xml:space="preserve">iligiliv iaWa elWm  </t>
  </si>
  <si>
    <t>Other Islands</t>
  </si>
  <si>
    <t xml:space="preserve">cSwrcSwr cnehinehea  </t>
  </si>
  <si>
    <t>Mobile Subscriptions</t>
  </si>
  <si>
    <t xml:space="preserve">          cnOf cliawbOm</t>
  </si>
  <si>
    <t>Post paid</t>
  </si>
  <si>
    <t xml:space="preserve">cDiaepcTcsOp  </t>
  </si>
  <si>
    <t>Pre-paid</t>
  </si>
  <si>
    <t xml:space="preserve">cDiaepIrcp  </t>
  </si>
  <si>
    <t>EdukWritcxia cSwacTenrwTcnia</t>
  </si>
  <si>
    <t>ITiscneDeleT</t>
  </si>
  <si>
    <t>Mobile subscriptions per 100 people</t>
  </si>
  <si>
    <t xml:space="preserve">          cnOf cliawbOm cSwkwhIm 100 emcnok egIdWbWa</t>
  </si>
  <si>
    <t>Landlines per 100 people</t>
  </si>
  <si>
    <t>cniawlcDcnEl cSwkwhIm 100 emcnok egIdWbWa</t>
  </si>
  <si>
    <t>Internet subscriptions per 100 people</t>
  </si>
  <si>
    <t>cTenrwTcnia cSwkwhIm 100 emcnok egIdWbWa</t>
  </si>
  <si>
    <t>Paging Subscribers</t>
  </si>
  <si>
    <t>EdukWritcxia cSwacnijEp</t>
  </si>
  <si>
    <t>Telex Lines</t>
  </si>
  <si>
    <t>cniawl csckeleT</t>
  </si>
  <si>
    <t xml:space="preserve"> Wyinwtwv cDcnea ugWrid - csrwTErwpoa cmokeleT :ctWrwfivcaed utWmUluawm</t>
  </si>
  <si>
    <r>
      <rPr>
        <vertAlign val="superscript"/>
        <sz val="10"/>
        <rFont val="Calibri"/>
        <family val="2"/>
        <scheme val="minor"/>
      </rPr>
      <t>1_/</t>
    </r>
    <r>
      <rPr>
        <sz val="10"/>
        <rFont val="Calibri"/>
        <family val="2"/>
        <scheme val="minor"/>
      </rPr>
      <t xml:space="preserve"> - total for the 11 islands with residential telephone service in the atolls</t>
    </r>
  </si>
  <si>
    <t>population</t>
  </si>
  <si>
    <t>teledensity - mobile</t>
  </si>
  <si>
    <t>teledensity - landline</t>
  </si>
  <si>
    <t>tel internet</t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</si>
  <si>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_/- telecom densities calculated, based on projected mid-year populations, MPND stats yearbooks 2007 and census figures</t>
    </r>
  </si>
  <si>
    <t>*</t>
  </si>
  <si>
    <t>Internet subscribers in year 2010 inclusive of mobile internet customers</t>
  </si>
  <si>
    <t>Internet Subscriptions**</t>
  </si>
  <si>
    <t>**</t>
  </si>
  <si>
    <t>Revised</t>
  </si>
  <si>
    <r>
      <t>2012 - 2003 ,ctwmcdiK ItWlwsWvum : 11.23 ulwvWt</t>
    </r>
    <r>
      <rPr>
        <b/>
        <sz val="11"/>
        <rFont val="A_Utheem"/>
      </rPr>
      <t xml:space="preserve"> </t>
    </r>
  </si>
  <si>
    <t>Table 11.23: TELECOMMUNICATION SERVICES, 2003 - 2012</t>
  </si>
  <si>
    <t>73,812*</t>
  </si>
  <si>
    <r>
      <t>Teledensity</t>
    </r>
    <r>
      <rPr>
        <b/>
        <vertAlign val="superscript"/>
        <sz val="1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</si>
</sst>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>
  <numFmts count="4">
    <numFmt numFmtId="164" formatCode="General_)"/>
    <numFmt numFmtId="165" formatCode="[$-409]mmmm\ d\,\ yyyy;@"/>
    <numFmt numFmtId="166" formatCode="_(* #,##0_);_(* \(#,##0\);_(* &quot;-&quot;??_);_(@_)"/>
    <numFmt numFmtId="167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b/>
      <sz val="11"/>
      <name val="A_Utheem"/>
    </font>
    <font>
      <u/>
      <sz val="10"/>
      <color indexed="12"/>
      <name val="Arial"/>
      <family val="2"/>
    </font>
    <font>
      <b/>
      <sz val="11"/>
      <name val="A_Randhoo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9"/>
      <name val="A_Randhoo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Garamond"/>
      <family val="1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9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9" fillId="0" borderId="0"/>
    <xf numFmtId="0" fontId="1" fillId="0" borderId="0"/>
    <xf numFmtId="0" fontId="9" fillId="0" borderId="0"/>
    <xf numFmtId="164" fontId="15" fillId="0" borderId="0"/>
    <xf numFmtId="40" fontId="5" fillId="0" borderId="0" applyFont="0" applyFill="0" applyBorder="0" applyAlignment="0" applyProtection="0"/>
    <xf numFmtId="0" fontId="21" fillId="0" borderId="0"/>
    <xf numFmtId="166" fontId="15" fillId="0" borderId="0"/>
    <xf numFmtId="165" fontId="15" fillId="0" borderId="0" applyFont="0" applyFill="0" applyBorder="0" applyAlignment="0" applyProtection="0"/>
    <xf numFmtId="166" fontId="15" fillId="0" borderId="0"/>
    <xf numFmtId="164" fontId="15" fillId="0" borderId="0"/>
  </cellStyleXfs>
  <cellXfs count="59">
    <xf numFmtId="0" fontId="0" fillId="0" borderId="0" xfId="0"/>
    <xf numFmtId="0" fontId="20" fillId="2" borderId="0" xfId="8" applyFont="1" applyFill="1" applyBorder="1" applyAlignment="1">
      <alignment horizontal="right" vertical="center"/>
    </xf>
    <xf numFmtId="164" fontId="2" fillId="2" borderId="0" xfId="11" applyNumberFormat="1" applyFont="1" applyFill="1"/>
    <xf numFmtId="164" fontId="16" fillId="2" borderId="0" xfId="11" applyNumberFormat="1" applyFont="1" applyFill="1"/>
    <xf numFmtId="164" fontId="11" fillId="2" borderId="1" xfId="11" applyNumberFormat="1" applyFont="1" applyFill="1" applyBorder="1" applyAlignment="1">
      <alignment horizontal="center"/>
    </xf>
    <xf numFmtId="164" fontId="16" fillId="2" borderId="0" xfId="11" applyNumberFormat="1" applyFont="1" applyFill="1" applyBorder="1"/>
    <xf numFmtId="164" fontId="3" fillId="2" borderId="2" xfId="11" applyNumberFormat="1" applyFont="1" applyFill="1" applyBorder="1"/>
    <xf numFmtId="164" fontId="22" fillId="2" borderId="2" xfId="11" applyNumberFormat="1" applyFont="1" applyFill="1" applyBorder="1" applyAlignment="1">
      <alignment horizontal="right" vertical="center"/>
    </xf>
    <xf numFmtId="0" fontId="8" fillId="2" borderId="2" xfId="8" applyFont="1" applyFill="1" applyBorder="1" applyAlignment="1">
      <alignment horizontal="right" vertical="center"/>
    </xf>
    <xf numFmtId="164" fontId="3" fillId="2" borderId="0" xfId="11" applyNumberFormat="1" applyFont="1" applyFill="1"/>
    <xf numFmtId="3" fontId="22" fillId="2" borderId="0" xfId="11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164" fontId="10" fillId="2" borderId="0" xfId="11" applyNumberFormat="1" applyFont="1" applyFill="1"/>
    <xf numFmtId="164" fontId="9" fillId="2" borderId="0" xfId="11" applyNumberFormat="1" applyFont="1" applyFill="1"/>
    <xf numFmtId="3" fontId="14" fillId="2" borderId="0" xfId="11" applyNumberFormat="1" applyFont="1" applyFill="1"/>
    <xf numFmtId="0" fontId="24" fillId="2" borderId="0" xfId="8" applyFont="1" applyFill="1" applyBorder="1" applyAlignment="1">
      <alignment horizontal="right" vertical="center"/>
    </xf>
    <xf numFmtId="167" fontId="23" fillId="2" borderId="0" xfId="11" applyNumberFormat="1" applyFont="1" applyFill="1" applyAlignment="1">
      <alignment horizontal="right" vertical="center"/>
    </xf>
    <xf numFmtId="167" fontId="23" fillId="2" borderId="0" xfId="0" applyNumberFormat="1" applyFont="1" applyFill="1" applyAlignment="1">
      <alignment horizontal="right" vertical="center"/>
    </xf>
    <xf numFmtId="0" fontId="12" fillId="2" borderId="0" xfId="8" applyFont="1" applyFill="1" applyBorder="1" applyAlignment="1">
      <alignment horizontal="right" vertical="center"/>
    </xf>
    <xf numFmtId="167" fontId="23" fillId="2" borderId="0" xfId="11" applyNumberFormat="1" applyFont="1" applyFill="1" applyAlignment="1">
      <alignment horizontal="right" vertical="top"/>
    </xf>
    <xf numFmtId="3" fontId="23" fillId="2" borderId="1" xfId="11" applyNumberFormat="1" applyFont="1" applyFill="1" applyBorder="1" applyAlignment="1">
      <alignment horizontal="right" vertical="center"/>
    </xf>
    <xf numFmtId="3" fontId="23" fillId="2" borderId="1" xfId="0" applyNumberFormat="1" applyFont="1" applyFill="1" applyBorder="1" applyAlignment="1">
      <alignment horizontal="right" vertical="center"/>
    </xf>
    <xf numFmtId="0" fontId="24" fillId="2" borderId="1" xfId="8" applyFont="1" applyFill="1" applyBorder="1" applyAlignment="1">
      <alignment horizontal="right" vertical="center"/>
    </xf>
    <xf numFmtId="0" fontId="19" fillId="2" borderId="0" xfId="9" applyNumberFormat="1" applyFont="1" applyFill="1" applyAlignment="1">
      <alignment horizontal="left"/>
    </xf>
    <xf numFmtId="164" fontId="14" fillId="2" borderId="0" xfId="11" applyNumberFormat="1" applyFont="1" applyFill="1"/>
    <xf numFmtId="0" fontId="16" fillId="2" borderId="0" xfId="9" applyNumberFormat="1" applyFont="1" applyFill="1" applyAlignment="1">
      <alignment horizontal="left"/>
    </xf>
    <xf numFmtId="164" fontId="19" fillId="2" borderId="0" xfId="11" applyNumberFormat="1" applyFont="1" applyFill="1"/>
    <xf numFmtId="164" fontId="13" fillId="2" borderId="0" xfId="11" applyNumberFormat="1" applyFont="1" applyFill="1"/>
    <xf numFmtId="0" fontId="13" fillId="2" borderId="0" xfId="8" applyFont="1" applyFill="1" applyAlignment="1">
      <alignment horizontal="right" vertical="center"/>
    </xf>
    <xf numFmtId="164" fontId="26" fillId="2" borderId="0" xfId="11" applyNumberFormat="1" applyFont="1" applyFill="1"/>
    <xf numFmtId="3" fontId="13" fillId="2" borderId="0" xfId="11" applyNumberFormat="1" applyFont="1" applyFill="1"/>
    <xf numFmtId="164" fontId="16" fillId="2" borderId="0" xfId="11" applyNumberFormat="1" applyFont="1" applyFill="1" applyAlignment="1">
      <alignment horizontal="right"/>
    </xf>
    <xf numFmtId="167" fontId="19" fillId="2" borderId="0" xfId="11" applyNumberFormat="1" applyFont="1" applyFill="1"/>
    <xf numFmtId="167" fontId="13" fillId="2" borderId="0" xfId="11" applyNumberFormat="1" applyFont="1" applyFill="1"/>
    <xf numFmtId="167" fontId="18" fillId="2" borderId="0" xfId="11" applyNumberFormat="1" applyFont="1" applyFill="1"/>
    <xf numFmtId="164" fontId="19" fillId="2" borderId="0" xfId="11" applyNumberFormat="1" applyFont="1" applyFill="1" applyAlignment="1">
      <alignment horizontal="right"/>
    </xf>
    <xf numFmtId="164" fontId="27" fillId="2" borderId="0" xfId="11" applyNumberFormat="1" applyFont="1" applyFill="1"/>
    <xf numFmtId="164" fontId="18" fillId="2" borderId="0" xfId="11" applyNumberFormat="1" applyFont="1" applyFill="1"/>
    <xf numFmtId="164" fontId="9" fillId="2" borderId="0" xfId="11" applyNumberFormat="1" applyFont="1" applyFill="1" applyAlignment="1">
      <alignment horizontal="right"/>
    </xf>
    <xf numFmtId="164" fontId="15" fillId="2" borderId="0" xfId="11" applyNumberFormat="1" applyFont="1" applyFill="1"/>
    <xf numFmtId="164" fontId="15" fillId="2" borderId="0" xfId="11" applyNumberFormat="1" applyFont="1" applyFill="1" applyAlignment="1">
      <alignment horizontal="right"/>
    </xf>
    <xf numFmtId="164" fontId="15" fillId="2" borderId="0" xfId="11" applyNumberFormat="1" applyFont="1" applyFill="1" applyBorder="1"/>
    <xf numFmtId="164" fontId="4" fillId="2" borderId="0" xfId="11" applyNumberFormat="1" applyFont="1" applyFill="1"/>
    <xf numFmtId="164" fontId="4" fillId="2" borderId="1" xfId="11" applyNumberFormat="1" applyFont="1" applyFill="1" applyBorder="1"/>
    <xf numFmtId="0" fontId="29" fillId="2" borderId="0" xfId="8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3" fontId="23" fillId="2" borderId="0" xfId="11" applyNumberFormat="1" applyFont="1" applyFill="1" applyAlignment="1">
      <alignment horizontal="right" vertical="center"/>
    </xf>
    <xf numFmtId="164" fontId="15" fillId="3" borderId="0" xfId="11" applyNumberFormat="1" applyFont="1" applyFill="1"/>
    <xf numFmtId="164" fontId="22" fillId="3" borderId="2" xfId="11" applyNumberFormat="1" applyFont="1" applyFill="1" applyBorder="1" applyAlignment="1">
      <alignment horizontal="right" vertical="center"/>
    </xf>
    <xf numFmtId="164" fontId="4" fillId="3" borderId="0" xfId="11" applyNumberFormat="1" applyFont="1" applyFill="1"/>
    <xf numFmtId="167" fontId="23" fillId="3" borderId="0" xfId="11" applyNumberFormat="1" applyFont="1" applyFill="1" applyAlignment="1">
      <alignment horizontal="right" vertical="center"/>
    </xf>
    <xf numFmtId="164" fontId="15" fillId="2" borderId="0" xfId="11" applyNumberFormat="1" applyFont="1" applyFill="1" applyBorder="1" applyAlignment="1">
      <alignment horizontal="right"/>
    </xf>
    <xf numFmtId="164" fontId="22" fillId="2" borderId="0" xfId="11" applyNumberFormat="1" applyFont="1" applyFill="1" applyBorder="1" applyAlignment="1">
      <alignment horizontal="right" vertical="center"/>
    </xf>
    <xf numFmtId="167" fontId="23" fillId="2" borderId="0" xfId="11" applyNumberFormat="1" applyFont="1" applyFill="1" applyBorder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0" fontId="8" fillId="2" borderId="0" xfId="8" applyFont="1" applyFill="1" applyAlignment="1">
      <alignment horizontal="center" vertical="center"/>
    </xf>
    <xf numFmtId="164" fontId="11" fillId="2" borderId="0" xfId="11" applyNumberFormat="1" applyFont="1" applyFill="1" applyBorder="1" applyAlignment="1">
      <alignment horizontal="center"/>
    </xf>
    <xf numFmtId="164" fontId="4" fillId="2" borderId="0" xfId="11" applyNumberFormat="1" applyFont="1" applyFill="1" applyAlignment="1">
      <alignment horizontal="left" vertical="center"/>
    </xf>
    <xf numFmtId="3" fontId="23" fillId="2" borderId="0" xfId="11" applyNumberFormat="1" applyFont="1" applyFill="1" applyAlignment="1">
      <alignment horizontal="right" vertical="center"/>
    </xf>
  </cellXfs>
  <cellStyles count="13">
    <cellStyle name="Comma 2" xfId="7"/>
    <cellStyle name="Comma 4" xfId="10"/>
    <cellStyle name="Hyperlink 2" xfId="1"/>
    <cellStyle name="Normal" xfId="0" builtinId="0"/>
    <cellStyle name="Normal 2" xfId="12"/>
    <cellStyle name="Normal 2 2" xfId="6"/>
    <cellStyle name="Normal 2 3" xfId="3"/>
    <cellStyle name="Normal 3" xfId="11"/>
    <cellStyle name="Normal 3 2" xfId="5"/>
    <cellStyle name="Normal 4" xfId="9"/>
    <cellStyle name="Normal 5" xfId="4"/>
    <cellStyle name="Normal 6" xfId="2"/>
    <cellStyle name="Normal_IX-19(Trans &amp; Comm)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 sz="1000">
                <a:solidFill>
                  <a:schemeClr val="tx1"/>
                </a:solidFill>
              </a:defRPr>
            </a:pPr>
            <a:r>
              <a:rPr lang="en-US" sz="1000">
                <a:solidFill>
                  <a:schemeClr val="tx1"/>
                </a:solidFill>
              </a:rPr>
              <a:t>Figure 11.14: Teledensity per 100 people, 2010 - 2012</a:t>
            </a:r>
          </a:p>
        </c:rich>
      </c:tx>
      <c:layout>
        <c:manualLayout>
          <c:xMode val="edge"/>
          <c:yMode val="edge"/>
          <c:x val="0.18337580123914937"/>
          <c:y val="2.7893990536249979E-2"/>
        </c:manualLayout>
      </c:layout>
    </c:title>
    <c:plotArea>
      <c:layout>
        <c:manualLayout>
          <c:layoutTarget val="inner"/>
          <c:xMode val="edge"/>
          <c:yMode val="edge"/>
          <c:x val="8.2862409274147217E-2"/>
          <c:y val="0.13842113389077237"/>
          <c:w val="0.88419208818436956"/>
          <c:h val="0.61389547093736663"/>
        </c:manualLayout>
      </c:layout>
      <c:barChart>
        <c:barDir val="col"/>
        <c:grouping val="clustered"/>
        <c:ser>
          <c:idx val="0"/>
          <c:order val="0"/>
          <c:tx>
            <c:strRef>
              <c:f>'[1]11.23fig'!$B$68</c:f>
              <c:strCache>
                <c:ptCount val="1"/>
                <c:pt idx="0">
                  <c:v>Mobile subscriptions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'[1]11.23fig'!$K$67:$M$67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'[1]11.23fig'!$K$68:$M$68</c:f>
              <c:numCache>
                <c:formatCode>General</c:formatCode>
                <c:ptCount val="3"/>
                <c:pt idx="0">
                  <c:v>154.6</c:v>
                </c:pt>
                <c:pt idx="1">
                  <c:v>163.1</c:v>
                </c:pt>
                <c:pt idx="2">
                  <c:v>169.5</c:v>
                </c:pt>
              </c:numCache>
            </c:numRef>
          </c:val>
        </c:ser>
        <c:ser>
          <c:idx val="1"/>
          <c:order val="1"/>
          <c:tx>
            <c:strRef>
              <c:f>'[1]11.23fig'!$B$69</c:f>
              <c:strCache>
                <c:ptCount val="1"/>
                <c:pt idx="0">
                  <c:v>Landlines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cat>
            <c:numRef>
              <c:f>'[1]11.23fig'!$K$67:$M$67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'[1]11.23fig'!$K$69:$M$69</c:f>
              <c:numCache>
                <c:formatCode>General</c:formatCode>
                <c:ptCount val="3"/>
                <c:pt idx="0">
                  <c:v>15</c:v>
                </c:pt>
                <c:pt idx="1">
                  <c:v>7.4</c:v>
                </c:pt>
                <c:pt idx="2">
                  <c:v>7</c:v>
                </c:pt>
              </c:numCache>
            </c:numRef>
          </c:val>
        </c:ser>
        <c:ser>
          <c:idx val="2"/>
          <c:order val="2"/>
          <c:tx>
            <c:strRef>
              <c:f>'[1]11.23fig'!$B$70</c:f>
              <c:strCache>
                <c:ptCount val="1"/>
                <c:pt idx="0">
                  <c:v>Internet subscriptions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cat>
            <c:numRef>
              <c:f>'[1]11.23fig'!$K$67:$M$67</c:f>
              <c:numCache>
                <c:formatCode>General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'[1]11.23fig'!$K$70:$M$70</c:f>
              <c:numCache>
                <c:formatCode>General</c:formatCode>
                <c:ptCount val="3"/>
                <c:pt idx="0">
                  <c:v>11.8</c:v>
                </c:pt>
                <c:pt idx="1">
                  <c:v>22.7</c:v>
                </c:pt>
                <c:pt idx="2">
                  <c:v>26.5</c:v>
                </c:pt>
              </c:numCache>
            </c:numRef>
          </c:val>
        </c:ser>
        <c:gapWidth val="63"/>
        <c:overlap val="-1"/>
        <c:axId val="97618944"/>
        <c:axId val="121115392"/>
      </c:barChart>
      <c:catAx>
        <c:axId val="97618944"/>
        <c:scaling>
          <c:orientation val="minMax"/>
        </c:scaling>
        <c:axPos val="b"/>
        <c:numFmt formatCode="General" sourceLinked="1"/>
        <c:majorTickMark val="none"/>
        <c:tickLblPos val="nextTo"/>
        <c:crossAx val="121115392"/>
        <c:crosses val="autoZero"/>
        <c:auto val="1"/>
        <c:lblAlgn val="ctr"/>
        <c:lblOffset val="100"/>
      </c:catAx>
      <c:valAx>
        <c:axId val="121115392"/>
        <c:scaling>
          <c:orientation val="minMax"/>
          <c:max val="200"/>
        </c:scaling>
        <c:axPos val="l"/>
        <c:majorGridlines/>
        <c:numFmt formatCode="General" sourceLinked="0"/>
        <c:majorTickMark val="none"/>
        <c:tickLblPos val="nextTo"/>
        <c:crossAx val="976189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9339051654476316"/>
          <c:y val="0.8902968364534688"/>
          <c:w val="0.66301302313121069"/>
          <c:h val="7.2986932434165833E-2"/>
        </c:manualLayout>
      </c:layout>
      <c:spPr>
        <a:ln>
          <a:solidFill>
            <a:schemeClr val="bg1">
              <a:lumMod val="95000"/>
            </a:schemeClr>
          </a:solidFill>
        </a:ln>
      </c:spPr>
    </c:legend>
    <c:plotVisOnly val="1"/>
    <c:dispBlanksAs val="gap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11.15: Percentage share of mobile subscriptions by type, 2012</a:t>
            </a:r>
          </a:p>
        </c:rich>
      </c:tx>
      <c:layout>
        <c:manualLayout>
          <c:xMode val="edge"/>
          <c:yMode val="edge"/>
          <c:x val="0.10786174185294212"/>
          <c:y val="1.04164776966488E-2"/>
        </c:manualLayout>
      </c:layout>
    </c:title>
    <c:plotArea>
      <c:layout>
        <c:manualLayout>
          <c:layoutTarget val="inner"/>
          <c:xMode val="edge"/>
          <c:yMode val="edge"/>
          <c:x val="0.26035061001990151"/>
          <c:y val="0.17752337598425197"/>
          <c:w val="0.4427465028409911"/>
          <c:h val="0.78691272965879278"/>
        </c:manualLayout>
      </c:layout>
      <c:pieChart>
        <c:varyColors val="1"/>
        <c:ser>
          <c:idx val="0"/>
          <c:order val="0"/>
          <c:tx>
            <c:strRef>
              <c:f>'11.23'!$Z$45</c:f>
              <c:strCache>
                <c:ptCount val="1"/>
                <c:pt idx="0">
                  <c:v>2012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Pt>
            <c:idx val="0"/>
            <c:spPr>
              <a:solidFill>
                <a:schemeClr val="bg1">
                  <a:lumMod val="65000"/>
                </a:schemeClr>
              </a:solidFill>
            </c:spPr>
          </c:dPt>
          <c:dLbls>
            <c:dLbl>
              <c:idx val="0"/>
              <c:layout>
                <c:manualLayout>
                  <c:x val="9.5997375328084236E-2"/>
                  <c:y val="0.15252134375396403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0.22184258613242983"/>
                  <c:y val="-9.2415928477690298E-2"/>
                </c:manualLayout>
              </c:layout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'11.23'!$X$46:$Y$47</c:f>
              <c:strCache>
                <c:ptCount val="2"/>
                <c:pt idx="0">
                  <c:v>Post paid</c:v>
                </c:pt>
                <c:pt idx="1">
                  <c:v>Pre-paid</c:v>
                </c:pt>
              </c:strCache>
            </c:strRef>
          </c:cat>
          <c:val>
            <c:numRef>
              <c:f>'11.23'!$Z$46:$Z$47</c:f>
              <c:numCache>
                <c:formatCode>#,##0.0</c:formatCode>
                <c:ptCount val="2"/>
                <c:pt idx="0">
                  <c:v>12.748797157062656</c:v>
                </c:pt>
                <c:pt idx="1">
                  <c:v>87.251202842937346</c:v>
                </c:pt>
              </c:numCache>
            </c:numRef>
          </c:val>
        </c:ser>
        <c:dLbls>
          <c:showCatName val="1"/>
          <c:showPercent val="1"/>
        </c:dLbls>
        <c:firstSliceAng val="40"/>
      </c:pieChart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222248</xdr:colOff>
      <xdr:row>35</xdr:row>
      <xdr:rowOff>34925</xdr:rowOff>
    </xdr:from>
    <xdr:to>
      <xdr:col>6</xdr:col>
      <xdr:colOff>41275</xdr:colOff>
      <xdr:row>51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358775</xdr:colOff>
      <xdr:row>35</xdr:row>
      <xdr:rowOff>66675</xdr:rowOff>
    </xdr:from>
    <xdr:to>
      <xdr:col>12</xdr:col>
      <xdr:colOff>650875</xdr:colOff>
      <xdr:row>51</xdr:row>
      <xdr:rowOff>123824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tabSelected="1" workbookViewId="0">
      <selection activeCell="E7" sqref="E7:E9"/>
    </sheetView>
  </sheetViews>
  <sheetFormatPr defaultRowHeight="12"/>
  <cols>
    <col min="1" max="1" width="4" style="39" customWidth="1"/>
    <col min="2" max="2" width="36.42578125" style="39" customWidth="1"/>
    <col min="3" max="12" width="11.28515625" style="39" customWidth="1"/>
    <col min="13" max="13" width="32" style="40" customWidth="1"/>
    <col min="14" max="14" width="3.140625" style="39" customWidth="1"/>
    <col min="15" max="16384" width="9.140625" style="39"/>
  </cols>
  <sheetData>
    <row r="1" spans="1:15" s="2" customFormat="1" ht="18">
      <c r="A1" s="55" t="s">
        <v>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5" s="3" customFormat="1" ht="12.75">
      <c r="A2" s="56" t="s">
        <v>48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5" s="5" customFormat="1" ht="12.7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s="9" customFormat="1" ht="18">
      <c r="A4" s="6"/>
      <c r="B4" s="6"/>
      <c r="C4" s="7">
        <v>2003</v>
      </c>
      <c r="D4" s="7">
        <v>2004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8" t="s">
        <v>3</v>
      </c>
    </row>
    <row r="5" spans="1:15" s="12" customFormat="1" ht="15.75">
      <c r="A5" s="9" t="s">
        <v>4</v>
      </c>
      <c r="B5" s="9"/>
      <c r="C5" s="10">
        <v>30056</v>
      </c>
      <c r="D5" s="10">
        <v>31503</v>
      </c>
      <c r="E5" s="10">
        <v>32296</v>
      </c>
      <c r="F5" s="10">
        <v>32181</v>
      </c>
      <c r="G5" s="10">
        <v>33063</v>
      </c>
      <c r="H5" s="10">
        <v>46925</v>
      </c>
      <c r="I5" s="11">
        <f>SUM(I6:I9)</f>
        <v>49025</v>
      </c>
      <c r="J5" s="11">
        <f>SUM(J6:J9)</f>
        <v>48019</v>
      </c>
      <c r="K5" s="11">
        <f>K6+K7+K8</f>
        <v>24084</v>
      </c>
      <c r="L5" s="11">
        <v>23140</v>
      </c>
      <c r="M5" s="1" t="s">
        <v>5</v>
      </c>
    </row>
    <row r="6" spans="1:15" s="3" customFormat="1" ht="15.75">
      <c r="A6" s="42"/>
      <c r="B6" s="42" t="s">
        <v>6</v>
      </c>
      <c r="C6" s="46">
        <v>21858</v>
      </c>
      <c r="D6" s="46">
        <v>22894</v>
      </c>
      <c r="E6" s="46">
        <v>23596</v>
      </c>
      <c r="F6" s="46">
        <v>23683</v>
      </c>
      <c r="G6" s="46">
        <v>24540</v>
      </c>
      <c r="H6" s="46">
        <v>33560</v>
      </c>
      <c r="I6" s="45">
        <v>35465</v>
      </c>
      <c r="J6" s="45">
        <v>34684</v>
      </c>
      <c r="K6" s="45">
        <v>18630</v>
      </c>
      <c r="L6" s="45">
        <v>17864</v>
      </c>
      <c r="M6" s="15" t="s">
        <v>7</v>
      </c>
    </row>
    <row r="7" spans="1:15" s="3" customFormat="1" ht="15.75">
      <c r="A7" s="42"/>
      <c r="B7" s="57" t="s">
        <v>8</v>
      </c>
      <c r="C7" s="58">
        <v>8198</v>
      </c>
      <c r="D7" s="58">
        <v>8609</v>
      </c>
      <c r="E7" s="58">
        <v>8703</v>
      </c>
      <c r="F7" s="58">
        <v>8498</v>
      </c>
      <c r="G7" s="58">
        <v>8523</v>
      </c>
      <c r="H7" s="58">
        <v>13365</v>
      </c>
      <c r="I7" s="54">
        <v>13560</v>
      </c>
      <c r="J7" s="54">
        <v>13335</v>
      </c>
      <c r="K7" s="54">
        <v>5454</v>
      </c>
      <c r="L7" s="54">
        <v>5276</v>
      </c>
      <c r="M7" s="1" t="s">
        <v>9</v>
      </c>
    </row>
    <row r="8" spans="1:15" s="3" customFormat="1" ht="13.5" customHeight="1">
      <c r="A8" s="42"/>
      <c r="B8" s="57"/>
      <c r="C8" s="58"/>
      <c r="D8" s="58"/>
      <c r="E8" s="58"/>
      <c r="F8" s="58"/>
      <c r="G8" s="58"/>
      <c r="H8" s="58"/>
      <c r="I8" s="54"/>
      <c r="J8" s="54"/>
      <c r="K8" s="54"/>
      <c r="L8" s="54"/>
      <c r="M8" s="15" t="s">
        <v>10</v>
      </c>
      <c r="O8" s="15"/>
    </row>
    <row r="9" spans="1:15" s="3" customFormat="1" ht="15.75">
      <c r="A9" s="42"/>
      <c r="B9" s="57"/>
      <c r="C9" s="58"/>
      <c r="D9" s="58"/>
      <c r="E9" s="58"/>
      <c r="F9" s="58"/>
      <c r="G9" s="58"/>
      <c r="H9" s="58"/>
      <c r="I9" s="54"/>
      <c r="J9" s="54"/>
      <c r="K9" s="54"/>
      <c r="L9" s="54"/>
      <c r="M9" s="15" t="s">
        <v>11</v>
      </c>
      <c r="O9" s="15"/>
    </row>
    <row r="10" spans="1:15" s="12" customFormat="1" ht="15.75">
      <c r="A10" s="9" t="s">
        <v>12</v>
      </c>
      <c r="B10" s="9"/>
      <c r="C10" s="10">
        <f t="shared" ref="C10:L10" si="0">SUM(C11:C12)</f>
        <v>854</v>
      </c>
      <c r="D10" s="10">
        <f t="shared" si="0"/>
        <v>873</v>
      </c>
      <c r="E10" s="10">
        <f t="shared" si="0"/>
        <v>860</v>
      </c>
      <c r="F10" s="10">
        <f t="shared" si="0"/>
        <v>751</v>
      </c>
      <c r="G10" s="10">
        <f t="shared" si="0"/>
        <v>732</v>
      </c>
      <c r="H10" s="10">
        <f t="shared" si="0"/>
        <v>714</v>
      </c>
      <c r="I10" s="11">
        <f t="shared" si="0"/>
        <v>612</v>
      </c>
      <c r="J10" s="11">
        <f t="shared" si="0"/>
        <v>572</v>
      </c>
      <c r="K10" s="11" t="s">
        <v>0</v>
      </c>
      <c r="L10" s="11">
        <f t="shared" si="0"/>
        <v>128</v>
      </c>
      <c r="M10" s="1" t="s">
        <v>13</v>
      </c>
      <c r="O10" s="15"/>
    </row>
    <row r="11" spans="1:15" s="3" customFormat="1" ht="15.75">
      <c r="A11" s="42"/>
      <c r="B11" s="42" t="s">
        <v>6</v>
      </c>
      <c r="C11" s="46">
        <v>146</v>
      </c>
      <c r="D11" s="46">
        <v>149</v>
      </c>
      <c r="E11" s="46">
        <v>143</v>
      </c>
      <c r="F11" s="46">
        <v>136</v>
      </c>
      <c r="G11" s="46">
        <v>131</v>
      </c>
      <c r="H11" s="46">
        <v>117</v>
      </c>
      <c r="I11" s="45">
        <v>93</v>
      </c>
      <c r="J11" s="45">
        <v>84</v>
      </c>
      <c r="K11" s="45" t="s">
        <v>0</v>
      </c>
      <c r="L11" s="45">
        <v>128</v>
      </c>
      <c r="M11" s="15" t="s">
        <v>14</v>
      </c>
      <c r="O11" s="15"/>
    </row>
    <row r="12" spans="1:15" s="3" customFormat="1" ht="15.75">
      <c r="A12" s="42"/>
      <c r="B12" s="42" t="s">
        <v>15</v>
      </c>
      <c r="C12" s="46">
        <v>708</v>
      </c>
      <c r="D12" s="46">
        <v>724</v>
      </c>
      <c r="E12" s="46">
        <v>717</v>
      </c>
      <c r="F12" s="46">
        <v>615</v>
      </c>
      <c r="G12" s="46">
        <v>601</v>
      </c>
      <c r="H12" s="46">
        <v>597</v>
      </c>
      <c r="I12" s="45">
        <v>519</v>
      </c>
      <c r="J12" s="45">
        <v>488</v>
      </c>
      <c r="K12" s="45" t="s">
        <v>0</v>
      </c>
      <c r="L12" s="45" t="s">
        <v>0</v>
      </c>
      <c r="M12" s="15" t="s">
        <v>16</v>
      </c>
      <c r="O12" s="15"/>
    </row>
    <row r="13" spans="1:15" s="12" customFormat="1" ht="15.75">
      <c r="A13" s="9" t="s">
        <v>17</v>
      </c>
      <c r="B13" s="9"/>
      <c r="C13" s="10">
        <f>SUM(C14:C15)</f>
        <v>66466</v>
      </c>
      <c r="D13" s="10">
        <v>113246</v>
      </c>
      <c r="E13" s="10">
        <v>203620</v>
      </c>
      <c r="F13" s="10">
        <v>271053</v>
      </c>
      <c r="G13" s="10">
        <v>313539</v>
      </c>
      <c r="H13" s="10">
        <v>435627</v>
      </c>
      <c r="I13" s="11">
        <f>SUM(I14:I15)</f>
        <v>457770</v>
      </c>
      <c r="J13" s="11">
        <f>SUM(J14:J15)</f>
        <v>494351</v>
      </c>
      <c r="K13" s="11">
        <f>K14+K15</f>
        <v>530449</v>
      </c>
      <c r="L13" s="11">
        <v>560547</v>
      </c>
      <c r="M13" s="1" t="s">
        <v>18</v>
      </c>
    </row>
    <row r="14" spans="1:15" s="3" customFormat="1" ht="15.75">
      <c r="A14" s="42"/>
      <c r="B14" s="42" t="s">
        <v>19</v>
      </c>
      <c r="C14" s="46">
        <v>13277</v>
      </c>
      <c r="D14" s="46">
        <v>16374</v>
      </c>
      <c r="E14" s="46">
        <v>24275</v>
      </c>
      <c r="F14" s="46">
        <v>29038</v>
      </c>
      <c r="G14" s="46">
        <v>29479</v>
      </c>
      <c r="H14" s="46">
        <v>55282</v>
      </c>
      <c r="I14" s="45">
        <v>68360</v>
      </c>
      <c r="J14" s="45">
        <v>71803</v>
      </c>
      <c r="K14" s="45">
        <v>72406</v>
      </c>
      <c r="L14" s="45">
        <v>71463</v>
      </c>
      <c r="M14" s="15" t="s">
        <v>20</v>
      </c>
    </row>
    <row r="15" spans="1:15" s="3" customFormat="1" ht="15.75">
      <c r="A15" s="42"/>
      <c r="B15" s="42" t="s">
        <v>21</v>
      </c>
      <c r="C15" s="46">
        <v>53189</v>
      </c>
      <c r="D15" s="46">
        <v>96872</v>
      </c>
      <c r="E15" s="46">
        <v>179345</v>
      </c>
      <c r="F15" s="46">
        <v>242015</v>
      </c>
      <c r="G15" s="46">
        <v>284060</v>
      </c>
      <c r="H15" s="46">
        <v>380345</v>
      </c>
      <c r="I15" s="45">
        <v>389410</v>
      </c>
      <c r="J15" s="45">
        <v>422548</v>
      </c>
      <c r="K15" s="45">
        <v>458043</v>
      </c>
      <c r="L15" s="45">
        <v>489084</v>
      </c>
      <c r="M15" s="15" t="s">
        <v>22</v>
      </c>
    </row>
    <row r="16" spans="1:15" s="3" customFormat="1" ht="15">
      <c r="A16" s="42"/>
      <c r="B16" s="42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7" s="12" customFormat="1" ht="15.75" customHeight="1">
      <c r="A17" s="9" t="s">
        <v>44</v>
      </c>
      <c r="B17" s="9"/>
      <c r="C17" s="10">
        <v>1907</v>
      </c>
      <c r="D17" s="10">
        <v>2289</v>
      </c>
      <c r="E17" s="10">
        <v>4548</v>
      </c>
      <c r="F17" s="10">
        <v>8088</v>
      </c>
      <c r="G17" s="10">
        <v>12350</v>
      </c>
      <c r="H17" s="10">
        <v>17864</v>
      </c>
      <c r="I17" s="11">
        <v>17583</v>
      </c>
      <c r="J17" s="11">
        <v>37704</v>
      </c>
      <c r="K17" s="11" t="s">
        <v>49</v>
      </c>
      <c r="L17" s="11">
        <v>87700</v>
      </c>
      <c r="M17" s="15" t="s">
        <v>23</v>
      </c>
    </row>
    <row r="18" spans="1:17" s="12" customFormat="1" ht="15.75" customHeight="1">
      <c r="A18" s="9" t="s">
        <v>50</v>
      </c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 t="s">
        <v>24</v>
      </c>
    </row>
    <row r="19" spans="1:17" s="3" customFormat="1" ht="15.75" customHeight="1">
      <c r="A19" s="42"/>
      <c r="B19" s="42" t="s">
        <v>25</v>
      </c>
      <c r="C19" s="16">
        <v>23.3</v>
      </c>
      <c r="D19" s="16">
        <v>39.1</v>
      </c>
      <c r="E19" s="16">
        <v>69.3</v>
      </c>
      <c r="F19" s="16">
        <v>90.7</v>
      </c>
      <c r="G19" s="16">
        <v>102.8</v>
      </c>
      <c r="H19" s="16">
        <v>140.69999999999999</v>
      </c>
      <c r="I19" s="17">
        <v>145.30000000000001</v>
      </c>
      <c r="J19" s="17">
        <v>154.6</v>
      </c>
      <c r="K19" s="17">
        <v>163.1</v>
      </c>
      <c r="L19" s="17">
        <v>169.5</v>
      </c>
      <c r="M19" s="18" t="s">
        <v>26</v>
      </c>
      <c r="Q19" s="12"/>
    </row>
    <row r="20" spans="1:17" s="3" customFormat="1" ht="15.75" customHeight="1">
      <c r="A20" s="42"/>
      <c r="B20" s="42" t="s">
        <v>27</v>
      </c>
      <c r="C20" s="19">
        <v>10.5</v>
      </c>
      <c r="D20" s="16">
        <v>10.9</v>
      </c>
      <c r="E20" s="16">
        <v>11</v>
      </c>
      <c r="F20" s="16">
        <v>10.8</v>
      </c>
      <c r="G20" s="16">
        <v>10.8</v>
      </c>
      <c r="H20" s="16">
        <v>15.2</v>
      </c>
      <c r="I20" s="17">
        <v>15.6</v>
      </c>
      <c r="J20" s="17">
        <v>15</v>
      </c>
      <c r="K20" s="17">
        <v>7.4</v>
      </c>
      <c r="L20" s="17">
        <v>7</v>
      </c>
      <c r="M20" s="18" t="s">
        <v>28</v>
      </c>
    </row>
    <row r="21" spans="1:17" s="3" customFormat="1" ht="15.75" customHeight="1">
      <c r="A21" s="42"/>
      <c r="B21" s="42" t="s">
        <v>29</v>
      </c>
      <c r="C21" s="16">
        <v>0.7</v>
      </c>
      <c r="D21" s="16">
        <v>0.8</v>
      </c>
      <c r="E21" s="16">
        <v>1.5</v>
      </c>
      <c r="F21" s="16">
        <v>2.7</v>
      </c>
      <c r="G21" s="16">
        <v>4.0999999999999996</v>
      </c>
      <c r="H21" s="16">
        <v>5.8</v>
      </c>
      <c r="I21" s="17">
        <v>5.6</v>
      </c>
      <c r="J21" s="17">
        <v>11.8</v>
      </c>
      <c r="K21" s="17">
        <v>22.7</v>
      </c>
      <c r="L21" s="17">
        <v>26.5</v>
      </c>
      <c r="M21" s="18" t="s">
        <v>30</v>
      </c>
    </row>
    <row r="22" spans="1:17" s="3" customFormat="1" ht="3" customHeight="1">
      <c r="A22" s="42"/>
      <c r="B22" s="42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7" s="3" customFormat="1" ht="15.75" customHeight="1">
      <c r="A23" s="42" t="s">
        <v>31</v>
      </c>
      <c r="B23" s="42"/>
      <c r="C23" s="46">
        <v>272</v>
      </c>
      <c r="D23" s="46">
        <v>196</v>
      </c>
      <c r="E23" s="46">
        <v>172</v>
      </c>
      <c r="F23" s="46">
        <v>144</v>
      </c>
      <c r="G23" s="46">
        <v>19</v>
      </c>
      <c r="H23" s="46">
        <v>19</v>
      </c>
      <c r="I23" s="45">
        <v>1</v>
      </c>
      <c r="J23" s="45" t="s">
        <v>0</v>
      </c>
      <c r="K23" s="45" t="s">
        <v>0</v>
      </c>
      <c r="L23" s="45" t="s">
        <v>0</v>
      </c>
      <c r="M23" s="15" t="s">
        <v>32</v>
      </c>
    </row>
    <row r="24" spans="1:17" s="3" customFormat="1" ht="15.75" customHeight="1">
      <c r="A24" s="43" t="s">
        <v>33</v>
      </c>
      <c r="B24" s="43"/>
      <c r="C24" s="20">
        <v>38</v>
      </c>
      <c r="D24" s="20">
        <v>29</v>
      </c>
      <c r="E24" s="20">
        <v>26</v>
      </c>
      <c r="F24" s="20">
        <v>20</v>
      </c>
      <c r="G24" s="20">
        <v>13</v>
      </c>
      <c r="H24" s="20">
        <v>13</v>
      </c>
      <c r="I24" s="21">
        <v>13</v>
      </c>
      <c r="J24" s="21" t="s">
        <v>0</v>
      </c>
      <c r="K24" s="21" t="s">
        <v>0</v>
      </c>
      <c r="L24" s="21" t="s">
        <v>0</v>
      </c>
      <c r="M24" s="22" t="s">
        <v>34</v>
      </c>
    </row>
    <row r="25" spans="1:17" s="3" customFormat="1" ht="15" customHeight="1">
      <c r="A25" s="23" t="s">
        <v>1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44" t="s">
        <v>35</v>
      </c>
    </row>
    <row r="26" spans="1:17" s="3" customFormat="1" ht="15" customHeight="1">
      <c r="A26" s="25" t="s">
        <v>2</v>
      </c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8"/>
    </row>
    <row r="27" spans="1:17" s="29" customFormat="1" ht="15" customHeight="1">
      <c r="A27" s="3" t="s">
        <v>36</v>
      </c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7" s="29" customFormat="1" ht="15" customHeight="1">
      <c r="A28" s="3"/>
      <c r="B28" s="26" t="s">
        <v>37</v>
      </c>
      <c r="C28" s="30">
        <v>285066</v>
      </c>
      <c r="D28" s="30">
        <v>289480</v>
      </c>
      <c r="E28" s="30">
        <v>293746</v>
      </c>
      <c r="F28" s="30">
        <v>298968</v>
      </c>
      <c r="G28" s="30">
        <v>304869</v>
      </c>
      <c r="H28" s="30">
        <v>309575</v>
      </c>
      <c r="I28" s="30">
        <v>314542</v>
      </c>
      <c r="J28" s="30">
        <v>319738</v>
      </c>
      <c r="K28" s="30">
        <v>325135</v>
      </c>
      <c r="L28" s="30">
        <v>330652</v>
      </c>
      <c r="M28" s="31"/>
    </row>
    <row r="29" spans="1:17" s="29" customFormat="1" ht="15" customHeight="1">
      <c r="A29" s="3"/>
      <c r="B29" s="32" t="s">
        <v>38</v>
      </c>
      <c r="C29" s="33">
        <f t="shared" ref="C29:G29" si="1">(C13*100)/C28</f>
        <v>23.316004013105736</v>
      </c>
      <c r="D29" s="33">
        <f t="shared" si="1"/>
        <v>39.120491916540004</v>
      </c>
      <c r="E29" s="33">
        <f t="shared" si="1"/>
        <v>69.318390718511907</v>
      </c>
      <c r="F29" s="33">
        <f t="shared" si="1"/>
        <v>90.662880308260412</v>
      </c>
      <c r="G29" s="33">
        <f t="shared" si="1"/>
        <v>102.84384440530195</v>
      </c>
      <c r="H29" s="33">
        <f>(H13*100)/H28</f>
        <v>140.71775821691028</v>
      </c>
      <c r="I29" s="33">
        <f t="shared" ref="I29:J29" si="2">(I13*100)/I28</f>
        <v>145.53541339471357</v>
      </c>
      <c r="J29" s="33">
        <f t="shared" si="2"/>
        <v>154.61127548180073</v>
      </c>
      <c r="K29" s="33">
        <v>163.1</v>
      </c>
      <c r="L29" s="33">
        <v>169.5</v>
      </c>
      <c r="M29" s="31"/>
    </row>
    <row r="30" spans="1:17" s="29" customFormat="1" ht="15" customHeight="1">
      <c r="A30" s="3"/>
      <c r="B30" s="32" t="s">
        <v>39</v>
      </c>
      <c r="C30" s="33">
        <f t="shared" ref="C30:J30" si="3">(C5*100)/C28</f>
        <v>10.543523254263924</v>
      </c>
      <c r="D30" s="33">
        <f t="shared" si="3"/>
        <v>10.882617106535857</v>
      </c>
      <c r="E30" s="33">
        <f t="shared" si="3"/>
        <v>10.99453269150899</v>
      </c>
      <c r="F30" s="33">
        <f t="shared" si="3"/>
        <v>10.764028257204785</v>
      </c>
      <c r="G30" s="33">
        <f t="shared" si="3"/>
        <v>10.844985879180895</v>
      </c>
      <c r="H30" s="33">
        <f t="shared" si="3"/>
        <v>15.157877735605265</v>
      </c>
      <c r="I30" s="33">
        <f t="shared" si="3"/>
        <v>15.586153836371613</v>
      </c>
      <c r="J30" s="33">
        <f t="shared" si="3"/>
        <v>15.018233678824538</v>
      </c>
      <c r="K30" s="33">
        <v>7.4</v>
      </c>
      <c r="L30" s="33">
        <v>7</v>
      </c>
      <c r="M30" s="31"/>
    </row>
    <row r="31" spans="1:17" s="29" customFormat="1" ht="15" customHeight="1">
      <c r="A31" s="3"/>
      <c r="B31" s="32" t="s">
        <v>40</v>
      </c>
      <c r="C31" s="33">
        <f t="shared" ref="C31:J31" si="4">(C17*100)/C28</f>
        <v>0.66896788813818553</v>
      </c>
      <c r="D31" s="33">
        <f t="shared" si="4"/>
        <v>0.79072820229376817</v>
      </c>
      <c r="E31" s="33">
        <f t="shared" si="4"/>
        <v>1.5482764020616451</v>
      </c>
      <c r="F31" s="33">
        <f t="shared" si="4"/>
        <v>2.7053062535120818</v>
      </c>
      <c r="G31" s="33">
        <f t="shared" si="4"/>
        <v>4.0509202313124657</v>
      </c>
      <c r="H31" s="33">
        <f t="shared" si="4"/>
        <v>5.7704918032786887</v>
      </c>
      <c r="I31" s="33">
        <f t="shared" si="4"/>
        <v>5.5900324916863253</v>
      </c>
      <c r="J31" s="33">
        <f t="shared" si="4"/>
        <v>11.792154826764413</v>
      </c>
      <c r="K31" s="33">
        <v>23.7</v>
      </c>
      <c r="L31" s="33"/>
      <c r="M31" s="31"/>
    </row>
    <row r="32" spans="1:17" s="36" customFormat="1" ht="15" customHeight="1">
      <c r="A32" s="3" t="s">
        <v>41</v>
      </c>
      <c r="B32" s="32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5"/>
    </row>
    <row r="33" spans="1:26" s="36" customFormat="1" ht="15" customHeight="1">
      <c r="A33" s="35" t="s">
        <v>42</v>
      </c>
      <c r="B33" s="32" t="s">
        <v>46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</row>
    <row r="34" spans="1:26" s="26" customFormat="1" ht="12.75">
      <c r="A34" s="35" t="s">
        <v>45</v>
      </c>
      <c r="B34" s="26" t="s">
        <v>43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5"/>
    </row>
    <row r="35" spans="1:26" s="13" customFormat="1" ht="12.75"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38"/>
    </row>
    <row r="36" spans="1:26" s="13" customFormat="1" ht="12.75"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38"/>
    </row>
    <row r="45" spans="1:26" ht="12.75"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X45" s="47"/>
      <c r="Y45" s="47"/>
      <c r="Z45" s="48">
        <v>2012</v>
      </c>
    </row>
    <row r="46" spans="1:26" ht="15">
      <c r="X46" s="49" t="s">
        <v>19</v>
      </c>
      <c r="Y46" s="47"/>
      <c r="Z46" s="50">
        <v>12.748797157062656</v>
      </c>
    </row>
    <row r="47" spans="1:26" ht="15">
      <c r="X47" s="49" t="s">
        <v>21</v>
      </c>
      <c r="Y47" s="47"/>
      <c r="Z47" s="50">
        <v>87.251202842937346</v>
      </c>
    </row>
    <row r="52" spans="4:13" s="41" customFormat="1">
      <c r="M52" s="51"/>
    </row>
    <row r="53" spans="4:13" s="41" customFormat="1" ht="12.75">
      <c r="D53" s="52"/>
      <c r="E53" s="52"/>
      <c r="F53" s="52"/>
      <c r="G53" s="52"/>
      <c r="H53" s="52"/>
      <c r="I53" s="52"/>
      <c r="J53" s="52"/>
      <c r="K53" s="52"/>
      <c r="L53" s="52"/>
      <c r="M53" s="51"/>
    </row>
    <row r="54" spans="4:13" s="41" customFormat="1" ht="12.75">
      <c r="D54" s="53"/>
      <c r="E54" s="53"/>
      <c r="F54" s="53"/>
      <c r="G54" s="53"/>
      <c r="H54" s="53"/>
      <c r="I54" s="53"/>
      <c r="J54" s="53"/>
      <c r="K54" s="53"/>
      <c r="L54" s="53"/>
      <c r="M54" s="51"/>
    </row>
    <row r="55" spans="4:13" s="41" customFormat="1" ht="12.75">
      <c r="D55" s="53"/>
      <c r="E55" s="53"/>
      <c r="F55" s="53"/>
      <c r="G55" s="53"/>
      <c r="H55" s="53"/>
      <c r="I55" s="53"/>
      <c r="J55" s="53"/>
      <c r="K55" s="53"/>
      <c r="L55" s="53"/>
      <c r="M55" s="51"/>
    </row>
    <row r="65" spans="2:10">
      <c r="B65" s="41"/>
      <c r="C65" s="41"/>
      <c r="D65" s="41"/>
      <c r="E65" s="41"/>
      <c r="F65" s="41"/>
      <c r="G65" s="41"/>
      <c r="H65" s="41"/>
      <c r="I65" s="41"/>
      <c r="J65" s="41"/>
    </row>
    <row r="66" spans="2:10">
      <c r="B66" s="41"/>
      <c r="C66" s="41"/>
      <c r="D66" s="41"/>
      <c r="E66" s="41"/>
      <c r="F66" s="41"/>
      <c r="G66" s="41"/>
      <c r="H66" s="41"/>
      <c r="I66" s="41"/>
      <c r="J66" s="41"/>
    </row>
    <row r="67" spans="2:10">
      <c r="B67" s="41"/>
      <c r="C67" s="41"/>
      <c r="D67" s="41"/>
      <c r="E67" s="41"/>
      <c r="F67" s="41"/>
      <c r="G67" s="41"/>
      <c r="H67" s="41"/>
      <c r="I67" s="41"/>
      <c r="J67" s="41"/>
    </row>
    <row r="68" spans="2:10">
      <c r="B68" s="41"/>
      <c r="C68" s="41"/>
      <c r="D68" s="41"/>
      <c r="E68" s="41"/>
      <c r="F68" s="41"/>
      <c r="G68" s="41"/>
      <c r="H68" s="41"/>
      <c r="I68" s="41"/>
      <c r="J68" s="41"/>
    </row>
  </sheetData>
  <mergeCells count="13">
    <mergeCell ref="J7:J9"/>
    <mergeCell ref="K7:K9"/>
    <mergeCell ref="L7:L9"/>
    <mergeCell ref="A1:M1"/>
    <mergeCell ref="A2:M2"/>
    <mergeCell ref="B7:B9"/>
    <mergeCell ref="C7:C9"/>
    <mergeCell ref="D7:D9"/>
    <mergeCell ref="E7:E9"/>
    <mergeCell ref="F7:F9"/>
    <mergeCell ref="G7:G9"/>
    <mergeCell ref="H7:H9"/>
    <mergeCell ref="I7:I9"/>
  </mergeCells>
  <pageMargins left="0.11" right="0.08" top="0.23" bottom="0.22" header="0.17" footer="0.16"/>
  <pageSetup paperSize="9" scale="80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11.23</vt:lpstr>
      <vt:lpstr>'11.23'!Print_Area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2013-09-18T06:01:06Z</cp:lastPrinted>
  <dcterms:created xsi:type="dcterms:W3CDTF">2013-04-28T05:32:41Z</dcterms:created>
  <dcterms:modified xsi:type="dcterms:W3CDTF">2013-09-18T06:01:35Z</dcterms:modified>
</cp:coreProperties>
</file>