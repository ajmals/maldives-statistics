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911"/>
  </bookViews>
  <sheets>
    <sheet name="11.6" sheetId="24" r:id="rId1"/>
  </sheets>
  <definedNames>
    <definedName name="_xlnm.Print_Area" localSheetId="0">'11.6'!$A$1:$J$22</definedName>
  </definedNames>
  <calcPr calcId="124519"/>
</workbook>
</file>

<file path=xl/calcChain.xml><?xml version="1.0" encoding="utf-8"?>
<calcChain xmlns="http://schemas.openxmlformats.org/spreadsheetml/2006/main">
  <c r="G17" i="24"/>
  <c r="C17"/>
  <c r="B17"/>
  <c r="G16"/>
  <c r="C16"/>
  <c r="B16"/>
  <c r="G15"/>
  <c r="C15"/>
  <c r="B15"/>
  <c r="G14"/>
  <c r="C14"/>
  <c r="B14"/>
  <c r="G13"/>
  <c r="C13"/>
  <c r="B13"/>
  <c r="G12"/>
  <c r="C12"/>
  <c r="B12"/>
  <c r="G11"/>
  <c r="C11"/>
  <c r="B11"/>
  <c r="G10"/>
  <c r="C10"/>
  <c r="B10"/>
  <c r="G9"/>
  <c r="C9"/>
  <c r="B9"/>
  <c r="G8"/>
  <c r="C8"/>
  <c r="B8"/>
  <c r="G7"/>
  <c r="C7"/>
  <c r="B7"/>
  <c r="G6"/>
  <c r="C6"/>
  <c r="B6"/>
  <c r="I5"/>
  <c r="H5"/>
  <c r="G5"/>
  <c r="F5"/>
  <c r="E5"/>
  <c r="D5"/>
  <c r="C5"/>
  <c r="B5"/>
</calcChain>
</file>

<file path=xl/sharedStrings.xml><?xml version="1.0" encoding="utf-8"?>
<sst xmlns="http://schemas.openxmlformats.org/spreadsheetml/2006/main" count="42" uniqueCount="38">
  <si>
    <t>wlcmuj</t>
  </si>
  <si>
    <t>Total</t>
  </si>
  <si>
    <t>Source: Civil Aviation Authority</t>
  </si>
  <si>
    <t>މައުލޫމާތު ދެއްވީ: ސިވިލް އޭވިއޭޝަން އޮތޯރިޓީ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</si>
  <si>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</si>
  <si>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</si>
  <si>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</si>
  <si>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</si>
  <si>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</si>
  <si>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</si>
  <si>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</si>
  <si>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</si>
  <si>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</si>
  <si>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</si>
  <si>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</si>
  <si>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</si>
  <si>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</si>
  <si>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cswm</t>
  </si>
  <si>
    <t>Irwaunej</t>
  </si>
  <si>
    <t>Irwaurcbef</t>
  </si>
  <si>
    <t>cCrWm</t>
  </si>
  <si>
    <t>Em</t>
  </si>
  <si>
    <t>cnUj</t>
  </si>
  <si>
    <t>iawluj</t>
  </si>
  <si>
    <t>rwbcmeTcpes</t>
  </si>
  <si>
    <t>rwbcmevon</t>
  </si>
  <si>
    <t>rwbcmesiD</t>
  </si>
  <si>
    <t>Grand total</t>
  </si>
  <si>
    <t>Scheduled</t>
  </si>
  <si>
    <t>Chartered</t>
  </si>
  <si>
    <t>Non-Scheduled</t>
  </si>
  <si>
    <t>Table 11.16 :  AIRCRAFT MOVEMENT AT GAN INTERNATIONAL AIRPORT BY MONTH, 2012</t>
  </si>
  <si>
    <t>ތާވަލު 11.16: މަސްމަހުގެ ގޮތުން ގަން އިންޓަރނޭޝަނަލް އެއަރޕޯޓުން ދަތުރުކުރި ފްލައިޓްތައް، 2012</t>
  </si>
  <si>
    <t>clircpEa</t>
  </si>
  <si>
    <t>cTcswgoa</t>
  </si>
  <si>
    <t>rwbUTckoa</t>
  </si>
  <si>
    <t xml:space="preserve">International Flights  </t>
  </si>
  <si>
    <t xml:space="preserve">Domestic Flights    </t>
  </si>
</sst>
</file>

<file path=xl/styles.xml><?xml version="1.0" encoding="utf-8"?>
<styleSheet xmlns="http://schemas.openxmlformats.org/spreadsheetml/2006/main">
  <numFmts count="3">
    <numFmt numFmtId="164" formatCode="General_)"/>
    <numFmt numFmtId="165" formatCode="[$-409]mmmm\ d\,\ yyyy;@"/>
    <numFmt numFmtId="166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sz val="11"/>
      <color theme="1"/>
      <name val="Calibri"/>
      <family val="2"/>
      <charset val="1"/>
      <scheme val="minor"/>
    </font>
    <font>
      <i/>
      <sz val="9"/>
      <name val="Calibri"/>
      <family val="2"/>
      <scheme val="minor"/>
    </font>
    <font>
      <b/>
      <sz val="10"/>
      <name val="A_Randhoo"/>
    </font>
    <font>
      <sz val="10"/>
      <name val="Garamond"/>
      <family val="1"/>
    </font>
    <font>
      <sz val="10"/>
      <name val="A_Randhoo"/>
    </font>
    <font>
      <b/>
      <sz val="11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5" fillId="0" borderId="0"/>
    <xf numFmtId="0" fontId="1" fillId="0" borderId="0"/>
    <xf numFmtId="0" fontId="5" fillId="0" borderId="0"/>
    <xf numFmtId="164" fontId="10" fillId="0" borderId="0"/>
    <xf numFmtId="40" fontId="3" fillId="0" borderId="0" applyFont="0" applyFill="0" applyBorder="0" applyAlignment="0" applyProtection="0"/>
    <xf numFmtId="166" fontId="10" fillId="0" borderId="0"/>
    <xf numFmtId="165" fontId="10" fillId="0" borderId="0" applyFont="0" applyFill="0" applyBorder="0" applyAlignment="0" applyProtection="0"/>
    <xf numFmtId="166" fontId="10" fillId="0" borderId="0"/>
    <xf numFmtId="164" fontId="10" fillId="0" borderId="0"/>
    <xf numFmtId="0" fontId="5" fillId="0" borderId="0"/>
    <xf numFmtId="0" fontId="14" fillId="0" borderId="0"/>
  </cellStyleXfs>
  <cellXfs count="42">
    <xf numFmtId="0" fontId="0" fillId="0" borderId="0" xfId="0"/>
    <xf numFmtId="164" fontId="0" fillId="2" borderId="0" xfId="0" applyNumberFormat="1" applyFill="1" applyBorder="1"/>
    <xf numFmtId="164" fontId="0" fillId="2" borderId="0" xfId="0" applyNumberFormat="1" applyFill="1"/>
    <xf numFmtId="0" fontId="9" fillId="2" borderId="1" xfId="0" applyNumberFormat="1" applyFont="1" applyFill="1" applyBorder="1" applyAlignment="1">
      <alignment horizontal="right" vertical="center"/>
    </xf>
    <xf numFmtId="3" fontId="7" fillId="2" borderId="5" xfId="11" applyNumberFormat="1" applyFont="1" applyFill="1" applyBorder="1" applyAlignment="1" applyProtection="1">
      <alignment horizontal="right" vertical="center"/>
    </xf>
    <xf numFmtId="3" fontId="7" fillId="2" borderId="7" xfId="11" applyNumberFormat="1" applyFont="1" applyFill="1" applyBorder="1" applyAlignment="1" applyProtection="1">
      <alignment horizontal="right" vertical="center"/>
    </xf>
    <xf numFmtId="164" fontId="7" fillId="2" borderId="0" xfId="11" applyNumberFormat="1" applyFont="1" applyFill="1" applyBorder="1" applyAlignment="1" applyProtection="1">
      <alignment horizontal="left" vertical="center"/>
    </xf>
    <xf numFmtId="164" fontId="7" fillId="2" borderId="3" xfId="11" applyNumberFormat="1" applyFont="1" applyFill="1" applyBorder="1" applyAlignment="1" applyProtection="1">
      <alignment horizontal="right" vertical="center"/>
    </xf>
    <xf numFmtId="164" fontId="12" fillId="2" borderId="0" xfId="11" applyNumberFormat="1" applyFont="1" applyFill="1" applyBorder="1" applyAlignment="1" applyProtection="1">
      <alignment horizontal="left" vertical="center"/>
    </xf>
    <xf numFmtId="164" fontId="12" fillId="2" borderId="0" xfId="11" applyNumberFormat="1" applyFont="1" applyFill="1" applyAlignment="1" applyProtection="1">
      <alignment horizontal="left" vertical="center"/>
    </xf>
    <xf numFmtId="164" fontId="7" fillId="2" borderId="7" xfId="11" applyNumberFormat="1" applyFont="1" applyFill="1" applyBorder="1" applyAlignment="1" applyProtection="1">
      <alignment horizontal="right" vertical="center"/>
    </xf>
    <xf numFmtId="3" fontId="7" fillId="2" borderId="0" xfId="11" applyNumberFormat="1" applyFont="1" applyFill="1" applyBorder="1" applyAlignment="1" applyProtection="1">
      <alignment horizontal="right" vertical="center"/>
    </xf>
    <xf numFmtId="3" fontId="7" fillId="2" borderId="6" xfId="11" applyNumberFormat="1" applyFont="1" applyFill="1" applyBorder="1" applyAlignment="1" applyProtection="1">
      <alignment horizontal="right" vertical="center"/>
    </xf>
    <xf numFmtId="3" fontId="8" fillId="2" borderId="0" xfId="11" applyNumberFormat="1" applyFont="1" applyFill="1" applyBorder="1" applyAlignment="1" applyProtection="1">
      <alignment horizontal="right" vertical="center"/>
      <protection locked="0"/>
    </xf>
    <xf numFmtId="3" fontId="8" fillId="2" borderId="6" xfId="11" applyNumberFormat="1" applyFont="1" applyFill="1" applyBorder="1" applyAlignment="1" applyProtection="1">
      <alignment horizontal="right" vertical="center"/>
      <protection locked="0"/>
    </xf>
    <xf numFmtId="3" fontId="8" fillId="2" borderId="3" xfId="11" applyNumberFormat="1" applyFont="1" applyFill="1" applyBorder="1" applyAlignment="1" applyProtection="1">
      <alignment horizontal="right" vertical="center"/>
      <protection locked="0"/>
    </xf>
    <xf numFmtId="3" fontId="8" fillId="2" borderId="8" xfId="11" applyNumberFormat="1" applyFont="1" applyFill="1" applyBorder="1" applyAlignment="1" applyProtection="1">
      <alignment horizontal="right" vertical="center"/>
      <protection locked="0"/>
    </xf>
    <xf numFmtId="164" fontId="8" fillId="2" borderId="0" xfId="11" applyNumberFormat="1" applyFont="1" applyFill="1" applyBorder="1" applyAlignment="1" applyProtection="1">
      <alignment horizontal="left" vertical="center"/>
    </xf>
    <xf numFmtId="164" fontId="8" fillId="2" borderId="3" xfId="11" applyNumberFormat="1" applyFont="1" applyFill="1" applyBorder="1" applyAlignment="1" applyProtection="1">
      <alignment horizontal="left" vertical="center"/>
    </xf>
    <xf numFmtId="164" fontId="7" fillId="2" borderId="11" xfId="11" applyNumberFormat="1" applyFont="1" applyFill="1" applyBorder="1" applyAlignment="1" applyProtection="1">
      <alignment horizontal="right" vertical="center"/>
    </xf>
    <xf numFmtId="3" fontId="7" fillId="2" borderId="3" xfId="11" applyNumberFormat="1" applyFont="1" applyFill="1" applyBorder="1" applyAlignment="1" applyProtection="1">
      <alignment horizontal="right" vertical="center"/>
    </xf>
    <xf numFmtId="37" fontId="8" fillId="2" borderId="0" xfId="11" applyNumberFormat="1" applyFont="1" applyFill="1" applyBorder="1" applyAlignment="1" applyProtection="1">
      <alignment vertical="center"/>
    </xf>
    <xf numFmtId="0" fontId="8" fillId="2" borderId="0" xfId="12" applyFont="1" applyFill="1" applyBorder="1" applyAlignment="1">
      <alignment vertical="center"/>
    </xf>
    <xf numFmtId="164" fontId="0" fillId="2" borderId="0" xfId="0" applyNumberFormat="1" applyFill="1" applyAlignment="1">
      <alignment horizontal="right" vertical="center"/>
    </xf>
    <xf numFmtId="3" fontId="7" fillId="2" borderId="2" xfId="11" applyNumberFormat="1" applyFont="1" applyFill="1" applyBorder="1" applyAlignment="1" applyProtection="1">
      <alignment horizontal="right" vertical="center"/>
    </xf>
    <xf numFmtId="164" fontId="7" fillId="2" borderId="8" xfId="11" applyNumberFormat="1" applyFont="1" applyFill="1" applyBorder="1" applyAlignment="1" applyProtection="1">
      <alignment horizontal="right" vertical="center" wrapText="1"/>
    </xf>
    <xf numFmtId="164" fontId="7" fillId="2" borderId="3" xfId="11" applyNumberFormat="1" applyFont="1" applyFill="1" applyBorder="1" applyAlignment="1" applyProtection="1">
      <alignment horizontal="right" vertical="center" wrapText="1"/>
    </xf>
    <xf numFmtId="0" fontId="13" fillId="2" borderId="0" xfId="13" applyFont="1" applyFill="1" applyBorder="1" applyAlignment="1">
      <alignment horizontal="right"/>
    </xf>
    <xf numFmtId="0" fontId="15" fillId="2" borderId="0" xfId="13" applyFont="1" applyFill="1" applyBorder="1" applyAlignment="1">
      <alignment horizontal="right"/>
    </xf>
    <xf numFmtId="0" fontId="15" fillId="2" borderId="3" xfId="13" applyFont="1" applyFill="1" applyBorder="1" applyAlignment="1">
      <alignment horizontal="right"/>
    </xf>
    <xf numFmtId="0" fontId="13" fillId="2" borderId="2" xfId="13" applyFont="1" applyFill="1" applyBorder="1" applyAlignment="1">
      <alignment horizontal="right" vertical="center"/>
    </xf>
    <xf numFmtId="0" fontId="13" fillId="2" borderId="3" xfId="13" applyFont="1" applyFill="1" applyBorder="1" applyAlignment="1">
      <alignment horizontal="right" vertical="center"/>
    </xf>
    <xf numFmtId="0" fontId="16" fillId="2" borderId="4" xfId="0" applyNumberFormat="1" applyFont="1" applyFill="1" applyBorder="1" applyAlignment="1">
      <alignment horizontal="center" vertical="center"/>
    </xf>
    <xf numFmtId="0" fontId="16" fillId="2" borderId="0" xfId="0" applyNumberFormat="1" applyFont="1" applyFill="1" applyBorder="1" applyAlignment="1">
      <alignment horizontal="center" vertical="center"/>
    </xf>
    <xf numFmtId="164" fontId="2" fillId="2" borderId="3" xfId="11" applyNumberFormat="1" applyFont="1" applyFill="1" applyBorder="1" applyAlignment="1" applyProtection="1">
      <alignment horizontal="center" vertical="center"/>
    </xf>
    <xf numFmtId="164" fontId="6" fillId="2" borderId="2" xfId="11" applyNumberFormat="1" applyFont="1" applyFill="1" applyBorder="1" applyAlignment="1" applyProtection="1">
      <alignment horizontal="center" vertical="center"/>
    </xf>
    <xf numFmtId="164" fontId="6" fillId="2" borderId="3" xfId="11" applyNumberFormat="1" applyFont="1" applyFill="1" applyBorder="1" applyAlignment="1" applyProtection="1">
      <alignment horizontal="center" vertical="center"/>
    </xf>
    <xf numFmtId="164" fontId="7" fillId="2" borderId="2" xfId="11" applyNumberFormat="1" applyFont="1" applyFill="1" applyBorder="1" applyAlignment="1" applyProtection="1">
      <alignment horizontal="right" vertical="center" wrapText="1"/>
    </xf>
    <xf numFmtId="164" fontId="7" fillId="2" borderId="3" xfId="11" applyNumberFormat="1" applyFont="1" applyFill="1" applyBorder="1" applyAlignment="1" applyProtection="1">
      <alignment horizontal="right" vertical="center" wrapText="1"/>
    </xf>
    <xf numFmtId="164" fontId="7" fillId="2" borderId="11" xfId="11" applyNumberFormat="1" applyFont="1" applyFill="1" applyBorder="1" applyAlignment="1" applyProtection="1">
      <alignment horizontal="center" vertical="center"/>
    </xf>
    <xf numFmtId="164" fontId="7" fillId="2" borderId="9" xfId="11" applyNumberFormat="1" applyFont="1" applyFill="1" applyBorder="1" applyAlignment="1" applyProtection="1">
      <alignment horizontal="center" vertical="center"/>
    </xf>
    <xf numFmtId="164" fontId="7" fillId="2" borderId="10" xfId="11" applyNumberFormat="1" applyFont="1" applyFill="1" applyBorder="1" applyAlignment="1" applyProtection="1">
      <alignment horizontal="center" vertical="center"/>
    </xf>
  </cellXfs>
  <cellStyles count="14">
    <cellStyle name="Comma 2" xfId="7"/>
    <cellStyle name="Comma 4" xfId="9"/>
    <cellStyle name="Hyperlink 2" xfId="1"/>
    <cellStyle name="Normal" xfId="0" builtinId="0"/>
    <cellStyle name="Normal 2" xfId="11"/>
    <cellStyle name="Normal 2 2" xfId="6"/>
    <cellStyle name="Normal 2 3" xfId="3"/>
    <cellStyle name="Normal 3" xfId="10"/>
    <cellStyle name="Normal 3 2" xfId="5"/>
    <cellStyle name="Normal 4" xfId="8"/>
    <cellStyle name="Normal 5" xfId="4"/>
    <cellStyle name="Normal 6" xfId="2"/>
    <cellStyle name="Normal_IX-6(Trans &amp; Comm)" xfId="12"/>
    <cellStyle name="Normal_X-5 (Electricity)" xfId="1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>
      <selection activeCell="D21" sqref="D21"/>
    </sheetView>
  </sheetViews>
  <sheetFormatPr defaultRowHeight="12.75" customHeight="1"/>
  <cols>
    <col min="1" max="1" width="11.7109375" style="2" customWidth="1"/>
    <col min="2" max="2" width="10.5703125" style="2" customWidth="1"/>
    <col min="3" max="3" width="10.7109375" style="2" customWidth="1"/>
    <col min="4" max="4" width="10.28515625" style="2" customWidth="1"/>
    <col min="5" max="5" width="10.7109375" style="2" customWidth="1"/>
    <col min="6" max="6" width="11.85546875" style="2" customWidth="1"/>
    <col min="7" max="8" width="10.7109375" style="2" customWidth="1"/>
    <col min="9" max="9" width="14.28515625" style="2" customWidth="1"/>
    <col min="10" max="10" width="16.42578125" style="2" customWidth="1"/>
    <col min="11" max="11" width="11.7109375" style="2" customWidth="1"/>
    <col min="12" max="16384" width="9.140625" style="2"/>
  </cols>
  <sheetData>
    <row r="1" spans="1:10" ht="21">
      <c r="A1" s="32" t="s">
        <v>32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15">
      <c r="A2" s="34" t="s">
        <v>31</v>
      </c>
      <c r="B2" s="34"/>
      <c r="C2" s="34"/>
      <c r="D2" s="34"/>
      <c r="E2" s="34"/>
      <c r="F2" s="34"/>
      <c r="G2" s="34"/>
      <c r="H2" s="34"/>
      <c r="I2" s="34"/>
      <c r="J2" s="34"/>
    </row>
    <row r="3" spans="1:10" ht="15">
      <c r="A3" s="35" t="s">
        <v>4</v>
      </c>
      <c r="B3" s="37" t="s">
        <v>27</v>
      </c>
      <c r="C3" s="39" t="s">
        <v>36</v>
      </c>
      <c r="D3" s="40"/>
      <c r="E3" s="40"/>
      <c r="F3" s="41"/>
      <c r="G3" s="39" t="s">
        <v>37</v>
      </c>
      <c r="H3" s="40"/>
      <c r="I3" s="40"/>
      <c r="J3" s="30" t="s">
        <v>17</v>
      </c>
    </row>
    <row r="4" spans="1:10" s="23" customFormat="1" ht="15">
      <c r="A4" s="36"/>
      <c r="B4" s="38"/>
      <c r="C4" s="10" t="s">
        <v>1</v>
      </c>
      <c r="D4" s="7" t="s">
        <v>28</v>
      </c>
      <c r="E4" s="7" t="s">
        <v>29</v>
      </c>
      <c r="F4" s="25" t="s">
        <v>30</v>
      </c>
      <c r="G4" s="19" t="s">
        <v>1</v>
      </c>
      <c r="H4" s="7" t="s">
        <v>28</v>
      </c>
      <c r="I4" s="26" t="s">
        <v>30</v>
      </c>
      <c r="J4" s="31"/>
    </row>
    <row r="5" spans="1:10" s="23" customFormat="1" ht="15.75">
      <c r="A5" s="6" t="s">
        <v>1</v>
      </c>
      <c r="B5" s="11">
        <f>SUM(C5+G5)</f>
        <v>5469</v>
      </c>
      <c r="C5" s="4">
        <f>SUM(D5:F5)</f>
        <v>164</v>
      </c>
      <c r="D5" s="11">
        <f>SUM(D6:D17)</f>
        <v>0</v>
      </c>
      <c r="E5" s="11">
        <f>SUM(E6:E17)</f>
        <v>8</v>
      </c>
      <c r="F5" s="12">
        <f>SUM(F6:F17)</f>
        <v>156</v>
      </c>
      <c r="G5" s="4">
        <f>SUM(H5:I5)</f>
        <v>5305</v>
      </c>
      <c r="H5" s="24">
        <f>SUM(H6:H17)</f>
        <v>3787</v>
      </c>
      <c r="I5" s="24">
        <f>SUM(I6:I17)</f>
        <v>1518</v>
      </c>
      <c r="J5" s="27" t="s">
        <v>0</v>
      </c>
    </row>
    <row r="6" spans="1:10" s="23" customFormat="1" ht="15.75">
      <c r="A6" s="17" t="s">
        <v>5</v>
      </c>
      <c r="B6" s="11">
        <f>SUM(C6+G6)</f>
        <v>526</v>
      </c>
      <c r="C6" s="4">
        <f>SUM(D6:F6)</f>
        <v>43</v>
      </c>
      <c r="D6" s="13">
        <v>0</v>
      </c>
      <c r="E6" s="13">
        <v>8</v>
      </c>
      <c r="F6" s="14">
        <v>35</v>
      </c>
      <c r="G6" s="4">
        <f>SUM(H6:I6)</f>
        <v>483</v>
      </c>
      <c r="H6" s="13">
        <v>326</v>
      </c>
      <c r="I6" s="13">
        <v>157</v>
      </c>
      <c r="J6" s="28" t="s">
        <v>18</v>
      </c>
    </row>
    <row r="7" spans="1:10" s="23" customFormat="1" ht="15.75">
      <c r="A7" s="17" t="s">
        <v>6</v>
      </c>
      <c r="B7" s="11">
        <f t="shared" ref="B7:B17" si="0">SUM(C7+G7)</f>
        <v>466</v>
      </c>
      <c r="C7" s="4">
        <f t="shared" ref="C7:C17" si="1">SUM(D7:F7)</f>
        <v>20</v>
      </c>
      <c r="D7" s="13">
        <v>0</v>
      </c>
      <c r="E7" s="13">
        <v>0</v>
      </c>
      <c r="F7" s="14">
        <v>20</v>
      </c>
      <c r="G7" s="4">
        <f t="shared" ref="G7:G17" si="2">SUM(H7:I7)</f>
        <v>446</v>
      </c>
      <c r="H7" s="13">
        <v>282</v>
      </c>
      <c r="I7" s="13">
        <v>164</v>
      </c>
      <c r="J7" s="28" t="s">
        <v>19</v>
      </c>
    </row>
    <row r="8" spans="1:10" s="23" customFormat="1" ht="15.75">
      <c r="A8" s="17" t="s">
        <v>7</v>
      </c>
      <c r="B8" s="11">
        <f t="shared" si="0"/>
        <v>415</v>
      </c>
      <c r="C8" s="4">
        <f t="shared" si="1"/>
        <v>9</v>
      </c>
      <c r="D8" s="13">
        <v>0</v>
      </c>
      <c r="E8" s="13">
        <v>0</v>
      </c>
      <c r="F8" s="14">
        <v>9</v>
      </c>
      <c r="G8" s="4">
        <f t="shared" si="2"/>
        <v>406</v>
      </c>
      <c r="H8" s="13">
        <v>276</v>
      </c>
      <c r="I8" s="13">
        <v>130</v>
      </c>
      <c r="J8" s="28" t="s">
        <v>20</v>
      </c>
    </row>
    <row r="9" spans="1:10" s="23" customFormat="1" ht="15.75">
      <c r="A9" s="17" t="s">
        <v>8</v>
      </c>
      <c r="B9" s="11">
        <f t="shared" si="0"/>
        <v>404</v>
      </c>
      <c r="C9" s="4">
        <f t="shared" si="1"/>
        <v>11</v>
      </c>
      <c r="D9" s="13">
        <v>0</v>
      </c>
      <c r="E9" s="13">
        <v>0</v>
      </c>
      <c r="F9" s="14">
        <v>11</v>
      </c>
      <c r="G9" s="4">
        <f t="shared" si="2"/>
        <v>393</v>
      </c>
      <c r="H9" s="13">
        <v>248</v>
      </c>
      <c r="I9" s="13">
        <v>145</v>
      </c>
      <c r="J9" s="28" t="s">
        <v>33</v>
      </c>
    </row>
    <row r="10" spans="1:10" s="23" customFormat="1" ht="15.75">
      <c r="A10" s="17" t="s">
        <v>9</v>
      </c>
      <c r="B10" s="11">
        <f t="shared" si="0"/>
        <v>337</v>
      </c>
      <c r="C10" s="4">
        <f t="shared" si="1"/>
        <v>3</v>
      </c>
      <c r="D10" s="13">
        <v>0</v>
      </c>
      <c r="E10" s="13">
        <v>0</v>
      </c>
      <c r="F10" s="14">
        <v>3</v>
      </c>
      <c r="G10" s="4">
        <f t="shared" si="2"/>
        <v>334</v>
      </c>
      <c r="H10" s="13">
        <v>238</v>
      </c>
      <c r="I10" s="13">
        <v>96</v>
      </c>
      <c r="J10" s="28" t="s">
        <v>21</v>
      </c>
    </row>
    <row r="11" spans="1:10" s="23" customFormat="1" ht="15.75">
      <c r="A11" s="17" t="s">
        <v>10</v>
      </c>
      <c r="B11" s="11">
        <f t="shared" si="0"/>
        <v>412</v>
      </c>
      <c r="C11" s="4">
        <f t="shared" si="1"/>
        <v>1</v>
      </c>
      <c r="D11" s="13">
        <v>0</v>
      </c>
      <c r="E11" s="13">
        <v>0</v>
      </c>
      <c r="F11" s="14">
        <v>1</v>
      </c>
      <c r="G11" s="4">
        <f t="shared" si="2"/>
        <v>411</v>
      </c>
      <c r="H11" s="13">
        <v>314</v>
      </c>
      <c r="I11" s="13">
        <v>97</v>
      </c>
      <c r="J11" s="28" t="s">
        <v>22</v>
      </c>
    </row>
    <row r="12" spans="1:10" s="23" customFormat="1" ht="15.75">
      <c r="A12" s="17" t="s">
        <v>11</v>
      </c>
      <c r="B12" s="11">
        <f t="shared" si="0"/>
        <v>435</v>
      </c>
      <c r="C12" s="4">
        <f t="shared" si="1"/>
        <v>2</v>
      </c>
      <c r="D12" s="13">
        <v>0</v>
      </c>
      <c r="E12" s="13">
        <v>0</v>
      </c>
      <c r="F12" s="14">
        <v>2</v>
      </c>
      <c r="G12" s="4">
        <f t="shared" si="2"/>
        <v>433</v>
      </c>
      <c r="H12" s="13">
        <v>346</v>
      </c>
      <c r="I12" s="13">
        <v>87</v>
      </c>
      <c r="J12" s="28" t="s">
        <v>23</v>
      </c>
    </row>
    <row r="13" spans="1:10" s="23" customFormat="1" ht="15.75">
      <c r="A13" s="17" t="s">
        <v>12</v>
      </c>
      <c r="B13" s="11">
        <f t="shared" si="0"/>
        <v>493</v>
      </c>
      <c r="C13" s="4">
        <f t="shared" si="1"/>
        <v>6</v>
      </c>
      <c r="D13" s="13">
        <v>0</v>
      </c>
      <c r="E13" s="13">
        <v>0</v>
      </c>
      <c r="F13" s="14">
        <v>6</v>
      </c>
      <c r="G13" s="4">
        <f t="shared" si="2"/>
        <v>487</v>
      </c>
      <c r="H13" s="13">
        <v>381</v>
      </c>
      <c r="I13" s="13">
        <v>106</v>
      </c>
      <c r="J13" s="28" t="s">
        <v>34</v>
      </c>
    </row>
    <row r="14" spans="1:10" s="23" customFormat="1" ht="15.75">
      <c r="A14" s="17" t="s">
        <v>13</v>
      </c>
      <c r="B14" s="11">
        <f t="shared" si="0"/>
        <v>441</v>
      </c>
      <c r="C14" s="4">
        <f t="shared" si="1"/>
        <v>3</v>
      </c>
      <c r="D14" s="13">
        <v>0</v>
      </c>
      <c r="E14" s="13">
        <v>0</v>
      </c>
      <c r="F14" s="14">
        <v>3</v>
      </c>
      <c r="G14" s="4">
        <f t="shared" si="2"/>
        <v>438</v>
      </c>
      <c r="H14" s="13">
        <v>312</v>
      </c>
      <c r="I14" s="13">
        <v>126</v>
      </c>
      <c r="J14" s="28" t="s">
        <v>24</v>
      </c>
    </row>
    <row r="15" spans="1:10" s="23" customFormat="1" ht="15.75">
      <c r="A15" s="17" t="s">
        <v>14</v>
      </c>
      <c r="B15" s="11">
        <f t="shared" si="0"/>
        <v>420</v>
      </c>
      <c r="C15" s="4">
        <f t="shared" si="1"/>
        <v>20</v>
      </c>
      <c r="D15" s="13">
        <v>0</v>
      </c>
      <c r="E15" s="13">
        <v>0</v>
      </c>
      <c r="F15" s="14">
        <v>20</v>
      </c>
      <c r="G15" s="4">
        <f t="shared" si="2"/>
        <v>400</v>
      </c>
      <c r="H15" s="13">
        <v>328</v>
      </c>
      <c r="I15" s="13">
        <v>72</v>
      </c>
      <c r="J15" s="28" t="s">
        <v>35</v>
      </c>
    </row>
    <row r="16" spans="1:10" s="23" customFormat="1" ht="15.75">
      <c r="A16" s="17" t="s">
        <v>15</v>
      </c>
      <c r="B16" s="11">
        <f t="shared" si="0"/>
        <v>503</v>
      </c>
      <c r="C16" s="4">
        <f t="shared" si="1"/>
        <v>9</v>
      </c>
      <c r="D16" s="13">
        <v>0</v>
      </c>
      <c r="E16" s="13">
        <v>0</v>
      </c>
      <c r="F16" s="14">
        <v>9</v>
      </c>
      <c r="G16" s="4">
        <f t="shared" si="2"/>
        <v>494</v>
      </c>
      <c r="H16" s="13">
        <v>344</v>
      </c>
      <c r="I16" s="13">
        <v>150</v>
      </c>
      <c r="J16" s="28" t="s">
        <v>25</v>
      </c>
    </row>
    <row r="17" spans="1:10" s="23" customFormat="1" ht="15.75">
      <c r="A17" s="18" t="s">
        <v>16</v>
      </c>
      <c r="B17" s="20">
        <f t="shared" si="0"/>
        <v>617</v>
      </c>
      <c r="C17" s="5">
        <f t="shared" si="1"/>
        <v>37</v>
      </c>
      <c r="D17" s="15">
        <v>0</v>
      </c>
      <c r="E17" s="15">
        <v>0</v>
      </c>
      <c r="F17" s="16">
        <v>37</v>
      </c>
      <c r="G17" s="5">
        <f t="shared" si="2"/>
        <v>580</v>
      </c>
      <c r="H17" s="15">
        <v>392</v>
      </c>
      <c r="I17" s="15">
        <v>188</v>
      </c>
      <c r="J17" s="29" t="s">
        <v>26</v>
      </c>
    </row>
    <row r="18" spans="1:10" ht="18.75">
      <c r="A18" s="9" t="s">
        <v>2</v>
      </c>
      <c r="B18" s="8"/>
      <c r="C18" s="21"/>
      <c r="D18" s="21"/>
      <c r="E18" s="21"/>
      <c r="F18" s="21"/>
      <c r="G18" s="21"/>
      <c r="H18" s="22"/>
      <c r="J18" s="3" t="s">
        <v>3</v>
      </c>
    </row>
    <row r="19" spans="1:10" ht="15">
      <c r="A19" s="1"/>
      <c r="B19" s="1"/>
      <c r="C19" s="1"/>
      <c r="D19" s="1"/>
      <c r="E19" s="1"/>
      <c r="F19" s="1"/>
      <c r="G19" s="1"/>
      <c r="H19" s="1"/>
      <c r="I19" s="1"/>
    </row>
    <row r="20" spans="1:10" ht="15"/>
  </sheetData>
  <mergeCells count="7">
    <mergeCell ref="J3:J4"/>
    <mergeCell ref="A1:J1"/>
    <mergeCell ref="A2:J2"/>
    <mergeCell ref="A3:A4"/>
    <mergeCell ref="B3:B4"/>
    <mergeCell ref="C3:F3"/>
    <mergeCell ref="G3:I3"/>
  </mergeCells>
  <pageMargins left="0.53" right="0.26" top="0.75" bottom="0.75" header="0.3" footer="0.3"/>
  <pageSetup paperSize="9" scale="110" orientation="landscape" horizontalDpi="1200" verticalDpi="1200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11.6</vt:lpstr>
      <vt:lpstr>'11.6'!Print_Area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2013-07-08T06:31:41Z</cp:lastPrinted>
  <dcterms:created xsi:type="dcterms:W3CDTF">2013-04-28T05:32:41Z</dcterms:created>
  <dcterms:modified xsi:type="dcterms:W3CDTF">2013-07-08T06:31:59Z</dcterms:modified>
</cp:coreProperties>
</file>