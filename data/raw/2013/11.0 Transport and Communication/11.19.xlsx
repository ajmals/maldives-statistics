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9" sheetId="19" r:id="rId1"/>
  </sheets>
  <definedNames>
    <definedName name="_xlnm.Print_Area" localSheetId="0">'11.19'!$A$1:$F$22</definedName>
  </definedNames>
  <calcPr calcId="124519"/>
</workbook>
</file>

<file path=xl/calcChain.xml><?xml version="1.0" encoding="utf-8"?>
<calcChain xmlns="http://schemas.openxmlformats.org/spreadsheetml/2006/main">
  <c r="C6" i="19"/>
  <c r="B18"/>
  <c r="B17"/>
  <c r="B16"/>
  <c r="B15"/>
  <c r="B14"/>
  <c r="B13"/>
  <c r="B12"/>
  <c r="B11"/>
  <c r="B10"/>
  <c r="B9"/>
  <c r="B8"/>
  <c r="B7"/>
  <c r="E6"/>
  <c r="D6"/>
  <c r="B6"/>
</calcChain>
</file>

<file path=xl/sharedStrings.xml><?xml version="1.0" encoding="utf-8"?>
<sst xmlns="http://schemas.openxmlformats.org/spreadsheetml/2006/main" count="40" uniqueCount="40">
  <si>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</si>
  <si>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</si>
  <si>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</si>
  <si>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</si>
  <si>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</si>
  <si>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Domestic Flights</t>
  </si>
  <si>
    <t>Direct Transit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</si>
  <si>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</si>
  <si>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</si>
  <si>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</si>
  <si>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</si>
  <si>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</si>
  <si>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</si>
  <si>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</si>
  <si>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</si>
  <si>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</si>
  <si>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</si>
  <si>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</si>
  <si>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</si>
  <si>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cswm</t>
  </si>
  <si>
    <t>Irwaunej</t>
  </si>
  <si>
    <t>Irwaurcbef</t>
  </si>
  <si>
    <t>cCrWm</t>
  </si>
  <si>
    <t>Em</t>
  </si>
  <si>
    <t>cnUj</t>
  </si>
  <si>
    <t>iawluj</t>
  </si>
  <si>
    <t>rwbcmeTcpes</t>
  </si>
  <si>
    <t>rwbcmevon</t>
  </si>
  <si>
    <t>rwbcmesiD</t>
  </si>
  <si>
    <t>(in Kg)</t>
  </si>
  <si>
    <t>Inward</t>
  </si>
  <si>
    <t>Outward</t>
  </si>
  <si>
    <t xml:space="preserve"> Total </t>
  </si>
  <si>
    <t>Table 11.19 :  CARGO HANDLED AT GAN INTERNATIONAL AIRPORT BY MONTH, 2012</t>
  </si>
  <si>
    <t>Note: Gan international flights do not have the permit to handle Cargo &amp; Mail</t>
  </si>
  <si>
    <t>clircpEa</t>
  </si>
  <si>
    <t>cTcswgoa</t>
  </si>
  <si>
    <t>rwbUTckoa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</si>
  <si>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</si>
  <si>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t>ތާވަލު 11.19: މަސްމަހުގެ ގޮތުން ގަން އިންޓަރނޭޝަނަލް އެއަރޕޯޓުން އުފުލުނު މުދާ،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</si>
</sst>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b/>
      <sz val="11"/>
      <name val="Faruma"/>
    </font>
    <font>
      <b/>
      <sz val="10"/>
      <name val="A_Randhoo"/>
    </font>
    <font>
      <sz val="10"/>
      <name val="Garamond"/>
      <family val="1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5" fillId="0" borderId="0"/>
    <xf numFmtId="0" fontId="1" fillId="0" borderId="0"/>
    <xf numFmtId="0" fontId="5" fillId="0" borderId="0"/>
    <xf numFmtId="164" fontId="12" fillId="0" borderId="0"/>
    <xf numFmtId="40" fontId="3" fillId="0" borderId="0" applyFont="0" applyFill="0" applyBorder="0" applyAlignment="0" applyProtection="0"/>
    <xf numFmtId="166" fontId="12" fillId="0" borderId="0"/>
    <xf numFmtId="165" fontId="12" fillId="0" borderId="0" applyFont="0" applyFill="0" applyBorder="0" applyAlignment="0" applyProtection="0"/>
    <xf numFmtId="166" fontId="12" fillId="0" borderId="0"/>
    <xf numFmtId="164" fontId="12" fillId="0" borderId="0"/>
    <xf numFmtId="0" fontId="5" fillId="0" borderId="0"/>
    <xf numFmtId="0" fontId="17" fillId="0" borderId="0"/>
  </cellStyleXfs>
  <cellXfs count="41">
    <xf numFmtId="0" fontId="0" fillId="0" borderId="0" xfId="0"/>
    <xf numFmtId="0" fontId="10" fillId="2" borderId="1" xfId="0" applyNumberFormat="1" applyFont="1" applyFill="1" applyBorder="1" applyAlignment="1">
      <alignment horizontal="right" vertical="center"/>
    </xf>
    <xf numFmtId="164" fontId="7" fillId="2" borderId="0" xfId="11" applyNumberFormat="1" applyFont="1" applyFill="1" applyBorder="1" applyAlignment="1" applyProtection="1">
      <alignment horizontal="left" vertical="center"/>
    </xf>
    <xf numFmtId="164" fontId="7" fillId="2" borderId="3" xfId="11" applyNumberFormat="1" applyFont="1" applyFill="1" applyBorder="1" applyAlignment="1" applyProtection="1">
      <alignment horizontal="right" vertical="center"/>
    </xf>
    <xf numFmtId="164" fontId="14" fillId="2" borderId="0" xfId="11" applyNumberFormat="1" applyFont="1" applyFill="1" applyAlignment="1" applyProtection="1">
      <alignment horizontal="left" vertical="center"/>
    </xf>
    <xf numFmtId="37" fontId="9" fillId="2" borderId="0" xfId="11" applyNumberFormat="1" applyFont="1" applyFill="1" applyAlignment="1" applyProtection="1">
      <alignment vertical="center"/>
    </xf>
    <xf numFmtId="0" fontId="8" fillId="2" borderId="0" xfId="12" applyFont="1" applyFill="1" applyAlignment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38" fontId="7" fillId="2" borderId="0" xfId="7" applyNumberFormat="1" applyFont="1" applyFill="1" applyBorder="1" applyAlignment="1" applyProtection="1">
      <alignment horizontal="right" vertical="center"/>
    </xf>
    <xf numFmtId="164" fontId="14" fillId="2" borderId="0" xfId="11" applyNumberFormat="1" applyFont="1" applyFill="1" applyAlignment="1">
      <alignment vertical="center"/>
    </xf>
    <xf numFmtId="164" fontId="9" fillId="2" borderId="0" xfId="11" applyNumberFormat="1" applyFont="1" applyFill="1" applyAlignment="1">
      <alignment vertical="center"/>
    </xf>
    <xf numFmtId="0" fontId="9" fillId="2" borderId="0" xfId="12" applyFont="1" applyFill="1" applyAlignment="1">
      <alignment vertical="center"/>
    </xf>
    <xf numFmtId="164" fontId="8" fillId="2" borderId="0" xfId="11" applyNumberFormat="1" applyFont="1" applyFill="1" applyBorder="1" applyAlignment="1"/>
    <xf numFmtId="164" fontId="9" fillId="2" borderId="0" xfId="11" applyNumberFormat="1" applyFont="1" applyFill="1" applyBorder="1" applyAlignment="1" applyProtection="1">
      <alignment horizontal="left" vertical="center"/>
    </xf>
    <xf numFmtId="164" fontId="9" fillId="2" borderId="3" xfId="11" applyNumberFormat="1" applyFont="1" applyFill="1" applyBorder="1" applyAlignment="1" applyProtection="1">
      <alignment horizontal="left" vertical="center"/>
    </xf>
    <xf numFmtId="164" fontId="7" fillId="2" borderId="3" xfId="11" applyNumberFormat="1" applyFont="1" applyFill="1" applyBorder="1" applyAlignment="1" applyProtection="1">
      <alignment horizontal="right" vertical="center" wrapText="1"/>
    </xf>
    <xf numFmtId="164" fontId="9" fillId="2" borderId="0" xfId="11" applyNumberFormat="1" applyFont="1" applyFill="1" applyBorder="1" applyAlignment="1">
      <alignment vertical="center"/>
    </xf>
    <xf numFmtId="38" fontId="7" fillId="2" borderId="0" xfId="7" applyNumberFormat="1" applyFont="1" applyFill="1" applyBorder="1" applyAlignment="1" applyProtection="1">
      <alignment horizontal="right" vertical="center" wrapText="1"/>
    </xf>
    <xf numFmtId="164" fontId="7" fillId="2" borderId="0" xfId="11" applyNumberFormat="1" applyFont="1" applyFill="1" applyBorder="1" applyAlignment="1" applyProtection="1">
      <alignment vertical="center"/>
    </xf>
    <xf numFmtId="164" fontId="6" fillId="2" borderId="0" xfId="11" applyNumberFormat="1" applyFont="1" applyFill="1" applyBorder="1" applyAlignment="1" applyProtection="1">
      <alignment vertical="center"/>
    </xf>
    <xf numFmtId="38" fontId="9" fillId="2" borderId="0" xfId="11" applyNumberFormat="1" applyFont="1" applyFill="1" applyBorder="1" applyAlignment="1" applyProtection="1">
      <alignment horizontal="right" vertical="center"/>
      <protection locked="0"/>
    </xf>
    <xf numFmtId="38" fontId="7" fillId="2" borderId="3" xfId="7" applyNumberFormat="1" applyFont="1" applyFill="1" applyBorder="1" applyAlignment="1" applyProtection="1">
      <alignment horizontal="right" vertical="center" wrapText="1"/>
    </xf>
    <xf numFmtId="38" fontId="9" fillId="2" borderId="3" xfId="11" applyNumberFormat="1" applyFont="1" applyFill="1" applyBorder="1" applyAlignment="1" applyProtection="1">
      <alignment horizontal="right" vertical="center"/>
    </xf>
    <xf numFmtId="164" fontId="14" fillId="2" borderId="0" xfId="11" applyNumberFormat="1" applyFont="1" applyFill="1" applyBorder="1" applyAlignment="1">
      <alignment vertical="center"/>
    </xf>
    <xf numFmtId="0" fontId="11" fillId="2" borderId="1" xfId="0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horizontal="right"/>
    </xf>
    <xf numFmtId="0" fontId="18" fillId="2" borderId="0" xfId="13" applyFont="1" applyFill="1" applyBorder="1" applyAlignment="1">
      <alignment horizontal="right"/>
    </xf>
    <xf numFmtId="0" fontId="18" fillId="2" borderId="3" xfId="13" applyFont="1" applyFill="1" applyBorder="1" applyAlignment="1">
      <alignment horizontal="right"/>
    </xf>
    <xf numFmtId="164" fontId="9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164" fontId="6" fillId="2" borderId="2" xfId="11" applyNumberFormat="1" applyFont="1" applyFill="1" applyBorder="1" applyAlignment="1" applyProtection="1">
      <alignment horizontal="right" vertical="center"/>
    </xf>
    <xf numFmtId="164" fontId="6" fillId="2" borderId="3" xfId="11" applyNumberFormat="1" applyFont="1" applyFill="1" applyBorder="1" applyAlignment="1" applyProtection="1">
      <alignment horizontal="right" vertical="center"/>
    </xf>
    <xf numFmtId="164" fontId="7" fillId="2" borderId="4" xfId="11" applyNumberFormat="1" applyFont="1" applyFill="1" applyBorder="1" applyAlignment="1" applyProtection="1">
      <alignment horizontal="center" vertical="center"/>
    </xf>
    <xf numFmtId="164" fontId="6" fillId="2" borderId="2" xfId="11" applyNumberFormat="1" applyFont="1" applyFill="1" applyBorder="1" applyAlignment="1" applyProtection="1">
      <alignment horizontal="left" vertical="center"/>
    </xf>
    <xf numFmtId="164" fontId="6" fillId="2" borderId="3" xfId="11" applyNumberFormat="1" applyFont="1" applyFill="1" applyBorder="1" applyAlignment="1" applyProtection="1">
      <alignment horizontal="left" vertical="center"/>
    </xf>
    <xf numFmtId="0" fontId="16" fillId="2" borderId="2" xfId="13" applyFont="1" applyFill="1" applyBorder="1" applyAlignment="1">
      <alignment horizontal="right" vertical="center"/>
    </xf>
    <xf numFmtId="0" fontId="16" fillId="2" borderId="3" xfId="13" applyFont="1" applyFill="1" applyBorder="1" applyAlignment="1">
      <alignment horizontal="right" vertical="center"/>
    </xf>
    <xf numFmtId="164" fontId="6" fillId="2" borderId="0" xfId="11" applyNumberFormat="1" applyFont="1" applyFill="1" applyBorder="1" applyAlignment="1" applyProtection="1">
      <alignment horizontal="center" vertical="center"/>
    </xf>
    <xf numFmtId="164" fontId="7" fillId="2" borderId="3" xfId="11" applyNumberFormat="1" applyFont="1" applyFill="1" applyBorder="1" applyAlignment="1" applyProtection="1">
      <alignment horizontal="center" vertical="center"/>
    </xf>
    <xf numFmtId="164" fontId="15" fillId="2" borderId="0" xfId="0" applyNumberFormat="1" applyFont="1" applyFill="1" applyAlignment="1">
      <alignment horizontal="center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>
      <selection activeCell="G19" sqref="G19"/>
    </sheetView>
  </sheetViews>
  <sheetFormatPr defaultRowHeight="15"/>
  <cols>
    <col min="1" max="1" width="12.140625" style="7" customWidth="1"/>
    <col min="2" max="6" width="14.5703125" style="7" customWidth="1"/>
    <col min="7" max="8" width="9.140625" style="7"/>
    <col min="9" max="9" width="8.85546875" style="7" customWidth="1"/>
    <col min="10" max="16384" width="9.140625" style="7"/>
  </cols>
  <sheetData>
    <row r="1" spans="1:10" ht="21">
      <c r="A1" s="40" t="s">
        <v>39</v>
      </c>
      <c r="B1" s="40"/>
      <c r="C1" s="40"/>
      <c r="D1" s="40"/>
      <c r="E1" s="40"/>
      <c r="F1" s="40"/>
    </row>
    <row r="2" spans="1:10">
      <c r="A2" s="38" t="s">
        <v>33</v>
      </c>
      <c r="B2" s="38"/>
      <c r="C2" s="38"/>
      <c r="D2" s="38"/>
      <c r="E2" s="38"/>
      <c r="F2" s="38"/>
      <c r="G2" s="20"/>
      <c r="H2" s="20"/>
      <c r="I2" s="20"/>
      <c r="J2" s="8"/>
    </row>
    <row r="3" spans="1:10">
      <c r="A3" s="39" t="s">
        <v>29</v>
      </c>
      <c r="B3" s="39"/>
      <c r="C3" s="39"/>
      <c r="D3" s="39"/>
      <c r="E3" s="39"/>
      <c r="F3" s="39"/>
      <c r="G3" s="20"/>
      <c r="H3" s="20"/>
      <c r="I3" s="20"/>
      <c r="J3" s="8"/>
    </row>
    <row r="4" spans="1:10">
      <c r="A4" s="34" t="s">
        <v>4</v>
      </c>
      <c r="B4" s="31" t="s">
        <v>32</v>
      </c>
      <c r="C4" s="33" t="s">
        <v>5</v>
      </c>
      <c r="D4" s="33"/>
      <c r="E4" s="33"/>
      <c r="F4" s="36" t="s">
        <v>19</v>
      </c>
      <c r="G4" s="20"/>
      <c r="H4" s="20"/>
      <c r="I4" s="20"/>
      <c r="J4" s="8"/>
    </row>
    <row r="5" spans="1:10">
      <c r="A5" s="35"/>
      <c r="B5" s="32"/>
      <c r="C5" s="3" t="s">
        <v>30</v>
      </c>
      <c r="D5" s="3" t="s">
        <v>31</v>
      </c>
      <c r="E5" s="16" t="s">
        <v>6</v>
      </c>
      <c r="F5" s="37"/>
      <c r="G5" s="20"/>
      <c r="H5" s="20"/>
      <c r="I5" s="20"/>
      <c r="J5" s="8"/>
    </row>
    <row r="6" spans="1:10" ht="17.25">
      <c r="A6" s="2" t="s">
        <v>1</v>
      </c>
      <c r="B6" s="18">
        <f t="shared" ref="B6:B18" si="0">SUM(C6:E6)</f>
        <v>292415.09999999998</v>
      </c>
      <c r="C6" s="9">
        <f>SUM(C7:C18)</f>
        <v>256716.5</v>
      </c>
      <c r="D6" s="9">
        <f>SUM(D7:D18)</f>
        <v>26118.100000000002</v>
      </c>
      <c r="E6" s="9">
        <f>SUM(E7:E18)</f>
        <v>9580.5</v>
      </c>
      <c r="F6" s="26" t="s">
        <v>0</v>
      </c>
      <c r="G6" s="20"/>
      <c r="H6" s="20"/>
      <c r="I6" s="20"/>
      <c r="J6" s="8"/>
    </row>
    <row r="7" spans="1:10" ht="17.25">
      <c r="A7" s="14" t="s">
        <v>7</v>
      </c>
      <c r="B7" s="18">
        <f t="shared" si="0"/>
        <v>27745</v>
      </c>
      <c r="C7" s="21">
        <v>26571</v>
      </c>
      <c r="D7" s="21">
        <v>727</v>
      </c>
      <c r="E7" s="21">
        <v>447</v>
      </c>
      <c r="F7" s="27" t="s">
        <v>20</v>
      </c>
      <c r="G7" s="20"/>
      <c r="H7" s="20"/>
      <c r="I7" s="20"/>
      <c r="J7" s="8"/>
    </row>
    <row r="8" spans="1:10" ht="17.25">
      <c r="A8" s="14" t="s">
        <v>8</v>
      </c>
      <c r="B8" s="18">
        <f t="shared" si="0"/>
        <v>24031</v>
      </c>
      <c r="C8" s="21">
        <v>22492</v>
      </c>
      <c r="D8" s="21">
        <v>1041</v>
      </c>
      <c r="E8" s="21">
        <v>498</v>
      </c>
      <c r="F8" s="27" t="s">
        <v>21</v>
      </c>
      <c r="G8" s="20"/>
      <c r="H8" s="20"/>
      <c r="I8" s="20"/>
      <c r="J8" s="8"/>
    </row>
    <row r="9" spans="1:10" ht="17.25">
      <c r="A9" s="14" t="s">
        <v>9</v>
      </c>
      <c r="B9" s="18">
        <f t="shared" si="0"/>
        <v>27947</v>
      </c>
      <c r="C9" s="21">
        <v>19285</v>
      </c>
      <c r="D9" s="21">
        <v>6866</v>
      </c>
      <c r="E9" s="21">
        <v>1796</v>
      </c>
      <c r="F9" s="27" t="s">
        <v>22</v>
      </c>
      <c r="G9" s="20"/>
      <c r="H9" s="20"/>
      <c r="I9" s="20"/>
      <c r="J9" s="8"/>
    </row>
    <row r="10" spans="1:10" ht="17.25">
      <c r="A10" s="14" t="s">
        <v>10</v>
      </c>
      <c r="B10" s="18">
        <f t="shared" si="0"/>
        <v>19635.3</v>
      </c>
      <c r="C10" s="21">
        <v>18498</v>
      </c>
      <c r="D10" s="21">
        <v>733.3</v>
      </c>
      <c r="E10" s="21">
        <v>404</v>
      </c>
      <c r="F10" s="27" t="s">
        <v>35</v>
      </c>
      <c r="G10" s="20"/>
      <c r="H10" s="20"/>
      <c r="I10" s="20"/>
      <c r="J10" s="8"/>
    </row>
    <row r="11" spans="1:10" ht="17.25">
      <c r="A11" s="14" t="s">
        <v>11</v>
      </c>
      <c r="B11" s="18">
        <f t="shared" si="0"/>
        <v>20433.2</v>
      </c>
      <c r="C11" s="21">
        <v>16361</v>
      </c>
      <c r="D11" s="21">
        <v>3548.2</v>
      </c>
      <c r="E11" s="21">
        <v>524</v>
      </c>
      <c r="F11" s="27" t="s">
        <v>23</v>
      </c>
      <c r="G11" s="20"/>
      <c r="H11" s="20"/>
      <c r="I11" s="20"/>
      <c r="J11" s="8"/>
    </row>
    <row r="12" spans="1:10" ht="17.25">
      <c r="A12" s="14" t="s">
        <v>12</v>
      </c>
      <c r="B12" s="18">
        <f t="shared" si="0"/>
        <v>16102.3</v>
      </c>
      <c r="C12" s="21">
        <v>14220</v>
      </c>
      <c r="D12" s="21">
        <v>708.8</v>
      </c>
      <c r="E12" s="21">
        <v>1173.5</v>
      </c>
      <c r="F12" s="27" t="s">
        <v>24</v>
      </c>
      <c r="G12" s="20"/>
      <c r="H12" s="20"/>
      <c r="I12" s="20"/>
      <c r="J12" s="8"/>
    </row>
    <row r="13" spans="1:10" ht="17.25">
      <c r="A13" s="14" t="s">
        <v>13</v>
      </c>
      <c r="B13" s="18">
        <f t="shared" si="0"/>
        <v>33065.599999999999</v>
      </c>
      <c r="C13" s="21">
        <v>31616</v>
      </c>
      <c r="D13" s="21">
        <v>637.6</v>
      </c>
      <c r="E13" s="21">
        <v>812</v>
      </c>
      <c r="F13" s="27" t="s">
        <v>25</v>
      </c>
      <c r="G13" s="20"/>
      <c r="H13" s="20"/>
      <c r="I13" s="20"/>
      <c r="J13" s="8"/>
    </row>
    <row r="14" spans="1:10" ht="17.25">
      <c r="A14" s="14" t="s">
        <v>14</v>
      </c>
      <c r="B14" s="18">
        <f t="shared" si="0"/>
        <v>28898</v>
      </c>
      <c r="C14" s="21">
        <v>26122</v>
      </c>
      <c r="D14" s="21">
        <v>1647</v>
      </c>
      <c r="E14" s="21">
        <v>1129</v>
      </c>
      <c r="F14" s="27" t="s">
        <v>36</v>
      </c>
      <c r="G14" s="20"/>
      <c r="H14" s="20"/>
      <c r="I14" s="20"/>
      <c r="J14" s="8"/>
    </row>
    <row r="15" spans="1:10" ht="17.25">
      <c r="A15" s="14" t="s">
        <v>15</v>
      </c>
      <c r="B15" s="18">
        <f t="shared" si="0"/>
        <v>26254</v>
      </c>
      <c r="C15" s="21">
        <v>19207</v>
      </c>
      <c r="D15" s="21">
        <v>6477</v>
      </c>
      <c r="E15" s="21">
        <v>570</v>
      </c>
      <c r="F15" s="27" t="s">
        <v>26</v>
      </c>
      <c r="I15" s="20"/>
      <c r="J15" s="8"/>
    </row>
    <row r="16" spans="1:10" ht="17.25">
      <c r="A16" s="14" t="s">
        <v>16</v>
      </c>
      <c r="B16" s="18">
        <f t="shared" si="0"/>
        <v>20034</v>
      </c>
      <c r="C16" s="21">
        <v>18175</v>
      </c>
      <c r="D16" s="21">
        <v>1344</v>
      </c>
      <c r="E16" s="21">
        <v>515</v>
      </c>
      <c r="F16" s="27" t="s">
        <v>37</v>
      </c>
      <c r="I16" s="20"/>
      <c r="J16" s="8"/>
    </row>
    <row r="17" spans="1:13" ht="17.25">
      <c r="A17" s="14" t="s">
        <v>17</v>
      </c>
      <c r="B17" s="18">
        <f t="shared" si="0"/>
        <v>20734</v>
      </c>
      <c r="C17" s="21">
        <v>18695</v>
      </c>
      <c r="D17" s="21">
        <v>762</v>
      </c>
      <c r="E17" s="21">
        <v>1277</v>
      </c>
      <c r="F17" s="27" t="s">
        <v>27</v>
      </c>
      <c r="I17" s="20"/>
      <c r="J17" s="8"/>
    </row>
    <row r="18" spans="1:13" ht="17.25">
      <c r="A18" s="15" t="s">
        <v>18</v>
      </c>
      <c r="B18" s="22">
        <f t="shared" si="0"/>
        <v>27535.7</v>
      </c>
      <c r="C18" s="23">
        <v>25474.5</v>
      </c>
      <c r="D18" s="23">
        <v>1626.2</v>
      </c>
      <c r="E18" s="23">
        <v>435</v>
      </c>
      <c r="F18" s="28" t="s">
        <v>28</v>
      </c>
      <c r="I18" s="20"/>
      <c r="J18" s="8"/>
    </row>
    <row r="19" spans="1:13" ht="12.75" customHeight="1">
      <c r="A19" s="24" t="s">
        <v>34</v>
      </c>
      <c r="B19" s="4"/>
      <c r="C19" s="5"/>
      <c r="D19" s="5"/>
      <c r="E19" s="5"/>
      <c r="G19" s="5"/>
      <c r="H19" s="12"/>
      <c r="I19" s="20"/>
      <c r="J19" s="6"/>
      <c r="L19" s="13"/>
      <c r="M19" s="6"/>
    </row>
    <row r="20" spans="1:13" ht="12.75" customHeight="1">
      <c r="A20" s="4" t="s">
        <v>2</v>
      </c>
      <c r="B20" s="10"/>
      <c r="C20" s="10"/>
      <c r="D20" s="11"/>
      <c r="E20" s="17"/>
      <c r="G20" s="11"/>
      <c r="H20" s="1"/>
      <c r="I20" s="20"/>
      <c r="J20" s="8"/>
    </row>
    <row r="21" spans="1:13" s="29" customFormat="1" ht="15" customHeight="1">
      <c r="F21" s="30" t="s">
        <v>38</v>
      </c>
      <c r="I21" s="19"/>
    </row>
    <row r="22" spans="1:13" s="29" customFormat="1" ht="17.25">
      <c r="F22" s="25" t="s">
        <v>3</v>
      </c>
    </row>
  </sheetData>
  <mergeCells count="7">
    <mergeCell ref="A1:F1"/>
    <mergeCell ref="B4:B5"/>
    <mergeCell ref="C4:E4"/>
    <mergeCell ref="A4:A5"/>
    <mergeCell ref="F4:F5"/>
    <mergeCell ref="A2:F2"/>
    <mergeCell ref="A3:F3"/>
  </mergeCells>
  <pageMargins left="0.17" right="0.16" top="0.75" bottom="0.75" header="0.3" footer="0.3"/>
  <pageSetup paperSize="9" scal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11.19</vt:lpstr>
      <vt:lpstr>'11.19'!Print_Area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2013-07-08T06:34:07Z</cp:lastPrinted>
  <dcterms:created xsi:type="dcterms:W3CDTF">2013-04-28T05:32:41Z</dcterms:created>
  <dcterms:modified xsi:type="dcterms:W3CDTF">2013-07-08T06:35:21Z</dcterms:modified>
</cp:coreProperties>
</file>