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60" windowWidth="14895" windowHeight="7110"/>
  </bookViews>
  <sheets>
    <sheet name="11.24" sheetId="1" r:id="rId1"/>
  </sheets>
  <definedNames>
    <definedName name="_xlnm.Print_Area" localSheetId="0">'11.24'!$A$1:$L$50</definedName>
  </definedNames>
  <calcPr calcId="124519"/>
</workbook>
</file>

<file path=xl/calcChain.xml><?xml version="1.0" encoding="utf-8"?>
<calcChain xmlns="http://schemas.openxmlformats.org/spreadsheetml/2006/main">
  <c r="AA44" i="1"/>
  <c r="AA43"/>
  <c r="AA42"/>
  <c r="AA41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<sst xmlns="http://schemas.openxmlformats.org/spreadsheetml/2006/main" count="51" uniqueCount="41">
  <si>
    <t xml:space="preserve">2012 - 2001 ,cnuLug egutWlwsWvum egEjcaWr idwa ImWvcqwaclwniawb : 11.24 clwvWt </t>
  </si>
  <si>
    <t>Table 11.24: INTERNATIONAL AND NATIONAL COMMUNICATION,2001 - 2012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</si>
  <si>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</si>
  <si>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</si>
  <si>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</si>
  <si>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</si>
  <si>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</si>
  <si>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</si>
  <si>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</si>
  <si>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</si>
  <si>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</si>
  <si>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>wlcmuj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</si>
  <si>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</si>
  <si>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</si>
  <si>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</si>
  <si>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</si>
  <si>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</si>
  <si>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</si>
  <si>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>Total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</si>
  <si>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</si>
  <si>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</si>
  <si>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</si>
  <si>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</si>
  <si>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</si>
  <si>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</si>
  <si>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-</t>
  </si>
  <si>
    <t>370,172*</t>
  </si>
  <si>
    <t>Note - Considerable increase in 2008 mobile &amp; international minutes as call minutes from pre-paid phones were not included in previous years</t>
  </si>
  <si>
    <t>* Revised</t>
  </si>
  <si>
    <t>Source: Telecom Operators – Dhiraagu and Wataniya</t>
  </si>
  <si>
    <t>Prepared by: Communications Authority of Maldives (CAM)</t>
  </si>
  <si>
    <t>Definitions:</t>
  </si>
  <si>
    <r>
      <t xml:space="preserve">Local calls: </t>
    </r>
    <r>
      <rPr>
        <sz val="10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</si>
  <si>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</si>
  <si>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</si>
  <si>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</si>
  <si>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rFont val="Calibri"/>
        <family val="2"/>
        <scheme val="minor"/>
      </rPr>
      <t>International calls from fixed lines and mobiles</t>
    </r>
  </si>
  <si>
    <t>National Call Minutes in land line</t>
  </si>
  <si>
    <t xml:space="preserve">Mobile call Minutes </t>
  </si>
  <si>
    <t>International call minutes</t>
  </si>
  <si>
    <t>(in millions)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</si>
</sst>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aramond"/>
      <family val="1"/>
    </font>
    <font>
      <b/>
      <sz val="12"/>
      <name val="A_Randhoo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9"/>
      <name val="A_Randhoo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ont="0" applyFill="0" applyBorder="0" applyAlignment="0" applyProtection="0"/>
    <xf numFmtId="40" fontId="14" fillId="0" borderId="0" applyFont="0" applyFill="0" applyBorder="0" applyAlignment="0" applyProtection="0"/>
  </cellStyleXfs>
  <cellXfs count="65">
    <xf numFmtId="0" fontId="0" fillId="0" borderId="0" xfId="0"/>
    <xf numFmtId="164" fontId="5" fillId="2" borderId="0" xfId="3" applyNumberFormat="1" applyFont="1" applyFill="1"/>
    <xf numFmtId="164" fontId="7" fillId="2" borderId="0" xfId="3" applyNumberFormat="1" applyFont="1" applyFill="1" applyBorder="1"/>
    <xf numFmtId="0" fontId="8" fillId="2" borderId="0" xfId="3" applyNumberFormat="1" applyFont="1" applyFill="1" applyAlignment="1"/>
    <xf numFmtId="164" fontId="7" fillId="2" borderId="0" xfId="3" applyNumberFormat="1" applyFont="1" applyFill="1"/>
    <xf numFmtId="164" fontId="7" fillId="2" borderId="1" xfId="3" applyNumberFormat="1" applyFont="1" applyFill="1" applyBorder="1"/>
    <xf numFmtId="0" fontId="9" fillId="2" borderId="0" xfId="2" applyFont="1" applyFill="1" applyBorder="1" applyAlignment="1">
      <alignment horizontal="right" vertical="center"/>
    </xf>
    <xf numFmtId="0" fontId="9" fillId="2" borderId="2" xfId="2" applyFont="1" applyFill="1" applyBorder="1" applyAlignment="1">
      <alignment horizontal="right" vertical="center"/>
    </xf>
    <xf numFmtId="0" fontId="10" fillId="2" borderId="0" xfId="3" applyNumberFormat="1" applyFont="1" applyFill="1" applyBorder="1" applyAlignment="1">
      <alignment horizontal="right" vertical="center"/>
    </xf>
    <xf numFmtId="164" fontId="10" fillId="2" borderId="0" xfId="3" applyNumberFormat="1" applyFont="1" applyFill="1" applyBorder="1" applyAlignment="1">
      <alignment horizontal="right" vertical="center"/>
    </xf>
    <xf numFmtId="0" fontId="6" fillId="2" borderId="1" xfId="3" applyNumberFormat="1" applyFont="1" applyFill="1" applyBorder="1" applyAlignment="1">
      <alignment horizontal="right"/>
    </xf>
    <xf numFmtId="0" fontId="6" fillId="2" borderId="1" xfId="3" applyNumberFormat="1" applyFont="1" applyFill="1" applyBorder="1" applyAlignment="1">
      <alignment horizontal="right" vertical="center"/>
    </xf>
    <xf numFmtId="164" fontId="6" fillId="2" borderId="1" xfId="3" applyNumberFormat="1" applyFont="1" applyFill="1" applyBorder="1" applyAlignment="1">
      <alignment horizontal="right"/>
    </xf>
    <xf numFmtId="0" fontId="10" fillId="2" borderId="0" xfId="3" applyNumberFormat="1" applyFont="1" applyFill="1" applyBorder="1" applyAlignment="1">
      <alignment horizontal="center" vertical="center"/>
    </xf>
    <xf numFmtId="3" fontId="7" fillId="2" borderId="0" xfId="4" applyNumberFormat="1" applyFont="1" applyFill="1" applyBorder="1" applyAlignment="1">
      <alignment horizontal="right" vertical="center"/>
    </xf>
    <xf numFmtId="3" fontId="7" fillId="2" borderId="0" xfId="3" applyNumberFormat="1" applyFont="1" applyFill="1" applyBorder="1" applyAlignment="1">
      <alignment horizontal="right" vertical="center"/>
    </xf>
    <xf numFmtId="164" fontId="7" fillId="2" borderId="0" xfId="3" applyNumberFormat="1" applyFont="1" applyFill="1" applyBorder="1" applyAlignment="1">
      <alignment horizontal="right" vertical="center"/>
    </xf>
    <xf numFmtId="0" fontId="7" fillId="2" borderId="0" xfId="3" applyNumberFormat="1" applyFont="1" applyFill="1"/>
    <xf numFmtId="0" fontId="10" fillId="2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right" vertical="center"/>
    </xf>
    <xf numFmtId="0" fontId="10" fillId="2" borderId="1" xfId="0" applyNumberFormat="1" applyFont="1" applyFill="1" applyBorder="1" applyAlignment="1">
      <alignment horizontal="center"/>
    </xf>
    <xf numFmtId="3" fontId="7" fillId="2" borderId="1" xfId="4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11" fillId="2" borderId="0" xfId="3" applyNumberFormat="1" applyFont="1" applyFill="1" applyBorder="1"/>
    <xf numFmtId="0" fontId="11" fillId="2" borderId="0" xfId="3" applyNumberFormat="1" applyFont="1" applyFill="1" applyAlignment="1">
      <alignment horizontal="left"/>
    </xf>
    <xf numFmtId="0" fontId="11" fillId="2" borderId="0" xfId="3" applyNumberFormat="1" applyFont="1" applyFill="1"/>
    <xf numFmtId="164" fontId="11" fillId="2" borderId="0" xfId="3" applyNumberFormat="1" applyFont="1" applyFill="1"/>
    <xf numFmtId="0" fontId="12" fillId="2" borderId="0" xfId="3" applyNumberFormat="1" applyFont="1" applyFill="1"/>
    <xf numFmtId="164" fontId="13" fillId="2" borderId="0" xfId="3" applyNumberFormat="1" applyFont="1" applyFill="1" applyBorder="1" applyAlignment="1">
      <alignment horizontal="center" vertical="center" wrapText="1"/>
    </xf>
    <xf numFmtId="0" fontId="10" fillId="2" borderId="0" xfId="3" applyNumberFormat="1" applyFont="1" applyFill="1"/>
    <xf numFmtId="38" fontId="7" fillId="2" borderId="0" xfId="5" applyNumberFormat="1" applyFont="1" applyFill="1" applyBorder="1" applyAlignment="1">
      <alignment horizontal="right"/>
    </xf>
    <xf numFmtId="0" fontId="7" fillId="2" borderId="0" xfId="3" applyNumberFormat="1" applyFont="1" applyFill="1" applyBorder="1"/>
    <xf numFmtId="3" fontId="7" fillId="2" borderId="0" xfId="4" applyNumberFormat="1" applyFont="1" applyFill="1" applyBorder="1"/>
    <xf numFmtId="3" fontId="7" fillId="2" borderId="0" xfId="3" applyNumberFormat="1" applyFont="1" applyFill="1" applyBorder="1"/>
    <xf numFmtId="164" fontId="7" fillId="2" borderId="0" xfId="3" applyNumberFormat="1" applyFont="1" applyFill="1" applyAlignment="1">
      <alignment horizontal="center" vertical="center" wrapText="1"/>
    </xf>
    <xf numFmtId="0" fontId="13" fillId="2" borderId="0" xfId="3" applyNumberFormat="1" applyFont="1" applyFill="1" applyBorder="1" applyAlignment="1">
      <alignment horizontal="center" vertical="center" wrapText="1"/>
    </xf>
    <xf numFmtId="0" fontId="15" fillId="2" borderId="0" xfId="3" applyNumberFormat="1" applyFont="1" applyFill="1"/>
    <xf numFmtId="0" fontId="15" fillId="2" borderId="0" xfId="3" applyNumberFormat="1" applyFont="1" applyFill="1" applyBorder="1"/>
    <xf numFmtId="164" fontId="4" fillId="2" borderId="0" xfId="3" applyNumberFormat="1" applyFill="1" applyBorder="1"/>
    <xf numFmtId="3" fontId="15" fillId="2" borderId="0" xfId="4" applyNumberFormat="1" applyFont="1" applyFill="1" applyBorder="1"/>
    <xf numFmtId="3" fontId="15" fillId="2" borderId="0" xfId="3" applyNumberFormat="1" applyFont="1" applyFill="1" applyBorder="1"/>
    <xf numFmtId="38" fontId="7" fillId="2" borderId="0" xfId="5" applyNumberFormat="1" applyFont="1" applyFill="1" applyBorder="1"/>
    <xf numFmtId="165" fontId="7" fillId="2" borderId="0" xfId="1" applyNumberFormat="1" applyFont="1" applyFill="1" applyBorder="1"/>
    <xf numFmtId="165" fontId="7" fillId="2" borderId="0" xfId="1" applyNumberFormat="1" applyFont="1" applyFill="1" applyBorder="1" applyAlignment="1">
      <alignment horizontal="right"/>
    </xf>
    <xf numFmtId="38" fontId="7" fillId="2" borderId="0" xfId="3" applyNumberFormat="1" applyFont="1" applyFill="1" applyBorder="1"/>
    <xf numFmtId="164" fontId="4" fillId="2" borderId="0" xfId="3" applyNumberFormat="1" applyFill="1"/>
    <xf numFmtId="164" fontId="4" fillId="3" borderId="0" xfId="3" applyNumberFormat="1" applyFill="1"/>
    <xf numFmtId="164" fontId="10" fillId="3" borderId="0" xfId="3" applyNumberFormat="1" applyFont="1" applyFill="1" applyBorder="1" applyAlignment="1">
      <alignment horizontal="right" vertical="center"/>
    </xf>
    <xf numFmtId="0" fontId="16" fillId="2" borderId="0" xfId="2" applyFont="1" applyFill="1" applyBorder="1" applyAlignment="1">
      <alignment vertical="center"/>
    </xf>
    <xf numFmtId="164" fontId="6" fillId="3" borderId="1" xfId="3" applyNumberFormat="1" applyFont="1" applyFill="1" applyBorder="1" applyAlignment="1">
      <alignment horizontal="right"/>
    </xf>
    <xf numFmtId="0" fontId="10" fillId="3" borderId="0" xfId="0" applyNumberFormat="1" applyFont="1" applyFill="1" applyBorder="1" applyAlignment="1">
      <alignment horizontal="center"/>
    </xf>
    <xf numFmtId="3" fontId="7" fillId="3" borderId="0" xfId="4" applyNumberFormat="1" applyFont="1" applyFill="1" applyBorder="1" applyAlignment="1">
      <alignment horizontal="right" vertical="center"/>
    </xf>
    <xf numFmtId="0" fontId="10" fillId="3" borderId="1" xfId="0" applyNumberFormat="1" applyFont="1" applyFill="1" applyBorder="1" applyAlignment="1">
      <alignment horizontal="center"/>
    </xf>
    <xf numFmtId="3" fontId="7" fillId="3" borderId="1" xfId="4" applyNumberFormat="1" applyFont="1" applyFill="1" applyBorder="1" applyAlignment="1">
      <alignment horizontal="right" vertical="center"/>
    </xf>
    <xf numFmtId="0" fontId="6" fillId="2" borderId="2" xfId="3" applyNumberFormat="1" applyFont="1" applyFill="1" applyBorder="1" applyAlignment="1">
      <alignment horizontal="right" vertical="center"/>
    </xf>
    <xf numFmtId="0" fontId="9" fillId="2" borderId="1" xfId="2" applyFont="1" applyFill="1" applyBorder="1" applyAlignment="1">
      <alignment horizontal="right" vertical="center"/>
    </xf>
    <xf numFmtId="0" fontId="9" fillId="2" borderId="3" xfId="2" applyFont="1" applyFill="1" applyBorder="1" applyAlignment="1"/>
    <xf numFmtId="0" fontId="3" fillId="2" borderId="0" xfId="2" applyFont="1" applyFill="1" applyBorder="1" applyAlignment="1">
      <alignment horizontal="center" vertical="center" wrapText="1"/>
    </xf>
    <xf numFmtId="0" fontId="6" fillId="2" borderId="0" xfId="3" applyNumberFormat="1" applyFont="1" applyFill="1" applyBorder="1" applyAlignment="1">
      <alignment horizontal="center"/>
    </xf>
    <xf numFmtId="0" fontId="6" fillId="2" borderId="1" xfId="3" applyNumberFormat="1" applyFont="1" applyFill="1" applyBorder="1" applyAlignment="1">
      <alignment horizontal="center"/>
    </xf>
    <xf numFmtId="0" fontId="6" fillId="2" borderId="2" xfId="3" applyNumberFormat="1" applyFont="1" applyFill="1" applyBorder="1" applyAlignment="1">
      <alignment horizontal="center" vertical="center"/>
    </xf>
    <xf numFmtId="0" fontId="6" fillId="2" borderId="0" xfId="3" applyNumberFormat="1" applyFont="1" applyFill="1" applyBorder="1" applyAlignment="1">
      <alignment horizontal="center" vertical="center"/>
    </xf>
    <xf numFmtId="0" fontId="6" fillId="2" borderId="1" xfId="3" applyNumberFormat="1" applyFont="1" applyFill="1" applyBorder="1" applyAlignment="1">
      <alignment horizontal="center" vertical="center"/>
    </xf>
    <xf numFmtId="0" fontId="6" fillId="2" borderId="3" xfId="3" applyNumberFormat="1" applyFont="1" applyFill="1" applyBorder="1" applyAlignment="1">
      <alignment horizontal="center"/>
    </xf>
    <xf numFmtId="0" fontId="17" fillId="2" borderId="1" xfId="3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5"/>
    <cellStyle name="Comma 4" xfId="4"/>
    <cellStyle name="Normal" xfId="0" builtinId="0"/>
    <cellStyle name="Normal 4" xfId="3"/>
    <cellStyle name="Normal_IX-19(Trans &amp; Comm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11.16 International and National Communications, 2010-2012</a:t>
            </a:r>
          </a:p>
        </c:rich>
      </c:tx>
      <c:layout>
        <c:manualLayout>
          <c:xMode val="edge"/>
          <c:yMode val="edge"/>
          <c:x val="0.19761836975803371"/>
          <c:y val="4.4653948457785073E-2"/>
        </c:manualLayout>
      </c:layout>
    </c:title>
    <c:plotArea>
      <c:layout>
        <c:manualLayout>
          <c:layoutTarget val="inner"/>
          <c:xMode val="edge"/>
          <c:yMode val="edge"/>
          <c:x val="0.14622763658698443"/>
          <c:y val="0.15745728809921092"/>
          <c:w val="0.83055991347017966"/>
          <c:h val="0.64955271216097998"/>
        </c:manualLayout>
      </c:layout>
      <c:barChart>
        <c:barDir val="col"/>
        <c:grouping val="clustered"/>
        <c:ser>
          <c:idx val="0"/>
          <c:order val="0"/>
          <c:tx>
            <c:strRef>
              <c:f>'11.24'!$Z$31</c:f>
              <c:strCache>
                <c:ptCount val="1"/>
                <c:pt idx="0">
                  <c:v>2010</c:v>
                </c:pt>
              </c:strCache>
            </c:strRef>
          </c:tx>
          <c:cat>
            <c:strRef>
              <c:f>'11.24'!$AA$29:$AC$29</c:f>
              <c:strCache>
                <c:ptCount val="3"/>
                <c:pt idx="0">
                  <c:v>National Call Minutes in land line</c:v>
                </c:pt>
                <c:pt idx="1">
                  <c:v>Mobile call Minutes </c:v>
                </c:pt>
                <c:pt idx="2">
                  <c:v>International call minutes</c:v>
                </c:pt>
              </c:strCache>
            </c:strRef>
          </c:cat>
          <c:val>
            <c:numRef>
              <c:f>'11.24'!$AA$31:$AC$31</c:f>
              <c:numCache>
                <c:formatCode>#,##0_);[Red]\(#,##0\)</c:formatCode>
                <c:ptCount val="3"/>
                <c:pt idx="0">
                  <c:v>77503</c:v>
                </c:pt>
                <c:pt idx="1">
                  <c:v>1241516</c:v>
                </c:pt>
                <c:pt idx="2" formatCode="_(* #,##0_);_(* \(#,##0\);_(* &quot;-&quot;??_);_(@_)">
                  <c:v>135384</c:v>
                </c:pt>
              </c:numCache>
            </c:numRef>
          </c:val>
        </c:ser>
        <c:ser>
          <c:idx val="1"/>
          <c:order val="1"/>
          <c:tx>
            <c:strRef>
              <c:f>'11.24'!$Z$32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'11.24'!$AA$29:$AC$29</c:f>
              <c:strCache>
                <c:ptCount val="3"/>
                <c:pt idx="0">
                  <c:v>National Call Minutes in land line</c:v>
                </c:pt>
                <c:pt idx="1">
                  <c:v>Mobile call Minutes </c:v>
                </c:pt>
                <c:pt idx="2">
                  <c:v>International call minutes</c:v>
                </c:pt>
              </c:strCache>
            </c:strRef>
          </c:cat>
          <c:val>
            <c:numRef>
              <c:f>'11.24'!$AA$32:$AC$32</c:f>
              <c:numCache>
                <c:formatCode>#,##0_);[Red]\(#,##0\)</c:formatCode>
                <c:ptCount val="3"/>
                <c:pt idx="0" formatCode="#,##0">
                  <c:v>74888</c:v>
                </c:pt>
                <c:pt idx="1">
                  <c:v>1427762</c:v>
                </c:pt>
                <c:pt idx="2" formatCode="_(* #,##0_);_(* \(#,##0\);_(* &quot;-&quot;??_);_(@_)">
                  <c:v>110514</c:v>
                </c:pt>
              </c:numCache>
            </c:numRef>
          </c:val>
        </c:ser>
        <c:ser>
          <c:idx val="2"/>
          <c:order val="2"/>
          <c:tx>
            <c:strRef>
              <c:f>'11.24'!$Z$33</c:f>
              <c:strCache>
                <c:ptCount val="1"/>
                <c:pt idx="0">
                  <c:v>2012</c:v>
                </c:pt>
              </c:strCache>
            </c:strRef>
          </c:tx>
          <c:cat>
            <c:strRef>
              <c:f>'11.24'!$AA$29:$AC$29</c:f>
              <c:strCache>
                <c:ptCount val="3"/>
                <c:pt idx="0">
                  <c:v>National Call Minutes in land line</c:v>
                </c:pt>
                <c:pt idx="1">
                  <c:v>Mobile call Minutes </c:v>
                </c:pt>
                <c:pt idx="2">
                  <c:v>International call minutes</c:v>
                </c:pt>
              </c:strCache>
            </c:strRef>
          </c:cat>
          <c:val>
            <c:numRef>
              <c:f>'11.24'!$AA$33:$AC$33</c:f>
              <c:numCache>
                <c:formatCode>#,##0_);[Red]\(#,##0\)</c:formatCode>
                <c:ptCount val="3"/>
                <c:pt idx="0" formatCode="#,##0">
                  <c:v>71094</c:v>
                </c:pt>
                <c:pt idx="1">
                  <c:v>1470416.36</c:v>
                </c:pt>
                <c:pt idx="2" formatCode="_(* #,##0_);_(* \(#,##0\);_(* &quot;-&quot;??_);_(@_)">
                  <c:v>215643.99</c:v>
                </c:pt>
              </c:numCache>
            </c:numRef>
          </c:val>
        </c:ser>
        <c:axId val="71468160"/>
        <c:axId val="71470080"/>
      </c:barChart>
      <c:catAx>
        <c:axId val="71468160"/>
        <c:scaling>
          <c:orientation val="minMax"/>
        </c:scaling>
        <c:axPos val="b"/>
        <c:numFmt formatCode="General" sourceLinked="1"/>
        <c:majorTickMark val="none"/>
        <c:tickLblPos val="nextTo"/>
        <c:crossAx val="71470080"/>
        <c:crosses val="autoZero"/>
        <c:auto val="1"/>
        <c:lblAlgn val="ctr"/>
        <c:lblOffset val="100"/>
      </c:catAx>
      <c:valAx>
        <c:axId val="7147008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398763328425E-4"/>
              <c:y val="5.6722507002060982E-2"/>
            </c:manualLayout>
          </c:layout>
        </c:title>
        <c:numFmt formatCode="#,##0_);[Red]\(#,##0\)" sourceLinked="1"/>
        <c:tickLblPos val="nextTo"/>
        <c:crossAx val="714681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0966995267324"/>
          <c:y val="0.92796332750072907"/>
          <c:w val="0.51452621571909807"/>
          <c:h val="7.059601924759408E-2"/>
        </c:manualLayout>
      </c:layout>
    </c:legend>
    <c:plotVisOnly val="1"/>
    <c:dispBlanksAs val="gap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 b="1" i="0" u="none" strike="noStrike" baseline="0"/>
              <a:t>Figure 11.17: Number of </a:t>
            </a:r>
            <a:r>
              <a:rPr lang="en-US" sz="1100"/>
              <a:t>Outgoing SMS's , 2012</a:t>
            </a:r>
          </a:p>
        </c:rich>
      </c:tx>
      <c:layout>
        <c:manualLayout>
          <c:xMode val="edge"/>
          <c:yMode val="edge"/>
          <c:x val="0.28885224282182681"/>
          <c:y val="4.1958041958042008E-2"/>
        </c:manualLayout>
      </c:layout>
    </c:title>
    <c:plotArea>
      <c:layout>
        <c:manualLayout>
          <c:layoutTarget val="inner"/>
          <c:xMode val="edge"/>
          <c:yMode val="edge"/>
          <c:x val="0.11673562977576812"/>
          <c:y val="0.15742972808019245"/>
          <c:w val="0.85968725084530762"/>
          <c:h val="0.69007788624372024"/>
        </c:manualLayout>
      </c:layout>
      <c:barChart>
        <c:barDir val="col"/>
        <c:grouping val="clustered"/>
        <c:ser>
          <c:idx val="0"/>
          <c:order val="0"/>
          <c:tx>
            <c:strRef>
              <c:f>'11.24'!$AA$39:$AA$40</c:f>
              <c:strCache>
                <c:ptCount val="1"/>
                <c:pt idx="0">
                  <c:v>Outgoing SMS's  (in millions)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'11.24'!$Z$41:$Z$44</c:f>
              <c:numCache>
                <c:formatCode>General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'11.24'!$AA$41:$AA$44</c:f>
              <c:numCache>
                <c:formatCode>#,##0</c:formatCode>
                <c:ptCount val="4"/>
                <c:pt idx="0">
                  <c:v>73.355000000000004</c:v>
                </c:pt>
                <c:pt idx="1">
                  <c:v>93.718999999999994</c:v>
                </c:pt>
                <c:pt idx="2">
                  <c:v>370.17200000000003</c:v>
                </c:pt>
                <c:pt idx="3">
                  <c:v>442.66</c:v>
                </c:pt>
              </c:numCache>
            </c:numRef>
          </c:val>
        </c:ser>
        <c:ser>
          <c:idx val="1"/>
          <c:order val="1"/>
          <c:tx>
            <c:strRef>
              <c:f>'11.24'!$AB$39:$AB$40</c:f>
              <c:strCache>
                <c:ptCount val="1"/>
                <c:pt idx="0">
                  <c:v>Outgoing SMS's  (in 000s)</c:v>
                </c:pt>
              </c:strCache>
            </c:strRef>
          </c:tx>
          <c:cat>
            <c:numRef>
              <c:f>'11.24'!$Z$41:$Z$44</c:f>
              <c:numCache>
                <c:formatCode>General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'11.24'!$AB$41:$AB$44</c:f>
              <c:numCache>
                <c:formatCode>#,##0</c:formatCode>
                <c:ptCount val="4"/>
                <c:pt idx="0">
                  <c:v>73355</c:v>
                </c:pt>
                <c:pt idx="1">
                  <c:v>93719</c:v>
                </c:pt>
                <c:pt idx="2">
                  <c:v>370172</c:v>
                </c:pt>
                <c:pt idx="3">
                  <c:v>442660</c:v>
                </c:pt>
              </c:numCache>
            </c:numRef>
          </c:val>
        </c:ser>
        <c:axId val="92033408"/>
        <c:axId val="92034944"/>
      </c:barChart>
      <c:catAx>
        <c:axId val="92033408"/>
        <c:scaling>
          <c:orientation val="minMax"/>
        </c:scaling>
        <c:axPos val="b"/>
        <c:numFmt formatCode="General" sourceLinked="1"/>
        <c:tickLblPos val="nextTo"/>
        <c:crossAx val="92034944"/>
        <c:crosses val="autoZero"/>
        <c:auto val="1"/>
        <c:lblAlgn val="ctr"/>
        <c:lblOffset val="100"/>
      </c:catAx>
      <c:valAx>
        <c:axId val="92034944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millions</a:t>
                </a:r>
              </a:p>
            </c:rich>
          </c:tx>
          <c:layout>
            <c:manualLayout>
              <c:xMode val="edge"/>
              <c:yMode val="edge"/>
              <c:x val="2.365114560236516E-2"/>
              <c:y val="6.3559965827498371E-2"/>
            </c:manualLayout>
          </c:layout>
        </c:title>
        <c:numFmt formatCode="#,##0" sourceLinked="1"/>
        <c:tickLblPos val="nextTo"/>
        <c:crossAx val="920334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276226</xdr:colOff>
      <xdr:row>30</xdr:row>
      <xdr:rowOff>19050</xdr:rowOff>
    </xdr:from>
    <xdr:to>
      <xdr:col>6</xdr:col>
      <xdr:colOff>266701</xdr:colOff>
      <xdr:row>46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342899</xdr:colOff>
      <xdr:row>30</xdr:row>
      <xdr:rowOff>38101</xdr:rowOff>
    </xdr:from>
    <xdr:to>
      <xdr:col>11</xdr:col>
      <xdr:colOff>127000</xdr:colOff>
      <xdr:row>46</xdr:row>
      <xdr:rowOff>142876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62"/>
  <sheetViews>
    <sheetView tabSelected="1" topLeftCell="C19" workbookViewId="0">
      <selection activeCell="K27" sqref="K27"/>
    </sheetView>
  </sheetViews>
  <sheetFormatPr defaultRowHeight="12"/>
  <cols>
    <col min="1" max="1" width="11" style="45" customWidth="1"/>
    <col min="2" max="2" width="13.5703125" style="45" customWidth="1"/>
    <col min="3" max="3" width="11.140625" style="45" customWidth="1"/>
    <col min="4" max="4" width="12.5703125" style="45" customWidth="1"/>
    <col min="5" max="5" width="1.85546875" style="45" customWidth="1"/>
    <col min="6" max="6" width="22.5703125" style="45" customWidth="1"/>
    <col min="7" max="7" width="21" style="45" customWidth="1"/>
    <col min="8" max="8" width="17.85546875" style="45" customWidth="1"/>
    <col min="9" max="9" width="22.42578125" style="45" customWidth="1"/>
    <col min="10" max="11" width="9.140625" style="45"/>
    <col min="12" max="12" width="5" style="45" customWidth="1"/>
    <col min="13" max="16" width="16.85546875" style="45" customWidth="1"/>
    <col min="17" max="16384" width="9.140625" style="45"/>
  </cols>
  <sheetData>
    <row r="1" spans="1:15" s="1" customFormat="1" ht="19.5">
      <c r="A1" s="57" t="s">
        <v>0</v>
      </c>
      <c r="B1" s="57"/>
      <c r="C1" s="57"/>
      <c r="D1" s="57"/>
      <c r="E1" s="57"/>
      <c r="F1" s="57"/>
      <c r="G1" s="57"/>
      <c r="H1" s="57"/>
      <c r="I1" s="57"/>
    </row>
    <row r="2" spans="1:15" s="2" customFormat="1" ht="12.75">
      <c r="A2" s="58" t="s">
        <v>1</v>
      </c>
      <c r="B2" s="58"/>
      <c r="C2" s="58"/>
      <c r="D2" s="58"/>
      <c r="E2" s="58"/>
      <c r="F2" s="58"/>
      <c r="G2" s="58"/>
      <c r="H2" s="58"/>
      <c r="I2" s="58"/>
    </row>
    <row r="3" spans="1:15" s="4" customFormat="1" ht="15.75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3"/>
      <c r="K3" s="3"/>
      <c r="L3" s="3"/>
      <c r="M3" s="3"/>
      <c r="N3" s="3"/>
      <c r="O3" s="3"/>
    </row>
    <row r="4" spans="1:15" s="4" customFormat="1" ht="15.75">
      <c r="A4" s="60" t="s">
        <v>3</v>
      </c>
      <c r="B4" s="63" t="s">
        <v>4</v>
      </c>
      <c r="C4" s="63"/>
      <c r="D4" s="63"/>
      <c r="E4" s="63"/>
      <c r="F4" s="63"/>
      <c r="G4" s="56" t="s">
        <v>5</v>
      </c>
      <c r="H4" s="7" t="s">
        <v>6</v>
      </c>
      <c r="I4" s="54" t="s">
        <v>7</v>
      </c>
    </row>
    <row r="5" spans="1:15" s="4" customFormat="1" ht="15.75">
      <c r="A5" s="61"/>
      <c r="B5" s="64" t="s">
        <v>8</v>
      </c>
      <c r="C5" s="64"/>
      <c r="D5" s="64"/>
      <c r="E5" s="64"/>
      <c r="F5" s="64"/>
      <c r="G5" s="5"/>
      <c r="H5" s="55" t="s">
        <v>9</v>
      </c>
      <c r="I5" s="55" t="s">
        <v>10</v>
      </c>
    </row>
    <row r="6" spans="1:15" s="4" customFormat="1" ht="15.75">
      <c r="A6" s="61"/>
      <c r="B6" s="6" t="s">
        <v>11</v>
      </c>
      <c r="C6" s="6" t="s">
        <v>12</v>
      </c>
      <c r="D6" s="6" t="s">
        <v>13</v>
      </c>
      <c r="E6" s="6"/>
      <c r="F6" s="7" t="s">
        <v>14</v>
      </c>
      <c r="G6" s="6" t="s">
        <v>15</v>
      </c>
      <c r="H6" s="8" t="s">
        <v>16</v>
      </c>
      <c r="I6" s="9" t="s">
        <v>17</v>
      </c>
    </row>
    <row r="7" spans="1:15" s="4" customFormat="1" ht="12.75">
      <c r="A7" s="62"/>
      <c r="B7" s="10" t="s">
        <v>18</v>
      </c>
      <c r="C7" s="10" t="s">
        <v>19</v>
      </c>
      <c r="D7" s="10" t="s">
        <v>20</v>
      </c>
      <c r="E7" s="10"/>
      <c r="F7" s="10" t="s">
        <v>21</v>
      </c>
      <c r="G7" s="10" t="s">
        <v>22</v>
      </c>
      <c r="H7" s="11" t="s">
        <v>23</v>
      </c>
      <c r="I7" s="12" t="s">
        <v>24</v>
      </c>
    </row>
    <row r="8" spans="1:15" s="4" customFormat="1" ht="12.75">
      <c r="A8" s="13">
        <v>2001</v>
      </c>
      <c r="B8" s="14">
        <f>SUM(C8:F8)</f>
        <v>254435</v>
      </c>
      <c r="C8" s="14">
        <v>142170</v>
      </c>
      <c r="D8" s="14">
        <v>80169</v>
      </c>
      <c r="E8" s="14"/>
      <c r="F8" s="14">
        <v>32096</v>
      </c>
      <c r="G8" s="14">
        <v>21549</v>
      </c>
      <c r="H8" s="15">
        <v>7862</v>
      </c>
      <c r="I8" s="16" t="s">
        <v>25</v>
      </c>
    </row>
    <row r="9" spans="1:15" s="4" customFormat="1" ht="12.75">
      <c r="A9" s="13">
        <v>2002</v>
      </c>
      <c r="B9" s="14">
        <f t="shared" ref="B9:B18" si="0">SUM(C9:F9)</f>
        <v>224885</v>
      </c>
      <c r="C9" s="14">
        <v>112934</v>
      </c>
      <c r="D9" s="14">
        <v>64544</v>
      </c>
      <c r="E9" s="14"/>
      <c r="F9" s="14">
        <v>47407</v>
      </c>
      <c r="G9" s="14">
        <v>35134</v>
      </c>
      <c r="H9" s="15">
        <v>7016</v>
      </c>
      <c r="I9" s="16" t="s">
        <v>25</v>
      </c>
    </row>
    <row r="10" spans="1:15" s="4" customFormat="1" ht="12.75">
      <c r="A10" s="13">
        <v>2003</v>
      </c>
      <c r="B10" s="14">
        <f t="shared" si="0"/>
        <v>201065</v>
      </c>
      <c r="C10" s="14">
        <v>82384</v>
      </c>
      <c r="D10" s="14">
        <v>54541</v>
      </c>
      <c r="E10" s="14"/>
      <c r="F10" s="14">
        <v>64140</v>
      </c>
      <c r="G10" s="15">
        <v>33741</v>
      </c>
      <c r="H10" s="15">
        <v>7170</v>
      </c>
      <c r="I10" s="16" t="s">
        <v>25</v>
      </c>
    </row>
    <row r="11" spans="1:15" s="4" customFormat="1" ht="12.75">
      <c r="A11" s="13">
        <v>2004</v>
      </c>
      <c r="B11" s="14">
        <f t="shared" si="0"/>
        <v>191069</v>
      </c>
      <c r="C11" s="14">
        <v>65395</v>
      </c>
      <c r="D11" s="14">
        <v>43874</v>
      </c>
      <c r="E11" s="14"/>
      <c r="F11" s="14">
        <v>81800</v>
      </c>
      <c r="G11" s="15">
        <v>60492</v>
      </c>
      <c r="H11" s="15">
        <v>7870</v>
      </c>
      <c r="I11" s="16" t="s">
        <v>25</v>
      </c>
    </row>
    <row r="12" spans="1:15" s="4" customFormat="1" ht="12.75">
      <c r="A12" s="13">
        <v>2005</v>
      </c>
      <c r="B12" s="14">
        <f t="shared" si="0"/>
        <v>151155</v>
      </c>
      <c r="C12" s="14">
        <v>43247</v>
      </c>
      <c r="D12" s="14">
        <v>21527</v>
      </c>
      <c r="E12" s="14"/>
      <c r="F12" s="14">
        <v>86381</v>
      </c>
      <c r="G12" s="14">
        <v>136256</v>
      </c>
      <c r="H12" s="15">
        <v>8908</v>
      </c>
      <c r="I12" s="16" t="s">
        <v>25</v>
      </c>
    </row>
    <row r="13" spans="1:15" s="4" customFormat="1" ht="12.75">
      <c r="A13" s="13">
        <v>2006</v>
      </c>
      <c r="B13" s="14">
        <f t="shared" si="0"/>
        <v>123281</v>
      </c>
      <c r="C13" s="14">
        <v>30054</v>
      </c>
      <c r="D13" s="14">
        <v>14031</v>
      </c>
      <c r="E13" s="14"/>
      <c r="F13" s="14">
        <v>79196</v>
      </c>
      <c r="G13" s="14">
        <v>216318</v>
      </c>
      <c r="H13" s="15">
        <v>12037</v>
      </c>
      <c r="I13" s="16" t="s">
        <v>25</v>
      </c>
      <c r="J13" s="2"/>
      <c r="L13" s="17"/>
      <c r="M13" s="17"/>
      <c r="N13" s="17"/>
      <c r="O13" s="13"/>
    </row>
    <row r="14" spans="1:15" s="4" customFormat="1" ht="12.75">
      <c r="A14" s="13">
        <v>2007</v>
      </c>
      <c r="B14" s="14">
        <f t="shared" si="0"/>
        <v>122725</v>
      </c>
      <c r="C14" s="14">
        <v>25575</v>
      </c>
      <c r="D14" s="14">
        <v>11883</v>
      </c>
      <c r="E14" s="14"/>
      <c r="F14" s="14">
        <v>85267</v>
      </c>
      <c r="G14" s="14">
        <v>219839</v>
      </c>
      <c r="H14" s="15">
        <v>26991</v>
      </c>
      <c r="I14" s="16" t="s">
        <v>25</v>
      </c>
      <c r="J14" s="2"/>
    </row>
    <row r="15" spans="1:15" s="4" customFormat="1" ht="12.75">
      <c r="A15" s="13">
        <v>2008</v>
      </c>
      <c r="B15" s="14">
        <f t="shared" si="0"/>
        <v>95124</v>
      </c>
      <c r="C15" s="14">
        <v>19617</v>
      </c>
      <c r="D15" s="14">
        <v>10334</v>
      </c>
      <c r="E15" s="14"/>
      <c r="F15" s="14">
        <v>65173</v>
      </c>
      <c r="G15" s="14">
        <v>969281</v>
      </c>
      <c r="H15" s="15">
        <v>120906</v>
      </c>
      <c r="I15" s="14" t="s">
        <v>25</v>
      </c>
      <c r="J15" s="2"/>
    </row>
    <row r="16" spans="1:15" s="4" customFormat="1" ht="12.75">
      <c r="A16" s="18">
        <v>2009</v>
      </c>
      <c r="B16" s="14">
        <f t="shared" si="0"/>
        <v>86305</v>
      </c>
      <c r="C16" s="14">
        <v>18007</v>
      </c>
      <c r="D16" s="14">
        <v>9021</v>
      </c>
      <c r="E16" s="14"/>
      <c r="F16" s="14">
        <v>59277</v>
      </c>
      <c r="G16" s="14">
        <v>1165371</v>
      </c>
      <c r="H16" s="19">
        <v>140386</v>
      </c>
      <c r="I16" s="14">
        <v>73355</v>
      </c>
      <c r="J16" s="2"/>
    </row>
    <row r="17" spans="1:29" s="4" customFormat="1" ht="12.75">
      <c r="A17" s="18">
        <v>2010</v>
      </c>
      <c r="B17" s="14">
        <f t="shared" si="0"/>
        <v>77503</v>
      </c>
      <c r="C17" s="14">
        <v>16757</v>
      </c>
      <c r="D17" s="14">
        <v>8248</v>
      </c>
      <c r="E17" s="14"/>
      <c r="F17" s="14">
        <v>52498</v>
      </c>
      <c r="G17" s="14">
        <v>1241516</v>
      </c>
      <c r="H17" s="19">
        <v>135384</v>
      </c>
      <c r="I17" s="14">
        <v>93719</v>
      </c>
      <c r="J17" s="2"/>
    </row>
    <row r="18" spans="1:29" s="2" customFormat="1" ht="12.75">
      <c r="A18" s="18">
        <v>2011</v>
      </c>
      <c r="B18" s="14">
        <f t="shared" si="0"/>
        <v>74888</v>
      </c>
      <c r="C18" s="14">
        <v>15002</v>
      </c>
      <c r="D18" s="14">
        <v>8629</v>
      </c>
      <c r="E18" s="14"/>
      <c r="F18" s="14">
        <v>51257</v>
      </c>
      <c r="G18" s="14">
        <v>1427762</v>
      </c>
      <c r="H18" s="19">
        <v>110514</v>
      </c>
      <c r="I18" s="14" t="s">
        <v>26</v>
      </c>
    </row>
    <row r="19" spans="1:29" s="4" customFormat="1" ht="12.75">
      <c r="A19" s="20">
        <v>2012</v>
      </c>
      <c r="B19" s="21">
        <v>71094</v>
      </c>
      <c r="C19" s="21">
        <v>12881</v>
      </c>
      <c r="D19" s="21">
        <v>8152</v>
      </c>
      <c r="E19" s="21"/>
      <c r="F19" s="21">
        <v>50061</v>
      </c>
      <c r="G19" s="21">
        <v>1470416.36</v>
      </c>
      <c r="H19" s="22">
        <v>215643.99</v>
      </c>
      <c r="I19" s="21">
        <v>442660</v>
      </c>
      <c r="J19" s="2"/>
    </row>
    <row r="20" spans="1:29" s="26" customFormat="1" ht="12.75">
      <c r="A20" s="23" t="s">
        <v>27</v>
      </c>
      <c r="B20" s="24"/>
      <c r="C20" s="24"/>
      <c r="D20" s="24"/>
      <c r="E20" s="24"/>
      <c r="F20" s="25"/>
      <c r="G20" s="25"/>
      <c r="H20" s="25"/>
    </row>
    <row r="21" spans="1:29" s="26" customFormat="1" ht="12.75">
      <c r="A21" s="23" t="s">
        <v>28</v>
      </c>
      <c r="B21" s="24"/>
      <c r="C21" s="24"/>
      <c r="D21" s="24"/>
      <c r="E21" s="24"/>
      <c r="F21" s="25"/>
      <c r="G21" s="25"/>
      <c r="H21" s="25"/>
    </row>
    <row r="22" spans="1:29" s="4" customFormat="1" ht="12.75">
      <c r="A22" s="24" t="s">
        <v>29</v>
      </c>
      <c r="B22" s="17"/>
      <c r="C22" s="17"/>
      <c r="D22" s="17"/>
      <c r="E22" s="17"/>
      <c r="F22" s="17"/>
      <c r="G22" s="17"/>
      <c r="H22" s="17"/>
    </row>
    <row r="23" spans="1:29" s="4" customFormat="1" ht="12.75">
      <c r="A23" s="24" t="s">
        <v>30</v>
      </c>
      <c r="B23" s="17"/>
      <c r="C23" s="17"/>
      <c r="D23" s="17"/>
      <c r="E23" s="17"/>
      <c r="F23" s="17"/>
      <c r="G23" s="17"/>
      <c r="H23" s="17"/>
      <c r="I23" s="17"/>
    </row>
    <row r="24" spans="1:29" s="4" customFormat="1" ht="12.75">
      <c r="A24" s="27" t="s">
        <v>31</v>
      </c>
      <c r="B24" s="17"/>
      <c r="C24" s="17"/>
      <c r="D24" s="17"/>
      <c r="E24" s="17"/>
      <c r="F24" s="17"/>
      <c r="G24" s="17"/>
      <c r="H24" s="17"/>
      <c r="P24" s="28"/>
    </row>
    <row r="25" spans="1:29" s="4" customFormat="1" ht="12.75">
      <c r="A25" s="29" t="s">
        <v>32</v>
      </c>
      <c r="B25" s="17"/>
      <c r="C25" s="17"/>
      <c r="D25" s="17"/>
      <c r="E25" s="17"/>
      <c r="F25" s="17"/>
      <c r="G25" s="17"/>
      <c r="H25" s="17"/>
      <c r="P25" s="30"/>
    </row>
    <row r="26" spans="1:29" s="4" customFormat="1" ht="12.75">
      <c r="A26" s="29" t="s">
        <v>33</v>
      </c>
      <c r="B26" s="17"/>
      <c r="C26" s="17"/>
      <c r="D26" s="17"/>
      <c r="E26" s="17"/>
      <c r="F26" s="17"/>
      <c r="G26" s="17"/>
      <c r="H26" s="17"/>
      <c r="P26" s="30"/>
    </row>
    <row r="27" spans="1:29" s="4" customFormat="1" ht="12.75">
      <c r="A27" s="29" t="s">
        <v>34</v>
      </c>
      <c r="B27" s="17"/>
      <c r="C27" s="17"/>
      <c r="D27" s="17"/>
      <c r="E27" s="17"/>
      <c r="F27" s="17"/>
      <c r="G27" s="17"/>
      <c r="H27" s="17"/>
      <c r="P27" s="30"/>
    </row>
    <row r="28" spans="1:29" s="4" customFormat="1" ht="12.75">
      <c r="A28" s="29" t="s">
        <v>35</v>
      </c>
      <c r="B28" s="17"/>
      <c r="C28" s="17"/>
      <c r="D28" s="17"/>
      <c r="E28" s="17"/>
      <c r="F28" s="17"/>
      <c r="G28" s="17"/>
      <c r="H28" s="17"/>
      <c r="P28" s="2"/>
    </row>
    <row r="29" spans="1:29" s="4" customFormat="1" ht="12.75" customHeight="1">
      <c r="A29" s="29" t="s">
        <v>36</v>
      </c>
      <c r="B29" s="17"/>
      <c r="C29" s="17"/>
      <c r="D29" s="17"/>
      <c r="E29" s="17"/>
      <c r="F29" s="17"/>
      <c r="G29" s="17"/>
      <c r="H29" s="17"/>
      <c r="L29" s="31"/>
      <c r="M29" s="2"/>
      <c r="N29" s="32"/>
      <c r="O29" s="33"/>
      <c r="P29" s="2"/>
      <c r="Z29" s="34"/>
      <c r="AA29" s="35" t="s">
        <v>37</v>
      </c>
      <c r="AB29" s="35" t="s">
        <v>38</v>
      </c>
      <c r="AC29" s="35" t="s">
        <v>39</v>
      </c>
    </row>
    <row r="30" spans="1:29" s="4" customFormat="1" ht="12.75">
      <c r="A30" s="36"/>
      <c r="B30" s="36"/>
      <c r="C30" s="36"/>
      <c r="D30" s="36"/>
      <c r="E30" s="36"/>
      <c r="F30" s="36"/>
      <c r="G30" s="36"/>
      <c r="H30" s="36"/>
      <c r="L30" s="37"/>
      <c r="M30" s="38"/>
      <c r="N30" s="39"/>
      <c r="O30" s="40"/>
      <c r="P30" s="2"/>
      <c r="Z30" s="31">
        <v>2009</v>
      </c>
      <c r="AA30" s="41">
        <v>86305</v>
      </c>
      <c r="AB30" s="41">
        <v>1165371</v>
      </c>
      <c r="AC30" s="42">
        <v>140386</v>
      </c>
    </row>
    <row r="31" spans="1:29" s="4" customFormat="1" ht="12.75">
      <c r="B31" s="36"/>
      <c r="C31" s="36"/>
      <c r="D31" s="36"/>
      <c r="E31" s="36"/>
      <c r="F31" s="36"/>
      <c r="G31" s="36"/>
      <c r="H31" s="36"/>
      <c r="L31" s="37"/>
      <c r="M31" s="38"/>
      <c r="N31" s="39"/>
      <c r="O31" s="40"/>
      <c r="P31" s="2"/>
      <c r="Z31" s="31">
        <v>2010</v>
      </c>
      <c r="AA31" s="41">
        <v>77503</v>
      </c>
      <c r="AB31" s="30">
        <v>1241516</v>
      </c>
      <c r="AC31" s="42">
        <v>135384</v>
      </c>
    </row>
    <row r="32" spans="1:29" s="4" customFormat="1" ht="12.75">
      <c r="B32" s="36"/>
      <c r="C32" s="36"/>
      <c r="D32" s="36"/>
      <c r="E32" s="36"/>
      <c r="F32" s="36"/>
      <c r="G32" s="36"/>
      <c r="H32" s="36"/>
      <c r="Z32" s="31">
        <v>2011</v>
      </c>
      <c r="AA32" s="14">
        <v>74888</v>
      </c>
      <c r="AB32" s="30">
        <v>1427762</v>
      </c>
      <c r="AC32" s="43">
        <v>110514</v>
      </c>
    </row>
    <row r="33" spans="1:29" s="4" customFormat="1" ht="12.75">
      <c r="A33" s="17"/>
      <c r="B33" s="17"/>
      <c r="C33" s="17"/>
      <c r="D33" s="17"/>
      <c r="E33" s="17"/>
      <c r="F33" s="17"/>
      <c r="G33" s="17"/>
      <c r="H33" s="17"/>
      <c r="Z33" s="31">
        <v>2012</v>
      </c>
      <c r="AA33" s="21">
        <v>71094</v>
      </c>
      <c r="AB33" s="44">
        <v>1470416.36</v>
      </c>
      <c r="AC33" s="42">
        <v>215643.99</v>
      </c>
    </row>
    <row r="34" spans="1:29" s="4" customFormat="1" ht="12.75">
      <c r="F34" s="17"/>
      <c r="G34" s="45"/>
      <c r="H34" s="17"/>
    </row>
    <row r="35" spans="1:29" s="4" customFormat="1" ht="12.75">
      <c r="P35" s="45"/>
    </row>
    <row r="36" spans="1:29" ht="12.75">
      <c r="L36" s="4"/>
      <c r="M36" s="4"/>
      <c r="N36" s="4"/>
      <c r="O36" s="4"/>
    </row>
    <row r="37" spans="1:29" ht="12.75">
      <c r="L37" s="4"/>
      <c r="M37" s="4"/>
      <c r="N37" s="4"/>
      <c r="O37" s="4"/>
    </row>
    <row r="38" spans="1:29" ht="12.75">
      <c r="G38" s="38"/>
      <c r="H38" s="38"/>
      <c r="L38" s="4"/>
      <c r="M38" s="4"/>
      <c r="N38" s="4"/>
      <c r="O38" s="4"/>
    </row>
    <row r="39" spans="1:29" ht="12.75">
      <c r="G39" s="38"/>
      <c r="H39" s="38"/>
      <c r="I39" s="38"/>
      <c r="L39" s="4"/>
      <c r="M39" s="4"/>
      <c r="N39" s="4"/>
      <c r="O39" s="4"/>
      <c r="Z39" s="46"/>
      <c r="AA39" s="47" t="s">
        <v>17</v>
      </c>
      <c r="AB39" s="47" t="s">
        <v>17</v>
      </c>
    </row>
    <row r="40" spans="1:29" ht="15">
      <c r="G40" s="48"/>
      <c r="H40" s="48"/>
      <c r="I40" s="48"/>
      <c r="L40" s="4"/>
      <c r="M40" s="4"/>
      <c r="N40" s="4"/>
      <c r="O40" s="4"/>
      <c r="Z40" s="46"/>
      <c r="AA40" s="49" t="s">
        <v>40</v>
      </c>
      <c r="AB40" s="49" t="s">
        <v>24</v>
      </c>
    </row>
    <row r="41" spans="1:29" ht="12.75">
      <c r="I41" s="38"/>
      <c r="L41" s="4"/>
      <c r="M41" s="4"/>
      <c r="N41" s="4"/>
      <c r="O41" s="4"/>
      <c r="Z41" s="50">
        <v>2009</v>
      </c>
      <c r="AA41" s="51">
        <f>AB41/1000</f>
        <v>73.355000000000004</v>
      </c>
      <c r="AB41" s="51">
        <v>73355</v>
      </c>
    </row>
    <row r="42" spans="1:29" ht="12.75">
      <c r="L42" s="4"/>
      <c r="M42" s="4"/>
      <c r="N42" s="4"/>
      <c r="O42" s="4"/>
      <c r="Z42" s="50">
        <v>2010</v>
      </c>
      <c r="AA42" s="51">
        <f t="shared" ref="AA42:AA44" si="1">AB42/1000</f>
        <v>93.718999999999994</v>
      </c>
      <c r="AB42" s="51">
        <v>93719</v>
      </c>
    </row>
    <row r="43" spans="1:29" ht="12.75">
      <c r="L43" s="4"/>
      <c r="M43" s="4"/>
      <c r="N43" s="4"/>
      <c r="O43" s="4"/>
      <c r="Z43" s="50">
        <v>2011</v>
      </c>
      <c r="AA43" s="51">
        <f t="shared" si="1"/>
        <v>370.17200000000003</v>
      </c>
      <c r="AB43" s="51">
        <v>370172</v>
      </c>
    </row>
    <row r="44" spans="1:29" ht="12.75">
      <c r="L44" s="4"/>
      <c r="M44" s="4"/>
      <c r="N44" s="4"/>
      <c r="O44" s="4"/>
      <c r="P44" s="38"/>
      <c r="Z44" s="52">
        <v>2012</v>
      </c>
      <c r="AA44" s="51">
        <f t="shared" si="1"/>
        <v>442.66</v>
      </c>
      <c r="AB44" s="53">
        <v>442660</v>
      </c>
    </row>
    <row r="45" spans="1:29" ht="12.75">
      <c r="L45" s="4"/>
      <c r="M45" s="4"/>
      <c r="N45" s="4"/>
      <c r="O45" s="4"/>
    </row>
    <row r="46" spans="1:29" ht="12.75">
      <c r="L46" s="4"/>
      <c r="M46" s="4"/>
      <c r="N46" s="4"/>
      <c r="O46" s="4"/>
    </row>
    <row r="47" spans="1:29" ht="12.75">
      <c r="L47" s="4"/>
      <c r="M47" s="4"/>
      <c r="N47" s="4"/>
      <c r="O47" s="4"/>
    </row>
    <row r="48" spans="1:29" ht="12.75">
      <c r="L48" s="4"/>
      <c r="M48" s="4"/>
      <c r="N48" s="4"/>
      <c r="O48" s="4"/>
    </row>
    <row r="49" spans="4:15" ht="12.75">
      <c r="L49" s="4"/>
      <c r="M49" s="4"/>
      <c r="N49" s="4"/>
      <c r="O49" s="4"/>
    </row>
    <row r="61" spans="4:15">
      <c r="D61" s="38"/>
      <c r="E61" s="38"/>
      <c r="F61" s="38"/>
      <c r="G61" s="38"/>
      <c r="H61" s="38"/>
      <c r="I61" s="38"/>
    </row>
    <row r="62" spans="4:15">
      <c r="D62" s="38"/>
      <c r="E62" s="38"/>
      <c r="F62" s="38"/>
      <c r="G62" s="38"/>
      <c r="H62" s="38"/>
      <c r="I62" s="38"/>
    </row>
  </sheetData>
  <mergeCells count="6">
    <mergeCell ref="A1:I1"/>
    <mergeCell ref="A2:I2"/>
    <mergeCell ref="A3:I3"/>
    <mergeCell ref="A4:A7"/>
    <mergeCell ref="B4:F4"/>
    <mergeCell ref="B5:F5"/>
  </mergeCells>
  <pageMargins left="0.37" right="0.18" top="0.42" bottom="0.44" header="0.3" footer="0.3"/>
  <pageSetup paperSize="9" scale="90" orientation="landscape" r:id="rId1"/>
  <colBreaks count="1" manualBreakCount="1">
    <brk id="12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11.24</vt:lpstr>
      <vt:lpstr>'11.24'!Print_Area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2013-07-11T04:10:35Z</cp:lastPrinted>
  <dcterms:created xsi:type="dcterms:W3CDTF">2013-07-08T06:40:35Z</dcterms:created>
  <dcterms:modified xsi:type="dcterms:W3CDTF">2013-07-11T04:11:29Z</dcterms:modified>
</cp:coreProperties>
</file>