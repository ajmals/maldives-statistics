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12" sheetId="14" r:id="rId1"/>
  </sheets>
  <definedNames>
    <definedName name="_xlnm.Print_Area" localSheetId="0">'11.12'!$A$1:$F$65</definedName>
  </definedNames>
  <calcPr calcId="124519"/>
</workbook>
</file>

<file path=xl/calcChain.xml><?xml version="1.0" encoding="utf-8"?>
<calcChain xmlns="http://schemas.openxmlformats.org/spreadsheetml/2006/main">
  <c r="E7" i="14"/>
  <c r="D7"/>
  <c r="C7"/>
  <c r="B7"/>
</calcChain>
</file>

<file path=xl/sharedStrings.xml><?xml version="1.0" encoding="utf-8"?>
<sst xmlns="http://schemas.openxmlformats.org/spreadsheetml/2006/main" count="83" uniqueCount="46">
  <si>
    <t>Total</t>
  </si>
  <si>
    <t>Arrival</t>
  </si>
  <si>
    <t>International Flights</t>
  </si>
  <si>
    <t>Source: Civil Aviation Authority</t>
  </si>
  <si>
    <t>Month</t>
  </si>
  <si>
    <t>Domestic Flights</t>
  </si>
  <si>
    <t>Departure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</si>
  <si>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</si>
  <si>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</si>
  <si>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</si>
  <si>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</si>
  <si>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</si>
  <si>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</si>
  <si>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</si>
  <si>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</si>
  <si>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</si>
  <si>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</si>
  <si>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</si>
  <si>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</si>
  <si>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ތާވަލް 11.12: މަސްމަހުގެ ގޮތުން ބައިނަލްއަޤްވާމީ ވައިގެ ބަނދަރުގައި ފަސިންޖަރުންގެ ދަތުރުފަތުރު ހުރިގޮތް، 2012</t>
  </si>
  <si>
    <t>international</t>
  </si>
  <si>
    <t>Jan</t>
  </si>
  <si>
    <t>Feb</t>
  </si>
  <si>
    <t>Aug</t>
  </si>
  <si>
    <t>Sep</t>
  </si>
  <si>
    <t>Oct</t>
  </si>
  <si>
    <t>Nov</t>
  </si>
  <si>
    <t>Dec</t>
  </si>
  <si>
    <t>Domestic</t>
  </si>
  <si>
    <t>International</t>
  </si>
  <si>
    <t>Table  11.12 :  PASSENGER MOVEMENT AT IBRAHIM NASIR INTERNATIONAL AIRPORT BY MONTH, 2012</t>
  </si>
  <si>
    <t>މައުލޫމާތު ދެއްވީ: ސިވިލް އޭވިއޭޝަން އޮތޯރިޓީ</t>
  </si>
  <si>
    <t>cswm</t>
  </si>
  <si>
    <t>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</si>
  <si>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</si>
  <si>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</si>
  <si>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</si>
  <si>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</si>
  <si>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</si>
  <si>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</si>
  <si>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</si>
  <si>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</si>
  <si>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rwbcmeTcpes</t>
  </si>
  <si>
    <t>rwbUTckoa</t>
  </si>
  <si>
    <t>rwbcmevon</t>
  </si>
  <si>
    <t>rwbcmesiD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</si>
</sst>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sz val="10"/>
      <name val="Garamond"/>
      <family val="1"/>
    </font>
    <font>
      <b/>
      <sz val="11"/>
      <color theme="1"/>
      <name val="Faruma"/>
    </font>
    <font>
      <b/>
      <sz val="10"/>
      <name val="A_Randhoo"/>
    </font>
    <font>
      <sz val="10"/>
      <name val="A_Randhoo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theme="0"/>
      </top>
      <bottom/>
      <diagonal/>
    </border>
  </borders>
  <cellStyleXfs count="1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4" fillId="0" borderId="0"/>
    <xf numFmtId="0" fontId="1" fillId="0" borderId="0"/>
    <xf numFmtId="0" fontId="4" fillId="0" borderId="0"/>
    <xf numFmtId="164" fontId="10" fillId="0" borderId="0"/>
    <xf numFmtId="40" fontId="2" fillId="0" borderId="0" applyFont="0" applyFill="0" applyBorder="0" applyAlignment="0" applyProtection="0"/>
    <xf numFmtId="166" fontId="10" fillId="0" borderId="0"/>
    <xf numFmtId="165" fontId="10" fillId="0" borderId="0" applyFont="0" applyFill="0" applyBorder="0" applyAlignment="0" applyProtection="0"/>
    <xf numFmtId="166" fontId="10" fillId="0" borderId="0"/>
    <xf numFmtId="164" fontId="10" fillId="0" borderId="0"/>
    <xf numFmtId="0" fontId="4" fillId="0" borderId="0"/>
    <xf numFmtId="0" fontId="13" fillId="0" borderId="0"/>
  </cellStyleXfs>
  <cellXfs count="53">
    <xf numFmtId="0" fontId="0" fillId="0" borderId="0" xfId="0"/>
    <xf numFmtId="164" fontId="0" fillId="2" borderId="0" xfId="0" applyNumberFormat="1" applyFill="1" applyBorder="1"/>
    <xf numFmtId="164" fontId="0" fillId="2" borderId="0" xfId="0" applyNumberFormat="1" applyFill="1"/>
    <xf numFmtId="0" fontId="9" fillId="2" borderId="1" xfId="0" applyNumberFormat="1" applyFont="1" applyFill="1" applyBorder="1" applyAlignment="1">
      <alignment horizontal="right" vertical="center"/>
    </xf>
    <xf numFmtId="0" fontId="14" fillId="2" borderId="9" xfId="0" applyNumberFormat="1" applyFont="1" applyFill="1" applyBorder="1" applyAlignment="1"/>
    <xf numFmtId="0" fontId="14" fillId="2" borderId="4" xfId="0" applyNumberFormat="1" applyFont="1" applyFill="1" applyBorder="1" applyAlignment="1"/>
    <xf numFmtId="164" fontId="6" fillId="2" borderId="0" xfId="11" applyNumberFormat="1" applyFont="1" applyFill="1" applyBorder="1" applyAlignment="1" applyProtection="1">
      <alignment horizontal="left" vertical="center"/>
    </xf>
    <xf numFmtId="164" fontId="6" fillId="2" borderId="3" xfId="11" applyNumberFormat="1" applyFont="1" applyFill="1" applyBorder="1" applyAlignment="1" applyProtection="1">
      <alignment horizontal="right" vertical="center"/>
    </xf>
    <xf numFmtId="38" fontId="5" fillId="2" borderId="0" xfId="7" applyNumberFormat="1" applyFont="1" applyFill="1" applyBorder="1" applyAlignment="1">
      <alignment horizontal="right" vertical="center" wrapText="1"/>
    </xf>
    <xf numFmtId="164" fontId="12" fillId="2" borderId="0" xfId="11" applyNumberFormat="1" applyFont="1" applyFill="1" applyAlignment="1" applyProtection="1">
      <alignment horizontal="left" vertical="center"/>
    </xf>
    <xf numFmtId="37" fontId="8" fillId="2" borderId="0" xfId="11" applyNumberFormat="1" applyFont="1" applyFill="1" applyAlignment="1" applyProtection="1">
      <alignment vertical="center"/>
    </xf>
    <xf numFmtId="0" fontId="7" fillId="2" borderId="0" xfId="12" applyFont="1" applyFill="1" applyAlignment="1">
      <alignment vertical="center"/>
    </xf>
    <xf numFmtId="3" fontId="6" fillId="2" borderId="0" xfId="11" applyNumberFormat="1" applyFont="1" applyFill="1" applyBorder="1" applyAlignment="1" applyProtection="1">
      <alignment horizontal="right" vertical="center"/>
    </xf>
    <xf numFmtId="3" fontId="8" fillId="2" borderId="0" xfId="11" applyNumberFormat="1" applyFont="1" applyFill="1" applyBorder="1" applyAlignment="1" applyProtection="1">
      <alignment horizontal="right" vertical="center"/>
      <protection locked="0"/>
    </xf>
    <xf numFmtId="3" fontId="8" fillId="2" borderId="3" xfId="11" applyNumberFormat="1" applyFont="1" applyFill="1" applyBorder="1" applyAlignment="1" applyProtection="1">
      <alignment horizontal="right" vertical="center"/>
      <protection locked="0"/>
    </xf>
    <xf numFmtId="164" fontId="8" fillId="2" borderId="0" xfId="11" applyNumberFormat="1" applyFont="1" applyFill="1" applyBorder="1" applyAlignment="1" applyProtection="1">
      <alignment horizontal="left" vertical="center"/>
    </xf>
    <xf numFmtId="164" fontId="8" fillId="2" borderId="3" xfId="11" applyNumberFormat="1" applyFont="1" applyFill="1" applyBorder="1" applyAlignment="1" applyProtection="1">
      <alignment horizontal="left" vertical="center"/>
    </xf>
    <xf numFmtId="3" fontId="6" fillId="2" borderId="2" xfId="11" applyNumberFormat="1" applyFont="1" applyFill="1" applyBorder="1" applyAlignment="1" applyProtection="1">
      <alignment horizontal="right" vertical="center"/>
    </xf>
    <xf numFmtId="164" fontId="0" fillId="3" borderId="0" xfId="0" applyNumberFormat="1" applyFill="1"/>
    <xf numFmtId="164" fontId="6" fillId="3" borderId="8" xfId="11" applyNumberFormat="1" applyFont="1" applyFill="1" applyBorder="1" applyAlignment="1" applyProtection="1">
      <alignment horizontal="right" vertical="center"/>
    </xf>
    <xf numFmtId="164" fontId="6" fillId="3" borderId="3" xfId="11" applyNumberFormat="1" applyFont="1" applyFill="1" applyBorder="1" applyAlignment="1" applyProtection="1">
      <alignment horizontal="right" vertical="center"/>
    </xf>
    <xf numFmtId="164" fontId="8" fillId="3" borderId="0" xfId="11" applyNumberFormat="1" applyFont="1" applyFill="1" applyBorder="1" applyAlignment="1" applyProtection="1">
      <alignment horizontal="left" vertical="center"/>
    </xf>
    <xf numFmtId="3" fontId="8" fillId="3" borderId="7" xfId="12" applyNumberFormat="1" applyFont="1" applyFill="1" applyBorder="1" applyAlignment="1">
      <alignment horizontal="right" vertical="center"/>
    </xf>
    <xf numFmtId="3" fontId="8" fillId="3" borderId="0" xfId="11" applyNumberFormat="1" applyFont="1" applyFill="1" applyBorder="1" applyAlignment="1" applyProtection="1">
      <alignment horizontal="right" vertical="center"/>
      <protection locked="0"/>
    </xf>
    <xf numFmtId="3" fontId="12" fillId="3" borderId="7" xfId="12" applyNumberFormat="1" applyFont="1" applyFill="1" applyBorder="1" applyAlignment="1">
      <alignment horizontal="right" vertical="center"/>
    </xf>
    <xf numFmtId="3" fontId="8" fillId="3" borderId="7" xfId="12" applyNumberFormat="1" applyFont="1" applyFill="1" applyBorder="1" applyAlignment="1" applyProtection="1">
      <alignment horizontal="right" vertical="center" wrapText="1"/>
    </xf>
    <xf numFmtId="3" fontId="8" fillId="3" borderId="7" xfId="12" applyNumberFormat="1" applyFont="1" applyFill="1" applyBorder="1" applyAlignment="1" applyProtection="1">
      <alignment horizontal="right" vertical="center"/>
    </xf>
    <xf numFmtId="164" fontId="8" fillId="3" borderId="3" xfId="11" applyNumberFormat="1" applyFont="1" applyFill="1" applyBorder="1" applyAlignment="1" applyProtection="1">
      <alignment horizontal="left" vertical="center"/>
    </xf>
    <xf numFmtId="3" fontId="8" fillId="3" borderId="8" xfId="12" applyNumberFormat="1" applyFont="1" applyFill="1" applyBorder="1" applyAlignment="1">
      <alignment horizontal="right" vertical="center"/>
    </xf>
    <xf numFmtId="3" fontId="8" fillId="3" borderId="3" xfId="11" applyNumberFormat="1" applyFont="1" applyFill="1" applyBorder="1" applyAlignment="1" applyProtection="1">
      <alignment horizontal="right" vertical="center"/>
      <protection locked="0"/>
    </xf>
    <xf numFmtId="3" fontId="8" fillId="3" borderId="7" xfId="11" applyNumberFormat="1" applyFont="1" applyFill="1" applyBorder="1" applyAlignment="1" applyProtection="1">
      <alignment horizontal="right" vertical="center"/>
      <protection locked="0"/>
    </xf>
    <xf numFmtId="3" fontId="8" fillId="3" borderId="8" xfId="11" applyNumberFormat="1" applyFont="1" applyFill="1" applyBorder="1" applyAlignment="1" applyProtection="1">
      <alignment horizontal="right" vertical="center"/>
      <protection locked="0"/>
    </xf>
    <xf numFmtId="3" fontId="8" fillId="2" borderId="0" xfId="12" applyNumberFormat="1" applyFont="1" applyFill="1" applyBorder="1" applyAlignment="1">
      <alignment horizontal="right" vertical="center"/>
    </xf>
    <xf numFmtId="3" fontId="12" fillId="2" borderId="0" xfId="12" applyNumberFormat="1" applyFont="1" applyFill="1" applyBorder="1" applyAlignment="1">
      <alignment horizontal="right" vertical="center"/>
    </xf>
    <xf numFmtId="3" fontId="8" fillId="2" borderId="0" xfId="12" applyNumberFormat="1" applyFont="1" applyFill="1" applyBorder="1" applyAlignment="1" applyProtection="1">
      <alignment horizontal="right" vertical="center" wrapText="1"/>
    </xf>
    <xf numFmtId="3" fontId="8" fillId="2" borderId="0" xfId="12" applyNumberFormat="1" applyFont="1" applyFill="1" applyBorder="1" applyAlignment="1" applyProtection="1">
      <alignment horizontal="right" vertical="center"/>
    </xf>
    <xf numFmtId="3" fontId="8" fillId="2" borderId="3" xfId="12" applyNumberFormat="1" applyFont="1" applyFill="1" applyBorder="1" applyAlignment="1">
      <alignment horizontal="right" vertical="center"/>
    </xf>
    <xf numFmtId="164" fontId="6" fillId="2" borderId="11" xfId="11" applyNumberFormat="1" applyFont="1" applyFill="1" applyBorder="1" applyAlignment="1" applyProtection="1">
      <alignment horizontal="right" vertical="center"/>
    </xf>
    <xf numFmtId="3" fontId="6" fillId="2" borderId="12" xfId="11" applyNumberFormat="1" applyFont="1" applyFill="1" applyBorder="1" applyAlignment="1" applyProtection="1">
      <alignment horizontal="right" vertical="center"/>
    </xf>
    <xf numFmtId="3" fontId="8" fillId="2" borderId="12" xfId="11" applyNumberFormat="1" applyFont="1" applyFill="1" applyBorder="1" applyAlignment="1" applyProtection="1">
      <alignment horizontal="right" vertical="center"/>
      <protection locked="0"/>
    </xf>
    <xf numFmtId="3" fontId="8" fillId="2" borderId="11" xfId="11" applyNumberFormat="1" applyFont="1" applyFill="1" applyBorder="1" applyAlignment="1" applyProtection="1">
      <alignment horizontal="right" vertical="center"/>
      <protection locked="0"/>
    </xf>
    <xf numFmtId="0" fontId="15" fillId="2" borderId="0" xfId="13" applyFont="1" applyFill="1" applyBorder="1" applyAlignment="1">
      <alignment horizontal="right"/>
    </xf>
    <xf numFmtId="0" fontId="16" fillId="2" borderId="0" xfId="13" applyFont="1" applyFill="1" applyBorder="1" applyAlignment="1">
      <alignment horizontal="right"/>
    </xf>
    <xf numFmtId="0" fontId="16" fillId="2" borderId="3" xfId="13" applyFont="1" applyFill="1" applyBorder="1" applyAlignment="1">
      <alignment horizontal="right"/>
    </xf>
    <xf numFmtId="164" fontId="5" fillId="2" borderId="2" xfId="11" applyNumberFormat="1" applyFont="1" applyFill="1" applyBorder="1" applyAlignment="1" applyProtection="1">
      <alignment horizontal="left" vertical="center"/>
    </xf>
    <xf numFmtId="164" fontId="5" fillId="2" borderId="3" xfId="11" applyNumberFormat="1" applyFont="1" applyFill="1" applyBorder="1" applyAlignment="1" applyProtection="1">
      <alignment horizontal="left" vertical="center"/>
    </xf>
    <xf numFmtId="164" fontId="6" fillId="2" borderId="6" xfId="11" applyNumberFormat="1" applyFont="1" applyFill="1" applyBorder="1" applyAlignment="1" applyProtection="1">
      <alignment horizontal="center" vertical="center"/>
    </xf>
    <xf numFmtId="164" fontId="6" fillId="2" borderId="10" xfId="11" applyNumberFormat="1" applyFont="1" applyFill="1" applyBorder="1" applyAlignment="1" applyProtection="1">
      <alignment horizontal="center" vertical="center"/>
    </xf>
    <xf numFmtId="0" fontId="14" fillId="2" borderId="5" xfId="0" applyNumberFormat="1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164" fontId="17" fillId="2" borderId="13" xfId="11" applyNumberFormat="1" applyFont="1" applyFill="1" applyBorder="1" applyAlignment="1" applyProtection="1">
      <alignment horizontal="center" vertical="top"/>
    </xf>
    <xf numFmtId="0" fontId="15" fillId="2" borderId="2" xfId="13" applyFont="1" applyFill="1" applyBorder="1" applyAlignment="1">
      <alignment horizontal="right" vertical="center"/>
    </xf>
    <xf numFmtId="0" fontId="15" fillId="2" borderId="3" xfId="13" applyFont="1" applyFill="1" applyBorder="1" applyAlignment="1">
      <alignment horizontal="right" vertical="center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6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/>
            </a:pPr>
            <a:r>
              <a:rPr lang="en-US" sz="900"/>
              <a:t>Figure 11.7: Passanger movement by </a:t>
            </a:r>
            <a:r>
              <a:rPr lang="en-US" sz="1050"/>
              <a:t>international</a:t>
            </a:r>
            <a:r>
              <a:rPr lang="en-US" sz="900"/>
              <a:t> flights, at Ibrahim Nasir International Airport, 2012</a:t>
            </a:r>
          </a:p>
        </c:rich>
      </c:tx>
      <c:layout>
        <c:manualLayout>
          <c:xMode val="edge"/>
          <c:yMode val="edge"/>
          <c:x val="0.17516391241041016"/>
          <c:y val="3.7037037037037056E-2"/>
        </c:manualLayout>
      </c:layout>
    </c:title>
    <c:plotArea>
      <c:layout>
        <c:manualLayout>
          <c:layoutTarget val="inner"/>
          <c:xMode val="edge"/>
          <c:yMode val="edge"/>
          <c:x val="0.12259771837317462"/>
          <c:y val="0.18038203557888596"/>
          <c:w val="0.85283497552034004"/>
          <c:h val="0.69239173228346473"/>
        </c:manualLayout>
      </c:layout>
      <c:barChart>
        <c:barDir val="col"/>
        <c:grouping val="clustered"/>
        <c:ser>
          <c:idx val="0"/>
          <c:order val="0"/>
          <c:tx>
            <c:strRef>
              <c:f>'11.12'!$X$6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'11.12'!$W$7:$W$18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'11.12'!$X$7:$X$18</c:f>
              <c:numCache>
                <c:formatCode>#,##0</c:formatCode>
                <c:ptCount val="12"/>
                <c:pt idx="0">
                  <c:v>116170</c:v>
                </c:pt>
                <c:pt idx="1">
                  <c:v>95199</c:v>
                </c:pt>
                <c:pt idx="2">
                  <c:v>92845</c:v>
                </c:pt>
                <c:pt idx="3">
                  <c:v>94441</c:v>
                </c:pt>
                <c:pt idx="4">
                  <c:v>79820</c:v>
                </c:pt>
                <c:pt idx="5">
                  <c:v>81435</c:v>
                </c:pt>
                <c:pt idx="6">
                  <c:v>94503</c:v>
                </c:pt>
                <c:pt idx="7">
                  <c:v>94311</c:v>
                </c:pt>
                <c:pt idx="8">
                  <c:v>92974</c:v>
                </c:pt>
                <c:pt idx="9">
                  <c:v>108080</c:v>
                </c:pt>
                <c:pt idx="10">
                  <c:v>97369</c:v>
                </c:pt>
                <c:pt idx="11">
                  <c:v>118548</c:v>
                </c:pt>
              </c:numCache>
            </c:numRef>
          </c:val>
        </c:ser>
        <c:ser>
          <c:idx val="1"/>
          <c:order val="1"/>
          <c:tx>
            <c:strRef>
              <c:f>'11.12'!$Y$6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'11.12'!$W$7:$W$18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'11.12'!$Y$7:$Y$18</c:f>
              <c:numCache>
                <c:formatCode>#,##0</c:formatCode>
                <c:ptCount val="12"/>
                <c:pt idx="0">
                  <c:v>116317</c:v>
                </c:pt>
                <c:pt idx="1">
                  <c:v>99418</c:v>
                </c:pt>
                <c:pt idx="2">
                  <c:v>96340</c:v>
                </c:pt>
                <c:pt idx="3">
                  <c:v>95446</c:v>
                </c:pt>
                <c:pt idx="4">
                  <c:v>89159</c:v>
                </c:pt>
                <c:pt idx="5">
                  <c:v>77317</c:v>
                </c:pt>
                <c:pt idx="6">
                  <c:v>90950</c:v>
                </c:pt>
                <c:pt idx="7">
                  <c:v>98141</c:v>
                </c:pt>
                <c:pt idx="8">
                  <c:v>89577</c:v>
                </c:pt>
                <c:pt idx="9">
                  <c:v>108798</c:v>
                </c:pt>
                <c:pt idx="10">
                  <c:v>108038</c:v>
                </c:pt>
                <c:pt idx="11">
                  <c:v>112134</c:v>
                </c:pt>
              </c:numCache>
            </c:numRef>
          </c:val>
        </c:ser>
        <c:axId val="53644288"/>
        <c:axId val="54785152"/>
      </c:barChart>
      <c:catAx>
        <c:axId val="53644288"/>
        <c:scaling>
          <c:orientation val="minMax"/>
        </c:scaling>
        <c:axPos val="b"/>
        <c:tickLblPos val="nextTo"/>
        <c:crossAx val="54785152"/>
        <c:crosses val="autoZero"/>
        <c:auto val="1"/>
        <c:lblAlgn val="ctr"/>
        <c:lblOffset val="100"/>
      </c:catAx>
      <c:valAx>
        <c:axId val="5478515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7.5801655852264452E-3"/>
              <c:y val="5.6063721201516502E-2"/>
            </c:manualLayout>
          </c:layout>
        </c:title>
        <c:numFmt formatCode="#,##0" sourceLinked="1"/>
        <c:tickLblPos val="nextTo"/>
        <c:crossAx val="536442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52434291803697031"/>
          <c:y val="0.19869021580635754"/>
          <c:w val="0.28091798569053367"/>
          <c:h val="6.0569043452901733E-2"/>
        </c:manualLayout>
      </c:layout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 b="1" i="0" u="none" strike="noStrike" baseline="0"/>
              <a:t>Figure 11.8: </a:t>
            </a:r>
            <a:r>
              <a:rPr lang="en-US" sz="1050" b="1" i="0" baseline="0"/>
              <a:t>Passanger movement by domestic  flights, at Ibrahim Naisr International Airport, 2012</a:t>
            </a:r>
            <a:endParaRPr lang="en-US" sz="1050"/>
          </a:p>
        </c:rich>
      </c:tx>
      <c:layout>
        <c:manualLayout>
          <c:xMode val="edge"/>
          <c:yMode val="edge"/>
          <c:x val="0.1658955223880596"/>
          <c:y val="3.7037037037037056E-2"/>
        </c:manualLayout>
      </c:layout>
    </c:title>
    <c:plotArea>
      <c:layout>
        <c:manualLayout>
          <c:layoutTarget val="inner"/>
          <c:xMode val="edge"/>
          <c:yMode val="edge"/>
          <c:x val="0.13213805069410658"/>
          <c:y val="0.16707203266258386"/>
          <c:w val="0.83555764484663253"/>
          <c:h val="0.6867993584135319"/>
        </c:manualLayout>
      </c:layout>
      <c:barChart>
        <c:barDir val="col"/>
        <c:grouping val="clustered"/>
        <c:ser>
          <c:idx val="0"/>
          <c:order val="0"/>
          <c:tx>
            <c:strRef>
              <c:f>'11.12'!$X$20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'11.12'!$W$21:$W$32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'11.12'!$X$21:$X$32</c:f>
              <c:numCache>
                <c:formatCode>#,##0</c:formatCode>
                <c:ptCount val="12"/>
                <c:pt idx="0">
                  <c:v>39180</c:v>
                </c:pt>
                <c:pt idx="1">
                  <c:v>37160</c:v>
                </c:pt>
                <c:pt idx="2">
                  <c:v>36611</c:v>
                </c:pt>
                <c:pt idx="3">
                  <c:v>35419</c:v>
                </c:pt>
                <c:pt idx="4">
                  <c:v>33139</c:v>
                </c:pt>
                <c:pt idx="5">
                  <c:v>29962</c:v>
                </c:pt>
                <c:pt idx="6">
                  <c:v>34930</c:v>
                </c:pt>
                <c:pt idx="7">
                  <c:v>39072</c:v>
                </c:pt>
                <c:pt idx="8">
                  <c:v>19346</c:v>
                </c:pt>
                <c:pt idx="9">
                  <c:v>21699</c:v>
                </c:pt>
                <c:pt idx="10">
                  <c:v>24620</c:v>
                </c:pt>
                <c:pt idx="11">
                  <c:v>47021</c:v>
                </c:pt>
              </c:numCache>
            </c:numRef>
          </c:val>
        </c:ser>
        <c:ser>
          <c:idx val="1"/>
          <c:order val="1"/>
          <c:tx>
            <c:strRef>
              <c:f>'11.12'!$Y$20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'11.12'!$W$21:$W$32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'11.12'!$Y$21:$Y$32</c:f>
              <c:numCache>
                <c:formatCode>#,##0</c:formatCode>
                <c:ptCount val="12"/>
                <c:pt idx="0">
                  <c:v>39399</c:v>
                </c:pt>
                <c:pt idx="1">
                  <c:v>36416</c:v>
                </c:pt>
                <c:pt idx="2">
                  <c:v>35991</c:v>
                </c:pt>
                <c:pt idx="3">
                  <c:v>34404</c:v>
                </c:pt>
                <c:pt idx="4">
                  <c:v>30496</c:v>
                </c:pt>
                <c:pt idx="5">
                  <c:v>30697</c:v>
                </c:pt>
                <c:pt idx="6">
                  <c:v>37532</c:v>
                </c:pt>
                <c:pt idx="7">
                  <c:v>36881</c:v>
                </c:pt>
                <c:pt idx="8">
                  <c:v>19822</c:v>
                </c:pt>
                <c:pt idx="9">
                  <c:v>22750</c:v>
                </c:pt>
                <c:pt idx="10">
                  <c:v>23288</c:v>
                </c:pt>
                <c:pt idx="11">
                  <c:v>50498</c:v>
                </c:pt>
              </c:numCache>
            </c:numRef>
          </c:val>
        </c:ser>
        <c:axId val="65549440"/>
        <c:axId val="65551360"/>
      </c:barChart>
      <c:catAx>
        <c:axId val="65549440"/>
        <c:scaling>
          <c:orientation val="minMax"/>
        </c:scaling>
        <c:axPos val="b"/>
        <c:tickLblPos val="nextTo"/>
        <c:crossAx val="65551360"/>
        <c:crosses val="autoZero"/>
        <c:auto val="1"/>
        <c:lblAlgn val="ctr"/>
        <c:lblOffset val="100"/>
      </c:catAx>
      <c:valAx>
        <c:axId val="65551360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5.0995024875621934E-3"/>
              <c:y val="5.9374088655584724E-2"/>
            </c:manualLayout>
          </c:layout>
        </c:title>
        <c:numFmt formatCode="#,##0" sourceLinked="1"/>
        <c:tickLblPos val="nextTo"/>
        <c:crossAx val="6554944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5500519154321396"/>
          <c:y val="0.18480132691746867"/>
          <c:w val="0.24302409722758436"/>
          <c:h val="6.5198673082531383E-2"/>
        </c:manualLayout>
      </c:layout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 b="1" i="0" u="none" strike="noStrike" baseline="0"/>
              <a:t>Figure 11.9: </a:t>
            </a:r>
            <a:r>
              <a:rPr lang="en-US" sz="1050" b="1" i="0" baseline="0"/>
              <a:t>Passanger arrivals by international and domestic flights, at Ibrahim Nasir International Airport, 2012</a:t>
            </a:r>
            <a:endParaRPr lang="en-US" sz="1050"/>
          </a:p>
        </c:rich>
      </c:tx>
      <c:layout>
        <c:manualLayout>
          <c:xMode val="edge"/>
          <c:yMode val="edge"/>
          <c:x val="0.16678107124284972"/>
          <c:y val="2.3148148148148147E-2"/>
        </c:manualLayout>
      </c:layout>
    </c:title>
    <c:plotArea>
      <c:layout>
        <c:manualLayout>
          <c:layoutTarget val="inner"/>
          <c:xMode val="edge"/>
          <c:yMode val="edge"/>
          <c:x val="0.12191827679417155"/>
          <c:y val="0.17633129192184316"/>
          <c:w val="0.8552007678144713"/>
          <c:h val="0.659021580635754"/>
        </c:manualLayout>
      </c:layout>
      <c:lineChart>
        <c:grouping val="standard"/>
        <c:ser>
          <c:idx val="0"/>
          <c:order val="0"/>
          <c:tx>
            <c:strRef>
              <c:f>'11.12'!$X$36:$X$36</c:f>
              <c:strCache>
                <c:ptCount val="1"/>
                <c:pt idx="0">
                  <c:v>International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'11.12'!$W$37:$W$48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'11.12'!$X$37:$X$48</c:f>
              <c:numCache>
                <c:formatCode>#,##0</c:formatCode>
                <c:ptCount val="12"/>
                <c:pt idx="0">
                  <c:v>116170</c:v>
                </c:pt>
                <c:pt idx="1">
                  <c:v>95199</c:v>
                </c:pt>
                <c:pt idx="2">
                  <c:v>92845</c:v>
                </c:pt>
                <c:pt idx="3">
                  <c:v>94441</c:v>
                </c:pt>
                <c:pt idx="4">
                  <c:v>79820</c:v>
                </c:pt>
                <c:pt idx="5">
                  <c:v>81435</c:v>
                </c:pt>
                <c:pt idx="6">
                  <c:v>94503</c:v>
                </c:pt>
                <c:pt idx="7">
                  <c:v>94311</c:v>
                </c:pt>
                <c:pt idx="8">
                  <c:v>92974</c:v>
                </c:pt>
                <c:pt idx="9">
                  <c:v>108080</c:v>
                </c:pt>
                <c:pt idx="10">
                  <c:v>97369</c:v>
                </c:pt>
                <c:pt idx="11">
                  <c:v>118548</c:v>
                </c:pt>
              </c:numCache>
            </c:numRef>
          </c:val>
        </c:ser>
        <c:ser>
          <c:idx val="1"/>
          <c:order val="1"/>
          <c:tx>
            <c:strRef>
              <c:f>'11.12'!$Y$36:$Y$36</c:f>
              <c:strCache>
                <c:ptCount val="1"/>
                <c:pt idx="0">
                  <c:v>Domestic</c:v>
                </c:pt>
              </c:strCache>
            </c:strRef>
          </c:tx>
          <c:marker>
            <c:symbol val="none"/>
          </c:marker>
          <c:cat>
            <c:strRef>
              <c:f>'11.12'!$W$37:$W$48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'11.12'!$Y$37:$Y$48</c:f>
              <c:numCache>
                <c:formatCode>#,##0</c:formatCode>
                <c:ptCount val="12"/>
                <c:pt idx="0">
                  <c:v>39180</c:v>
                </c:pt>
                <c:pt idx="1">
                  <c:v>37160</c:v>
                </c:pt>
                <c:pt idx="2">
                  <c:v>36611</c:v>
                </c:pt>
                <c:pt idx="3">
                  <c:v>35419</c:v>
                </c:pt>
                <c:pt idx="4">
                  <c:v>33139</c:v>
                </c:pt>
                <c:pt idx="5">
                  <c:v>29962</c:v>
                </c:pt>
                <c:pt idx="6">
                  <c:v>34930</c:v>
                </c:pt>
                <c:pt idx="7">
                  <c:v>39072</c:v>
                </c:pt>
                <c:pt idx="8">
                  <c:v>19346</c:v>
                </c:pt>
                <c:pt idx="9">
                  <c:v>21699</c:v>
                </c:pt>
                <c:pt idx="10">
                  <c:v>24620</c:v>
                </c:pt>
                <c:pt idx="11">
                  <c:v>47021</c:v>
                </c:pt>
              </c:numCache>
            </c:numRef>
          </c:val>
        </c:ser>
        <c:marker val="1"/>
        <c:axId val="70267648"/>
        <c:axId val="70270336"/>
      </c:lineChart>
      <c:catAx>
        <c:axId val="70267648"/>
        <c:scaling>
          <c:orientation val="minMax"/>
        </c:scaling>
        <c:axPos val="b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0270336"/>
        <c:crosses val="autoZero"/>
        <c:auto val="1"/>
        <c:lblAlgn val="ctr"/>
        <c:lblOffset val="100"/>
      </c:catAx>
      <c:valAx>
        <c:axId val="70270336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536882516562E-3"/>
              <c:y val="5.6536526684164465E-2"/>
            </c:manualLayout>
          </c:layout>
        </c:title>
        <c:numFmt formatCode="#,##0" sourceLinked="1"/>
        <c:tickLblPos val="nextTo"/>
        <c:crossAx val="7026764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51398418870371931"/>
          <c:y val="0.17091243802857978"/>
          <c:w val="0.30478678956598715"/>
          <c:h val="8.6805573929865543E-2"/>
        </c:manualLayout>
      </c:layout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20</xdr:row>
      <xdr:rowOff>85725</xdr:rowOff>
    </xdr:from>
    <xdr:to>
      <xdr:col>5</xdr:col>
      <xdr:colOff>990600</xdr:colOff>
      <xdr:row>33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133348</xdr:colOff>
      <xdr:row>34</xdr:row>
      <xdr:rowOff>123825</xdr:rowOff>
    </xdr:from>
    <xdr:to>
      <xdr:col>5</xdr:col>
      <xdr:colOff>981075</xdr:colOff>
      <xdr:row>49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49</xdr:row>
      <xdr:rowOff>161925</xdr:rowOff>
    </xdr:from>
    <xdr:to>
      <xdr:col>5</xdr:col>
      <xdr:colOff>971550</xdr:colOff>
      <xdr:row>64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Y48"/>
  <sheetViews>
    <sheetView tabSelected="1" topLeftCell="A55" workbookViewId="0">
      <selection activeCell="H51" sqref="H51"/>
    </sheetView>
  </sheetViews>
  <sheetFormatPr defaultRowHeight="15"/>
  <cols>
    <col min="1" max="1" width="12.7109375" style="2" customWidth="1"/>
    <col min="2" max="4" width="18.28515625" style="2" customWidth="1"/>
    <col min="5" max="5" width="18" style="2" customWidth="1"/>
    <col min="6" max="6" width="17.140625" style="2" customWidth="1"/>
    <col min="7" max="21" width="9.140625" style="2"/>
    <col min="22" max="22" width="33.85546875" style="2" customWidth="1"/>
    <col min="23" max="16384" width="9.140625" style="2"/>
  </cols>
  <sheetData>
    <row r="2" spans="1:25" ht="17.25" customHeight="1">
      <c r="A2" s="48" t="s">
        <v>19</v>
      </c>
      <c r="B2" s="49"/>
      <c r="C2" s="49"/>
      <c r="D2" s="49"/>
      <c r="E2" s="49"/>
      <c r="F2" s="4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spans="1:25">
      <c r="A3" s="50" t="s">
        <v>30</v>
      </c>
      <c r="B3" s="50"/>
      <c r="C3" s="50"/>
      <c r="D3" s="50"/>
      <c r="E3" s="50"/>
      <c r="F3" s="50"/>
    </row>
    <row r="4" spans="1:25" s="1" customFormat="1" ht="1.5" customHeight="1"/>
    <row r="5" spans="1:25" ht="15.75" customHeight="1">
      <c r="A5" s="44" t="s">
        <v>4</v>
      </c>
      <c r="B5" s="46" t="s">
        <v>2</v>
      </c>
      <c r="C5" s="47"/>
      <c r="D5" s="46" t="s">
        <v>5</v>
      </c>
      <c r="E5" s="46"/>
      <c r="F5" s="51" t="s">
        <v>32</v>
      </c>
      <c r="W5" s="18"/>
      <c r="X5" s="18" t="s">
        <v>20</v>
      </c>
      <c r="Y5" s="18"/>
    </row>
    <row r="6" spans="1:25" ht="15.75" customHeight="1">
      <c r="A6" s="45"/>
      <c r="B6" s="7" t="s">
        <v>1</v>
      </c>
      <c r="C6" s="37" t="s">
        <v>6</v>
      </c>
      <c r="D6" s="7" t="s">
        <v>1</v>
      </c>
      <c r="E6" s="7" t="s">
        <v>6</v>
      </c>
      <c r="F6" s="52"/>
      <c r="W6" s="18"/>
      <c r="X6" s="19" t="s">
        <v>1</v>
      </c>
      <c r="Y6" s="20" t="s">
        <v>6</v>
      </c>
    </row>
    <row r="7" spans="1:25" ht="17.25">
      <c r="A7" s="6" t="s">
        <v>0</v>
      </c>
      <c r="B7" s="12">
        <f>SUM(B8:B19)</f>
        <v>1165695</v>
      </c>
      <c r="C7" s="38">
        <f t="shared" ref="C7:E7" si="0">SUM(C8:C19)</f>
        <v>1181635</v>
      </c>
      <c r="D7" s="17">
        <f t="shared" si="0"/>
        <v>398159</v>
      </c>
      <c r="E7" s="12">
        <f t="shared" si="0"/>
        <v>398174</v>
      </c>
      <c r="F7" s="41" t="s">
        <v>33</v>
      </c>
      <c r="W7" s="21" t="s">
        <v>21</v>
      </c>
      <c r="X7" s="22">
        <v>116170</v>
      </c>
      <c r="Y7" s="23">
        <v>116317</v>
      </c>
    </row>
    <row r="8" spans="1:25" ht="17.25">
      <c r="A8" s="15" t="s">
        <v>7</v>
      </c>
      <c r="B8" s="32">
        <v>116170</v>
      </c>
      <c r="C8" s="39">
        <v>116317</v>
      </c>
      <c r="D8" s="13">
        <v>39180</v>
      </c>
      <c r="E8" s="13">
        <v>39399</v>
      </c>
      <c r="F8" s="42" t="s">
        <v>34</v>
      </c>
      <c r="W8" s="21" t="s">
        <v>22</v>
      </c>
      <c r="X8" s="24">
        <v>95199</v>
      </c>
      <c r="Y8" s="23">
        <v>99418</v>
      </c>
    </row>
    <row r="9" spans="1:25" ht="17.25">
      <c r="A9" s="15" t="s">
        <v>8</v>
      </c>
      <c r="B9" s="33">
        <v>95199</v>
      </c>
      <c r="C9" s="39">
        <v>99418</v>
      </c>
      <c r="D9" s="13">
        <v>37160</v>
      </c>
      <c r="E9" s="13">
        <v>36416</v>
      </c>
      <c r="F9" s="42" t="s">
        <v>35</v>
      </c>
      <c r="W9" s="21" t="s">
        <v>9</v>
      </c>
      <c r="X9" s="24">
        <v>92845</v>
      </c>
      <c r="Y9" s="23">
        <v>96340</v>
      </c>
    </row>
    <row r="10" spans="1:25" ht="17.25">
      <c r="A10" s="15" t="s">
        <v>9</v>
      </c>
      <c r="B10" s="33">
        <v>92845</v>
      </c>
      <c r="C10" s="39">
        <v>96340</v>
      </c>
      <c r="D10" s="13">
        <v>36611</v>
      </c>
      <c r="E10" s="13">
        <v>35991</v>
      </c>
      <c r="F10" s="42" t="s">
        <v>36</v>
      </c>
      <c r="W10" s="21" t="s">
        <v>10</v>
      </c>
      <c r="X10" s="25">
        <v>94441</v>
      </c>
      <c r="Y10" s="23">
        <v>95446</v>
      </c>
    </row>
    <row r="11" spans="1:25" ht="17.25">
      <c r="A11" s="15" t="s">
        <v>10</v>
      </c>
      <c r="B11" s="34">
        <v>94441</v>
      </c>
      <c r="C11" s="39">
        <v>95446</v>
      </c>
      <c r="D11" s="13">
        <v>35419</v>
      </c>
      <c r="E11" s="13">
        <v>34404</v>
      </c>
      <c r="F11" s="42" t="s">
        <v>37</v>
      </c>
      <c r="W11" s="21" t="s">
        <v>11</v>
      </c>
      <c r="X11" s="26">
        <v>79820</v>
      </c>
      <c r="Y11" s="23">
        <v>89159</v>
      </c>
    </row>
    <row r="12" spans="1:25" ht="17.25">
      <c r="A12" s="15" t="s">
        <v>11</v>
      </c>
      <c r="B12" s="35">
        <v>79820</v>
      </c>
      <c r="C12" s="39">
        <v>89159</v>
      </c>
      <c r="D12" s="13">
        <v>33139</v>
      </c>
      <c r="E12" s="13">
        <v>30496</v>
      </c>
      <c r="F12" s="42" t="s">
        <v>38</v>
      </c>
      <c r="W12" s="21" t="s">
        <v>12</v>
      </c>
      <c r="X12" s="26">
        <v>81435</v>
      </c>
      <c r="Y12" s="23">
        <v>77317</v>
      </c>
    </row>
    <row r="13" spans="1:25" ht="17.25">
      <c r="A13" s="15" t="s">
        <v>12</v>
      </c>
      <c r="B13" s="35">
        <v>81435</v>
      </c>
      <c r="C13" s="39">
        <v>77317</v>
      </c>
      <c r="D13" s="13">
        <v>29962</v>
      </c>
      <c r="E13" s="13">
        <v>30697</v>
      </c>
      <c r="F13" s="42" t="s">
        <v>39</v>
      </c>
      <c r="W13" s="21" t="s">
        <v>13</v>
      </c>
      <c r="X13" s="25">
        <v>94503</v>
      </c>
      <c r="Y13" s="23">
        <v>90950</v>
      </c>
    </row>
    <row r="14" spans="1:25" ht="17.25">
      <c r="A14" s="15" t="s">
        <v>13</v>
      </c>
      <c r="B14" s="34">
        <v>94503</v>
      </c>
      <c r="C14" s="39">
        <v>90950</v>
      </c>
      <c r="D14" s="13">
        <v>34930</v>
      </c>
      <c r="E14" s="13">
        <v>37532</v>
      </c>
      <c r="F14" s="42" t="s">
        <v>40</v>
      </c>
      <c r="W14" s="21" t="s">
        <v>23</v>
      </c>
      <c r="X14" s="22">
        <v>94311</v>
      </c>
      <c r="Y14" s="23">
        <v>98141</v>
      </c>
    </row>
    <row r="15" spans="1:25" ht="17.25">
      <c r="A15" s="15" t="s">
        <v>14</v>
      </c>
      <c r="B15" s="32">
        <v>94311</v>
      </c>
      <c r="C15" s="39">
        <v>98141</v>
      </c>
      <c r="D15" s="13">
        <v>39072</v>
      </c>
      <c r="E15" s="13">
        <v>36881</v>
      </c>
      <c r="F15" s="42" t="s">
        <v>41</v>
      </c>
      <c r="W15" s="21" t="s">
        <v>24</v>
      </c>
      <c r="X15" s="22">
        <v>92974</v>
      </c>
      <c r="Y15" s="23">
        <v>89577</v>
      </c>
    </row>
    <row r="16" spans="1:25" ht="17.25">
      <c r="A16" s="15" t="s">
        <v>15</v>
      </c>
      <c r="B16" s="32">
        <v>92974</v>
      </c>
      <c r="C16" s="39">
        <v>89577</v>
      </c>
      <c r="D16" s="13">
        <v>19346</v>
      </c>
      <c r="E16" s="13">
        <v>19822</v>
      </c>
      <c r="F16" s="42" t="s">
        <v>42</v>
      </c>
      <c r="W16" s="21" t="s">
        <v>25</v>
      </c>
      <c r="X16" s="22">
        <v>108080</v>
      </c>
      <c r="Y16" s="23">
        <v>108798</v>
      </c>
    </row>
    <row r="17" spans="1:25" ht="19.5" customHeight="1">
      <c r="A17" s="15" t="s">
        <v>16</v>
      </c>
      <c r="B17" s="32">
        <v>108080</v>
      </c>
      <c r="C17" s="39">
        <v>108798</v>
      </c>
      <c r="D17" s="13">
        <v>21699</v>
      </c>
      <c r="E17" s="13">
        <v>22750</v>
      </c>
      <c r="F17" s="42" t="s">
        <v>43</v>
      </c>
      <c r="W17" s="21" t="s">
        <v>26</v>
      </c>
      <c r="X17" s="22">
        <v>97369</v>
      </c>
      <c r="Y17" s="23">
        <v>108038</v>
      </c>
    </row>
    <row r="18" spans="1:25" ht="19.5" customHeight="1">
      <c r="A18" s="15" t="s">
        <v>17</v>
      </c>
      <c r="B18" s="32">
        <v>97369</v>
      </c>
      <c r="C18" s="39">
        <v>108038</v>
      </c>
      <c r="D18" s="13">
        <v>24620</v>
      </c>
      <c r="E18" s="13">
        <v>23288</v>
      </c>
      <c r="F18" s="42" t="s">
        <v>44</v>
      </c>
      <c r="W18" s="27" t="s">
        <v>27</v>
      </c>
      <c r="X18" s="28">
        <v>118548</v>
      </c>
      <c r="Y18" s="29">
        <v>112134</v>
      </c>
    </row>
    <row r="19" spans="1:25" ht="19.5" customHeight="1">
      <c r="A19" s="16" t="s">
        <v>18</v>
      </c>
      <c r="B19" s="36">
        <v>118548</v>
      </c>
      <c r="C19" s="40">
        <v>112134</v>
      </c>
      <c r="D19" s="14">
        <v>47021</v>
      </c>
      <c r="E19" s="14">
        <v>50498</v>
      </c>
      <c r="F19" s="43" t="s">
        <v>45</v>
      </c>
      <c r="W19" s="18"/>
      <c r="X19" s="18"/>
      <c r="Y19" s="18"/>
    </row>
    <row r="20" spans="1:25" ht="16.5" customHeight="1">
      <c r="A20" s="9" t="s">
        <v>3</v>
      </c>
      <c r="B20" s="8"/>
      <c r="C20" s="8"/>
      <c r="D20" s="10"/>
      <c r="F20" s="3" t="s">
        <v>31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W20" s="18"/>
      <c r="X20" s="19" t="s">
        <v>1</v>
      </c>
      <c r="Y20" s="20" t="s">
        <v>6</v>
      </c>
    </row>
    <row r="21" spans="1:25" ht="19.5" customHeight="1">
      <c r="E21" s="3"/>
      <c r="W21" s="21" t="s">
        <v>21</v>
      </c>
      <c r="X21" s="30">
        <v>39180</v>
      </c>
      <c r="Y21" s="23">
        <v>39399</v>
      </c>
    </row>
    <row r="22" spans="1:25" ht="19.5" customHeight="1">
      <c r="E22" s="3"/>
      <c r="W22" s="21" t="s">
        <v>22</v>
      </c>
      <c r="X22" s="30">
        <v>37160</v>
      </c>
      <c r="Y22" s="23">
        <v>36416</v>
      </c>
    </row>
    <row r="23" spans="1:25" ht="19.5" customHeight="1">
      <c r="W23" s="21" t="s">
        <v>9</v>
      </c>
      <c r="X23" s="30">
        <v>36611</v>
      </c>
      <c r="Y23" s="23">
        <v>35991</v>
      </c>
    </row>
    <row r="24" spans="1:25">
      <c r="W24" s="21" t="s">
        <v>10</v>
      </c>
      <c r="X24" s="30">
        <v>35419</v>
      </c>
      <c r="Y24" s="23">
        <v>34404</v>
      </c>
    </row>
    <row r="25" spans="1:25">
      <c r="W25" s="21" t="s">
        <v>11</v>
      </c>
      <c r="X25" s="30">
        <v>33139</v>
      </c>
      <c r="Y25" s="23">
        <v>30496</v>
      </c>
    </row>
    <row r="26" spans="1:25">
      <c r="W26" s="21" t="s">
        <v>12</v>
      </c>
      <c r="X26" s="30">
        <v>29962</v>
      </c>
      <c r="Y26" s="23">
        <v>30697</v>
      </c>
    </row>
    <row r="27" spans="1:25">
      <c r="W27" s="21" t="s">
        <v>13</v>
      </c>
      <c r="X27" s="30">
        <v>34930</v>
      </c>
      <c r="Y27" s="23">
        <v>37532</v>
      </c>
    </row>
    <row r="28" spans="1:25">
      <c r="W28" s="21" t="s">
        <v>23</v>
      </c>
      <c r="X28" s="30">
        <v>39072</v>
      </c>
      <c r="Y28" s="23">
        <v>36881</v>
      </c>
    </row>
    <row r="29" spans="1:25">
      <c r="W29" s="21" t="s">
        <v>24</v>
      </c>
      <c r="X29" s="30">
        <v>19346</v>
      </c>
      <c r="Y29" s="23">
        <v>19822</v>
      </c>
    </row>
    <row r="30" spans="1:25">
      <c r="W30" s="21" t="s">
        <v>25</v>
      </c>
      <c r="X30" s="30">
        <v>21699</v>
      </c>
      <c r="Y30" s="23">
        <v>22750</v>
      </c>
    </row>
    <row r="31" spans="1:25">
      <c r="W31" s="21" t="s">
        <v>26</v>
      </c>
      <c r="X31" s="30">
        <v>24620</v>
      </c>
      <c r="Y31" s="23">
        <v>23288</v>
      </c>
    </row>
    <row r="32" spans="1:25">
      <c r="W32" s="27" t="s">
        <v>27</v>
      </c>
      <c r="X32" s="31">
        <v>47021</v>
      </c>
      <c r="Y32" s="29">
        <v>50498</v>
      </c>
    </row>
    <row r="33" spans="23:25">
      <c r="W33" s="18"/>
      <c r="X33" s="18"/>
      <c r="Y33" s="18"/>
    </row>
    <row r="34" spans="23:25">
      <c r="W34" s="18" t="s">
        <v>29</v>
      </c>
      <c r="X34" s="18" t="s">
        <v>28</v>
      </c>
      <c r="Y34" s="18"/>
    </row>
    <row r="35" spans="23:25">
      <c r="W35" s="18"/>
    </row>
    <row r="36" spans="23:25">
      <c r="W36" s="18"/>
      <c r="X36" s="18" t="s">
        <v>29</v>
      </c>
      <c r="Y36" s="18" t="s">
        <v>28</v>
      </c>
    </row>
    <row r="37" spans="23:25">
      <c r="W37" s="21" t="s">
        <v>21</v>
      </c>
      <c r="X37" s="22">
        <v>116170</v>
      </c>
      <c r="Y37" s="30">
        <v>39180</v>
      </c>
    </row>
    <row r="38" spans="23:25">
      <c r="W38" s="21" t="s">
        <v>22</v>
      </c>
      <c r="X38" s="24">
        <v>95199</v>
      </c>
      <c r="Y38" s="30">
        <v>37160</v>
      </c>
    </row>
    <row r="39" spans="23:25">
      <c r="W39" s="21" t="s">
        <v>9</v>
      </c>
      <c r="X39" s="24">
        <v>92845</v>
      </c>
      <c r="Y39" s="30">
        <v>36611</v>
      </c>
    </row>
    <row r="40" spans="23:25">
      <c r="W40" s="21" t="s">
        <v>10</v>
      </c>
      <c r="X40" s="25">
        <v>94441</v>
      </c>
      <c r="Y40" s="30">
        <v>35419</v>
      </c>
    </row>
    <row r="41" spans="23:25">
      <c r="W41" s="21" t="s">
        <v>11</v>
      </c>
      <c r="X41" s="26">
        <v>79820</v>
      </c>
      <c r="Y41" s="30">
        <v>33139</v>
      </c>
    </row>
    <row r="42" spans="23:25">
      <c r="W42" s="21" t="s">
        <v>12</v>
      </c>
      <c r="X42" s="26">
        <v>81435</v>
      </c>
      <c r="Y42" s="30">
        <v>29962</v>
      </c>
    </row>
    <row r="43" spans="23:25">
      <c r="W43" s="21" t="s">
        <v>13</v>
      </c>
      <c r="X43" s="25">
        <v>94503</v>
      </c>
      <c r="Y43" s="30">
        <v>34930</v>
      </c>
    </row>
    <row r="44" spans="23:25">
      <c r="W44" s="21" t="s">
        <v>23</v>
      </c>
      <c r="X44" s="22">
        <v>94311</v>
      </c>
      <c r="Y44" s="30">
        <v>39072</v>
      </c>
    </row>
    <row r="45" spans="23:25">
      <c r="W45" s="21" t="s">
        <v>24</v>
      </c>
      <c r="X45" s="22">
        <v>92974</v>
      </c>
      <c r="Y45" s="30">
        <v>19346</v>
      </c>
    </row>
    <row r="46" spans="23:25">
      <c r="W46" s="21" t="s">
        <v>25</v>
      </c>
      <c r="X46" s="22">
        <v>108080</v>
      </c>
      <c r="Y46" s="30">
        <v>21699</v>
      </c>
    </row>
    <row r="47" spans="23:25">
      <c r="W47" s="21" t="s">
        <v>26</v>
      </c>
      <c r="X47" s="22">
        <v>97369</v>
      </c>
      <c r="Y47" s="30">
        <v>24620</v>
      </c>
    </row>
    <row r="48" spans="23:25">
      <c r="W48" s="27" t="s">
        <v>27</v>
      </c>
      <c r="X48" s="28">
        <v>118548</v>
      </c>
      <c r="Y48" s="31">
        <v>47021</v>
      </c>
    </row>
  </sheetData>
  <mergeCells count="6">
    <mergeCell ref="A5:A6"/>
    <mergeCell ref="B5:C5"/>
    <mergeCell ref="D5:E5"/>
    <mergeCell ref="A2:F2"/>
    <mergeCell ref="A3:F3"/>
    <mergeCell ref="F5:F6"/>
  </mergeCells>
  <pageMargins left="0.85" right="0.16" top="0.19" bottom="0.1" header="0.1" footer="0.0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11.12</vt:lpstr>
      <vt:lpstr>'11.12'!Print_Area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2013-07-08T06:23:47Z</cp:lastPrinted>
  <dcterms:created xsi:type="dcterms:W3CDTF">2013-04-28T05:32:41Z</dcterms:created>
  <dcterms:modified xsi:type="dcterms:W3CDTF">2013-07-08T06:23:58Z</dcterms:modified>
</cp:coreProperties>
</file>