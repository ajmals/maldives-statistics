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12" sheetId="12" r:id="rId1"/>
  </sheets>
  <definedNames>
    <definedName name="_xlnm.Print_Area" localSheetId="0">'5.12'!$A$1:$J$68</definedName>
  </definedNames>
  <calcPr calcId="124519"/>
</workbook>
</file>

<file path=xl/calcChain.xml><?xml version="1.0" encoding="utf-8"?>
<calcChain xmlns="http://schemas.openxmlformats.org/spreadsheetml/2006/main">
  <c r="N57" i="12"/>
  <c r="N56"/>
  <c r="N55"/>
  <c r="D8"/>
  <c r="C8"/>
  <c r="B8" s="1"/>
  <c r="B9"/>
  <c r="B50"/>
  <c r="B49"/>
  <c r="B48"/>
  <c r="B47"/>
  <c r="B46"/>
  <c r="B45"/>
  <c r="B44"/>
  <c r="B42"/>
  <c r="B38"/>
  <c r="B37"/>
  <c r="B36"/>
  <c r="B34"/>
  <c r="B33"/>
  <c r="B32"/>
  <c r="B31"/>
  <c r="B30"/>
  <c r="B29"/>
  <c r="B28"/>
  <c r="B26"/>
  <c r="B25"/>
  <c r="B24"/>
  <c r="B23"/>
  <c r="B22"/>
  <c r="B21"/>
  <c r="B20"/>
  <c r="B19"/>
  <c r="B18"/>
  <c r="B17"/>
  <c r="B16"/>
  <c r="B15"/>
  <c r="B14"/>
  <c r="B13"/>
  <c r="B12"/>
  <c r="B11"/>
  <c r="B10"/>
  <c r="F41"/>
  <c r="F40"/>
  <c r="F39"/>
  <c r="F42"/>
  <c r="F38"/>
  <c r="F37"/>
  <c r="F36"/>
  <c r="F35"/>
  <c r="F33"/>
  <c r="F32"/>
  <c r="F31"/>
  <c r="F30"/>
  <c r="F29"/>
  <c r="F28"/>
  <c r="F27"/>
  <c r="F25"/>
  <c r="F24"/>
  <c r="F23"/>
  <c r="F22"/>
  <c r="F21"/>
  <c r="F20"/>
  <c r="F19"/>
  <c r="F18"/>
  <c r="F17"/>
  <c r="F16"/>
  <c r="F13"/>
  <c r="F12"/>
  <c r="F11"/>
  <c r="F10"/>
  <c r="F9"/>
  <c r="H8"/>
  <c r="G8"/>
  <c r="F8"/>
</calcChain>
</file>

<file path=xl/sharedStrings.xml><?xml version="1.0" encoding="utf-8"?>
<sst xmlns="http://schemas.openxmlformats.org/spreadsheetml/2006/main" count="140" uniqueCount="101">
  <si>
    <t>ޖުމްލަ</t>
  </si>
  <si>
    <t>ފިރިހެން</t>
  </si>
  <si>
    <t>އަންހެން</t>
  </si>
  <si>
    <t>Male</t>
  </si>
  <si>
    <t>Female</t>
  </si>
  <si>
    <t>Both sexes</t>
  </si>
  <si>
    <t>Office</t>
  </si>
  <si>
    <t>2012 (end)</t>
  </si>
  <si>
    <t>TOTAL</t>
  </si>
  <si>
    <t>އޮފީސް</t>
  </si>
  <si>
    <t>ދެޖިންސު</t>
  </si>
  <si>
    <t>President's office</t>
  </si>
  <si>
    <t>ރައީސުލްޖުމްހޫރިއްޔާގެ އޮފީސް</t>
  </si>
  <si>
    <t>President's Residence</t>
  </si>
  <si>
    <t>ރައީސުލްޖުމްހޫރިއްޔާގެ ރަސްމީގެ</t>
  </si>
  <si>
    <t>Hilaaleege</t>
  </si>
  <si>
    <t>ހިލާލީގެ</t>
  </si>
  <si>
    <t xml:space="preserve">Ministry of Home Affairs </t>
  </si>
  <si>
    <t>މިނިސްޓްރީ އޮފް ހޯމް އެފެއާރޒް</t>
  </si>
  <si>
    <t>Dept. of Immigration and Emigration</t>
  </si>
  <si>
    <t>ޑިޕާޓްމަންޓް އޮފް އިމިގްރޭޝަން އެންޑް އެމިގްރޭޝަން</t>
  </si>
  <si>
    <t>Male' Municipalty</t>
  </si>
  <si>
    <t>މާލޭ މުނިސިޕަލިޓީ</t>
  </si>
  <si>
    <t>Henveyru Avashu Office</t>
  </si>
  <si>
    <t>ހެންވޭރު އަވަށު އޮފީސް</t>
  </si>
  <si>
    <t>Dept. of Penitentiary and Rehabilitation Services</t>
  </si>
  <si>
    <t>ޑިޕާޓްމަންޓް އޮފް ޕެނިޓެންޝަރީ އެންޑް ރިހެބިލިޓޭޝަން ސަރވިސަސް</t>
  </si>
  <si>
    <t>Dhevana Furus'athu Programme Office</t>
  </si>
  <si>
    <t>ދެވަނަ ފުރުޞަތު ޕްރޮގްރާމް އޮފީސް</t>
  </si>
  <si>
    <t>Ministry of Finance and Treasury</t>
  </si>
  <si>
    <t>މިނިސްޓްރީ އޮފް ފިނޭންސް އެންޑް ޓްރެޜަރީ</t>
  </si>
  <si>
    <t>Maldives Customs Service</t>
  </si>
  <si>
    <t>މޯލްޑިވްސް ކަސްޓަމްސް ސާރވިސަސް</t>
  </si>
  <si>
    <t>Ministry of  Defense &amp; National Security</t>
  </si>
  <si>
    <t>މިނިސްޓްރީ އޮފް ޑިފެންސް އެންޑް ނޭޝަނަލް ސެކިއުރިޓީ</t>
  </si>
  <si>
    <t>Ministry of Education</t>
  </si>
  <si>
    <t>މިނިސްޓްރީ އޮފް އެޑިއުކޭޝަން</t>
  </si>
  <si>
    <t>Maldives Qualification Authority</t>
  </si>
  <si>
    <t>މޯލްޑިވްސް ކުއަލިފިކޭޝަން އޮތޯރިޓީ</t>
  </si>
  <si>
    <t>Maldives Polytechnic</t>
  </si>
  <si>
    <t>މޯލްޑިވްސް ޕޮލިޓެކްނިކް</t>
  </si>
  <si>
    <t>Attorney General ge Office</t>
  </si>
  <si>
    <t>އެޓާރނީ ޖެނެރަލްގެ އޮފީސް</t>
  </si>
  <si>
    <t>Ministry of Foreign Affairs</t>
  </si>
  <si>
    <t>މިނިސްޓްރީ އޮފް ފޮރިން އެފެއާރޒް</t>
  </si>
  <si>
    <t>Department of Drug  Prevention and Rehabilitation Services</t>
  </si>
  <si>
    <t>ޑިޕާޓްމަންޓް އޮފް ޑްރަގް ޕްރިވެންޝަން އެންޑް ރިހެބިލިޓޭޝަން ސަރވިސް</t>
  </si>
  <si>
    <t>Ministry of Economic Development</t>
  </si>
  <si>
    <t>މިނިސްޓްރީ އޮފް އިކޮނޮމިކް ޑިވެލޮޕްމެންޓް</t>
  </si>
  <si>
    <t>Ministry of Tourism, Arts and Culture</t>
  </si>
  <si>
    <t>މިނިސްޓްރީ އޮފް ޓޫރިޒަމް، އާރޓްސް އެންޑް ކަލްޗާރ</t>
  </si>
  <si>
    <t xml:space="preserve">Ministry of Human Resources, Youth and Sports </t>
  </si>
  <si>
    <t>މިނިސްޓްރީ އޮފް ހިއުމަން ރިސޯސަސް، ޔޫތް އެންޑް ސްޕޯރޓްސް</t>
  </si>
  <si>
    <t>Maldives Volunteers corps</t>
  </si>
  <si>
    <t>މޯލްޑިވްސް ވޮލަންޓިއާރސް ކޯރޕްސް</t>
  </si>
  <si>
    <t>Ministry of Fisheries and Agriculture</t>
  </si>
  <si>
    <t>މިނިސްޓްރީ އޮފް ފިޝަރީސް އެންޑް އެގްރިކަލްޗާރ</t>
  </si>
  <si>
    <t>Ministry of Transport and Communication</t>
  </si>
  <si>
    <t>މިނިސްޓްރީ އޮފް ޓްރާންސްޕޯރޓް އެންޑް ކޮމިއުނިކޭޝަން</t>
  </si>
  <si>
    <t>Transport Authority</t>
  </si>
  <si>
    <t>ޓްރާންސްޕޯރޓް އޮތޯރިޓީ</t>
  </si>
  <si>
    <t>Ministry of Islamic Affairs</t>
  </si>
  <si>
    <t>މިނިސްޓްރީ އޮފް އިސްލާމިކް އެފެއާރޒް</t>
  </si>
  <si>
    <t>Capital Market Development Authority</t>
  </si>
  <si>
    <t>National Office</t>
  </si>
  <si>
    <t>ސަރަޙައްދީ ޤައުމީ އިދާރާ</t>
  </si>
  <si>
    <t xml:space="preserve">National Office, Upper North Region </t>
  </si>
  <si>
    <t>މަތި އުތުރު ސަރަޙައްދުގެ ޤައުމީ އިދާރާ</t>
  </si>
  <si>
    <t xml:space="preserve">National Office, North Region </t>
  </si>
  <si>
    <t>އުތުރު ސަރަޙައްދުގެ ޤައުމީ އިދާރާ</t>
  </si>
  <si>
    <t xml:space="preserve">National Office, North Central Region </t>
  </si>
  <si>
    <t>މެދު އުތުރު ސަރަޙައްދުގެ ޤައުމީ އިދާރާ</t>
  </si>
  <si>
    <t xml:space="preserve">National Office, Central Region </t>
  </si>
  <si>
    <t>މެދު ސަރަޙައްދުގެ ޤައުމީ އިދާރާ</t>
  </si>
  <si>
    <t xml:space="preserve">National Office, South Central  Region </t>
  </si>
  <si>
    <t>މެދު ދެކުނު ސަރަޙައްދުގެ ޤައުމީ އިދާރާ</t>
  </si>
  <si>
    <t>National Office, Fuvammulah</t>
  </si>
  <si>
    <t>ފުވައްމުލަކުގެ ޤައުމީ އިދާރާ</t>
  </si>
  <si>
    <t xml:space="preserve">National Office, Upper South Region </t>
  </si>
  <si>
    <t>މަތި ދެކުނު ސަރަޙައްދުގެ ޤައުމީ އިދާރާ</t>
  </si>
  <si>
    <t>Source: Presidents Office</t>
  </si>
  <si>
    <t>މައުލޫމާތު ދެއްވީ: ރައީސުލްޖުމްހޫރިއްޔާގެ އޮފީސް</t>
  </si>
  <si>
    <t xml:space="preserve">މިނިސްޓްރީ އޮފް ހެލްތް </t>
  </si>
  <si>
    <t>މިނިސްޓްރީ އޮފް ހައުސިންގ އެންޑް އިންފްރާސްރަކްޗަރ</t>
  </si>
  <si>
    <t>މިނިސްޓްރީ އޮފް އެންވަޔަރަންމަންޓް އެންޑް އެނަރޖީ</t>
  </si>
  <si>
    <t>މިނިސްޓްރީ އޮފް ޖެންޑަރ، ފެމިލީ އެންޑް ހިއުމަން ރައިޓްސް</t>
  </si>
  <si>
    <t>ނޭޝަނަލް ސެންޓަރ ފޮރ ދި އާޓްސް</t>
  </si>
  <si>
    <t>ކެޕިޓަލް މާރކެޓް ޑިވެލޮޕްމަންޓް އޮތޯރިޓީ</t>
  </si>
  <si>
    <t xml:space="preserve">23/04/2012 ގައި އުވާލާފައި  </t>
  </si>
  <si>
    <t>Ministry of Environment and Energy</t>
  </si>
  <si>
    <t>Ministry of Gender, Family and Human Rights</t>
  </si>
  <si>
    <t>National Centre for the Arts</t>
  </si>
  <si>
    <t xml:space="preserve">Ministry of Health </t>
  </si>
  <si>
    <t>Ministry of Housing and Infrastructure</t>
  </si>
  <si>
    <t xml:space="preserve">21/02/2011 ގައި އުވާލާފައި  </t>
  </si>
  <si>
    <t>2011 (end)</t>
  </si>
  <si>
    <t>Ministry of Health and Family</t>
  </si>
  <si>
    <t>Ministry of Housing and Enviroment</t>
  </si>
  <si>
    <t>TABLE 5.12: EMPLOYMENT IN POLITICAL POSTS CLASSIFIED BY OFFICE, 2011 -  2012</t>
  </si>
  <si>
    <t>ތާވަލް 5.12: ސަރުކާރުގެ އެކި އޮފީސްތަކުގެ ޕޮލިޓިކަލް މަގާމުގައި ތިއްބެވި ބޭފުޅުން، 2011 - 2012</t>
  </si>
  <si>
    <t>_</t>
  </si>
</sst>
</file>

<file path=xl/styles.xml><?xml version="1.0" encoding="utf-8"?>
<styleSheet xmlns="http://schemas.openxmlformats.org/spreadsheetml/2006/main">
  <numFmts count="1">
    <numFmt numFmtId="171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Faruma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Faruma"/>
    </font>
    <font>
      <b/>
      <sz val="11"/>
      <name val="Calibri"/>
      <family val="2"/>
      <scheme val="minor"/>
    </font>
    <font>
      <b/>
      <sz val="11"/>
      <name val="Faruma"/>
    </font>
    <font>
      <b/>
      <sz val="11"/>
      <color indexed="8"/>
      <name val="Calibri"/>
      <family val="2"/>
      <scheme val="minor"/>
    </font>
    <font>
      <sz val="11"/>
      <name val="Faruma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u/>
      <sz val="11"/>
      <name val="Faruma"/>
    </font>
    <font>
      <i/>
      <sz val="10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0" fillId="0" borderId="0"/>
  </cellStyleXfs>
  <cellXfs count="46">
    <xf numFmtId="0" fontId="0" fillId="0" borderId="0" xfId="0"/>
    <xf numFmtId="0" fontId="4" fillId="2" borderId="0" xfId="2" applyFont="1" applyFill="1" applyBorder="1" applyAlignment="1">
      <alignment vertical="center"/>
    </xf>
    <xf numFmtId="0" fontId="1" fillId="2" borderId="0" xfId="2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0" fontId="11" fillId="2" borderId="0" xfId="4" applyFont="1" applyFill="1" applyBorder="1" applyAlignment="1">
      <alignment horizontal="left" vertical="center" wrapText="1"/>
    </xf>
    <xf numFmtId="0" fontId="11" fillId="2" borderId="0" xfId="2" applyFont="1" applyFill="1" applyBorder="1" applyAlignment="1">
      <alignment horizontal="left" vertical="center" wrapText="1"/>
    </xf>
    <xf numFmtId="0" fontId="12" fillId="2" borderId="0" xfId="2" applyFont="1" applyFill="1" applyBorder="1" applyAlignment="1">
      <alignment horizontal="left" vertical="center" wrapText="1"/>
    </xf>
    <xf numFmtId="0" fontId="13" fillId="2" borderId="0" xfId="2" applyFont="1" applyFill="1" applyBorder="1" applyAlignment="1">
      <alignment horizontal="left" vertical="center" wrapText="1"/>
    </xf>
    <xf numFmtId="0" fontId="11" fillId="2" borderId="3" xfId="2" applyFont="1" applyFill="1" applyBorder="1" applyAlignment="1">
      <alignment horizontal="left" vertical="center" wrapText="1"/>
    </xf>
    <xf numFmtId="0" fontId="15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horizontal="left" vertical="center"/>
    </xf>
    <xf numFmtId="0" fontId="1" fillId="2" borderId="0" xfId="2" applyFill="1" applyBorder="1" applyAlignment="1">
      <alignment horizontal="center" vertical="center"/>
    </xf>
    <xf numFmtId="0" fontId="9" fillId="2" borderId="0" xfId="2" applyFont="1" applyFill="1" applyBorder="1" applyAlignment="1">
      <alignment horizontal="right" vertical="center" readingOrder="2"/>
    </xf>
    <xf numFmtId="0" fontId="8" fillId="2" borderId="3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right" vertical="center"/>
    </xf>
    <xf numFmtId="0" fontId="1" fillId="2" borderId="0" xfId="2" applyFill="1" applyBorder="1" applyAlignment="1">
      <alignment horizontal="right" vertical="center"/>
    </xf>
    <xf numFmtId="0" fontId="12" fillId="2" borderId="0" xfId="2" applyFont="1" applyFill="1" applyBorder="1" applyAlignment="1" applyProtection="1">
      <alignment horizontal="right" vertical="center"/>
      <protection locked="0"/>
    </xf>
    <xf numFmtId="0" fontId="4" fillId="2" borderId="0" xfId="2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right" vertical="center" readingOrder="2"/>
    </xf>
    <xf numFmtId="0" fontId="9" fillId="2" borderId="0" xfId="2" applyFont="1" applyFill="1" applyBorder="1" applyAlignment="1">
      <alignment horizontal="right" vertical="center" wrapText="1" readingOrder="2"/>
    </xf>
    <xf numFmtId="0" fontId="14" fillId="2" borderId="0" xfId="2" applyFont="1" applyFill="1" applyBorder="1" applyAlignment="1">
      <alignment horizontal="right" vertical="center" readingOrder="2"/>
    </xf>
    <xf numFmtId="0" fontId="5" fillId="2" borderId="1" xfId="2" applyFont="1" applyFill="1" applyBorder="1" applyAlignment="1">
      <alignment horizontal="right" vertical="center" readingOrder="2"/>
    </xf>
    <xf numFmtId="0" fontId="1" fillId="2" borderId="0" xfId="2" applyFill="1" applyBorder="1" applyAlignment="1">
      <alignment horizontal="left" vertical="center"/>
    </xf>
    <xf numFmtId="0" fontId="8" fillId="2" borderId="0" xfId="2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0" xfId="2" applyFont="1" applyFill="1" applyBorder="1" applyAlignment="1">
      <alignment horizontal="right" vertical="center"/>
    </xf>
    <xf numFmtId="0" fontId="12" fillId="2" borderId="3" xfId="2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right" vertical="center"/>
    </xf>
    <xf numFmtId="0" fontId="17" fillId="2" borderId="0" xfId="2" applyFont="1" applyFill="1" applyBorder="1" applyAlignment="1">
      <alignment horizontal="right" vertical="center" wrapText="1"/>
    </xf>
    <xf numFmtId="1" fontId="1" fillId="2" borderId="0" xfId="2" applyNumberFormat="1" applyFill="1" applyBorder="1" applyAlignment="1">
      <alignment vertical="center"/>
    </xf>
    <xf numFmtId="0" fontId="7" fillId="2" borderId="0" xfId="2" applyFont="1" applyFill="1" applyBorder="1" applyAlignment="1">
      <alignment horizontal="right" vertical="center" readingOrder="2"/>
    </xf>
    <xf numFmtId="0" fontId="7" fillId="2" borderId="4" xfId="2" applyFont="1" applyFill="1" applyBorder="1" applyAlignment="1">
      <alignment horizontal="right" vertical="center" readingOrder="2"/>
    </xf>
    <xf numFmtId="0" fontId="2" fillId="2" borderId="3" xfId="2" applyFont="1" applyFill="1" applyBorder="1" applyAlignment="1">
      <alignment horizontal="left" vertical="center" indent="7" readingOrder="2"/>
    </xf>
    <xf numFmtId="0" fontId="2" fillId="2" borderId="0" xfId="2" applyFont="1" applyFill="1" applyBorder="1" applyAlignment="1">
      <alignment horizontal="left" vertical="center" indent="6" readingOrder="2"/>
    </xf>
    <xf numFmtId="0" fontId="2" fillId="2" borderId="0" xfId="2" applyFont="1" applyFill="1" applyBorder="1" applyAlignment="1">
      <alignment horizontal="left" vertical="center" indent="7" readingOrder="2"/>
    </xf>
    <xf numFmtId="0" fontId="8" fillId="2" borderId="1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left" vertical="center"/>
    </xf>
    <xf numFmtId="0" fontId="8" fillId="2" borderId="3" xfId="2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right" vertical="center" readingOrder="2"/>
    </xf>
    <xf numFmtId="0" fontId="7" fillId="2" borderId="0" xfId="2" applyFont="1" applyFill="1" applyBorder="1" applyAlignment="1">
      <alignment horizontal="right" vertical="center" readingOrder="2"/>
    </xf>
    <xf numFmtId="0" fontId="7" fillId="2" borderId="3" xfId="2" applyFont="1" applyFill="1" applyBorder="1" applyAlignment="1">
      <alignment horizontal="right" vertical="center" readingOrder="2"/>
    </xf>
    <xf numFmtId="0" fontId="7" fillId="2" borderId="0" xfId="2" applyFont="1" applyFill="1" applyBorder="1" applyAlignment="1">
      <alignment horizontal="center" readingOrder="2"/>
    </xf>
    <xf numFmtId="0" fontId="8" fillId="2" borderId="0" xfId="0" applyFont="1" applyFill="1" applyBorder="1" applyAlignment="1">
      <alignment horizontal="center" vertical="top"/>
    </xf>
  </cellXfs>
  <cellStyles count="5">
    <cellStyle name="Comma 3" xfId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>
                <a:latin typeface="Candara" pitchFamily="34" charset="0"/>
              </a:defRPr>
            </a:pPr>
            <a:r>
              <a:rPr lang="en-US" sz="1050">
                <a:latin typeface="+mn-lt"/>
              </a:rPr>
              <a:t>Figure</a:t>
            </a:r>
            <a:r>
              <a:rPr lang="en-US" sz="1050" baseline="0">
                <a:latin typeface="+mn-lt"/>
              </a:rPr>
              <a:t> 5. 7: </a:t>
            </a:r>
            <a:r>
              <a:rPr lang="en-US" sz="1050">
                <a:latin typeface="+mn-lt"/>
              </a:rPr>
              <a:t>Number</a:t>
            </a:r>
            <a:r>
              <a:rPr lang="en-US" sz="1050" baseline="0">
                <a:latin typeface="+mn-lt"/>
              </a:rPr>
              <a:t> of  government political posts by </a:t>
            </a:r>
            <a:r>
              <a:rPr lang="en-US" sz="1050" b="1" i="0" u="none" strike="noStrike" baseline="0"/>
              <a:t>sex </a:t>
            </a:r>
            <a:r>
              <a:rPr lang="en-US" sz="1050" baseline="0">
                <a:latin typeface="+mn-lt"/>
              </a:rPr>
              <a:t>, 2011 - 2012</a:t>
            </a:r>
            <a:endParaRPr lang="en-US" sz="1050">
              <a:latin typeface="+mn-lt"/>
            </a:endParaRPr>
          </a:p>
        </c:rich>
      </c:tx>
    </c:title>
    <c:plotArea>
      <c:layout>
        <c:manualLayout>
          <c:layoutTarget val="inner"/>
          <c:xMode val="edge"/>
          <c:yMode val="edge"/>
          <c:x val="7.7059341523677619E-2"/>
          <c:y val="0.16089129483814524"/>
          <c:w val="0.89905357921464957"/>
          <c:h val="0.70223935549722938"/>
        </c:manualLayout>
      </c:layout>
      <c:barChart>
        <c:barDir val="col"/>
        <c:grouping val="clustered"/>
        <c:ser>
          <c:idx val="0"/>
          <c:order val="0"/>
          <c:tx>
            <c:strRef>
              <c:f>'5.12'!$B$55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Val val="1"/>
          </c:dLbls>
          <c:cat>
            <c:strRef>
              <c:f>'5.12'!$A$56:$A$58</c:f>
              <c:strCache>
                <c:ptCount val="3"/>
                <c:pt idx="0">
                  <c:v>Both sexes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'5.12'!$B$56:$B$58</c:f>
              <c:numCache>
                <c:formatCode>General</c:formatCode>
                <c:ptCount val="3"/>
                <c:pt idx="0">
                  <c:v>544</c:v>
                </c:pt>
                <c:pt idx="1">
                  <c:v>390</c:v>
                </c:pt>
                <c:pt idx="2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'5.12'!$C$55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dLblPos val="inEnd"/>
            <c:showVal val="1"/>
          </c:dLbls>
          <c:cat>
            <c:strRef>
              <c:f>'5.12'!$A$56:$A$58</c:f>
              <c:strCache>
                <c:ptCount val="3"/>
                <c:pt idx="0">
                  <c:v>Both sexes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'5.12'!$C$56:$C$58</c:f>
              <c:numCache>
                <c:formatCode>General</c:formatCode>
                <c:ptCount val="3"/>
                <c:pt idx="0">
                  <c:v>446</c:v>
                </c:pt>
                <c:pt idx="1">
                  <c:v>301</c:v>
                </c:pt>
                <c:pt idx="2">
                  <c:v>145</c:v>
                </c:pt>
              </c:numCache>
            </c:numRef>
          </c:val>
        </c:ser>
        <c:gapWidth val="149"/>
        <c:axId val="91964928"/>
        <c:axId val="91966464"/>
      </c:barChart>
      <c:catAx>
        <c:axId val="91964928"/>
        <c:scaling>
          <c:orientation val="minMax"/>
        </c:scaling>
        <c:axPos val="b"/>
        <c:majorTickMark val="none"/>
        <c:tickLblPos val="nextTo"/>
        <c:crossAx val="91966464"/>
        <c:crosses val="autoZero"/>
        <c:auto val="1"/>
        <c:lblAlgn val="ctr"/>
        <c:lblOffset val="100"/>
      </c:catAx>
      <c:valAx>
        <c:axId val="919664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91964928"/>
        <c:crosses val="autoZero"/>
        <c:crossBetween val="between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989323626616305"/>
          <c:y val="0.18480116456031248"/>
          <c:w val="0.19388964193789124"/>
          <c:h val="8.3717191601050012E-2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 Figure: 5.8: Percentage of government political posts by sex, 2012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5292104111986058"/>
          <c:y val="0.13241691676817466"/>
          <c:w val="0.4294036551385903"/>
          <c:h val="0.8233050929774140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2679258668604393"/>
                  <c:y val="-0.23659391569342442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0.13965847246821952"/>
                  <c:y val="0.12920431925875037"/>
                </c:manualLayout>
              </c:layout>
              <c:showCatName val="1"/>
              <c:showPercent val="1"/>
            </c:dLbl>
            <c:showCatName val="1"/>
            <c:showPercent val="1"/>
          </c:dLbls>
          <c:cat>
            <c:strRef>
              <c:f>'5.12'!$L$56:$L$57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'5.12'!$M$56:$M$57</c:f>
              <c:numCache>
                <c:formatCode>General</c:formatCode>
                <c:ptCount val="2"/>
                <c:pt idx="0">
                  <c:v>301</c:v>
                </c:pt>
                <c:pt idx="1">
                  <c:v>145</c:v>
                </c:pt>
              </c:numCache>
            </c:numRef>
          </c:val>
        </c:ser>
        <c:dLbls>
          <c:showPercent val="1"/>
        </c:dLbls>
        <c:firstSliceAng val="0"/>
      </c:pieChart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52</xdr:row>
      <xdr:rowOff>19049</xdr:rowOff>
    </xdr:from>
    <xdr:to>
      <xdr:col>5</xdr:col>
      <xdr:colOff>95250</xdr:colOff>
      <xdr:row>66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51</xdr:row>
      <xdr:rowOff>228599</xdr:rowOff>
    </xdr:from>
    <xdr:to>
      <xdr:col>8</xdr:col>
      <xdr:colOff>3114675</xdr:colOff>
      <xdr:row>66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58"/>
  <sheetViews>
    <sheetView tabSelected="1" zoomScale="78" zoomScaleNormal="78" workbookViewId="0">
      <selection activeCell="I25" sqref="I25"/>
    </sheetView>
  </sheetViews>
  <sheetFormatPr defaultRowHeight="12.75"/>
  <cols>
    <col min="1" max="1" width="47.140625" style="2" customWidth="1"/>
    <col min="2" max="4" width="11.7109375" style="2" customWidth="1"/>
    <col min="5" max="5" width="2.7109375" style="2" customWidth="1"/>
    <col min="6" max="6" width="10.5703125" style="11" customWidth="1"/>
    <col min="7" max="8" width="10.5703125" style="2" customWidth="1"/>
    <col min="9" max="9" width="52.7109375" style="17" customWidth="1"/>
    <col min="10" max="10" width="3.140625" style="2" customWidth="1"/>
    <col min="11" max="16384" width="9.140625" style="2"/>
  </cols>
  <sheetData>
    <row r="2" spans="1:9" ht="19.5" customHeight="1">
      <c r="A2" s="44" t="s">
        <v>99</v>
      </c>
      <c r="B2" s="44"/>
      <c r="C2" s="44"/>
      <c r="D2" s="44"/>
      <c r="E2" s="44"/>
      <c r="F2" s="44"/>
      <c r="G2" s="44"/>
      <c r="H2" s="44"/>
      <c r="I2" s="44"/>
    </row>
    <row r="3" spans="1:9" ht="15">
      <c r="A3" s="45" t="s">
        <v>98</v>
      </c>
      <c r="B3" s="45"/>
      <c r="C3" s="45"/>
      <c r="D3" s="45"/>
      <c r="E3" s="45"/>
      <c r="F3" s="45"/>
      <c r="G3" s="45"/>
      <c r="H3" s="45"/>
      <c r="I3" s="45"/>
    </row>
    <row r="4" spans="1:9">
      <c r="F4" s="2"/>
    </row>
    <row r="5" spans="1:9" ht="17.25" customHeight="1">
      <c r="A5" s="37" t="s">
        <v>6</v>
      </c>
      <c r="B5" s="40" t="s">
        <v>95</v>
      </c>
      <c r="C5" s="40"/>
      <c r="D5" s="40"/>
      <c r="E5" s="26"/>
      <c r="F5" s="40" t="s">
        <v>7</v>
      </c>
      <c r="G5" s="40"/>
      <c r="H5" s="40"/>
      <c r="I5" s="41" t="s">
        <v>9</v>
      </c>
    </row>
    <row r="6" spans="1:9" ht="18" customHeight="1">
      <c r="A6" s="38"/>
      <c r="B6" s="33" t="s">
        <v>10</v>
      </c>
      <c r="C6" s="32" t="s">
        <v>1</v>
      </c>
      <c r="D6" s="33" t="s">
        <v>2</v>
      </c>
      <c r="E6" s="32"/>
      <c r="F6" s="33" t="s">
        <v>10</v>
      </c>
      <c r="G6" s="32" t="s">
        <v>1</v>
      </c>
      <c r="H6" s="33" t="s">
        <v>2</v>
      </c>
      <c r="I6" s="42"/>
    </row>
    <row r="7" spans="1:9" ht="18" customHeight="1">
      <c r="A7" s="39"/>
      <c r="B7" s="13" t="s">
        <v>5</v>
      </c>
      <c r="C7" s="14" t="s">
        <v>3</v>
      </c>
      <c r="D7" s="13" t="s">
        <v>4</v>
      </c>
      <c r="E7" s="13"/>
      <c r="F7" s="13" t="s">
        <v>5</v>
      </c>
      <c r="G7" s="14" t="s">
        <v>3</v>
      </c>
      <c r="H7" s="13" t="s">
        <v>4</v>
      </c>
      <c r="I7" s="43"/>
    </row>
    <row r="8" spans="1:9" s="24" customFormat="1" ht="20.25" customHeight="1">
      <c r="A8" s="3" t="s">
        <v>8</v>
      </c>
      <c r="B8" s="29">
        <f>C8+D8</f>
        <v>544</v>
      </c>
      <c r="C8" s="29">
        <f>SUM(C9:C50)</f>
        <v>390</v>
      </c>
      <c r="D8" s="29">
        <f>SUM(D9:D50)</f>
        <v>154</v>
      </c>
      <c r="E8" s="25"/>
      <c r="F8" s="15">
        <f>G8+H8</f>
        <v>446</v>
      </c>
      <c r="G8" s="16">
        <f>SUM(G9:G50)</f>
        <v>301</v>
      </c>
      <c r="H8" s="16">
        <f>SUM(H9:H50)</f>
        <v>145</v>
      </c>
      <c r="I8" s="20" t="s">
        <v>0</v>
      </c>
    </row>
    <row r="9" spans="1:9" s="24" customFormat="1" ht="20.25" customHeight="1">
      <c r="A9" s="4" t="s">
        <v>11</v>
      </c>
      <c r="B9" s="15">
        <f>SUM($C9+$D9)</f>
        <v>280</v>
      </c>
      <c r="C9" s="27">
        <v>178</v>
      </c>
      <c r="D9" s="27">
        <v>102</v>
      </c>
      <c r="E9" s="4"/>
      <c r="F9" s="15">
        <f>SUM($G9+$H9)</f>
        <v>202</v>
      </c>
      <c r="G9" s="18">
        <v>120</v>
      </c>
      <c r="H9" s="18">
        <v>82</v>
      </c>
      <c r="I9" s="12" t="s">
        <v>12</v>
      </c>
    </row>
    <row r="10" spans="1:9" s="24" customFormat="1" ht="20.25" customHeight="1">
      <c r="A10" s="4" t="s">
        <v>13</v>
      </c>
      <c r="B10" s="15">
        <f t="shared" ref="B10:B34" si="0">SUM($C10+$D10)</f>
        <v>67</v>
      </c>
      <c r="C10" s="27">
        <v>61</v>
      </c>
      <c r="D10" s="27">
        <v>6</v>
      </c>
      <c r="E10" s="4"/>
      <c r="F10" s="15">
        <f t="shared" ref="F10:F42" si="1">SUM($G10+$H10)</f>
        <v>60</v>
      </c>
      <c r="G10" s="18">
        <v>54</v>
      </c>
      <c r="H10" s="18">
        <v>6</v>
      </c>
      <c r="I10" s="12" t="s">
        <v>14</v>
      </c>
    </row>
    <row r="11" spans="1:9" s="24" customFormat="1" ht="20.25" customHeight="1">
      <c r="A11" s="4" t="s">
        <v>15</v>
      </c>
      <c r="B11" s="15">
        <f t="shared" si="0"/>
        <v>18</v>
      </c>
      <c r="C11" s="27">
        <v>10</v>
      </c>
      <c r="D11" s="27">
        <v>8</v>
      </c>
      <c r="E11" s="4"/>
      <c r="F11" s="15">
        <f t="shared" si="1"/>
        <v>21</v>
      </c>
      <c r="G11" s="18">
        <v>11</v>
      </c>
      <c r="H11" s="18">
        <v>10</v>
      </c>
      <c r="I11" s="12" t="s">
        <v>16</v>
      </c>
    </row>
    <row r="12" spans="1:9" s="24" customFormat="1" ht="20.25" customHeight="1">
      <c r="A12" s="4" t="s">
        <v>17</v>
      </c>
      <c r="B12" s="15">
        <f t="shared" si="0"/>
        <v>7</v>
      </c>
      <c r="C12" s="27">
        <v>6</v>
      </c>
      <c r="D12" s="27">
        <v>1</v>
      </c>
      <c r="E12" s="4"/>
      <c r="F12" s="15">
        <f t="shared" si="1"/>
        <v>5</v>
      </c>
      <c r="G12" s="18">
        <v>5</v>
      </c>
      <c r="H12" s="18">
        <v>0</v>
      </c>
      <c r="I12" s="12" t="s">
        <v>18</v>
      </c>
    </row>
    <row r="13" spans="1:9" s="24" customFormat="1" ht="20.25" customHeight="1">
      <c r="A13" s="4" t="s">
        <v>19</v>
      </c>
      <c r="B13" s="15">
        <f t="shared" si="0"/>
        <v>1</v>
      </c>
      <c r="C13" s="27">
        <v>1</v>
      </c>
      <c r="D13" s="27">
        <v>0</v>
      </c>
      <c r="E13" s="4"/>
      <c r="F13" s="15">
        <f t="shared" si="1"/>
        <v>5</v>
      </c>
      <c r="G13" s="18">
        <v>5</v>
      </c>
      <c r="H13" s="18">
        <v>0</v>
      </c>
      <c r="I13" s="12" t="s">
        <v>20</v>
      </c>
    </row>
    <row r="14" spans="1:9" s="24" customFormat="1" ht="20.25" customHeight="1">
      <c r="A14" s="4" t="s">
        <v>21</v>
      </c>
      <c r="B14" s="15">
        <f t="shared" si="0"/>
        <v>4</v>
      </c>
      <c r="C14" s="27">
        <v>4</v>
      </c>
      <c r="D14" s="27">
        <v>0</v>
      </c>
      <c r="E14" s="4"/>
      <c r="F14" s="35" t="s">
        <v>94</v>
      </c>
      <c r="G14" s="35"/>
      <c r="H14" s="35"/>
      <c r="I14" s="12" t="s">
        <v>22</v>
      </c>
    </row>
    <row r="15" spans="1:9" s="24" customFormat="1" ht="20.25" customHeight="1">
      <c r="A15" s="4" t="s">
        <v>23</v>
      </c>
      <c r="B15" s="15">
        <f t="shared" si="0"/>
        <v>1</v>
      </c>
      <c r="C15" s="27">
        <v>1</v>
      </c>
      <c r="D15" s="27">
        <v>0</v>
      </c>
      <c r="E15" s="4"/>
      <c r="F15" s="35" t="s">
        <v>94</v>
      </c>
      <c r="G15" s="35"/>
      <c r="H15" s="35"/>
      <c r="I15" s="12" t="s">
        <v>24</v>
      </c>
    </row>
    <row r="16" spans="1:9" s="24" customFormat="1" ht="20.25" customHeight="1">
      <c r="A16" s="4" t="s">
        <v>25</v>
      </c>
      <c r="B16" s="15">
        <f t="shared" si="0"/>
        <v>1</v>
      </c>
      <c r="C16" s="27">
        <v>1</v>
      </c>
      <c r="D16" s="27">
        <v>0</v>
      </c>
      <c r="E16" s="4"/>
      <c r="F16" s="15">
        <f t="shared" si="1"/>
        <v>0</v>
      </c>
      <c r="G16" s="18">
        <v>0</v>
      </c>
      <c r="H16" s="18">
        <v>0</v>
      </c>
      <c r="I16" s="21" t="s">
        <v>26</v>
      </c>
    </row>
    <row r="17" spans="1:9" s="24" customFormat="1" ht="20.25" customHeight="1">
      <c r="A17" s="4" t="s">
        <v>27</v>
      </c>
      <c r="B17" s="15">
        <f t="shared" si="0"/>
        <v>5</v>
      </c>
      <c r="C17" s="27">
        <v>2</v>
      </c>
      <c r="D17" s="27">
        <v>3</v>
      </c>
      <c r="E17" s="4"/>
      <c r="F17" s="15">
        <f t="shared" si="1"/>
        <v>0</v>
      </c>
      <c r="G17" s="18">
        <v>0</v>
      </c>
      <c r="H17" s="18">
        <v>0</v>
      </c>
      <c r="I17" s="12" t="s">
        <v>28</v>
      </c>
    </row>
    <row r="18" spans="1:9" s="24" customFormat="1" ht="20.25" customHeight="1">
      <c r="A18" s="4" t="s">
        <v>29</v>
      </c>
      <c r="B18" s="15">
        <f t="shared" si="0"/>
        <v>7</v>
      </c>
      <c r="C18" s="27">
        <v>5</v>
      </c>
      <c r="D18" s="27">
        <v>2</v>
      </c>
      <c r="E18" s="4"/>
      <c r="F18" s="15">
        <f t="shared" si="1"/>
        <v>9</v>
      </c>
      <c r="G18" s="18">
        <v>8</v>
      </c>
      <c r="H18" s="18">
        <v>1</v>
      </c>
      <c r="I18" s="12" t="s">
        <v>30</v>
      </c>
    </row>
    <row r="19" spans="1:9" s="24" customFormat="1" ht="20.25" customHeight="1">
      <c r="A19" s="4" t="s">
        <v>31</v>
      </c>
      <c r="B19" s="15">
        <f t="shared" si="0"/>
        <v>1</v>
      </c>
      <c r="C19" s="27">
        <v>1</v>
      </c>
      <c r="D19" s="27">
        <v>0</v>
      </c>
      <c r="E19" s="4"/>
      <c r="F19" s="15">
        <f t="shared" si="1"/>
        <v>1</v>
      </c>
      <c r="G19" s="18">
        <v>1</v>
      </c>
      <c r="H19" s="18">
        <v>0</v>
      </c>
      <c r="I19" s="12" t="s">
        <v>32</v>
      </c>
    </row>
    <row r="20" spans="1:9" s="24" customFormat="1" ht="20.25" customHeight="1">
      <c r="A20" s="4" t="s">
        <v>33</v>
      </c>
      <c r="B20" s="15">
        <f t="shared" si="0"/>
        <v>3</v>
      </c>
      <c r="C20" s="27">
        <v>2</v>
      </c>
      <c r="D20" s="27">
        <v>1</v>
      </c>
      <c r="E20" s="4"/>
      <c r="F20" s="15">
        <f t="shared" si="1"/>
        <v>6</v>
      </c>
      <c r="G20" s="18">
        <v>5</v>
      </c>
      <c r="H20" s="18">
        <v>1</v>
      </c>
      <c r="I20" s="12" t="s">
        <v>34</v>
      </c>
    </row>
    <row r="21" spans="1:9" s="24" customFormat="1" ht="20.25" customHeight="1">
      <c r="A21" s="4" t="s">
        <v>35</v>
      </c>
      <c r="B21" s="15">
        <f t="shared" si="0"/>
        <v>7</v>
      </c>
      <c r="C21" s="27">
        <v>6</v>
      </c>
      <c r="D21" s="27">
        <v>1</v>
      </c>
      <c r="E21" s="4"/>
      <c r="F21" s="15">
        <f t="shared" si="1"/>
        <v>7</v>
      </c>
      <c r="G21" s="18">
        <v>5</v>
      </c>
      <c r="H21" s="18">
        <v>2</v>
      </c>
      <c r="I21" s="12" t="s">
        <v>36</v>
      </c>
    </row>
    <row r="22" spans="1:9" s="24" customFormat="1" ht="20.25" customHeight="1">
      <c r="A22" s="4" t="s">
        <v>37</v>
      </c>
      <c r="B22" s="15">
        <f t="shared" si="0"/>
        <v>1</v>
      </c>
      <c r="C22" s="27">
        <v>1</v>
      </c>
      <c r="D22" s="27">
        <v>0</v>
      </c>
      <c r="E22" s="4"/>
      <c r="F22" s="15">
        <f t="shared" si="1"/>
        <v>0</v>
      </c>
      <c r="G22" s="18">
        <v>0</v>
      </c>
      <c r="H22" s="18">
        <v>0</v>
      </c>
      <c r="I22" s="12" t="s">
        <v>38</v>
      </c>
    </row>
    <row r="23" spans="1:9" s="24" customFormat="1" ht="20.25" customHeight="1">
      <c r="A23" s="4" t="s">
        <v>39</v>
      </c>
      <c r="B23" s="15">
        <f t="shared" si="0"/>
        <v>1</v>
      </c>
      <c r="C23" s="27">
        <v>1</v>
      </c>
      <c r="D23" s="27">
        <v>0</v>
      </c>
      <c r="E23" s="4"/>
      <c r="F23" s="15">
        <f t="shared" si="1"/>
        <v>0</v>
      </c>
      <c r="G23" s="18">
        <v>0</v>
      </c>
      <c r="H23" s="18">
        <v>0</v>
      </c>
      <c r="I23" s="12" t="s">
        <v>40</v>
      </c>
    </row>
    <row r="24" spans="1:9" s="24" customFormat="1" ht="20.25" customHeight="1">
      <c r="A24" s="4" t="s">
        <v>41</v>
      </c>
      <c r="B24" s="15">
        <f t="shared" si="0"/>
        <v>5</v>
      </c>
      <c r="C24" s="27">
        <v>3</v>
      </c>
      <c r="D24" s="27">
        <v>2</v>
      </c>
      <c r="E24" s="4"/>
      <c r="F24" s="15">
        <f t="shared" si="1"/>
        <v>5</v>
      </c>
      <c r="G24" s="18">
        <v>2</v>
      </c>
      <c r="H24" s="18">
        <v>3</v>
      </c>
      <c r="I24" s="12" t="s">
        <v>42</v>
      </c>
    </row>
    <row r="25" spans="1:9" s="24" customFormat="1" ht="20.25" customHeight="1">
      <c r="A25" s="4" t="s">
        <v>43</v>
      </c>
      <c r="B25" s="15">
        <f t="shared" si="0"/>
        <v>37</v>
      </c>
      <c r="C25" s="27">
        <v>24</v>
      </c>
      <c r="D25" s="27">
        <v>13</v>
      </c>
      <c r="E25" s="4"/>
      <c r="F25" s="15">
        <f t="shared" si="1"/>
        <v>35</v>
      </c>
      <c r="G25" s="18">
        <v>25</v>
      </c>
      <c r="H25" s="18">
        <v>10</v>
      </c>
      <c r="I25" s="12" t="s">
        <v>44</v>
      </c>
    </row>
    <row r="26" spans="1:9" s="24" customFormat="1" ht="20.25" customHeight="1">
      <c r="A26" s="4" t="s">
        <v>96</v>
      </c>
      <c r="B26" s="15">
        <f>SUM($C26+$D26)</f>
        <v>6</v>
      </c>
      <c r="C26" s="27">
        <v>3</v>
      </c>
      <c r="D26" s="27">
        <v>3</v>
      </c>
      <c r="E26" s="4"/>
      <c r="F26" s="30" t="s">
        <v>100</v>
      </c>
      <c r="G26" s="30" t="s">
        <v>100</v>
      </c>
      <c r="H26" s="30" t="s">
        <v>100</v>
      </c>
      <c r="I26" s="12"/>
    </row>
    <row r="27" spans="1:9" s="24" customFormat="1" ht="20.25" customHeight="1">
      <c r="A27" s="4" t="s">
        <v>92</v>
      </c>
      <c r="B27" s="30" t="s">
        <v>100</v>
      </c>
      <c r="C27" s="30" t="s">
        <v>100</v>
      </c>
      <c r="D27" s="30" t="s">
        <v>100</v>
      </c>
      <c r="E27" s="4"/>
      <c r="F27" s="15">
        <f t="shared" si="1"/>
        <v>6</v>
      </c>
      <c r="G27" s="18">
        <v>4</v>
      </c>
      <c r="H27" s="18">
        <v>2</v>
      </c>
      <c r="I27" s="12" t="s">
        <v>82</v>
      </c>
    </row>
    <row r="28" spans="1:9" s="24" customFormat="1" ht="20.25" customHeight="1">
      <c r="A28" s="4" t="s">
        <v>45</v>
      </c>
      <c r="B28" s="15">
        <f t="shared" si="0"/>
        <v>1</v>
      </c>
      <c r="C28" s="27">
        <v>1</v>
      </c>
      <c r="D28" s="27">
        <v>0</v>
      </c>
      <c r="E28" s="4"/>
      <c r="F28" s="15">
        <f t="shared" si="1"/>
        <v>0</v>
      </c>
      <c r="G28" s="18">
        <v>0</v>
      </c>
      <c r="H28" s="18">
        <v>0</v>
      </c>
      <c r="I28" s="21" t="s">
        <v>46</v>
      </c>
    </row>
    <row r="29" spans="1:9" s="24" customFormat="1" ht="20.25" customHeight="1">
      <c r="A29" s="4" t="s">
        <v>47</v>
      </c>
      <c r="B29" s="15">
        <f t="shared" si="0"/>
        <v>7</v>
      </c>
      <c r="C29" s="27">
        <v>4</v>
      </c>
      <c r="D29" s="27">
        <v>3</v>
      </c>
      <c r="E29" s="4"/>
      <c r="F29" s="15">
        <f t="shared" si="1"/>
        <v>8</v>
      </c>
      <c r="G29" s="18">
        <v>5</v>
      </c>
      <c r="H29" s="18">
        <v>3</v>
      </c>
      <c r="I29" s="12" t="s">
        <v>48</v>
      </c>
    </row>
    <row r="30" spans="1:9" s="24" customFormat="1" ht="20.25" customHeight="1">
      <c r="A30" s="4" t="s">
        <v>49</v>
      </c>
      <c r="B30" s="15">
        <f t="shared" si="0"/>
        <v>6</v>
      </c>
      <c r="C30" s="27">
        <v>5</v>
      </c>
      <c r="D30" s="27">
        <v>1</v>
      </c>
      <c r="E30" s="4"/>
      <c r="F30" s="15">
        <f t="shared" si="1"/>
        <v>6</v>
      </c>
      <c r="G30" s="18">
        <v>5</v>
      </c>
      <c r="H30" s="18">
        <v>1</v>
      </c>
      <c r="I30" s="12" t="s">
        <v>50</v>
      </c>
    </row>
    <row r="31" spans="1:9" s="24" customFormat="1" ht="20.25" customHeight="1">
      <c r="A31" s="4" t="s">
        <v>51</v>
      </c>
      <c r="B31" s="15">
        <f t="shared" si="0"/>
        <v>5</v>
      </c>
      <c r="C31" s="27">
        <v>4</v>
      </c>
      <c r="D31" s="27">
        <v>1</v>
      </c>
      <c r="E31" s="4"/>
      <c r="F31" s="15">
        <f t="shared" si="1"/>
        <v>7</v>
      </c>
      <c r="G31" s="18">
        <v>6</v>
      </c>
      <c r="H31" s="18">
        <v>1</v>
      </c>
      <c r="I31" s="12" t="s">
        <v>52</v>
      </c>
    </row>
    <row r="32" spans="1:9" s="24" customFormat="1" ht="20.25" customHeight="1">
      <c r="A32" s="4" t="s">
        <v>53</v>
      </c>
      <c r="B32" s="15">
        <f t="shared" si="0"/>
        <v>1</v>
      </c>
      <c r="C32" s="27">
        <v>1</v>
      </c>
      <c r="D32" s="27">
        <v>0</v>
      </c>
      <c r="E32" s="4"/>
      <c r="F32" s="15">
        <f t="shared" si="1"/>
        <v>0</v>
      </c>
      <c r="G32" s="18">
        <v>0</v>
      </c>
      <c r="H32" s="18">
        <v>0</v>
      </c>
      <c r="I32" s="12" t="s">
        <v>54</v>
      </c>
    </row>
    <row r="33" spans="1:9" s="24" customFormat="1" ht="20.25" customHeight="1">
      <c r="A33" s="5" t="s">
        <v>55</v>
      </c>
      <c r="B33" s="15">
        <f t="shared" si="0"/>
        <v>6</v>
      </c>
      <c r="C33" s="27">
        <v>4</v>
      </c>
      <c r="D33" s="27">
        <v>2</v>
      </c>
      <c r="E33" s="5"/>
      <c r="F33" s="15">
        <f t="shared" si="1"/>
        <v>6</v>
      </c>
      <c r="G33" s="18">
        <v>5</v>
      </c>
      <c r="H33" s="18">
        <v>1</v>
      </c>
      <c r="I33" s="12" t="s">
        <v>56</v>
      </c>
    </row>
    <row r="34" spans="1:9" s="24" customFormat="1" ht="20.25" customHeight="1">
      <c r="A34" s="6" t="s">
        <v>97</v>
      </c>
      <c r="B34" s="15">
        <f t="shared" si="0"/>
        <v>13</v>
      </c>
      <c r="C34" s="27">
        <v>13</v>
      </c>
      <c r="D34" s="27">
        <v>0</v>
      </c>
      <c r="E34" s="5"/>
      <c r="F34" s="30" t="s">
        <v>100</v>
      </c>
      <c r="G34" s="30" t="s">
        <v>100</v>
      </c>
      <c r="H34" s="30" t="s">
        <v>100</v>
      </c>
      <c r="I34" s="12"/>
    </row>
    <row r="35" spans="1:9" s="24" customFormat="1" ht="20.25" customHeight="1">
      <c r="A35" s="6" t="s">
        <v>93</v>
      </c>
      <c r="B35" s="30" t="s">
        <v>100</v>
      </c>
      <c r="C35" s="30" t="s">
        <v>100</v>
      </c>
      <c r="D35" s="30" t="s">
        <v>100</v>
      </c>
      <c r="E35" s="6"/>
      <c r="F35" s="15">
        <f t="shared" si="1"/>
        <v>6</v>
      </c>
      <c r="G35" s="18">
        <v>6</v>
      </c>
      <c r="H35" s="18">
        <v>0</v>
      </c>
      <c r="I35" s="12" t="s">
        <v>83</v>
      </c>
    </row>
    <row r="36" spans="1:9" s="24" customFormat="1" ht="20.25" customHeight="1">
      <c r="A36" s="6" t="s">
        <v>57</v>
      </c>
      <c r="B36" s="15">
        <f t="shared" ref="B36:B38" si="2">SUM($C36+$D36)</f>
        <v>9</v>
      </c>
      <c r="C36" s="27">
        <v>7</v>
      </c>
      <c r="D36" s="27">
        <v>2</v>
      </c>
      <c r="E36" s="6"/>
      <c r="F36" s="15">
        <f t="shared" si="1"/>
        <v>4</v>
      </c>
      <c r="G36" s="18">
        <v>4</v>
      </c>
      <c r="H36" s="18">
        <v>0</v>
      </c>
      <c r="I36" s="12" t="s">
        <v>58</v>
      </c>
    </row>
    <row r="37" spans="1:9" s="24" customFormat="1" ht="20.25" customHeight="1">
      <c r="A37" s="6" t="s">
        <v>59</v>
      </c>
      <c r="B37" s="15">
        <f t="shared" si="2"/>
        <v>1</v>
      </c>
      <c r="C37" s="27">
        <v>1</v>
      </c>
      <c r="D37" s="27">
        <v>0</v>
      </c>
      <c r="E37" s="6"/>
      <c r="F37" s="15">
        <f t="shared" si="1"/>
        <v>2</v>
      </c>
      <c r="G37" s="18">
        <v>2</v>
      </c>
      <c r="H37" s="18">
        <v>0</v>
      </c>
      <c r="I37" s="12" t="s">
        <v>60</v>
      </c>
    </row>
    <row r="38" spans="1:9" s="24" customFormat="1" ht="20.25" customHeight="1">
      <c r="A38" s="5" t="s">
        <v>61</v>
      </c>
      <c r="B38" s="15">
        <f t="shared" si="2"/>
        <v>4</v>
      </c>
      <c r="C38" s="27">
        <v>4</v>
      </c>
      <c r="D38" s="27">
        <v>0</v>
      </c>
      <c r="E38" s="5"/>
      <c r="F38" s="15">
        <f t="shared" si="1"/>
        <v>8</v>
      </c>
      <c r="G38" s="18">
        <v>8</v>
      </c>
      <c r="H38" s="18">
        <v>0</v>
      </c>
      <c r="I38" s="12" t="s">
        <v>62</v>
      </c>
    </row>
    <row r="39" spans="1:9" s="24" customFormat="1" ht="20.25" customHeight="1">
      <c r="A39" s="5" t="s">
        <v>89</v>
      </c>
      <c r="B39" s="30" t="s">
        <v>100</v>
      </c>
      <c r="C39" s="30" t="s">
        <v>100</v>
      </c>
      <c r="D39" s="30" t="s">
        <v>100</v>
      </c>
      <c r="E39" s="5"/>
      <c r="F39" s="15">
        <f t="shared" si="1"/>
        <v>4</v>
      </c>
      <c r="G39" s="18">
        <v>3</v>
      </c>
      <c r="H39" s="18">
        <v>1</v>
      </c>
      <c r="I39" s="12" t="s">
        <v>84</v>
      </c>
    </row>
    <row r="40" spans="1:9" s="24" customFormat="1" ht="20.25" customHeight="1">
      <c r="A40" s="5" t="s">
        <v>90</v>
      </c>
      <c r="B40" s="30" t="s">
        <v>100</v>
      </c>
      <c r="C40" s="30" t="s">
        <v>100</v>
      </c>
      <c r="D40" s="30" t="s">
        <v>100</v>
      </c>
      <c r="E40" s="5"/>
      <c r="F40" s="15">
        <f t="shared" si="1"/>
        <v>5</v>
      </c>
      <c r="G40" s="18">
        <v>2</v>
      </c>
      <c r="H40" s="18">
        <v>3</v>
      </c>
      <c r="I40" s="12" t="s">
        <v>85</v>
      </c>
    </row>
    <row r="41" spans="1:9" s="24" customFormat="1" ht="20.25" customHeight="1">
      <c r="A41" s="5" t="s">
        <v>91</v>
      </c>
      <c r="B41" s="30" t="s">
        <v>100</v>
      </c>
      <c r="C41" s="30" t="s">
        <v>100</v>
      </c>
      <c r="D41" s="30" t="s">
        <v>100</v>
      </c>
      <c r="E41" s="5"/>
      <c r="F41" s="15">
        <f t="shared" si="1"/>
        <v>2</v>
      </c>
      <c r="G41" s="18">
        <v>2</v>
      </c>
      <c r="H41" s="18">
        <v>0</v>
      </c>
      <c r="I41" s="12" t="s">
        <v>86</v>
      </c>
    </row>
    <row r="42" spans="1:9" s="24" customFormat="1" ht="20.25" customHeight="1">
      <c r="A42" s="5" t="s">
        <v>63</v>
      </c>
      <c r="B42" s="15">
        <f t="shared" ref="B42" si="3">SUM($C42+$D42)</f>
        <v>1</v>
      </c>
      <c r="C42" s="27">
        <v>0</v>
      </c>
      <c r="D42" s="27">
        <v>1</v>
      </c>
      <c r="E42" s="5"/>
      <c r="F42" s="15">
        <f t="shared" si="1"/>
        <v>26</v>
      </c>
      <c r="G42" s="18">
        <v>8</v>
      </c>
      <c r="H42" s="18">
        <v>18</v>
      </c>
      <c r="I42" s="12" t="s">
        <v>87</v>
      </c>
    </row>
    <row r="43" spans="1:9" s="24" customFormat="1" ht="20.25" customHeight="1">
      <c r="A43" s="7" t="s">
        <v>64</v>
      </c>
      <c r="B43" s="7"/>
      <c r="C43" s="7"/>
      <c r="D43" s="7"/>
      <c r="E43" s="7"/>
      <c r="F43" s="15"/>
      <c r="G43" s="18"/>
      <c r="H43" s="18"/>
      <c r="I43" s="22" t="s">
        <v>65</v>
      </c>
    </row>
    <row r="44" spans="1:9" s="24" customFormat="1" ht="20.25" customHeight="1">
      <c r="A44" s="5" t="s">
        <v>66</v>
      </c>
      <c r="B44" s="15">
        <f t="shared" ref="B44:B50" si="4">SUM($C44+$D44)</f>
        <v>7</v>
      </c>
      <c r="C44" s="27">
        <v>6</v>
      </c>
      <c r="D44" s="27">
        <v>1</v>
      </c>
      <c r="E44" s="5"/>
      <c r="F44" s="36" t="s">
        <v>88</v>
      </c>
      <c r="G44" s="36"/>
      <c r="H44" s="36"/>
      <c r="I44" s="12" t="s">
        <v>67</v>
      </c>
    </row>
    <row r="45" spans="1:9" s="24" customFormat="1" ht="20.25" customHeight="1">
      <c r="A45" s="5" t="s">
        <v>68</v>
      </c>
      <c r="B45" s="15">
        <f t="shared" si="4"/>
        <v>6</v>
      </c>
      <c r="C45" s="27">
        <v>5</v>
      </c>
      <c r="D45" s="27">
        <v>1</v>
      </c>
      <c r="E45" s="5"/>
      <c r="F45" s="36" t="s">
        <v>88</v>
      </c>
      <c r="G45" s="36"/>
      <c r="H45" s="36"/>
      <c r="I45" s="12" t="s">
        <v>69</v>
      </c>
    </row>
    <row r="46" spans="1:9" s="24" customFormat="1" ht="20.25" customHeight="1">
      <c r="A46" s="5" t="s">
        <v>70</v>
      </c>
      <c r="B46" s="15">
        <f t="shared" si="4"/>
        <v>4</v>
      </c>
      <c r="C46" s="27">
        <v>4</v>
      </c>
      <c r="D46" s="27">
        <v>0</v>
      </c>
      <c r="E46" s="5"/>
      <c r="F46" s="36" t="s">
        <v>88</v>
      </c>
      <c r="G46" s="36"/>
      <c r="H46" s="36"/>
      <c r="I46" s="12" t="s">
        <v>71</v>
      </c>
    </row>
    <row r="47" spans="1:9" s="24" customFormat="1" ht="20.25" customHeight="1">
      <c r="A47" s="5" t="s">
        <v>72</v>
      </c>
      <c r="B47" s="15">
        <f t="shared" si="4"/>
        <v>6</v>
      </c>
      <c r="C47" s="27">
        <v>6</v>
      </c>
      <c r="D47" s="27">
        <v>0</v>
      </c>
      <c r="E47" s="5"/>
      <c r="F47" s="36" t="s">
        <v>88</v>
      </c>
      <c r="G47" s="36"/>
      <c r="H47" s="36"/>
      <c r="I47" s="12" t="s">
        <v>73</v>
      </c>
    </row>
    <row r="48" spans="1:9" s="24" customFormat="1" ht="20.25" customHeight="1">
      <c r="A48" s="5" t="s">
        <v>74</v>
      </c>
      <c r="B48" s="15">
        <f t="shared" si="4"/>
        <v>5</v>
      </c>
      <c r="C48" s="27">
        <v>5</v>
      </c>
      <c r="D48" s="27">
        <v>0</v>
      </c>
      <c r="E48" s="5"/>
      <c r="F48" s="36" t="s">
        <v>88</v>
      </c>
      <c r="G48" s="36"/>
      <c r="H48" s="36"/>
      <c r="I48" s="12" t="s">
        <v>75</v>
      </c>
    </row>
    <row r="49" spans="1:14" s="24" customFormat="1" ht="20.25" customHeight="1">
      <c r="A49" s="5" t="s">
        <v>76</v>
      </c>
      <c r="B49" s="15">
        <f t="shared" si="4"/>
        <v>3</v>
      </c>
      <c r="C49" s="27">
        <v>3</v>
      </c>
      <c r="D49" s="27">
        <v>0</v>
      </c>
      <c r="E49" s="5"/>
      <c r="F49" s="36" t="s">
        <v>88</v>
      </c>
      <c r="G49" s="36"/>
      <c r="H49" s="36"/>
      <c r="I49" s="12" t="s">
        <v>77</v>
      </c>
    </row>
    <row r="50" spans="1:14" s="24" customFormat="1" ht="20.25" customHeight="1">
      <c r="A50" s="8" t="s">
        <v>78</v>
      </c>
      <c r="B50" s="13">
        <f t="shared" si="4"/>
        <v>7</v>
      </c>
      <c r="C50" s="28">
        <v>7</v>
      </c>
      <c r="D50" s="28">
        <v>0</v>
      </c>
      <c r="E50" s="8"/>
      <c r="F50" s="34" t="s">
        <v>88</v>
      </c>
      <c r="G50" s="34"/>
      <c r="H50" s="34"/>
      <c r="I50" s="12" t="s">
        <v>79</v>
      </c>
    </row>
    <row r="51" spans="1:14" ht="18" customHeight="1">
      <c r="A51" s="9" t="s">
        <v>80</v>
      </c>
      <c r="B51" s="9"/>
      <c r="C51" s="9"/>
      <c r="D51" s="9"/>
      <c r="E51" s="9"/>
      <c r="F51" s="19"/>
      <c r="G51" s="1"/>
      <c r="H51" s="1"/>
      <c r="I51" s="23" t="s">
        <v>81</v>
      </c>
    </row>
    <row r="52" spans="1:14" ht="18" customHeight="1">
      <c r="A52" s="10"/>
      <c r="B52" s="10"/>
      <c r="C52" s="10"/>
      <c r="D52" s="10"/>
      <c r="E52" s="10"/>
    </row>
    <row r="54" spans="1:14">
      <c r="L54" s="11"/>
      <c r="M54" s="2">
        <v>2012</v>
      </c>
    </row>
    <row r="55" spans="1:14" ht="15">
      <c r="B55" s="2">
        <v>2011</v>
      </c>
      <c r="C55" s="2">
        <v>2012</v>
      </c>
      <c r="F55" s="2"/>
      <c r="L55" s="15" t="s">
        <v>5</v>
      </c>
      <c r="M55" s="15">
        <v>446</v>
      </c>
      <c r="N55" s="2">
        <f>M55/M55*100</f>
        <v>100</v>
      </c>
    </row>
    <row r="56" spans="1:14" ht="15">
      <c r="A56" s="15" t="s">
        <v>5</v>
      </c>
      <c r="B56" s="29">
        <v>544</v>
      </c>
      <c r="C56" s="15">
        <v>446</v>
      </c>
      <c r="F56" s="2"/>
      <c r="L56" s="15" t="s">
        <v>3</v>
      </c>
      <c r="M56" s="16">
        <v>301</v>
      </c>
      <c r="N56" s="31">
        <f>M56/M55*100</f>
        <v>67.488789237668158</v>
      </c>
    </row>
    <row r="57" spans="1:14" ht="15">
      <c r="A57" s="15" t="s">
        <v>3</v>
      </c>
      <c r="B57" s="29">
        <v>390</v>
      </c>
      <c r="C57" s="16">
        <v>301</v>
      </c>
      <c r="F57" s="2"/>
      <c r="L57" s="15" t="s">
        <v>4</v>
      </c>
      <c r="M57" s="16">
        <v>145</v>
      </c>
      <c r="N57" s="31">
        <f>M57/M55*100</f>
        <v>32.511210762331835</v>
      </c>
    </row>
    <row r="58" spans="1:14" ht="15">
      <c r="A58" s="15" t="s">
        <v>4</v>
      </c>
      <c r="B58" s="29">
        <v>154</v>
      </c>
      <c r="C58" s="16">
        <v>145</v>
      </c>
    </row>
  </sheetData>
  <mergeCells count="15">
    <mergeCell ref="F50:H50"/>
    <mergeCell ref="F14:H14"/>
    <mergeCell ref="F15:H15"/>
    <mergeCell ref="F49:H49"/>
    <mergeCell ref="A2:I2"/>
    <mergeCell ref="A3:I3"/>
    <mergeCell ref="A5:A7"/>
    <mergeCell ref="F5:H5"/>
    <mergeCell ref="I5:I7"/>
    <mergeCell ref="F44:H44"/>
    <mergeCell ref="F45:H45"/>
    <mergeCell ref="F46:H46"/>
    <mergeCell ref="F47:H47"/>
    <mergeCell ref="F48:H48"/>
    <mergeCell ref="B5:D5"/>
  </mergeCells>
  <pageMargins left="0.54" right="0.35" top="0.57999999999999996" bottom="0.75" header="0.3" footer="0.3"/>
  <pageSetup paperSize="9" scale="55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2013-07-02T06:58:57Z</dcterms:modified>
</cp:coreProperties>
</file>