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10" sheetId="10" r:id="rId1"/>
  </sheets>
  <calcPr calcId="124519"/>
</workbook>
</file>

<file path=xl/calcChain.xml><?xml version="1.0" encoding="utf-8"?>
<calcChain xmlns="http://schemas.openxmlformats.org/spreadsheetml/2006/main">
  <c r="K21" i="10"/>
  <c r="G21"/>
  <c r="E21"/>
  <c r="D21"/>
  <c r="C21"/>
  <c r="K20"/>
  <c r="G20"/>
  <c r="E20"/>
  <c r="D20"/>
  <c r="C20"/>
  <c r="K19"/>
  <c r="G19"/>
  <c r="E19"/>
  <c r="D19"/>
  <c r="C19"/>
  <c r="K18"/>
  <c r="G18"/>
  <c r="E18"/>
  <c r="D18"/>
  <c r="C18"/>
  <c r="K17"/>
  <c r="G17"/>
  <c r="E17"/>
  <c r="D17"/>
  <c r="C17"/>
  <c r="K16"/>
  <c r="G16"/>
  <c r="E16"/>
  <c r="D16"/>
  <c r="C16"/>
  <c r="K15"/>
  <c r="G15"/>
  <c r="E15"/>
  <c r="D15"/>
  <c r="C15"/>
  <c r="K14"/>
  <c r="G14"/>
  <c r="E14"/>
  <c r="D14"/>
  <c r="C14"/>
  <c r="K13"/>
  <c r="G13"/>
  <c r="E13"/>
  <c r="D13"/>
  <c r="C13"/>
  <c r="K12"/>
  <c r="G12"/>
  <c r="E12"/>
  <c r="D12"/>
  <c r="C12"/>
  <c r="K11"/>
  <c r="G11"/>
  <c r="E11"/>
  <c r="D11"/>
  <c r="C11"/>
  <c r="C10" s="1"/>
  <c r="M10"/>
  <c r="L10"/>
  <c r="K10"/>
  <c r="I10"/>
  <c r="H10"/>
  <c r="G10"/>
  <c r="E10"/>
  <c r="D10"/>
</calcChain>
</file>

<file path=xl/sharedStrings.xml><?xml version="1.0" encoding="utf-8"?>
<sst xmlns="http://schemas.openxmlformats.org/spreadsheetml/2006/main" count="69" uniqueCount="31">
  <si>
    <t>Republic</t>
  </si>
  <si>
    <t>Male'</t>
  </si>
  <si>
    <t>Atolls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</si>
  <si>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</si>
  <si>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</si>
  <si>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</si>
  <si>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</si>
  <si>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</si>
  <si>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</si>
  <si>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</si>
  <si>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</si>
  <si>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</si>
  <si>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</si>
  <si>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</si>
  <si>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</si>
  <si>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</si>
  <si>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</si>
  <si>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</si>
  <si>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</si>
  <si>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</si>
  <si>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</si>
  <si>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</si>
  <si>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</si>
  <si>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</si>
  <si>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Source: Civil Service Commision</t>
  </si>
  <si>
    <t>ދެޖިންސް</t>
  </si>
  <si>
    <t>އުމުރުފުރާ</t>
  </si>
  <si>
    <t>ތާވަލް 5.10: ސިވިލް ސަރވަންޓުން ބެހިފައިވާ ގޮތް، ޖިންސް އަދި އުމުރުފުރާއިން، 2012</t>
  </si>
  <si>
    <t>މަޢުލޫމާތު: ސިވިލް ސަރވިސް ކޮމިޝަން</t>
  </si>
  <si>
    <t>Table 5.10 :  CIVIL SERVANTS CLASSIFIED BY AGE AND SEX, 2012</t>
  </si>
  <si>
    <t>this graph is for Indicator sheet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</si>
</sst>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0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71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1" fillId="0" borderId="0"/>
    <xf numFmtId="0" fontId="3" fillId="0" borderId="0"/>
    <xf numFmtId="0" fontId="17" fillId="0" borderId="0"/>
  </cellStyleXfs>
  <cellXfs count="38">
    <xf numFmtId="0" fontId="0" fillId="0" borderId="0" xfId="0"/>
    <xf numFmtId="0" fontId="0" fillId="2" borderId="0" xfId="0" applyFill="1"/>
    <xf numFmtId="3" fontId="7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9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center" readingOrder="2"/>
    </xf>
    <xf numFmtId="0" fontId="8" fillId="2" borderId="1" xfId="2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0" xfId="0" applyFont="1" applyFill="1" applyBorder="1"/>
    <xf numFmtId="3" fontId="10" fillId="2" borderId="0" xfId="0" applyNumberFormat="1" applyFont="1" applyFill="1" applyBorder="1"/>
    <xf numFmtId="3" fontId="9" fillId="2" borderId="0" xfId="0" applyNumberFormat="1" applyFont="1" applyFill="1" applyBorder="1" applyProtection="1">
      <protection locked="0"/>
    </xf>
    <xf numFmtId="3" fontId="9" fillId="2" borderId="3" xfId="0" applyNumberFormat="1" applyFont="1" applyFill="1" applyBorder="1" applyProtection="1">
      <protection locked="0"/>
    </xf>
    <xf numFmtId="174" fontId="4" fillId="2" borderId="1" xfId="7" applyNumberFormat="1" applyFont="1" applyFill="1" applyBorder="1" applyAlignment="1" applyProtection="1">
      <alignment horizontal="center" vertical="center"/>
    </xf>
    <xf numFmtId="0" fontId="15" fillId="2" borderId="3" xfId="0" applyFont="1" applyFill="1" applyBorder="1" applyAlignment="1">
      <alignment horizontal="center" readingOrder="2"/>
    </xf>
    <xf numFmtId="0" fontId="10" fillId="2" borderId="3" xfId="0" applyFont="1" applyFill="1" applyBorder="1" applyAlignment="1">
      <alignment horizontal="center" vertical="center"/>
    </xf>
    <xf numFmtId="0" fontId="6" fillId="2" borderId="4" xfId="8" applyFont="1" applyFill="1" applyBorder="1"/>
    <xf numFmtId="0" fontId="6" fillId="2" borderId="0" xfId="8" applyFont="1" applyFill="1" applyBorder="1"/>
    <xf numFmtId="171" fontId="0" fillId="0" borderId="0" xfId="1" applyNumberFormat="1" applyFont="1"/>
    <xf numFmtId="0" fontId="10" fillId="2" borderId="1" xfId="0" applyFont="1" applyFill="1" applyBorder="1"/>
    <xf numFmtId="0" fontId="18" fillId="3" borderId="0" xfId="4" applyFont="1" applyFill="1" applyBorder="1" applyAlignment="1">
      <alignment vertical="center"/>
    </xf>
    <xf numFmtId="0" fontId="0" fillId="3" borderId="0" xfId="0" applyFill="1"/>
    <xf numFmtId="0" fontId="10" fillId="2" borderId="0" xfId="0" applyFont="1" applyFill="1" applyBorder="1" applyAlignment="1">
      <alignment horizontal="center" vertical="center"/>
    </xf>
    <xf numFmtId="164" fontId="10" fillId="2" borderId="5" xfId="1" applyNumberFormat="1" applyFont="1" applyFill="1" applyBorder="1" applyAlignment="1">
      <alignment horizontal="center" vertical="center"/>
    </xf>
    <xf numFmtId="0" fontId="16" fillId="2" borderId="0" xfId="5" applyFont="1" applyFill="1" applyBorder="1" applyAlignment="1">
      <alignment horizontal="center"/>
    </xf>
    <xf numFmtId="174" fontId="4" fillId="2" borderId="0" xfId="7" applyNumberFormat="1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center"/>
    </xf>
    <xf numFmtId="174" fontId="8" fillId="2" borderId="1" xfId="7" applyNumberFormat="1" applyFont="1" applyFill="1" applyBorder="1" applyAlignment="1" applyProtection="1">
      <alignment horizontal="center" vertical="center"/>
    </xf>
    <xf numFmtId="174" fontId="8" fillId="2" borderId="0" xfId="7" applyNumberFormat="1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</cellXfs>
  <cellStyles count="10">
    <cellStyle name="Comma" xfId="1" builtinId="3"/>
    <cellStyle name="Comma 3" xfId="3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9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Civil servants classified by age and sex, </a:t>
            </a:r>
            <a:r>
              <a:rPr lang="en-US">
                <a:solidFill>
                  <a:schemeClr val="tx1"/>
                </a:solidFill>
              </a:rPr>
              <a:t>201</a:t>
            </a:r>
            <a:r>
              <a:rPr lang="dv-MV">
                <a:solidFill>
                  <a:schemeClr val="tx1"/>
                </a:solidFill>
              </a:rPr>
              <a:t>2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389643723556641"/>
          <c:y val="2.7777711996526858E-2"/>
        </c:manualLayout>
      </c:layout>
    </c:title>
    <c:plotArea>
      <c:layout>
        <c:manualLayout>
          <c:layoutTarget val="inner"/>
          <c:xMode val="edge"/>
          <c:yMode val="edge"/>
          <c:x val="0.10359087297995824"/>
          <c:y val="0.15524314668999808"/>
          <c:w val="0.86831206444022058"/>
          <c:h val="0.67987794558998471"/>
        </c:manualLayout>
      </c:layout>
      <c:barChart>
        <c:barDir val="col"/>
        <c:grouping val="clustered"/>
        <c:ser>
          <c:idx val="0"/>
          <c:order val="0"/>
          <c:tx>
            <c:strRef>
              <c:f>'5.10'!$D$26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'5.10'!$C$27:$C$37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'5.10'!$D$27:$D$37</c:f>
              <c:numCache>
                <c:formatCode>#,##0</c:formatCode>
                <c:ptCount val="11"/>
                <c:pt idx="0">
                  <c:v>8</c:v>
                </c:pt>
                <c:pt idx="1">
                  <c:v>554</c:v>
                </c:pt>
                <c:pt idx="2">
                  <c:v>1534</c:v>
                </c:pt>
                <c:pt idx="3">
                  <c:v>1451</c:v>
                </c:pt>
                <c:pt idx="4">
                  <c:v>1208</c:v>
                </c:pt>
                <c:pt idx="5">
                  <c:v>1108</c:v>
                </c:pt>
                <c:pt idx="6">
                  <c:v>954</c:v>
                </c:pt>
                <c:pt idx="7">
                  <c:v>781</c:v>
                </c:pt>
                <c:pt idx="8">
                  <c:v>611</c:v>
                </c:pt>
                <c:pt idx="9">
                  <c:v>327</c:v>
                </c:pt>
                <c:pt idx="10">
                  <c:v>67</c:v>
                </c:pt>
              </c:numCache>
            </c:numRef>
          </c:val>
        </c:ser>
        <c:ser>
          <c:idx val="1"/>
          <c:order val="1"/>
          <c:tx>
            <c:strRef>
              <c:f>'5.10'!$E$26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'5.10'!$C$27:$C$37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'5.10'!$E$27:$E$37</c:f>
              <c:numCache>
                <c:formatCode>#,##0</c:formatCode>
                <c:ptCount val="11"/>
                <c:pt idx="0">
                  <c:v>12</c:v>
                </c:pt>
                <c:pt idx="1">
                  <c:v>736</c:v>
                </c:pt>
                <c:pt idx="2">
                  <c:v>2232</c:v>
                </c:pt>
                <c:pt idx="3">
                  <c:v>1873</c:v>
                </c:pt>
                <c:pt idx="4">
                  <c:v>1440</c:v>
                </c:pt>
                <c:pt idx="5">
                  <c:v>1123</c:v>
                </c:pt>
                <c:pt idx="6">
                  <c:v>776</c:v>
                </c:pt>
                <c:pt idx="7">
                  <c:v>448</c:v>
                </c:pt>
                <c:pt idx="8">
                  <c:v>282</c:v>
                </c:pt>
                <c:pt idx="9">
                  <c:v>114</c:v>
                </c:pt>
                <c:pt idx="10">
                  <c:v>18</c:v>
                </c:pt>
              </c:numCache>
            </c:numRef>
          </c:val>
        </c:ser>
        <c:gapWidth val="22"/>
        <c:overlap val="1"/>
        <c:axId val="91541888"/>
        <c:axId val="91543424"/>
      </c:barChart>
      <c:catAx>
        <c:axId val="91541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3424"/>
        <c:crosses val="autoZero"/>
        <c:auto val="1"/>
        <c:lblAlgn val="ctr"/>
        <c:lblOffset val="100"/>
      </c:catAx>
      <c:valAx>
        <c:axId val="91543424"/>
        <c:scaling>
          <c:orientation val="minMax"/>
        </c:scaling>
        <c:axPos val="l"/>
        <c:majorGridlines/>
        <c:numFmt formatCode="#,##0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1888"/>
        <c:crosses val="autoZero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72574132492113563"/>
          <c:y val="0.18017168906518263"/>
          <c:w val="0.2015174266007447"/>
          <c:h val="9.3692893651451933E-2"/>
        </c:manualLayout>
      </c:layout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>
                <a:latin typeface="+mn-lt"/>
              </a:defRPr>
            </a:pPr>
            <a:r>
              <a:rPr lang="en-US" sz="1050">
                <a:solidFill>
                  <a:schemeClr val="tx1"/>
                </a:solidFill>
                <a:latin typeface="+mn-lt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+mn-lt"/>
              </a:rPr>
              <a:t> 5: </a:t>
            </a:r>
            <a:r>
              <a:rPr lang="en-US" sz="1050" baseline="0">
                <a:latin typeface="+mn-lt"/>
              </a:rPr>
              <a:t>Number of civil servants by locaity &amp; sex, 2011 - 2012</a:t>
            </a:r>
            <a:endParaRPr lang="en-US" sz="1050">
              <a:latin typeface="+mn-lt"/>
            </a:endParaRPr>
          </a:p>
        </c:rich>
      </c:tx>
      <c:layout>
        <c:manualLayout>
          <c:xMode val="edge"/>
          <c:yMode val="edge"/>
          <c:x val="0.21490869345195382"/>
          <c:y val="4.6920811727802318E-2"/>
        </c:manualLayout>
      </c:layout>
    </c:title>
    <c:plotArea>
      <c:layout>
        <c:manualLayout>
          <c:layoutTarget val="inner"/>
          <c:xMode val="edge"/>
          <c:yMode val="edge"/>
          <c:x val="0.12706231903106194"/>
          <c:y val="0.14420107547532196"/>
          <c:w val="0.84892133551591364"/>
          <c:h val="0.54923212342359662"/>
        </c:manualLayout>
      </c:layout>
      <c:barChart>
        <c:barDir val="col"/>
        <c:grouping val="clustered"/>
        <c:ser>
          <c:idx val="0"/>
          <c:order val="0"/>
          <c:tx>
            <c:strRef>
              <c:f>'5.10'!$R$43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Lbls>
            <c:dLbl>
              <c:idx val="4"/>
              <c:layout>
                <c:manualLayout>
                  <c:x val="0"/>
                  <c:y val="1.6260162601625945E-2"/>
                </c:manualLayout>
              </c:layout>
              <c:spPr/>
              <c:txPr>
                <a:bodyPr rot="-5400000" vert="horz"/>
                <a:lstStyle/>
                <a:p>
                  <a:pPr>
                    <a:defRPr sz="700" b="0">
                      <a:solidFill>
                        <a:schemeClr val="tx1"/>
                      </a:solidFill>
                      <a:latin typeface="Times New Roman" pitchFamily="18" charset="0"/>
                      <a:cs typeface="Times New Roman" pitchFamily="18" charset="0"/>
                    </a:defRPr>
                  </a:pPr>
                  <a:endParaRPr lang="en-US"/>
                </a:p>
              </c:txPr>
              <c:dLblPos val="inEnd"/>
              <c:showVal val="1"/>
            </c:dLbl>
            <c:dLbl>
              <c:idx val="5"/>
              <c:layout>
                <c:manualLayout>
                  <c:x val="0"/>
                  <c:y val="2.4390243902438939E-2"/>
                </c:manualLayout>
              </c:layout>
              <c:dLblPos val="inEnd"/>
              <c:showVal val="1"/>
            </c:dLbl>
            <c:txPr>
              <a:bodyPr rot="-5400000" vert="horz"/>
              <a:lstStyle/>
              <a:p>
                <a:pPr>
                  <a:defRPr sz="700" b="0">
                    <a:solidFill>
                      <a:schemeClr val="bg1"/>
                    </a:solidFill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dLblPos val="inEnd"/>
            <c:showVal val="1"/>
          </c:dLbls>
          <c:cat>
            <c:multiLvlStrRef>
              <c:f>'5.10'!$S$41:$AA$42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'5.10'!$S$43:$AA$43</c:f>
              <c:numCache>
                <c:formatCode>_(* #,##0_);_(* \(#,##0\);_(* "-"??_);_(@_)</c:formatCode>
                <c:ptCount val="9"/>
                <c:pt idx="0">
                  <c:v>19125</c:v>
                </c:pt>
                <c:pt idx="1">
                  <c:v>9728</c:v>
                </c:pt>
                <c:pt idx="2">
                  <c:v>9397</c:v>
                </c:pt>
                <c:pt idx="3">
                  <c:v>6842</c:v>
                </c:pt>
                <c:pt idx="4">
                  <c:v>3309</c:v>
                </c:pt>
                <c:pt idx="5">
                  <c:v>3533</c:v>
                </c:pt>
                <c:pt idx="6">
                  <c:v>12283</c:v>
                </c:pt>
                <c:pt idx="7">
                  <c:v>6419</c:v>
                </c:pt>
                <c:pt idx="8">
                  <c:v>5864</c:v>
                </c:pt>
              </c:numCache>
            </c:numRef>
          </c:val>
        </c:ser>
        <c:ser>
          <c:idx val="1"/>
          <c:order val="1"/>
          <c:tx>
            <c:strRef>
              <c:f>'5.10'!$R$44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dLbl>
              <c:idx val="4"/>
              <c:layout>
                <c:manualLayout>
                  <c:x val="0"/>
                  <c:y val="2.0325203252032437E-2"/>
                </c:manualLayout>
              </c:layout>
              <c:dLblPos val="inEnd"/>
              <c:showVal val="1"/>
            </c:dLbl>
            <c:txPr>
              <a:bodyPr rot="-5400000" vert="horz"/>
              <a:lstStyle/>
              <a:p>
                <a:pPr>
                  <a:defRPr sz="700" b="0">
                    <a:latin typeface="Tahoma" pitchFamily="34" charset="0"/>
                    <a:cs typeface="Rod Transparent" pitchFamily="49" charset="-79"/>
                  </a:defRPr>
                </a:pPr>
                <a:endParaRPr lang="en-US"/>
              </a:p>
            </c:txPr>
            <c:dLblPos val="inEnd"/>
            <c:showVal val="1"/>
          </c:dLbls>
          <c:cat>
            <c:multiLvlStrRef>
              <c:f>'5.10'!$S$41:$AA$42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'5.10'!$S$44:$AA$44</c:f>
              <c:numCache>
                <c:formatCode>_(* #,##0_);_(* \(#,##0\);_(* "-"??_);_(@_)</c:formatCode>
                <c:ptCount val="9"/>
                <c:pt idx="0">
                  <c:v>17657</c:v>
                </c:pt>
                <c:pt idx="1">
                  <c:v>8603</c:v>
                </c:pt>
                <c:pt idx="2">
                  <c:v>9054</c:v>
                </c:pt>
                <c:pt idx="3">
                  <c:v>7540</c:v>
                </c:pt>
                <c:pt idx="4">
                  <c:v>3549</c:v>
                </c:pt>
                <c:pt idx="5">
                  <c:v>3991</c:v>
                </c:pt>
                <c:pt idx="6">
                  <c:v>10117</c:v>
                </c:pt>
                <c:pt idx="7">
                  <c:v>5054</c:v>
                </c:pt>
                <c:pt idx="8">
                  <c:v>5063</c:v>
                </c:pt>
              </c:numCache>
            </c:numRef>
          </c:val>
        </c:ser>
        <c:gapWidth val="63"/>
        <c:axId val="91569536"/>
        <c:axId val="91583616"/>
      </c:barChart>
      <c:catAx>
        <c:axId val="91569536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91583616"/>
        <c:crosses val="autoZero"/>
        <c:auto val="1"/>
        <c:lblAlgn val="ctr"/>
        <c:lblOffset val="100"/>
      </c:catAx>
      <c:valAx>
        <c:axId val="91583616"/>
        <c:scaling>
          <c:orientation val="minMax"/>
          <c:max val="20000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5974812847000315E-2"/>
              <c:y val="0.31101209909736965"/>
            </c:manualLayout>
          </c:layout>
        </c:title>
        <c:numFmt formatCode="_(* #,##0_);_(* \(#,##0\);_(* &quot;-&quot;??_);_(@_)" sourceLinked="1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1569536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233027248603595"/>
          <c:y val="0.20364189232443525"/>
          <c:w val="0.17066777367114822"/>
          <c:h val="5.5389351990825286E-2"/>
        </c:manualLayout>
      </c:layout>
      <c:txPr>
        <a:bodyPr/>
        <a:lstStyle/>
        <a:p>
          <a:pPr>
            <a:defRPr sz="1050" b="1"/>
          </a:pPr>
          <a:endParaRPr lang="en-US"/>
        </a:p>
      </c:txPr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428625</xdr:colOff>
      <xdr:row>27</xdr:row>
      <xdr:rowOff>152400</xdr:rowOff>
    </xdr:from>
    <xdr:to>
      <xdr:col>28</xdr:col>
      <xdr:colOff>66675</xdr:colOff>
      <xdr:row>41</xdr:row>
      <xdr:rowOff>19050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22</xdr:row>
      <xdr:rowOff>123825</xdr:rowOff>
    </xdr:from>
    <xdr:to>
      <xdr:col>12</xdr:col>
      <xdr:colOff>561975</xdr:colOff>
      <xdr:row>37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A44"/>
  <sheetViews>
    <sheetView tabSelected="1" workbookViewId="0">
      <selection activeCell="O22" sqref="O22"/>
    </sheetView>
  </sheetViews>
  <sheetFormatPr defaultRowHeight="1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14" width="6.28515625" style="1" customWidth="1"/>
    <col min="15" max="16384" width="9.140625" style="1"/>
  </cols>
  <sheetData>
    <row r="2" spans="1:14" ht="21">
      <c r="A2" s="30" t="s">
        <v>27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4">
      <c r="A3" s="31" t="s">
        <v>29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ht="13.5" customHeight="1">
      <c r="A5" s="34" t="s">
        <v>26</v>
      </c>
      <c r="B5" s="19"/>
      <c r="C5" s="32" t="s">
        <v>8</v>
      </c>
      <c r="D5" s="32"/>
      <c r="E5" s="32"/>
      <c r="F5" s="12"/>
      <c r="G5" s="32" t="s">
        <v>7</v>
      </c>
      <c r="H5" s="32"/>
      <c r="I5" s="32"/>
      <c r="J5" s="12"/>
      <c r="K5" s="32" t="s">
        <v>9</v>
      </c>
      <c r="L5" s="32"/>
      <c r="M5" s="32"/>
    </row>
    <row r="6" spans="1:14" ht="12" customHeight="1">
      <c r="A6" s="35"/>
      <c r="B6" s="7"/>
      <c r="C6" s="36" t="s">
        <v>0</v>
      </c>
      <c r="D6" s="36"/>
      <c r="E6" s="36"/>
      <c r="F6" s="7"/>
      <c r="G6" s="37" t="s">
        <v>1</v>
      </c>
      <c r="H6" s="37"/>
      <c r="I6" s="37"/>
      <c r="J6" s="7"/>
      <c r="K6" s="37" t="s">
        <v>2</v>
      </c>
      <c r="L6" s="37"/>
      <c r="M6" s="37"/>
    </row>
    <row r="7" spans="1:14">
      <c r="A7" s="28" t="s">
        <v>10</v>
      </c>
      <c r="B7" s="7"/>
      <c r="C7" s="8" t="s">
        <v>11</v>
      </c>
      <c r="D7" s="8" t="s">
        <v>5</v>
      </c>
      <c r="E7" s="8" t="s">
        <v>6</v>
      </c>
      <c r="F7" s="6"/>
      <c r="G7" s="8" t="s">
        <v>11</v>
      </c>
      <c r="H7" s="8" t="s">
        <v>5</v>
      </c>
      <c r="I7" s="8" t="s">
        <v>6</v>
      </c>
      <c r="J7" s="6"/>
      <c r="K7" s="8" t="s">
        <v>11</v>
      </c>
      <c r="L7" s="8" t="s">
        <v>5</v>
      </c>
      <c r="M7" s="8" t="s">
        <v>6</v>
      </c>
    </row>
    <row r="8" spans="1:14" ht="18.75">
      <c r="A8" s="33"/>
      <c r="B8" s="14"/>
      <c r="C8" s="20" t="s">
        <v>25</v>
      </c>
      <c r="D8" s="20" t="s">
        <v>3</v>
      </c>
      <c r="E8" s="20" t="s">
        <v>4</v>
      </c>
      <c r="F8" s="21"/>
      <c r="G8" s="20" t="s">
        <v>25</v>
      </c>
      <c r="H8" s="20" t="s">
        <v>3</v>
      </c>
      <c r="I8" s="20" t="s">
        <v>4</v>
      </c>
      <c r="J8" s="21"/>
      <c r="K8" s="20" t="s">
        <v>25</v>
      </c>
      <c r="L8" s="20" t="s">
        <v>3</v>
      </c>
      <c r="M8" s="20" t="s">
        <v>4</v>
      </c>
    </row>
    <row r="9" spans="1:14" s="3" customFormat="1" ht="15" customHeight="1">
      <c r="A9" s="6"/>
      <c r="B9" s="7"/>
      <c r="C9" s="11"/>
      <c r="D9" s="11"/>
      <c r="E9" s="11"/>
      <c r="F9" s="13"/>
      <c r="G9" s="11"/>
      <c r="H9" s="11"/>
      <c r="I9" s="11"/>
      <c r="J9" s="13"/>
      <c r="K9" s="11"/>
      <c r="L9" s="11"/>
      <c r="M9" s="11"/>
    </row>
    <row r="10" spans="1:14">
      <c r="A10" s="15" t="s">
        <v>12</v>
      </c>
      <c r="B10" s="15"/>
      <c r="C10" s="16">
        <f>SUM(C11:C21)</f>
        <v>17657</v>
      </c>
      <c r="D10" s="16">
        <f>SUM(D11:D21)</f>
        <v>8603</v>
      </c>
      <c r="E10" s="16">
        <f>SUM(E11:E21)</f>
        <v>9054</v>
      </c>
      <c r="F10" s="16"/>
      <c r="G10" s="16">
        <f>SUM(G11:G21)</f>
        <v>7540</v>
      </c>
      <c r="H10" s="16">
        <f>SUM(H11:H21)</f>
        <v>3549</v>
      </c>
      <c r="I10" s="16">
        <f>SUM(I11:I21)</f>
        <v>3991</v>
      </c>
      <c r="J10" s="16"/>
      <c r="K10" s="16">
        <f>SUM(K11:K21)</f>
        <v>10117</v>
      </c>
      <c r="L10" s="16">
        <f>SUM(L11:L21)</f>
        <v>5054</v>
      </c>
      <c r="M10" s="16">
        <f>SUM(M11:M21)</f>
        <v>5063</v>
      </c>
    </row>
    <row r="11" spans="1:14">
      <c r="A11" s="9" t="s">
        <v>13</v>
      </c>
      <c r="B11" s="9"/>
      <c r="C11" s="17">
        <f>D11+E11</f>
        <v>20</v>
      </c>
      <c r="D11" s="17">
        <f>H11+L11</f>
        <v>8</v>
      </c>
      <c r="E11" s="17">
        <f>I11+M11</f>
        <v>12</v>
      </c>
      <c r="F11" s="17"/>
      <c r="G11" s="17">
        <f>H11+I11</f>
        <v>9</v>
      </c>
      <c r="H11" s="17">
        <v>3</v>
      </c>
      <c r="I11" s="17">
        <v>6</v>
      </c>
      <c r="J11" s="17"/>
      <c r="K11" s="17">
        <f>L11+M11</f>
        <v>11</v>
      </c>
      <c r="L11" s="17">
        <v>5</v>
      </c>
      <c r="M11" s="17">
        <v>6</v>
      </c>
    </row>
    <row r="12" spans="1:14">
      <c r="A12" s="9" t="s">
        <v>14</v>
      </c>
      <c r="B12" s="9"/>
      <c r="C12" s="17">
        <f t="shared" ref="C12:C21" si="0">D12+E12</f>
        <v>1290</v>
      </c>
      <c r="D12" s="17">
        <f t="shared" ref="D12:E21" si="1">H12+L12</f>
        <v>554</v>
      </c>
      <c r="E12" s="17">
        <f t="shared" si="1"/>
        <v>736</v>
      </c>
      <c r="F12" s="17"/>
      <c r="G12" s="17">
        <f t="shared" ref="G12:G21" si="2">H12+I12</f>
        <v>627</v>
      </c>
      <c r="H12" s="17">
        <v>299</v>
      </c>
      <c r="I12" s="17">
        <v>328</v>
      </c>
      <c r="J12" s="17"/>
      <c r="K12" s="17">
        <f t="shared" ref="K12:K21" si="3">L12+M12</f>
        <v>663</v>
      </c>
      <c r="L12" s="17">
        <v>255</v>
      </c>
      <c r="M12" s="17">
        <v>408</v>
      </c>
    </row>
    <row r="13" spans="1:14">
      <c r="A13" s="9" t="s">
        <v>15</v>
      </c>
      <c r="B13" s="9"/>
      <c r="C13" s="17">
        <f t="shared" si="0"/>
        <v>3766</v>
      </c>
      <c r="D13" s="17">
        <f t="shared" si="1"/>
        <v>1534</v>
      </c>
      <c r="E13" s="17">
        <f t="shared" si="1"/>
        <v>2232</v>
      </c>
      <c r="F13" s="17"/>
      <c r="G13" s="17">
        <f t="shared" si="2"/>
        <v>1582</v>
      </c>
      <c r="H13" s="17">
        <v>747</v>
      </c>
      <c r="I13" s="17">
        <v>835</v>
      </c>
      <c r="J13" s="17"/>
      <c r="K13" s="17">
        <f t="shared" si="3"/>
        <v>2184</v>
      </c>
      <c r="L13" s="17">
        <v>787</v>
      </c>
      <c r="M13" s="17">
        <v>1397</v>
      </c>
    </row>
    <row r="14" spans="1:14">
      <c r="A14" s="9" t="s">
        <v>16</v>
      </c>
      <c r="B14" s="9"/>
      <c r="C14" s="17">
        <f t="shared" si="0"/>
        <v>3324</v>
      </c>
      <c r="D14" s="17">
        <f t="shared" si="1"/>
        <v>1451</v>
      </c>
      <c r="E14" s="17">
        <f t="shared" si="1"/>
        <v>1873</v>
      </c>
      <c r="F14" s="17"/>
      <c r="G14" s="17">
        <f t="shared" si="2"/>
        <v>1483</v>
      </c>
      <c r="H14" s="17">
        <v>678</v>
      </c>
      <c r="I14" s="17">
        <v>805</v>
      </c>
      <c r="J14" s="17"/>
      <c r="K14" s="17">
        <f t="shared" si="3"/>
        <v>1841</v>
      </c>
      <c r="L14" s="17">
        <v>773</v>
      </c>
      <c r="M14" s="17">
        <v>1068</v>
      </c>
    </row>
    <row r="15" spans="1:14">
      <c r="A15" s="9" t="s">
        <v>17</v>
      </c>
      <c r="B15" s="9"/>
      <c r="C15" s="17">
        <f t="shared" si="0"/>
        <v>2648</v>
      </c>
      <c r="D15" s="17">
        <f t="shared" si="1"/>
        <v>1208</v>
      </c>
      <c r="E15" s="17">
        <f t="shared" si="1"/>
        <v>1440</v>
      </c>
      <c r="F15" s="17"/>
      <c r="G15" s="17">
        <f t="shared" si="2"/>
        <v>1100</v>
      </c>
      <c r="H15" s="17">
        <v>465</v>
      </c>
      <c r="I15" s="17">
        <v>635</v>
      </c>
      <c r="J15" s="17"/>
      <c r="K15" s="17">
        <f t="shared" si="3"/>
        <v>1548</v>
      </c>
      <c r="L15" s="17">
        <v>743</v>
      </c>
      <c r="M15" s="17">
        <v>805</v>
      </c>
    </row>
    <row r="16" spans="1:14">
      <c r="A16" s="9" t="s">
        <v>18</v>
      </c>
      <c r="B16" s="9"/>
      <c r="C16" s="17">
        <f t="shared" si="0"/>
        <v>2231</v>
      </c>
      <c r="D16" s="17">
        <f t="shared" si="1"/>
        <v>1108</v>
      </c>
      <c r="E16" s="17">
        <f t="shared" si="1"/>
        <v>1123</v>
      </c>
      <c r="F16" s="17"/>
      <c r="G16" s="17">
        <f t="shared" si="2"/>
        <v>962</v>
      </c>
      <c r="H16" s="17">
        <v>418</v>
      </c>
      <c r="I16" s="17">
        <v>544</v>
      </c>
      <c r="J16" s="17"/>
      <c r="K16" s="17">
        <f t="shared" si="3"/>
        <v>1269</v>
      </c>
      <c r="L16" s="17">
        <v>690</v>
      </c>
      <c r="M16" s="17">
        <v>579</v>
      </c>
    </row>
    <row r="17" spans="1:22">
      <c r="A17" s="9" t="s">
        <v>19</v>
      </c>
      <c r="B17" s="9"/>
      <c r="C17" s="17">
        <f t="shared" si="0"/>
        <v>1730</v>
      </c>
      <c r="D17" s="17">
        <f t="shared" si="1"/>
        <v>954</v>
      </c>
      <c r="E17" s="17">
        <f t="shared" si="1"/>
        <v>776</v>
      </c>
      <c r="F17" s="17"/>
      <c r="G17" s="17">
        <f t="shared" si="2"/>
        <v>762</v>
      </c>
      <c r="H17" s="17">
        <v>361</v>
      </c>
      <c r="I17" s="17">
        <v>401</v>
      </c>
      <c r="J17" s="17"/>
      <c r="K17" s="17">
        <f t="shared" si="3"/>
        <v>968</v>
      </c>
      <c r="L17" s="17">
        <v>593</v>
      </c>
      <c r="M17" s="17">
        <v>375</v>
      </c>
    </row>
    <row r="18" spans="1:22">
      <c r="A18" s="9" t="s">
        <v>20</v>
      </c>
      <c r="B18" s="9"/>
      <c r="C18" s="17">
        <f t="shared" si="0"/>
        <v>1229</v>
      </c>
      <c r="D18" s="17">
        <f t="shared" si="1"/>
        <v>781</v>
      </c>
      <c r="E18" s="17">
        <f t="shared" si="1"/>
        <v>448</v>
      </c>
      <c r="F18" s="17"/>
      <c r="G18" s="17">
        <f t="shared" si="2"/>
        <v>516</v>
      </c>
      <c r="H18" s="17">
        <v>280</v>
      </c>
      <c r="I18" s="17">
        <v>236</v>
      </c>
      <c r="J18" s="17"/>
      <c r="K18" s="17">
        <f t="shared" si="3"/>
        <v>713</v>
      </c>
      <c r="L18" s="17">
        <v>501</v>
      </c>
      <c r="M18" s="17">
        <v>212</v>
      </c>
    </row>
    <row r="19" spans="1:22">
      <c r="A19" s="9" t="s">
        <v>21</v>
      </c>
      <c r="B19" s="9"/>
      <c r="C19" s="17">
        <f t="shared" si="0"/>
        <v>893</v>
      </c>
      <c r="D19" s="17">
        <f t="shared" si="1"/>
        <v>611</v>
      </c>
      <c r="E19" s="17">
        <f t="shared" si="1"/>
        <v>282</v>
      </c>
      <c r="F19" s="17"/>
      <c r="G19" s="17">
        <f t="shared" si="2"/>
        <v>326</v>
      </c>
      <c r="H19" s="17">
        <v>183</v>
      </c>
      <c r="I19" s="17">
        <v>143</v>
      </c>
      <c r="J19" s="17"/>
      <c r="K19" s="17">
        <f t="shared" si="3"/>
        <v>567</v>
      </c>
      <c r="L19" s="17">
        <v>428</v>
      </c>
      <c r="M19" s="17">
        <v>139</v>
      </c>
    </row>
    <row r="20" spans="1:22">
      <c r="A20" s="9" t="s">
        <v>22</v>
      </c>
      <c r="B20" s="9"/>
      <c r="C20" s="17">
        <f t="shared" si="0"/>
        <v>441</v>
      </c>
      <c r="D20" s="17">
        <f t="shared" si="1"/>
        <v>327</v>
      </c>
      <c r="E20" s="17">
        <f t="shared" si="1"/>
        <v>114</v>
      </c>
      <c r="F20" s="17"/>
      <c r="G20" s="17">
        <f t="shared" si="2"/>
        <v>148</v>
      </c>
      <c r="H20" s="17">
        <v>96</v>
      </c>
      <c r="I20" s="17">
        <v>52</v>
      </c>
      <c r="J20" s="17"/>
      <c r="K20" s="17">
        <f t="shared" si="3"/>
        <v>293</v>
      </c>
      <c r="L20" s="17">
        <v>231</v>
      </c>
      <c r="M20" s="17">
        <v>62</v>
      </c>
    </row>
    <row r="21" spans="1:22">
      <c r="A21" s="10" t="s">
        <v>23</v>
      </c>
      <c r="B21" s="10"/>
      <c r="C21" s="18">
        <f t="shared" si="0"/>
        <v>85</v>
      </c>
      <c r="D21" s="18">
        <f t="shared" si="1"/>
        <v>67</v>
      </c>
      <c r="E21" s="18">
        <f t="shared" si="1"/>
        <v>18</v>
      </c>
      <c r="F21" s="18"/>
      <c r="G21" s="18">
        <f t="shared" si="2"/>
        <v>25</v>
      </c>
      <c r="H21" s="18">
        <v>19</v>
      </c>
      <c r="I21" s="18">
        <v>6</v>
      </c>
      <c r="J21" s="18"/>
      <c r="K21" s="18">
        <f t="shared" si="3"/>
        <v>60</v>
      </c>
      <c r="L21" s="18">
        <v>48</v>
      </c>
      <c r="M21" s="18">
        <v>12</v>
      </c>
    </row>
    <row r="22" spans="1:22" s="5" customFormat="1" ht="17.25">
      <c r="A22" s="22" t="s">
        <v>24</v>
      </c>
      <c r="B22" s="23"/>
      <c r="C22" s="4"/>
      <c r="D22" s="4"/>
      <c r="E22" s="4"/>
      <c r="F22" s="4"/>
      <c r="G22" s="4"/>
      <c r="H22" s="4"/>
      <c r="I22" s="4"/>
      <c r="M22" s="2" t="s">
        <v>28</v>
      </c>
    </row>
    <row r="26" spans="1:22">
      <c r="C26" s="7" t="s">
        <v>10</v>
      </c>
      <c r="D26" s="1" t="s">
        <v>5</v>
      </c>
      <c r="E26" s="1" t="s">
        <v>6</v>
      </c>
    </row>
    <row r="27" spans="1:22">
      <c r="C27" s="9" t="s">
        <v>13</v>
      </c>
      <c r="D27" s="17">
        <v>8</v>
      </c>
      <c r="E27" s="17">
        <v>12</v>
      </c>
      <c r="T27" s="26" t="s">
        <v>30</v>
      </c>
      <c r="U27" s="27"/>
      <c r="V27" s="27"/>
    </row>
    <row r="28" spans="1:22">
      <c r="C28" s="9" t="s">
        <v>14</v>
      </c>
      <c r="D28" s="17">
        <v>554</v>
      </c>
      <c r="E28" s="17">
        <v>736</v>
      </c>
    </row>
    <row r="29" spans="1:22">
      <c r="C29" s="9" t="s">
        <v>15</v>
      </c>
      <c r="D29" s="17">
        <v>1534</v>
      </c>
      <c r="E29" s="17">
        <v>2232</v>
      </c>
    </row>
    <row r="30" spans="1:22">
      <c r="C30" s="9" t="s">
        <v>16</v>
      </c>
      <c r="D30" s="17">
        <v>1451</v>
      </c>
      <c r="E30" s="17">
        <v>1873</v>
      </c>
    </row>
    <row r="31" spans="1:22">
      <c r="C31" s="9" t="s">
        <v>17</v>
      </c>
      <c r="D31" s="17">
        <v>1208</v>
      </c>
      <c r="E31" s="17">
        <v>1440</v>
      </c>
    </row>
    <row r="32" spans="1:22">
      <c r="C32" s="9" t="s">
        <v>18</v>
      </c>
      <c r="D32" s="17">
        <v>1108</v>
      </c>
      <c r="E32" s="17">
        <v>1123</v>
      </c>
    </row>
    <row r="33" spans="3:27">
      <c r="C33" s="9" t="s">
        <v>19</v>
      </c>
      <c r="D33" s="17">
        <v>954</v>
      </c>
      <c r="E33" s="17">
        <v>776</v>
      </c>
    </row>
    <row r="34" spans="3:27">
      <c r="C34" s="9" t="s">
        <v>20</v>
      </c>
      <c r="D34" s="17">
        <v>781</v>
      </c>
      <c r="E34" s="17">
        <v>448</v>
      </c>
    </row>
    <row r="35" spans="3:27">
      <c r="C35" s="9" t="s">
        <v>21</v>
      </c>
      <c r="D35" s="17">
        <v>611</v>
      </c>
      <c r="E35" s="17">
        <v>282</v>
      </c>
    </row>
    <row r="36" spans="3:27">
      <c r="C36" s="9" t="s">
        <v>22</v>
      </c>
      <c r="D36" s="17">
        <v>327</v>
      </c>
      <c r="E36" s="17">
        <v>114</v>
      </c>
    </row>
    <row r="37" spans="3:27">
      <c r="C37" s="10" t="s">
        <v>23</v>
      </c>
      <c r="D37" s="18">
        <v>67</v>
      </c>
      <c r="E37" s="18">
        <v>18</v>
      </c>
    </row>
    <row r="41" spans="3:27">
      <c r="R41"/>
      <c r="S41" s="29" t="s">
        <v>0</v>
      </c>
      <c r="T41" s="29"/>
      <c r="U41" s="29"/>
      <c r="V41" s="29" t="s">
        <v>1</v>
      </c>
      <c r="W41" s="29"/>
      <c r="X41" s="29"/>
      <c r="Y41" s="29" t="s">
        <v>2</v>
      </c>
      <c r="Z41" s="29"/>
      <c r="AA41" s="29"/>
    </row>
    <row r="42" spans="3:27">
      <c r="R42" s="7"/>
      <c r="S42" s="8" t="s">
        <v>11</v>
      </c>
      <c r="T42" s="8" t="s">
        <v>5</v>
      </c>
      <c r="U42" s="8" t="s">
        <v>6</v>
      </c>
      <c r="V42" s="8" t="s">
        <v>11</v>
      </c>
      <c r="W42" s="8" t="s">
        <v>5</v>
      </c>
      <c r="X42" s="8" t="s">
        <v>6</v>
      </c>
      <c r="Y42" s="8" t="s">
        <v>11</v>
      </c>
      <c r="Z42" s="8" t="s">
        <v>5</v>
      </c>
      <c r="AA42" s="8" t="s">
        <v>6</v>
      </c>
    </row>
    <row r="43" spans="3:27">
      <c r="R43" s="25">
        <v>2011</v>
      </c>
      <c r="S43" s="24">
        <v>19125</v>
      </c>
      <c r="T43" s="24">
        <v>9728</v>
      </c>
      <c r="U43" s="24">
        <v>9397</v>
      </c>
      <c r="V43" s="24">
        <v>6842</v>
      </c>
      <c r="W43" s="24">
        <v>3309</v>
      </c>
      <c r="X43" s="24">
        <v>3533</v>
      </c>
      <c r="Y43" s="24">
        <v>12283</v>
      </c>
      <c r="Z43" s="24">
        <v>6419</v>
      </c>
      <c r="AA43" s="24">
        <v>5864</v>
      </c>
    </row>
    <row r="44" spans="3:27">
      <c r="R44">
        <v>2012</v>
      </c>
      <c r="S44" s="24">
        <v>17657</v>
      </c>
      <c r="T44" s="24">
        <v>8603</v>
      </c>
      <c r="U44" s="24">
        <v>9054</v>
      </c>
      <c r="V44" s="24">
        <v>7540</v>
      </c>
      <c r="W44" s="24">
        <v>3549</v>
      </c>
      <c r="X44" s="24">
        <v>3991</v>
      </c>
      <c r="Y44" s="24">
        <v>10117</v>
      </c>
      <c r="Z44" s="24">
        <v>5054</v>
      </c>
      <c r="AA44" s="24">
        <v>5063</v>
      </c>
    </row>
  </sheetData>
  <mergeCells count="14">
    <mergeCell ref="S41:U41"/>
    <mergeCell ref="V41:X41"/>
    <mergeCell ref="Y41:AA41"/>
    <mergeCell ref="A7:A8"/>
    <mergeCell ref="A5:A6"/>
    <mergeCell ref="C6:E6"/>
    <mergeCell ref="G6:I6"/>
    <mergeCell ref="K6:M6"/>
    <mergeCell ref="A2:M2"/>
    <mergeCell ref="A3:M3"/>
    <mergeCell ref="C5:E5"/>
    <mergeCell ref="G5:I5"/>
    <mergeCell ref="K5:M5"/>
    <mergeCell ref="A4:N4"/>
  </mergeCells>
  <pageMargins left="0.7" right="0.7" top="0.75" bottom="0.75" header="0.3" footer="0.3"/>
  <pageSetup paperSize="9" scale="84" orientation="portrait" r:id="rId1"/>
  <ignoredErrors>
    <ignoredError sqref="C11:M2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5.10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2013-07-02T06:56:53Z</dcterms:modified>
</cp:coreProperties>
</file>