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3215" windowHeight="7110" tabRatio="758"/>
  </bookViews>
  <sheets>
    <sheet name="5.9" sheetId="9" r:id="rId1"/>
  </sheets>
  <definedNames>
    <definedName name="_xlnm.Print_Area" localSheetId="0">'5.9'!$A$1:$O$70</definedName>
  </definedNames>
  <calcPr calcId="124519"/>
</workbook>
</file>

<file path=xl/calcChain.xml><?xml version="1.0" encoding="utf-8"?>
<calcChain xmlns="http://schemas.openxmlformats.org/spreadsheetml/2006/main">
  <c r="U63" i="9"/>
  <c r="T63"/>
  <c r="E10"/>
  <c r="E9" s="1"/>
  <c r="F10"/>
  <c r="F9" s="1"/>
  <c r="H11"/>
  <c r="H10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11"/>
  <c r="L10"/>
  <c r="H9"/>
  <c r="I9"/>
  <c r="J9"/>
  <c r="N9"/>
  <c r="M9"/>
  <c r="L9"/>
  <c r="F53"/>
  <c r="E53"/>
  <c r="D53" s="1"/>
  <c r="E52"/>
  <c r="D52" s="1"/>
  <c r="E51"/>
  <c r="D51" s="1"/>
  <c r="F50"/>
  <c r="E50"/>
  <c r="D50" s="1"/>
  <c r="E49"/>
  <c r="D49" s="1"/>
  <c r="F48"/>
  <c r="E48"/>
  <c r="D48" s="1"/>
  <c r="E47"/>
  <c r="D47" s="1"/>
  <c r="F46"/>
  <c r="E46"/>
  <c r="D46" s="1"/>
  <c r="F45"/>
  <c r="E45"/>
  <c r="D45" s="1"/>
  <c r="E44"/>
  <c r="D44" s="1"/>
  <c r="F43"/>
  <c r="D43" s="1"/>
  <c r="F42"/>
  <c r="E42"/>
  <c r="D42" s="1"/>
  <c r="F41"/>
  <c r="E41"/>
  <c r="D41" s="1"/>
  <c r="E40"/>
  <c r="D40" s="1"/>
  <c r="F39"/>
  <c r="E39"/>
  <c r="D39" s="1"/>
  <c r="E38"/>
  <c r="D38" s="1"/>
  <c r="F37"/>
  <c r="E37"/>
  <c r="D37" s="1"/>
  <c r="F36"/>
  <c r="D36" s="1"/>
  <c r="F35"/>
  <c r="E35"/>
  <c r="D35" s="1"/>
  <c r="F34"/>
  <c r="E34"/>
  <c r="D34" s="1"/>
  <c r="F33"/>
  <c r="E33"/>
  <c r="D33" s="1"/>
  <c r="E32"/>
  <c r="D32" s="1"/>
  <c r="F31"/>
  <c r="E31"/>
  <c r="D31" s="1"/>
  <c r="E30"/>
  <c r="D30" s="1"/>
  <c r="F29"/>
  <c r="E29"/>
  <c r="D29" s="1"/>
  <c r="F28"/>
  <c r="E28"/>
  <c r="D28" s="1"/>
  <c r="F27"/>
  <c r="E27"/>
  <c r="D27" s="1"/>
  <c r="F26"/>
  <c r="E26"/>
  <c r="D26" s="1"/>
  <c r="F25"/>
  <c r="E25"/>
  <c r="D25" s="1"/>
  <c r="F24"/>
  <c r="E24"/>
  <c r="D24" s="1"/>
  <c r="F23"/>
  <c r="E23"/>
  <c r="D23" s="1"/>
  <c r="F22"/>
  <c r="E22"/>
  <c r="D22" s="1"/>
  <c r="F21"/>
  <c r="E21"/>
  <c r="D21" s="1"/>
  <c r="F20"/>
  <c r="E20"/>
  <c r="D20" s="1"/>
  <c r="F19"/>
  <c r="E19"/>
  <c r="D19" s="1"/>
  <c r="F18"/>
  <c r="E18"/>
  <c r="D18" s="1"/>
  <c r="F17"/>
  <c r="E17"/>
  <c r="D17" s="1"/>
  <c r="F16"/>
  <c r="E16"/>
  <c r="D16" s="1"/>
  <c r="F15"/>
  <c r="E15"/>
  <c r="D15" s="1"/>
  <c r="F14"/>
  <c r="E14"/>
  <c r="D14" s="1"/>
  <c r="F13"/>
  <c r="E13"/>
  <c r="D13" s="1"/>
  <c r="F12"/>
  <c r="E12"/>
  <c r="D12" s="1"/>
  <c r="F11"/>
  <c r="E11"/>
  <c r="D11" s="1"/>
  <c r="D9" l="1"/>
  <c r="D10"/>
</calcChain>
</file>

<file path=xl/sharedStrings.xml><?xml version="1.0" encoding="utf-8"?>
<sst xmlns="http://schemas.openxmlformats.org/spreadsheetml/2006/main" count="96" uniqueCount="71">
  <si>
    <t>Total</t>
  </si>
  <si>
    <t>Republic</t>
  </si>
  <si>
    <t>Male'</t>
  </si>
  <si>
    <t>Atolls</t>
  </si>
  <si>
    <t>ފިރިހެން</t>
  </si>
  <si>
    <t>އަންހެން</t>
  </si>
  <si>
    <t>Male</t>
  </si>
  <si>
    <t>Female</t>
  </si>
  <si>
    <t>Rank</t>
  </si>
  <si>
    <t>Basic Salary</t>
  </si>
  <si>
    <t>Both Sexes</t>
  </si>
  <si>
    <t xml:space="preserve">SS1   </t>
  </si>
  <si>
    <t xml:space="preserve">SS2   </t>
  </si>
  <si>
    <t xml:space="preserve">GS1   </t>
  </si>
  <si>
    <t xml:space="preserve">SS3   </t>
  </si>
  <si>
    <t xml:space="preserve">GS2   </t>
  </si>
  <si>
    <t xml:space="preserve">SS4   </t>
  </si>
  <si>
    <t xml:space="preserve">GS3   </t>
  </si>
  <si>
    <t xml:space="preserve">GS4   </t>
  </si>
  <si>
    <t>CS3-1</t>
  </si>
  <si>
    <t xml:space="preserve">MS1   </t>
  </si>
  <si>
    <t>CS3-2</t>
  </si>
  <si>
    <t>CS4-1</t>
  </si>
  <si>
    <t xml:space="preserve">MS2   </t>
  </si>
  <si>
    <t>CS4-2</t>
  </si>
  <si>
    <t>CS4-3</t>
  </si>
  <si>
    <t xml:space="preserve">AGL1  </t>
  </si>
  <si>
    <t xml:space="preserve">MS3   </t>
  </si>
  <si>
    <t>CS5-2</t>
  </si>
  <si>
    <t>CS3-3</t>
  </si>
  <si>
    <t>CS5-3</t>
  </si>
  <si>
    <t>CS6-1</t>
  </si>
  <si>
    <t xml:space="preserve">MS4   </t>
  </si>
  <si>
    <t>CS6-2</t>
  </si>
  <si>
    <t>CS5-1</t>
  </si>
  <si>
    <t xml:space="preserve">EX1   </t>
  </si>
  <si>
    <t xml:space="preserve">AGL3  </t>
  </si>
  <si>
    <t xml:space="preserve">AGL4  </t>
  </si>
  <si>
    <t xml:space="preserve">EX2   </t>
  </si>
  <si>
    <t xml:space="preserve">AGL6  </t>
  </si>
  <si>
    <t xml:space="preserve">EX3   </t>
  </si>
  <si>
    <t>CS10-2</t>
  </si>
  <si>
    <t>CS11-2</t>
  </si>
  <si>
    <t xml:space="preserve">EX4   </t>
  </si>
  <si>
    <t xml:space="preserve">AGL11 </t>
  </si>
  <si>
    <t>CS12-2</t>
  </si>
  <si>
    <t xml:space="preserve">EX5   </t>
  </si>
  <si>
    <t>CS13-1</t>
  </si>
  <si>
    <t>CS13-2</t>
  </si>
  <si>
    <t xml:space="preserve">EX6   </t>
  </si>
  <si>
    <t>CS14-2</t>
  </si>
  <si>
    <t xml:space="preserve">EX7   </t>
  </si>
  <si>
    <t>CS15-2</t>
  </si>
  <si>
    <t xml:space="preserve">EX8   </t>
  </si>
  <si>
    <t xml:space="preserve">ZV7   </t>
  </si>
  <si>
    <t>Source: Civil Service Commision</t>
  </si>
  <si>
    <t>ދެޖިންސް</t>
  </si>
  <si>
    <t>މުވައްޒަފުންގެ އަދަދު</t>
  </si>
  <si>
    <t>No. of Employees</t>
  </si>
  <si>
    <t>ބޭސިކް މުސާރަ</t>
  </si>
  <si>
    <t>ރޭންކް</t>
  </si>
  <si>
    <t>No: of Employee</t>
  </si>
  <si>
    <t>ތާވަލް 5.9: ސިވިލް ސަރވިސްގައި ވަޒީފާއަދާކުރާ މުވައްޒަފުން، ރޭންކު އަދި ބޭސިކް މުސާރަ، 2012</t>
  </si>
  <si>
    <t>މަޢުލޫމާތު: ސިވިލް ސަރވިސް ކޮމިޝަން</t>
  </si>
  <si>
    <t>Table 5.9 :  CIVIL SERVANTS CLASSIFIED BY JOB RANK AND BASIC SALARY, 2012</t>
  </si>
  <si>
    <r>
      <t xml:space="preserve">Note:  </t>
    </r>
    <r>
      <rPr>
        <sz val="9"/>
        <color theme="1"/>
        <rFont val="Calibri"/>
        <family val="2"/>
        <scheme val="minor"/>
      </rPr>
      <t>Highest 10 job ranks</t>
    </r>
  </si>
  <si>
    <t>15,000 - 20,500</t>
  </si>
  <si>
    <t>10,000 - 14, 999</t>
  </si>
  <si>
    <t>5,000 - 9,999</t>
  </si>
  <si>
    <t>Less than 5,000</t>
  </si>
  <si>
    <t>Salary Range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</si>
</sst>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-* #,##0\ _ރ_._-;_-* #,##0\ _ރ_.\-;_-* &quot;-&quot;??\ _ރ_._-;_-@_-"/>
    <numFmt numFmtId="171" formatCode="_(* #,##0_);_(* \(#,##0\);_(* &quot;-&quot;??_);_(@_)"/>
    <numFmt numFmtId="174" formatCode="General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ourier"/>
      <family val="3"/>
    </font>
    <font>
      <b/>
      <sz val="10"/>
      <color theme="1"/>
      <name val="Faruma"/>
    </font>
    <font>
      <b/>
      <sz val="11"/>
      <name val="A_Reethi"/>
    </font>
    <font>
      <b/>
      <sz val="12"/>
      <name val="Calibri"/>
      <family val="2"/>
      <scheme val="minor"/>
    </font>
    <font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hair">
        <color theme="1" tint="4.9989318521683403E-2"/>
      </bottom>
      <diagonal/>
    </border>
    <border>
      <left/>
      <right/>
      <top style="hair">
        <color theme="1"/>
      </top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71" fontId="5" fillId="0" borderId="0" applyFont="0" applyFill="0" applyBorder="0" applyAlignment="0" applyProtection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0" fontId="11" fillId="0" borderId="0"/>
    <xf numFmtId="0" fontId="3" fillId="0" borderId="0"/>
    <xf numFmtId="0" fontId="15" fillId="0" borderId="0"/>
  </cellStyleXfs>
  <cellXfs count="56">
    <xf numFmtId="0" fontId="0" fillId="0" borderId="0" xfId="0"/>
    <xf numFmtId="0" fontId="0" fillId="2" borderId="0" xfId="0" applyFill="1"/>
    <xf numFmtId="3" fontId="6" fillId="2" borderId="0" xfId="2" applyNumberFormat="1" applyFont="1" applyFill="1" applyBorder="1" applyAlignment="1" applyProtection="1">
      <alignment horizontal="right" vertical="center"/>
    </xf>
    <xf numFmtId="0" fontId="7" fillId="2" borderId="0" xfId="0" applyFont="1" applyFill="1"/>
    <xf numFmtId="0" fontId="0" fillId="2" borderId="0" xfId="0" applyFont="1" applyFill="1"/>
    <xf numFmtId="3" fontId="7" fillId="2" borderId="2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center" vertical="center" readingOrder="2"/>
    </xf>
    <xf numFmtId="0" fontId="12" fillId="2" borderId="0" xfId="0" applyFont="1" applyFill="1" applyBorder="1" applyAlignment="1">
      <alignment horizontal="right" vertical="center" readingOrder="2"/>
    </xf>
    <xf numFmtId="0" fontId="7" fillId="2" borderId="0" xfId="0" applyFont="1" applyFill="1" applyBorder="1" applyAlignment="1">
      <alignment vertical="center"/>
    </xf>
    <xf numFmtId="0" fontId="9" fillId="2" borderId="4" xfId="8" applyFont="1" applyFill="1" applyBorder="1"/>
    <xf numFmtId="0" fontId="9" fillId="2" borderId="0" xfId="8" applyFont="1" applyFill="1" applyBorder="1"/>
    <xf numFmtId="3" fontId="0" fillId="2" borderId="0" xfId="0" applyNumberFormat="1" applyFont="1" applyFill="1"/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64" fontId="1" fillId="2" borderId="0" xfId="1" applyNumberFormat="1" applyFont="1" applyFill="1" applyBorder="1" applyAlignment="1">
      <alignment vertical="center"/>
    </xf>
    <xf numFmtId="171" fontId="0" fillId="2" borderId="0" xfId="1" applyNumberFormat="1" applyFont="1" applyFill="1" applyBorder="1" applyAlignment="1">
      <alignment horizontal="right" vertical="center"/>
    </xf>
    <xf numFmtId="171" fontId="1" fillId="2" borderId="0" xfId="1" applyNumberFormat="1" applyFont="1" applyFill="1" applyBorder="1" applyAlignment="1">
      <alignment horizontal="right" vertical="center"/>
    </xf>
    <xf numFmtId="164" fontId="8" fillId="2" borderId="7" xfId="1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readingOrder="2"/>
    </xf>
    <xf numFmtId="0" fontId="8" fillId="3" borderId="0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right" vertical="center"/>
    </xf>
    <xf numFmtId="0" fontId="8" fillId="3" borderId="0" xfId="0" applyFont="1" applyFill="1" applyBorder="1" applyAlignment="1">
      <alignment horizontal="center" vertical="center"/>
    </xf>
    <xf numFmtId="164" fontId="8" fillId="3" borderId="0" xfId="1" applyNumberFormat="1" applyFont="1" applyFill="1" applyBorder="1" applyAlignment="1">
      <alignment horizontal="center" vertical="center"/>
    </xf>
    <xf numFmtId="0" fontId="13" fillId="2" borderId="0" xfId="5" applyFont="1" applyFill="1" applyBorder="1" applyAlignment="1"/>
    <xf numFmtId="174" fontId="14" fillId="2" borderId="0" xfId="7" applyNumberFormat="1" applyFont="1" applyFill="1" applyBorder="1" applyAlignment="1" applyProtection="1">
      <alignment vertical="center"/>
    </xf>
    <xf numFmtId="0" fontId="2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indent="2"/>
    </xf>
    <xf numFmtId="0" fontId="7" fillId="2" borderId="2" xfId="0" applyFont="1" applyFill="1" applyBorder="1" applyAlignment="1">
      <alignment horizontal="left" vertical="center" indent="2"/>
    </xf>
    <xf numFmtId="164" fontId="10" fillId="2" borderId="0" xfId="1" applyNumberFormat="1" applyFont="1" applyFill="1" applyBorder="1" applyAlignment="1">
      <alignment vertical="center"/>
    </xf>
    <xf numFmtId="164" fontId="0" fillId="2" borderId="0" xfId="1" applyNumberFormat="1" applyFont="1" applyFill="1" applyBorder="1" applyAlignment="1">
      <alignment vertical="center"/>
    </xf>
    <xf numFmtId="164" fontId="8" fillId="3" borderId="2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Alignment="1">
      <alignment horizontal="center" vertical="center"/>
    </xf>
    <xf numFmtId="3" fontId="7" fillId="2" borderId="2" xfId="1" applyNumberFormat="1" applyFont="1" applyFill="1" applyBorder="1" applyAlignment="1">
      <alignment horizontal="center" vertical="center"/>
    </xf>
    <xf numFmtId="3" fontId="8" fillId="2" borderId="0" xfId="1" applyNumberFormat="1" applyFont="1" applyFill="1" applyAlignment="1">
      <alignment horizontal="right" vertical="center"/>
    </xf>
    <xf numFmtId="3" fontId="7" fillId="2" borderId="0" xfId="1" applyNumberFormat="1" applyFont="1" applyFill="1" applyAlignment="1">
      <alignment horizontal="right" vertical="center"/>
    </xf>
    <xf numFmtId="171" fontId="0" fillId="0" borderId="0" xfId="1" applyNumberFormat="1" applyFont="1"/>
    <xf numFmtId="171" fontId="0" fillId="0" borderId="0" xfId="0" applyNumberFormat="1"/>
    <xf numFmtId="0" fontId="8" fillId="2" borderId="3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 vertical="center"/>
    </xf>
    <xf numFmtId="164" fontId="8" fillId="2" borderId="6" xfId="1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readingOrder="2"/>
    </xf>
    <xf numFmtId="0" fontId="13" fillId="2" borderId="0" xfId="5" applyFont="1" applyFill="1" applyBorder="1" applyAlignment="1">
      <alignment horizontal="center"/>
    </xf>
    <xf numFmtId="174" fontId="4" fillId="2" borderId="0" xfId="7" applyNumberFormat="1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center" vertical="center" wrapText="1" readingOrder="2"/>
    </xf>
    <xf numFmtId="0" fontId="12" fillId="2" borderId="0" xfId="0" applyFont="1" applyFill="1" applyBorder="1" applyAlignment="1">
      <alignment horizontal="center" vertical="center" wrapText="1" readingOrder="2"/>
    </xf>
    <xf numFmtId="0" fontId="12" fillId="2" borderId="1" xfId="0" applyFont="1" applyFill="1" applyBorder="1" applyAlignment="1">
      <alignment horizontal="center" vertical="center" readingOrder="2"/>
    </xf>
    <xf numFmtId="0" fontId="12" fillId="2" borderId="0" xfId="0" applyFont="1" applyFill="1" applyBorder="1" applyAlignment="1">
      <alignment horizontal="center" vertical="center" readingOrder="2"/>
    </xf>
    <xf numFmtId="0" fontId="8" fillId="2" borderId="5" xfId="0" applyFont="1" applyFill="1" applyBorder="1" applyAlignment="1">
      <alignment horizontal="center" vertical="top"/>
    </xf>
  </cellXfs>
  <cellStyles count="10">
    <cellStyle name="Comma" xfId="1" builtinId="3"/>
    <cellStyle name="Comma 3" xfId="3"/>
    <cellStyle name="Normal" xfId="0" builtinId="0"/>
    <cellStyle name="Normal 2" xfId="4"/>
    <cellStyle name="Normal 4" xfId="9"/>
    <cellStyle name="Normal_5 Employment_done" xfId="5"/>
    <cellStyle name="Normal_II-16(Populaion)" xfId="2"/>
    <cellStyle name="Normal_po" xfId="8"/>
    <cellStyle name="Normal_Population - II 2" xfId="7"/>
    <cellStyle name="Percent 3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 sz="1000"/>
            </a:pPr>
            <a:r>
              <a:rPr lang="en-US" sz="1000">
                <a:solidFill>
                  <a:schemeClr val="tx1"/>
                </a:solidFill>
              </a:rPr>
              <a:t> Figure 5.3</a:t>
            </a:r>
            <a:r>
              <a:rPr lang="en-US" sz="1000"/>
              <a:t>: Number of civil servants by job rank, 2012</a:t>
            </a:r>
          </a:p>
        </c:rich>
      </c:tx>
      <c:layout>
        <c:manualLayout>
          <c:xMode val="edge"/>
          <c:yMode val="edge"/>
          <c:x val="0.26569674816085198"/>
          <c:y val="3.7037037037037056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'5.9'!$V$72</c:f>
              <c:strCache>
                <c:ptCount val="1"/>
                <c:pt idx="0">
                  <c:v>No: of Employee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dLbls>
            <c:showVal val="1"/>
          </c:dLbls>
          <c:cat>
            <c:strRef>
              <c:f>'5.9'!$U$73:$U$82</c:f>
              <c:strCache>
                <c:ptCount val="10"/>
                <c:pt idx="0">
                  <c:v>MS1   </c:v>
                </c:pt>
                <c:pt idx="1">
                  <c:v>SS1   </c:v>
                </c:pt>
                <c:pt idx="2">
                  <c:v>GS3   </c:v>
                </c:pt>
                <c:pt idx="3">
                  <c:v>MS2   </c:v>
                </c:pt>
                <c:pt idx="4">
                  <c:v>MS3   </c:v>
                </c:pt>
                <c:pt idx="5">
                  <c:v>GS4   </c:v>
                </c:pt>
                <c:pt idx="6">
                  <c:v>SS2   </c:v>
                </c:pt>
                <c:pt idx="7">
                  <c:v>GS2   </c:v>
                </c:pt>
                <c:pt idx="8">
                  <c:v>GS1   </c:v>
                </c:pt>
                <c:pt idx="9">
                  <c:v>MS4   </c:v>
                </c:pt>
              </c:strCache>
            </c:strRef>
          </c:cat>
          <c:val>
            <c:numRef>
              <c:f>'5.9'!$V$73:$V$82</c:f>
              <c:numCache>
                <c:formatCode>_-* #,##0\ _ރ_._-;_-* #,##0\ _ރ_.\-;_-* "-"??\ _ރ_._-;_-@_-</c:formatCode>
                <c:ptCount val="10"/>
                <c:pt idx="0">
                  <c:v>3199</c:v>
                </c:pt>
                <c:pt idx="1">
                  <c:v>2940</c:v>
                </c:pt>
                <c:pt idx="2">
                  <c:v>2736</c:v>
                </c:pt>
                <c:pt idx="3">
                  <c:v>2337</c:v>
                </c:pt>
                <c:pt idx="4">
                  <c:v>1419</c:v>
                </c:pt>
                <c:pt idx="5">
                  <c:v>1192</c:v>
                </c:pt>
                <c:pt idx="6">
                  <c:v>1132</c:v>
                </c:pt>
                <c:pt idx="7">
                  <c:v>892</c:v>
                </c:pt>
                <c:pt idx="8">
                  <c:v>358</c:v>
                </c:pt>
                <c:pt idx="9">
                  <c:v>351</c:v>
                </c:pt>
              </c:numCache>
            </c:numRef>
          </c:val>
        </c:ser>
        <c:gapWidth val="85"/>
        <c:axId val="91221376"/>
        <c:axId val="91403776"/>
      </c:barChart>
      <c:catAx>
        <c:axId val="912213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Job Rank</a:t>
                </a:r>
              </a:p>
            </c:rich>
          </c:tx>
          <c:layout>
            <c:manualLayout>
              <c:xMode val="edge"/>
              <c:yMode val="edge"/>
              <c:x val="0.47192986409290416"/>
              <c:y val="0.87868037328667481"/>
            </c:manualLayout>
          </c:layout>
        </c:title>
        <c:numFmt formatCode="General" sourceLinked="1"/>
        <c:majorTickMark val="none"/>
        <c:tickLblPos val="nextTo"/>
        <c:crossAx val="91403776"/>
        <c:crosses val="autoZero"/>
        <c:auto val="1"/>
        <c:lblAlgn val="ctr"/>
        <c:lblOffset val="100"/>
      </c:catAx>
      <c:valAx>
        <c:axId val="91403776"/>
        <c:scaling>
          <c:orientation val="minMax"/>
        </c:scaling>
        <c:axPos val="l"/>
        <c:title>
          <c:tx>
            <c:rich>
              <a:bodyPr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2.1197668256491786E-2"/>
              <c:y val="0.17609179060950716"/>
            </c:manualLayout>
          </c:layout>
        </c:title>
        <c:numFmt formatCode="_-* #,##0\ _ރ_._-;_-* #,##0\ _ރ_.\-;_-* &quot;-&quot;??\ _ރ_._-;_-@_-" sourceLinked="1"/>
        <c:tickLblPos val="nextTo"/>
        <c:crossAx val="91221376"/>
        <c:crosses val="autoZero"/>
        <c:crossBetween val="between"/>
      </c:valAx>
    </c:plotArea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/>
            </a:pPr>
            <a:r>
              <a:rPr lang="en-US" sz="1100" b="1" i="0" baseline="0"/>
              <a:t>Figure 5.4: Number of Civil Servants  by salary range and sex, 2012</a:t>
            </a:r>
          </a:p>
        </c:rich>
      </c:tx>
      <c:layout>
        <c:manualLayout>
          <c:xMode val="edge"/>
          <c:yMode val="edge"/>
          <c:x val="0.17997639183990924"/>
          <c:y val="4.1666666666666664E-2"/>
        </c:manualLayout>
      </c:layout>
    </c:title>
    <c:plotArea>
      <c:layout>
        <c:manualLayout>
          <c:layoutTarget val="inner"/>
          <c:xMode val="edge"/>
          <c:yMode val="edge"/>
          <c:x val="0.13466168773547441"/>
          <c:y val="0.15776647710702882"/>
          <c:w val="0.83099501893741601"/>
          <c:h val="0.59368766404199458"/>
        </c:manualLayout>
      </c:layout>
      <c:barChart>
        <c:barDir val="col"/>
        <c:grouping val="clustered"/>
        <c:ser>
          <c:idx val="0"/>
          <c:order val="0"/>
          <c:tx>
            <c:strRef>
              <c:f>'5.9'!$T$58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dLbls>
            <c:showVal val="1"/>
          </c:dLbls>
          <c:cat>
            <c:strRef>
              <c:f>'5.9'!$S$59:$S$62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 999</c:v>
                </c:pt>
                <c:pt idx="3">
                  <c:v>15,000 - 20,500</c:v>
                </c:pt>
              </c:strCache>
            </c:strRef>
          </c:cat>
          <c:val>
            <c:numRef>
              <c:f>'5.9'!$T$59:$T$62</c:f>
              <c:numCache>
                <c:formatCode>_(* #,##0_);_(* \(#,##0\);_(* "-"??_);_(@_)</c:formatCode>
                <c:ptCount val="4"/>
                <c:pt idx="0">
                  <c:v>4388</c:v>
                </c:pt>
                <c:pt idx="1">
                  <c:v>4072</c:v>
                </c:pt>
                <c:pt idx="2">
                  <c:v>111</c:v>
                </c:pt>
                <c:pt idx="3">
                  <c:v>32</c:v>
                </c:pt>
              </c:numCache>
            </c:numRef>
          </c:val>
        </c:ser>
        <c:ser>
          <c:idx val="1"/>
          <c:order val="1"/>
          <c:tx>
            <c:strRef>
              <c:f>'5.9'!$U$58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dLbls>
            <c:showVal val="1"/>
          </c:dLbls>
          <c:cat>
            <c:strRef>
              <c:f>'5.9'!$S$59:$S$62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 999</c:v>
                </c:pt>
                <c:pt idx="3">
                  <c:v>15,000 - 20,500</c:v>
                </c:pt>
              </c:strCache>
            </c:strRef>
          </c:cat>
          <c:val>
            <c:numRef>
              <c:f>'5.9'!$U$59:$U$62</c:f>
              <c:numCache>
                <c:formatCode>_(* #,##0_);_(* \(#,##0\);_(* "-"??_);_(@_)</c:formatCode>
                <c:ptCount val="4"/>
                <c:pt idx="0">
                  <c:v>3870</c:v>
                </c:pt>
                <c:pt idx="1">
                  <c:v>5147</c:v>
                </c:pt>
                <c:pt idx="2">
                  <c:v>31</c:v>
                </c:pt>
                <c:pt idx="3">
                  <c:v>6</c:v>
                </c:pt>
              </c:numCache>
            </c:numRef>
          </c:val>
        </c:ser>
        <c:axId val="91315584"/>
        <c:axId val="91338240"/>
      </c:barChart>
      <c:catAx>
        <c:axId val="91315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8926087942710927"/>
              <c:y val="0.87868037328667403"/>
            </c:manualLayout>
          </c:layout>
        </c:title>
        <c:majorTickMark val="none"/>
        <c:tickLblPos val="nextTo"/>
        <c:crossAx val="91338240"/>
        <c:crosses val="autoZero"/>
        <c:auto val="1"/>
        <c:lblAlgn val="ctr"/>
        <c:lblOffset val="100"/>
      </c:catAx>
      <c:valAx>
        <c:axId val="9133824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1.6652563957738762E-2"/>
              <c:y val="0.18445975503062123"/>
            </c:manualLayout>
          </c:layout>
        </c:title>
        <c:numFmt formatCode="_(* #,##0_);_(* \(#,##0\);_(* &quot;-&quot;??_);_(@_)" sourceLinked="1"/>
        <c:tickLblPos val="nextTo"/>
        <c:crossAx val="9131558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5760261448800594"/>
          <c:y val="0.27502114319043452"/>
          <c:w val="0.23892883759900432"/>
          <c:h val="6.0952901720618416E-2"/>
        </c:manualLayout>
      </c:layout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84</xdr:row>
      <xdr:rowOff>96098</xdr:rowOff>
    </xdr:from>
    <xdr:to>
      <xdr:col>12</xdr:col>
      <xdr:colOff>98645</xdr:colOff>
      <xdr:row>98</xdr:row>
      <xdr:rowOff>170789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6509</xdr:colOff>
      <xdr:row>97</xdr:row>
      <xdr:rowOff>113169</xdr:rowOff>
    </xdr:from>
    <xdr:to>
      <xdr:col>3</xdr:col>
      <xdr:colOff>75446</xdr:colOff>
      <xdr:row>98</xdr:row>
      <xdr:rowOff>56585</xdr:rowOff>
    </xdr:to>
    <xdr:sp macro="" textlink="">
      <xdr:nvSpPr>
        <xdr:cNvPr id="3" name="TextBox 2"/>
        <xdr:cNvSpPr txBox="1"/>
      </xdr:nvSpPr>
      <xdr:spPr>
        <a:xfrm>
          <a:off x="6509" y="18521882"/>
          <a:ext cx="1417526" cy="132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800" b="0" i="1"/>
            <a:t>Note: The highest  10 Ranks</a:t>
          </a:r>
        </a:p>
      </xdr:txBody>
    </xdr:sp>
    <xdr:clientData/>
  </xdr:twoCellAnchor>
  <xdr:twoCellAnchor>
    <xdr:from>
      <xdr:col>1</xdr:col>
      <xdr:colOff>28292</xdr:colOff>
      <xdr:row>54</xdr:row>
      <xdr:rowOff>75446</xdr:rowOff>
    </xdr:from>
    <xdr:to>
      <xdr:col>12</xdr:col>
      <xdr:colOff>264060</xdr:colOff>
      <xdr:row>69</xdr:row>
      <xdr:rowOff>27161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3"/>
  <sheetViews>
    <sheetView tabSelected="1" zoomScaleSheetLayoutView="101" workbookViewId="0">
      <selection activeCell="N61" sqref="N61"/>
    </sheetView>
  </sheetViews>
  <sheetFormatPr defaultRowHeight="15"/>
  <cols>
    <col min="1" max="1" width="10.140625" style="14" customWidth="1"/>
    <col min="2" max="2" width="9" style="13" customWidth="1"/>
    <col min="3" max="3" width="1" style="13" customWidth="1"/>
    <col min="4" max="6" width="9.140625" style="16" customWidth="1"/>
    <col min="7" max="7" width="2.140625" style="16" customWidth="1"/>
    <col min="8" max="8" width="11.28515625" style="16" customWidth="1"/>
    <col min="9" max="9" width="9.28515625" style="16" customWidth="1"/>
    <col min="10" max="10" width="9.140625" style="16" customWidth="1"/>
    <col min="11" max="11" width="2.140625" style="16" customWidth="1"/>
    <col min="12" max="14" width="9.140625" style="16" customWidth="1"/>
    <col min="15" max="15" width="6.140625" style="13" customWidth="1"/>
    <col min="16" max="16384" width="9.140625" style="13"/>
  </cols>
  <sheetData>
    <row r="1" spans="1:19" ht="21">
      <c r="A1" s="45" t="s">
        <v>62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27"/>
      <c r="P1" s="27"/>
      <c r="Q1" s="27"/>
      <c r="R1" s="27"/>
      <c r="S1" s="1"/>
    </row>
    <row r="2" spans="1:19" ht="15.75">
      <c r="A2" s="46" t="s">
        <v>64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28"/>
      <c r="P2" s="28"/>
      <c r="Q2" s="28"/>
      <c r="R2" s="28"/>
      <c r="S2" s="28"/>
    </row>
    <row r="3" spans="1:19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9" s="3" customFormat="1" ht="18.75">
      <c r="A4" s="53" t="s">
        <v>60</v>
      </c>
      <c r="B4" s="51" t="s">
        <v>59</v>
      </c>
      <c r="C4" s="22"/>
      <c r="D4" s="55" t="s">
        <v>58</v>
      </c>
      <c r="E4" s="55"/>
      <c r="F4" s="55"/>
      <c r="G4" s="55"/>
      <c r="H4" s="55"/>
      <c r="I4" s="44" t="s">
        <v>57</v>
      </c>
      <c r="J4" s="44"/>
      <c r="K4" s="44"/>
      <c r="L4" s="44"/>
      <c r="M4" s="44"/>
      <c r="N4" s="44"/>
      <c r="R4" s="8"/>
      <c r="S4" s="8"/>
    </row>
    <row r="5" spans="1:19" s="9" customFormat="1" ht="15" customHeight="1">
      <c r="A5" s="54"/>
      <c r="B5" s="52"/>
      <c r="C5" s="7"/>
      <c r="D5" s="43" t="s">
        <v>1</v>
      </c>
      <c r="E5" s="43"/>
      <c r="F5" s="43"/>
      <c r="G5" s="19"/>
      <c r="H5" s="43" t="s">
        <v>2</v>
      </c>
      <c r="I5" s="43"/>
      <c r="J5" s="43"/>
      <c r="K5" s="19"/>
      <c r="L5" s="43" t="s">
        <v>3</v>
      </c>
      <c r="M5" s="43"/>
      <c r="N5" s="43"/>
    </row>
    <row r="6" spans="1:19" s="9" customFormat="1" ht="18.75">
      <c r="A6" s="47" t="s">
        <v>8</v>
      </c>
      <c r="B6" s="49" t="s">
        <v>9</v>
      </c>
      <c r="C6" s="23"/>
      <c r="D6" s="8" t="s">
        <v>56</v>
      </c>
      <c r="E6" s="8" t="s">
        <v>4</v>
      </c>
      <c r="F6" s="8" t="s">
        <v>5</v>
      </c>
      <c r="G6" s="8"/>
      <c r="H6" s="8" t="s">
        <v>56</v>
      </c>
      <c r="I6" s="8" t="s">
        <v>4</v>
      </c>
      <c r="J6" s="8" t="s">
        <v>5</v>
      </c>
      <c r="K6" s="8"/>
      <c r="L6" s="8" t="s">
        <v>56</v>
      </c>
      <c r="M6" s="8" t="s">
        <v>4</v>
      </c>
      <c r="N6" s="8" t="s">
        <v>5</v>
      </c>
    </row>
    <row r="7" spans="1:19" s="15" customFormat="1" ht="12.75">
      <c r="A7" s="48"/>
      <c r="B7" s="50"/>
      <c r="C7" s="24"/>
      <c r="D7" s="34" t="s">
        <v>10</v>
      </c>
      <c r="E7" s="34" t="s">
        <v>6</v>
      </c>
      <c r="F7" s="34" t="s">
        <v>7</v>
      </c>
      <c r="G7" s="34"/>
      <c r="H7" s="34" t="s">
        <v>10</v>
      </c>
      <c r="I7" s="34" t="s">
        <v>6</v>
      </c>
      <c r="J7" s="34" t="s">
        <v>7</v>
      </c>
      <c r="K7" s="34"/>
      <c r="L7" s="34" t="s">
        <v>10</v>
      </c>
      <c r="M7" s="34" t="s">
        <v>6</v>
      </c>
      <c r="N7" s="34" t="s">
        <v>7</v>
      </c>
    </row>
    <row r="8" spans="1:19" s="15" customFormat="1" ht="12.75">
      <c r="A8" s="25"/>
      <c r="B8" s="23"/>
      <c r="C8" s="23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</row>
    <row r="9" spans="1:19" s="29" customFormat="1">
      <c r="A9" s="42" t="s">
        <v>0</v>
      </c>
      <c r="B9" s="42"/>
      <c r="C9" s="37"/>
      <c r="D9" s="37">
        <f>E9+F9</f>
        <v>17657</v>
      </c>
      <c r="E9" s="37">
        <f>SUM(E10:E53)</f>
        <v>8603</v>
      </c>
      <c r="F9" s="37">
        <f>SUM(F10:F53)</f>
        <v>9054</v>
      </c>
      <c r="G9" s="37"/>
      <c r="H9" s="37">
        <f>SUM(H10:H53)</f>
        <v>7540</v>
      </c>
      <c r="I9" s="37">
        <f>SUM(I10:I53)</f>
        <v>3549</v>
      </c>
      <c r="J9" s="37">
        <f>SUM(J10:J53)</f>
        <v>3991</v>
      </c>
      <c r="K9" s="37"/>
      <c r="L9" s="37">
        <f>SUM(L10:L53)</f>
        <v>10117</v>
      </c>
      <c r="M9" s="37">
        <f>SUM(M10:M53)</f>
        <v>5054</v>
      </c>
      <c r="N9" s="37">
        <f>SUM(N10:N53)</f>
        <v>5063</v>
      </c>
    </row>
    <row r="10" spans="1:19">
      <c r="A10" s="30" t="s">
        <v>11</v>
      </c>
      <c r="B10" s="35">
        <v>3100</v>
      </c>
      <c r="C10" s="38"/>
      <c r="D10" s="38">
        <f>E10+F10</f>
        <v>2940</v>
      </c>
      <c r="E10" s="38">
        <f>I10+M10</f>
        <v>1688</v>
      </c>
      <c r="F10" s="38">
        <f>J10+N10</f>
        <v>1252</v>
      </c>
      <c r="G10" s="38"/>
      <c r="H10" s="38">
        <f>I10+J10</f>
        <v>943</v>
      </c>
      <c r="I10" s="38">
        <v>483</v>
      </c>
      <c r="J10" s="38">
        <v>460</v>
      </c>
      <c r="K10" s="38"/>
      <c r="L10" s="38">
        <f>M10+N10</f>
        <v>1997</v>
      </c>
      <c r="M10" s="38">
        <v>1205</v>
      </c>
      <c r="N10" s="38">
        <v>792</v>
      </c>
    </row>
    <row r="11" spans="1:19">
      <c r="A11" s="30" t="s">
        <v>12</v>
      </c>
      <c r="B11" s="35">
        <v>3470</v>
      </c>
      <c r="C11" s="38"/>
      <c r="D11" s="38">
        <f>E11+F11</f>
        <v>1132</v>
      </c>
      <c r="E11" s="38">
        <f t="shared" ref="E11:F29" si="0">I11+M11</f>
        <v>894</v>
      </c>
      <c r="F11" s="38">
        <f t="shared" si="0"/>
        <v>238</v>
      </c>
      <c r="G11" s="38"/>
      <c r="H11" s="38">
        <f>I11+J11</f>
        <v>842</v>
      </c>
      <c r="I11" s="38">
        <v>638</v>
      </c>
      <c r="J11" s="38">
        <v>204</v>
      </c>
      <c r="K11" s="38"/>
      <c r="L11" s="38">
        <f>M11+N11</f>
        <v>290</v>
      </c>
      <c r="M11" s="38">
        <v>256</v>
      </c>
      <c r="N11" s="38">
        <v>34</v>
      </c>
    </row>
    <row r="12" spans="1:19">
      <c r="A12" s="30" t="s">
        <v>13</v>
      </c>
      <c r="B12" s="35">
        <v>3565</v>
      </c>
      <c r="C12" s="38"/>
      <c r="D12" s="38">
        <f t="shared" ref="D12:D53" si="1">E12+F12</f>
        <v>358</v>
      </c>
      <c r="E12" s="38">
        <f t="shared" si="0"/>
        <v>162</v>
      </c>
      <c r="F12" s="38">
        <f t="shared" si="0"/>
        <v>196</v>
      </c>
      <c r="G12" s="38"/>
      <c r="H12" s="38">
        <f t="shared" ref="H12:H53" si="2">I12+J12</f>
        <v>43</v>
      </c>
      <c r="I12" s="38">
        <v>16</v>
      </c>
      <c r="J12" s="38">
        <v>27</v>
      </c>
      <c r="K12" s="38"/>
      <c r="L12" s="38">
        <f t="shared" ref="L12:L53" si="3">M12+N12</f>
        <v>315</v>
      </c>
      <c r="M12" s="38">
        <v>146</v>
      </c>
      <c r="N12" s="38">
        <v>169</v>
      </c>
    </row>
    <row r="13" spans="1:19">
      <c r="A13" s="30" t="s">
        <v>14</v>
      </c>
      <c r="B13" s="35">
        <v>3875</v>
      </c>
      <c r="C13" s="38"/>
      <c r="D13" s="38">
        <f t="shared" si="1"/>
        <v>185</v>
      </c>
      <c r="E13" s="38">
        <f t="shared" si="0"/>
        <v>116</v>
      </c>
      <c r="F13" s="38">
        <f t="shared" si="0"/>
        <v>69</v>
      </c>
      <c r="G13" s="38"/>
      <c r="H13" s="38">
        <f t="shared" si="2"/>
        <v>86</v>
      </c>
      <c r="I13" s="38">
        <v>55</v>
      </c>
      <c r="J13" s="38">
        <v>31</v>
      </c>
      <c r="K13" s="38"/>
      <c r="L13" s="38">
        <f t="shared" si="3"/>
        <v>99</v>
      </c>
      <c r="M13" s="38">
        <v>61</v>
      </c>
      <c r="N13" s="38">
        <v>38</v>
      </c>
    </row>
    <row r="14" spans="1:19">
      <c r="A14" s="30" t="s">
        <v>15</v>
      </c>
      <c r="B14" s="35">
        <v>4000</v>
      </c>
      <c r="C14" s="38"/>
      <c r="D14" s="38">
        <f t="shared" si="1"/>
        <v>892</v>
      </c>
      <c r="E14" s="38">
        <f t="shared" si="0"/>
        <v>312</v>
      </c>
      <c r="F14" s="38">
        <f t="shared" si="0"/>
        <v>580</v>
      </c>
      <c r="G14" s="38"/>
      <c r="H14" s="38">
        <f t="shared" si="2"/>
        <v>310</v>
      </c>
      <c r="I14" s="38">
        <v>107</v>
      </c>
      <c r="J14" s="38">
        <v>203</v>
      </c>
      <c r="K14" s="38"/>
      <c r="L14" s="38">
        <f t="shared" si="3"/>
        <v>582</v>
      </c>
      <c r="M14" s="38">
        <v>205</v>
      </c>
      <c r="N14" s="38">
        <v>377</v>
      </c>
    </row>
    <row r="15" spans="1:19">
      <c r="A15" s="30" t="s">
        <v>16</v>
      </c>
      <c r="B15" s="35">
        <v>4340</v>
      </c>
      <c r="C15" s="38"/>
      <c r="D15" s="38">
        <f t="shared" si="1"/>
        <v>15</v>
      </c>
      <c r="E15" s="38">
        <f t="shared" si="0"/>
        <v>13</v>
      </c>
      <c r="F15" s="38">
        <f t="shared" si="0"/>
        <v>2</v>
      </c>
      <c r="G15" s="38"/>
      <c r="H15" s="38">
        <f t="shared" si="2"/>
        <v>15</v>
      </c>
      <c r="I15" s="38">
        <v>13</v>
      </c>
      <c r="J15" s="38">
        <v>2</v>
      </c>
      <c r="K15" s="38"/>
      <c r="L15" s="38">
        <f t="shared" si="3"/>
        <v>0</v>
      </c>
      <c r="M15" s="38">
        <v>0</v>
      </c>
      <c r="N15" s="38">
        <v>0</v>
      </c>
    </row>
    <row r="16" spans="1:19">
      <c r="A16" s="30" t="s">
        <v>17</v>
      </c>
      <c r="B16" s="35">
        <v>4465</v>
      </c>
      <c r="C16" s="38"/>
      <c r="D16" s="38">
        <f t="shared" si="1"/>
        <v>2736</v>
      </c>
      <c r="E16" s="38">
        <f t="shared" si="0"/>
        <v>1203</v>
      </c>
      <c r="F16" s="38">
        <f t="shared" si="0"/>
        <v>1533</v>
      </c>
      <c r="G16" s="38"/>
      <c r="H16" s="38">
        <f t="shared" si="2"/>
        <v>1329</v>
      </c>
      <c r="I16" s="38">
        <v>516</v>
      </c>
      <c r="J16" s="38">
        <v>813</v>
      </c>
      <c r="K16" s="38"/>
      <c r="L16" s="38">
        <f t="shared" si="3"/>
        <v>1407</v>
      </c>
      <c r="M16" s="38">
        <v>687</v>
      </c>
      <c r="N16" s="38">
        <v>720</v>
      </c>
    </row>
    <row r="17" spans="1:14">
      <c r="A17" s="30" t="s">
        <v>18</v>
      </c>
      <c r="B17" s="35">
        <v>5020</v>
      </c>
      <c r="C17" s="38"/>
      <c r="D17" s="38">
        <f t="shared" si="1"/>
        <v>1192</v>
      </c>
      <c r="E17" s="38">
        <f t="shared" si="0"/>
        <v>512</v>
      </c>
      <c r="F17" s="38">
        <f t="shared" si="0"/>
        <v>680</v>
      </c>
      <c r="G17" s="38"/>
      <c r="H17" s="38">
        <f t="shared" si="2"/>
        <v>787</v>
      </c>
      <c r="I17" s="38">
        <v>295</v>
      </c>
      <c r="J17" s="38">
        <v>492</v>
      </c>
      <c r="K17" s="38"/>
      <c r="L17" s="38">
        <f t="shared" si="3"/>
        <v>405</v>
      </c>
      <c r="M17" s="38">
        <v>217</v>
      </c>
      <c r="N17" s="38">
        <v>188</v>
      </c>
    </row>
    <row r="18" spans="1:14">
      <c r="A18" s="30" t="s">
        <v>19</v>
      </c>
      <c r="B18" s="35">
        <v>5400</v>
      </c>
      <c r="C18" s="38"/>
      <c r="D18" s="38">
        <f t="shared" si="1"/>
        <v>30</v>
      </c>
      <c r="E18" s="38">
        <f t="shared" si="0"/>
        <v>25</v>
      </c>
      <c r="F18" s="38">
        <f t="shared" si="0"/>
        <v>5</v>
      </c>
      <c r="G18" s="38"/>
      <c r="H18" s="38">
        <f t="shared" si="2"/>
        <v>30</v>
      </c>
      <c r="I18" s="38">
        <v>25</v>
      </c>
      <c r="J18" s="38">
        <v>5</v>
      </c>
      <c r="K18" s="38"/>
      <c r="L18" s="38">
        <f t="shared" si="3"/>
        <v>0</v>
      </c>
      <c r="M18" s="38">
        <v>0</v>
      </c>
      <c r="N18" s="38">
        <v>0</v>
      </c>
    </row>
    <row r="19" spans="1:14">
      <c r="A19" s="30" t="s">
        <v>20</v>
      </c>
      <c r="B19" s="35">
        <v>5610</v>
      </c>
      <c r="C19" s="38"/>
      <c r="D19" s="38">
        <f t="shared" si="1"/>
        <v>3199</v>
      </c>
      <c r="E19" s="38">
        <f t="shared" si="0"/>
        <v>913</v>
      </c>
      <c r="F19" s="38">
        <f t="shared" si="0"/>
        <v>2286</v>
      </c>
      <c r="G19" s="38"/>
      <c r="H19" s="38">
        <f t="shared" si="2"/>
        <v>812</v>
      </c>
      <c r="I19" s="38">
        <v>238</v>
      </c>
      <c r="J19" s="38">
        <v>574</v>
      </c>
      <c r="K19" s="38"/>
      <c r="L19" s="38">
        <f t="shared" si="3"/>
        <v>2387</v>
      </c>
      <c r="M19" s="38">
        <v>675</v>
      </c>
      <c r="N19" s="38">
        <v>1712</v>
      </c>
    </row>
    <row r="20" spans="1:14">
      <c r="A20" s="30" t="s">
        <v>21</v>
      </c>
      <c r="B20" s="35">
        <v>5720</v>
      </c>
      <c r="C20" s="38"/>
      <c r="D20" s="38">
        <f t="shared" si="1"/>
        <v>34</v>
      </c>
      <c r="E20" s="38">
        <f t="shared" si="0"/>
        <v>30</v>
      </c>
      <c r="F20" s="38">
        <f t="shared" si="0"/>
        <v>4</v>
      </c>
      <c r="G20" s="38"/>
      <c r="H20" s="38">
        <f t="shared" si="2"/>
        <v>34</v>
      </c>
      <c r="I20" s="38">
        <v>30</v>
      </c>
      <c r="J20" s="38">
        <v>4</v>
      </c>
      <c r="K20" s="38"/>
      <c r="L20" s="38">
        <f t="shared" si="3"/>
        <v>0</v>
      </c>
      <c r="M20" s="38">
        <v>0</v>
      </c>
      <c r="N20" s="38">
        <v>0</v>
      </c>
    </row>
    <row r="21" spans="1:14">
      <c r="A21" s="30" t="s">
        <v>22</v>
      </c>
      <c r="B21" s="35">
        <v>6070</v>
      </c>
      <c r="C21" s="38"/>
      <c r="D21" s="38">
        <f t="shared" si="1"/>
        <v>162</v>
      </c>
      <c r="E21" s="38">
        <f t="shared" si="0"/>
        <v>147</v>
      </c>
      <c r="F21" s="38">
        <f t="shared" si="0"/>
        <v>15</v>
      </c>
      <c r="G21" s="38"/>
      <c r="H21" s="38">
        <f t="shared" si="2"/>
        <v>162</v>
      </c>
      <c r="I21" s="38">
        <v>147</v>
      </c>
      <c r="J21" s="38">
        <v>15</v>
      </c>
      <c r="K21" s="38"/>
      <c r="L21" s="38">
        <f t="shared" si="3"/>
        <v>0</v>
      </c>
      <c r="M21" s="38">
        <v>0</v>
      </c>
      <c r="N21" s="38">
        <v>0</v>
      </c>
    </row>
    <row r="22" spans="1:14">
      <c r="A22" s="30" t="s">
        <v>23</v>
      </c>
      <c r="B22" s="35">
        <v>6295</v>
      </c>
      <c r="C22" s="38"/>
      <c r="D22" s="38">
        <f t="shared" si="1"/>
        <v>2337</v>
      </c>
      <c r="E22" s="38">
        <f t="shared" si="0"/>
        <v>1109</v>
      </c>
      <c r="F22" s="38">
        <f t="shared" si="0"/>
        <v>1228</v>
      </c>
      <c r="G22" s="38"/>
      <c r="H22" s="38">
        <f t="shared" si="2"/>
        <v>814</v>
      </c>
      <c r="I22" s="38">
        <v>279</v>
      </c>
      <c r="J22" s="38">
        <v>535</v>
      </c>
      <c r="K22" s="38"/>
      <c r="L22" s="38">
        <f t="shared" si="3"/>
        <v>1523</v>
      </c>
      <c r="M22" s="38">
        <v>830</v>
      </c>
      <c r="N22" s="38">
        <v>693</v>
      </c>
    </row>
    <row r="23" spans="1:14">
      <c r="A23" s="30" t="s">
        <v>24</v>
      </c>
      <c r="B23" s="35">
        <v>6400</v>
      </c>
      <c r="C23" s="38"/>
      <c r="D23" s="38">
        <f t="shared" si="1"/>
        <v>29</v>
      </c>
      <c r="E23" s="38">
        <f t="shared" si="0"/>
        <v>22</v>
      </c>
      <c r="F23" s="38">
        <f t="shared" si="0"/>
        <v>7</v>
      </c>
      <c r="G23" s="38"/>
      <c r="H23" s="38">
        <f t="shared" si="2"/>
        <v>29</v>
      </c>
      <c r="I23" s="38">
        <v>22</v>
      </c>
      <c r="J23" s="38">
        <v>7</v>
      </c>
      <c r="K23" s="38"/>
      <c r="L23" s="38">
        <f t="shared" si="3"/>
        <v>0</v>
      </c>
      <c r="M23" s="38">
        <v>0</v>
      </c>
      <c r="N23" s="38">
        <v>0</v>
      </c>
    </row>
    <row r="24" spans="1:14">
      <c r="A24" s="30" t="s">
        <v>25</v>
      </c>
      <c r="B24" s="35">
        <v>6720</v>
      </c>
      <c r="C24" s="38"/>
      <c r="D24" s="38">
        <f t="shared" si="1"/>
        <v>26</v>
      </c>
      <c r="E24" s="38">
        <f t="shared" si="0"/>
        <v>24</v>
      </c>
      <c r="F24" s="38">
        <f t="shared" si="0"/>
        <v>2</v>
      </c>
      <c r="G24" s="38"/>
      <c r="H24" s="38">
        <f t="shared" si="2"/>
        <v>26</v>
      </c>
      <c r="I24" s="38">
        <v>24</v>
      </c>
      <c r="J24" s="38">
        <v>2</v>
      </c>
      <c r="K24" s="38"/>
      <c r="L24" s="38">
        <f t="shared" si="3"/>
        <v>0</v>
      </c>
      <c r="M24" s="38">
        <v>0</v>
      </c>
      <c r="N24" s="38">
        <v>0</v>
      </c>
    </row>
    <row r="25" spans="1:14">
      <c r="A25" s="30" t="s">
        <v>26</v>
      </c>
      <c r="B25" s="35">
        <v>6837</v>
      </c>
      <c r="C25" s="38"/>
      <c r="D25" s="38">
        <f t="shared" si="1"/>
        <v>3</v>
      </c>
      <c r="E25" s="38">
        <f t="shared" si="0"/>
        <v>2</v>
      </c>
      <c r="F25" s="38">
        <f t="shared" si="0"/>
        <v>1</v>
      </c>
      <c r="G25" s="38"/>
      <c r="H25" s="38">
        <f t="shared" si="2"/>
        <v>3</v>
      </c>
      <c r="I25" s="38">
        <v>2</v>
      </c>
      <c r="J25" s="38">
        <v>1</v>
      </c>
      <c r="K25" s="38"/>
      <c r="L25" s="38">
        <f t="shared" si="3"/>
        <v>0</v>
      </c>
      <c r="M25" s="38">
        <v>0</v>
      </c>
      <c r="N25" s="38">
        <v>0</v>
      </c>
    </row>
    <row r="26" spans="1:14">
      <c r="A26" s="30" t="s">
        <v>27</v>
      </c>
      <c r="B26" s="35">
        <v>7035</v>
      </c>
      <c r="C26" s="38"/>
      <c r="D26" s="38">
        <f t="shared" si="1"/>
        <v>1419</v>
      </c>
      <c r="E26" s="38">
        <f t="shared" si="0"/>
        <v>735</v>
      </c>
      <c r="F26" s="38">
        <f t="shared" si="0"/>
        <v>684</v>
      </c>
      <c r="G26" s="38"/>
      <c r="H26" s="38">
        <f t="shared" si="2"/>
        <v>640</v>
      </c>
      <c r="I26" s="38">
        <v>247</v>
      </c>
      <c r="J26" s="38">
        <v>393</v>
      </c>
      <c r="K26" s="38"/>
      <c r="L26" s="38">
        <f t="shared" si="3"/>
        <v>779</v>
      </c>
      <c r="M26" s="38">
        <v>488</v>
      </c>
      <c r="N26" s="38">
        <v>291</v>
      </c>
    </row>
    <row r="27" spans="1:14">
      <c r="A27" s="30" t="s">
        <v>28</v>
      </c>
      <c r="B27" s="35">
        <v>7150</v>
      </c>
      <c r="C27" s="38"/>
      <c r="D27" s="38">
        <f t="shared" si="1"/>
        <v>16</v>
      </c>
      <c r="E27" s="38">
        <f t="shared" si="0"/>
        <v>9</v>
      </c>
      <c r="F27" s="38">
        <f t="shared" si="0"/>
        <v>7</v>
      </c>
      <c r="G27" s="38"/>
      <c r="H27" s="38">
        <f t="shared" si="2"/>
        <v>16</v>
      </c>
      <c r="I27" s="38">
        <v>9</v>
      </c>
      <c r="J27" s="38">
        <v>7</v>
      </c>
      <c r="K27" s="38"/>
      <c r="L27" s="38">
        <f t="shared" si="3"/>
        <v>0</v>
      </c>
      <c r="M27" s="38">
        <v>0</v>
      </c>
      <c r="N27" s="38">
        <v>0</v>
      </c>
    </row>
    <row r="28" spans="1:14">
      <c r="A28" s="30" t="s">
        <v>29</v>
      </c>
      <c r="B28" s="35">
        <v>7320</v>
      </c>
      <c r="C28" s="38"/>
      <c r="D28" s="38">
        <f t="shared" si="1"/>
        <v>81</v>
      </c>
      <c r="E28" s="38">
        <f t="shared" si="0"/>
        <v>64</v>
      </c>
      <c r="F28" s="38">
        <f t="shared" si="0"/>
        <v>17</v>
      </c>
      <c r="G28" s="38"/>
      <c r="H28" s="38">
        <f t="shared" si="2"/>
        <v>81</v>
      </c>
      <c r="I28" s="38">
        <v>64</v>
      </c>
      <c r="J28" s="38">
        <v>17</v>
      </c>
      <c r="K28" s="38"/>
      <c r="L28" s="38">
        <f t="shared" si="3"/>
        <v>0</v>
      </c>
      <c r="M28" s="38">
        <v>0</v>
      </c>
      <c r="N28" s="38">
        <v>0</v>
      </c>
    </row>
    <row r="29" spans="1:14">
      <c r="A29" s="30" t="s">
        <v>30</v>
      </c>
      <c r="B29" s="35">
        <v>7560</v>
      </c>
      <c r="C29" s="38"/>
      <c r="D29" s="38">
        <f t="shared" si="1"/>
        <v>4</v>
      </c>
      <c r="E29" s="38">
        <f t="shared" si="0"/>
        <v>3</v>
      </c>
      <c r="F29" s="38">
        <f t="shared" si="0"/>
        <v>1</v>
      </c>
      <c r="G29" s="38"/>
      <c r="H29" s="38">
        <f t="shared" si="2"/>
        <v>4</v>
      </c>
      <c r="I29" s="38">
        <v>3</v>
      </c>
      <c r="J29" s="38">
        <v>1</v>
      </c>
      <c r="K29" s="38"/>
      <c r="L29" s="38">
        <f t="shared" si="3"/>
        <v>0</v>
      </c>
      <c r="M29" s="38">
        <v>0</v>
      </c>
      <c r="N29" s="38">
        <v>0</v>
      </c>
    </row>
    <row r="30" spans="1:14">
      <c r="A30" s="30" t="s">
        <v>31</v>
      </c>
      <c r="B30" s="35">
        <v>7580</v>
      </c>
      <c r="C30" s="38"/>
      <c r="D30" s="38">
        <f t="shared" si="1"/>
        <v>2</v>
      </c>
      <c r="E30" s="38">
        <f t="shared" ref="E30:E35" si="4">I30+M30</f>
        <v>2</v>
      </c>
      <c r="F30" s="38">
        <v>0</v>
      </c>
      <c r="G30" s="38"/>
      <c r="H30" s="38">
        <f t="shared" si="2"/>
        <v>2</v>
      </c>
      <c r="I30" s="38">
        <v>2</v>
      </c>
      <c r="J30" s="38">
        <v>0</v>
      </c>
      <c r="K30" s="38"/>
      <c r="L30" s="38">
        <f t="shared" si="3"/>
        <v>0</v>
      </c>
      <c r="M30" s="38">
        <v>0</v>
      </c>
      <c r="N30" s="38">
        <v>0</v>
      </c>
    </row>
    <row r="31" spans="1:14">
      <c r="A31" s="30" t="s">
        <v>32</v>
      </c>
      <c r="B31" s="35">
        <v>7875</v>
      </c>
      <c r="C31" s="38"/>
      <c r="D31" s="38">
        <f t="shared" si="1"/>
        <v>351</v>
      </c>
      <c r="E31" s="38">
        <f t="shared" si="4"/>
        <v>238</v>
      </c>
      <c r="F31" s="38">
        <f>J31+N31</f>
        <v>113</v>
      </c>
      <c r="G31" s="38"/>
      <c r="H31" s="38">
        <f t="shared" si="2"/>
        <v>181</v>
      </c>
      <c r="I31" s="38">
        <v>93</v>
      </c>
      <c r="J31" s="38">
        <v>88</v>
      </c>
      <c r="K31" s="38"/>
      <c r="L31" s="38">
        <f t="shared" si="3"/>
        <v>170</v>
      </c>
      <c r="M31" s="38">
        <v>145</v>
      </c>
      <c r="N31" s="38">
        <v>25</v>
      </c>
    </row>
    <row r="32" spans="1:14">
      <c r="A32" s="30" t="s">
        <v>33</v>
      </c>
      <c r="B32" s="35">
        <v>7990</v>
      </c>
      <c r="C32" s="38"/>
      <c r="D32" s="38">
        <f t="shared" si="1"/>
        <v>1</v>
      </c>
      <c r="E32" s="38">
        <f t="shared" si="4"/>
        <v>1</v>
      </c>
      <c r="F32" s="38">
        <v>0</v>
      </c>
      <c r="G32" s="38"/>
      <c r="H32" s="38">
        <f t="shared" si="2"/>
        <v>1</v>
      </c>
      <c r="I32" s="38">
        <v>1</v>
      </c>
      <c r="J32" s="38">
        <v>0</v>
      </c>
      <c r="K32" s="38"/>
      <c r="L32" s="38">
        <f t="shared" si="3"/>
        <v>0</v>
      </c>
      <c r="M32" s="38">
        <v>0</v>
      </c>
      <c r="N32" s="38">
        <v>0</v>
      </c>
    </row>
    <row r="33" spans="1:14">
      <c r="A33" s="30" t="s">
        <v>34</v>
      </c>
      <c r="B33" s="35">
        <v>8290</v>
      </c>
      <c r="C33" s="38"/>
      <c r="D33" s="38">
        <f t="shared" si="1"/>
        <v>18</v>
      </c>
      <c r="E33" s="38">
        <f t="shared" si="4"/>
        <v>15</v>
      </c>
      <c r="F33" s="38">
        <f>J33+N33</f>
        <v>3</v>
      </c>
      <c r="G33" s="38"/>
      <c r="H33" s="38">
        <f t="shared" si="2"/>
        <v>18</v>
      </c>
      <c r="I33" s="38">
        <v>15</v>
      </c>
      <c r="J33" s="38">
        <v>3</v>
      </c>
      <c r="K33" s="38"/>
      <c r="L33" s="38">
        <f t="shared" si="3"/>
        <v>0</v>
      </c>
      <c r="M33" s="38">
        <v>0</v>
      </c>
      <c r="N33" s="38">
        <v>0</v>
      </c>
    </row>
    <row r="34" spans="1:14">
      <c r="A34" s="30" t="s">
        <v>35</v>
      </c>
      <c r="B34" s="35">
        <v>8835</v>
      </c>
      <c r="C34" s="38"/>
      <c r="D34" s="38">
        <f t="shared" si="1"/>
        <v>272</v>
      </c>
      <c r="E34" s="38">
        <f t="shared" si="4"/>
        <v>194</v>
      </c>
      <c r="F34" s="38">
        <f>J34+N34</f>
        <v>78</v>
      </c>
      <c r="G34" s="38"/>
      <c r="H34" s="38">
        <f t="shared" si="2"/>
        <v>148</v>
      </c>
      <c r="I34" s="38">
        <v>86</v>
      </c>
      <c r="J34" s="38">
        <v>62</v>
      </c>
      <c r="K34" s="38"/>
      <c r="L34" s="38">
        <f t="shared" si="3"/>
        <v>124</v>
      </c>
      <c r="M34" s="38">
        <v>108</v>
      </c>
      <c r="N34" s="38">
        <v>16</v>
      </c>
    </row>
    <row r="35" spans="1:14">
      <c r="A35" s="30" t="s">
        <v>36</v>
      </c>
      <c r="B35" s="35">
        <v>8910</v>
      </c>
      <c r="C35" s="38"/>
      <c r="D35" s="38">
        <f t="shared" si="1"/>
        <v>14</v>
      </c>
      <c r="E35" s="38">
        <f t="shared" si="4"/>
        <v>6</v>
      </c>
      <c r="F35" s="38">
        <f>J35+N35</f>
        <v>8</v>
      </c>
      <c r="G35" s="38"/>
      <c r="H35" s="38">
        <f t="shared" si="2"/>
        <v>14</v>
      </c>
      <c r="I35" s="38">
        <v>6</v>
      </c>
      <c r="J35" s="38">
        <v>8</v>
      </c>
      <c r="K35" s="38"/>
      <c r="L35" s="38">
        <f t="shared" si="3"/>
        <v>0</v>
      </c>
      <c r="M35" s="38">
        <v>0</v>
      </c>
      <c r="N35" s="38">
        <v>0</v>
      </c>
    </row>
    <row r="36" spans="1:14">
      <c r="A36" s="30" t="s">
        <v>37</v>
      </c>
      <c r="B36" s="35">
        <v>9412</v>
      </c>
      <c r="C36" s="38"/>
      <c r="D36" s="38">
        <f t="shared" si="1"/>
        <v>2</v>
      </c>
      <c r="E36" s="38">
        <v>0</v>
      </c>
      <c r="F36" s="38">
        <f>J36+N36</f>
        <v>2</v>
      </c>
      <c r="G36" s="38"/>
      <c r="H36" s="38">
        <f t="shared" si="2"/>
        <v>2</v>
      </c>
      <c r="I36" s="38">
        <v>0</v>
      </c>
      <c r="J36" s="38">
        <v>2</v>
      </c>
      <c r="K36" s="38"/>
      <c r="L36" s="38">
        <f t="shared" si="3"/>
        <v>0</v>
      </c>
      <c r="M36" s="38">
        <v>0</v>
      </c>
      <c r="N36" s="38">
        <v>0</v>
      </c>
    </row>
    <row r="37" spans="1:14">
      <c r="A37" s="30" t="s">
        <v>38</v>
      </c>
      <c r="B37" s="35">
        <v>9890</v>
      </c>
      <c r="C37" s="38"/>
      <c r="D37" s="38">
        <f t="shared" si="1"/>
        <v>27</v>
      </c>
      <c r="E37" s="38">
        <f t="shared" ref="E37:E42" si="5">I37+M37</f>
        <v>21</v>
      </c>
      <c r="F37" s="38">
        <f>J37+N37</f>
        <v>6</v>
      </c>
      <c r="G37" s="38"/>
      <c r="H37" s="38">
        <f t="shared" si="2"/>
        <v>21</v>
      </c>
      <c r="I37" s="38">
        <v>15</v>
      </c>
      <c r="J37" s="38">
        <v>6</v>
      </c>
      <c r="K37" s="38"/>
      <c r="L37" s="38">
        <f t="shared" si="3"/>
        <v>6</v>
      </c>
      <c r="M37" s="38">
        <v>6</v>
      </c>
      <c r="N37" s="38">
        <v>0</v>
      </c>
    </row>
    <row r="38" spans="1:14">
      <c r="A38" s="30" t="s">
        <v>39</v>
      </c>
      <c r="B38" s="35">
        <v>10215</v>
      </c>
      <c r="C38" s="38"/>
      <c r="D38" s="38">
        <f t="shared" si="1"/>
        <v>1</v>
      </c>
      <c r="E38" s="38">
        <f t="shared" si="5"/>
        <v>1</v>
      </c>
      <c r="F38" s="38">
        <v>0</v>
      </c>
      <c r="G38" s="38"/>
      <c r="H38" s="38">
        <f t="shared" si="2"/>
        <v>1</v>
      </c>
      <c r="I38" s="38">
        <v>1</v>
      </c>
      <c r="J38" s="38">
        <v>0</v>
      </c>
      <c r="K38" s="38"/>
      <c r="L38" s="38">
        <f t="shared" si="3"/>
        <v>0</v>
      </c>
      <c r="M38" s="38">
        <v>0</v>
      </c>
      <c r="N38" s="38">
        <v>0</v>
      </c>
    </row>
    <row r="39" spans="1:14">
      <c r="A39" s="30" t="s">
        <v>40</v>
      </c>
      <c r="B39" s="35">
        <v>11065</v>
      </c>
      <c r="C39" s="38"/>
      <c r="D39" s="38">
        <f t="shared" si="1"/>
        <v>42</v>
      </c>
      <c r="E39" s="38">
        <f t="shared" si="5"/>
        <v>31</v>
      </c>
      <c r="F39" s="38">
        <f>J39+N39</f>
        <v>11</v>
      </c>
      <c r="G39" s="38"/>
      <c r="H39" s="38">
        <f t="shared" si="2"/>
        <v>39</v>
      </c>
      <c r="I39" s="38">
        <v>31</v>
      </c>
      <c r="J39" s="38">
        <v>8</v>
      </c>
      <c r="K39" s="38"/>
      <c r="L39" s="38">
        <f t="shared" si="3"/>
        <v>3</v>
      </c>
      <c r="M39" s="38">
        <v>0</v>
      </c>
      <c r="N39" s="38">
        <v>3</v>
      </c>
    </row>
    <row r="40" spans="1:14">
      <c r="A40" s="30" t="s">
        <v>41</v>
      </c>
      <c r="B40" s="35">
        <v>11350</v>
      </c>
      <c r="C40" s="38"/>
      <c r="D40" s="38">
        <f t="shared" si="1"/>
        <v>6</v>
      </c>
      <c r="E40" s="38">
        <f t="shared" si="5"/>
        <v>6</v>
      </c>
      <c r="F40" s="38">
        <v>0</v>
      </c>
      <c r="G40" s="38"/>
      <c r="H40" s="38">
        <f t="shared" si="2"/>
        <v>6</v>
      </c>
      <c r="I40" s="38">
        <v>6</v>
      </c>
      <c r="J40" s="38">
        <v>0</v>
      </c>
      <c r="K40" s="38"/>
      <c r="L40" s="38">
        <f t="shared" si="3"/>
        <v>0</v>
      </c>
      <c r="M40" s="38">
        <v>0</v>
      </c>
      <c r="N40" s="38">
        <v>0</v>
      </c>
    </row>
    <row r="41" spans="1:14">
      <c r="A41" s="30" t="s">
        <v>42</v>
      </c>
      <c r="B41" s="35">
        <v>12140</v>
      </c>
      <c r="C41" s="38"/>
      <c r="D41" s="38">
        <f t="shared" si="1"/>
        <v>3</v>
      </c>
      <c r="E41" s="38">
        <f t="shared" si="5"/>
        <v>2</v>
      </c>
      <c r="F41" s="38">
        <f>J41+N41</f>
        <v>1</v>
      </c>
      <c r="G41" s="38"/>
      <c r="H41" s="38">
        <f t="shared" si="2"/>
        <v>3</v>
      </c>
      <c r="I41" s="38">
        <v>2</v>
      </c>
      <c r="J41" s="38">
        <v>1</v>
      </c>
      <c r="K41" s="38"/>
      <c r="L41" s="38">
        <f t="shared" si="3"/>
        <v>0</v>
      </c>
      <c r="M41" s="38">
        <v>0</v>
      </c>
      <c r="N41" s="38">
        <v>0</v>
      </c>
    </row>
    <row r="42" spans="1:14">
      <c r="A42" s="30" t="s">
        <v>43</v>
      </c>
      <c r="B42" s="35">
        <v>12400</v>
      </c>
      <c r="C42" s="38"/>
      <c r="D42" s="38">
        <f t="shared" si="1"/>
        <v>39</v>
      </c>
      <c r="E42" s="38">
        <f t="shared" si="5"/>
        <v>30</v>
      </c>
      <c r="F42" s="38">
        <f>J42+N42</f>
        <v>9</v>
      </c>
      <c r="G42" s="38"/>
      <c r="H42" s="38">
        <f t="shared" si="2"/>
        <v>17</v>
      </c>
      <c r="I42" s="38">
        <v>13</v>
      </c>
      <c r="J42" s="38">
        <v>4</v>
      </c>
      <c r="K42" s="38"/>
      <c r="L42" s="38">
        <f t="shared" si="3"/>
        <v>22</v>
      </c>
      <c r="M42" s="38">
        <v>17</v>
      </c>
      <c r="N42" s="38">
        <v>5</v>
      </c>
    </row>
    <row r="43" spans="1:14">
      <c r="A43" s="30" t="s">
        <v>44</v>
      </c>
      <c r="B43" s="35">
        <v>13200</v>
      </c>
      <c r="C43" s="38"/>
      <c r="D43" s="38">
        <f t="shared" si="1"/>
        <v>1</v>
      </c>
      <c r="E43" s="38">
        <v>0</v>
      </c>
      <c r="F43" s="38">
        <f>J43+N43</f>
        <v>1</v>
      </c>
      <c r="G43" s="38"/>
      <c r="H43" s="38">
        <f t="shared" si="2"/>
        <v>1</v>
      </c>
      <c r="I43" s="38">
        <v>0</v>
      </c>
      <c r="J43" s="38">
        <v>1</v>
      </c>
      <c r="K43" s="38"/>
      <c r="L43" s="38">
        <f t="shared" si="3"/>
        <v>0</v>
      </c>
      <c r="M43" s="38">
        <v>0</v>
      </c>
      <c r="N43" s="38">
        <v>0</v>
      </c>
    </row>
    <row r="44" spans="1:14">
      <c r="A44" s="30" t="s">
        <v>45</v>
      </c>
      <c r="B44" s="35">
        <v>13780</v>
      </c>
      <c r="C44" s="38"/>
      <c r="D44" s="38">
        <f t="shared" si="1"/>
        <v>3</v>
      </c>
      <c r="E44" s="38">
        <f t="shared" ref="E44:E53" si="6">I44+M44</f>
        <v>3</v>
      </c>
      <c r="F44" s="38">
        <v>0</v>
      </c>
      <c r="G44" s="38"/>
      <c r="H44" s="38">
        <f t="shared" si="2"/>
        <v>3</v>
      </c>
      <c r="I44" s="38">
        <v>3</v>
      </c>
      <c r="J44" s="38">
        <v>0</v>
      </c>
      <c r="K44" s="38"/>
      <c r="L44" s="38">
        <f t="shared" si="3"/>
        <v>0</v>
      </c>
      <c r="M44" s="38">
        <v>0</v>
      </c>
      <c r="N44" s="38">
        <v>0</v>
      </c>
    </row>
    <row r="45" spans="1:14">
      <c r="A45" s="30" t="s">
        <v>46</v>
      </c>
      <c r="B45" s="35">
        <v>13890</v>
      </c>
      <c r="C45" s="38"/>
      <c r="D45" s="38">
        <f t="shared" si="1"/>
        <v>45</v>
      </c>
      <c r="E45" s="38">
        <f t="shared" si="6"/>
        <v>37</v>
      </c>
      <c r="F45" s="38">
        <f>J45+N45</f>
        <v>8</v>
      </c>
      <c r="G45" s="38"/>
      <c r="H45" s="38">
        <f t="shared" si="2"/>
        <v>39</v>
      </c>
      <c r="I45" s="38">
        <v>31</v>
      </c>
      <c r="J45" s="38">
        <v>8</v>
      </c>
      <c r="K45" s="38"/>
      <c r="L45" s="38">
        <f t="shared" si="3"/>
        <v>6</v>
      </c>
      <c r="M45" s="38">
        <v>6</v>
      </c>
      <c r="N45" s="38">
        <v>0</v>
      </c>
    </row>
    <row r="46" spans="1:14">
      <c r="A46" s="30" t="s">
        <v>47</v>
      </c>
      <c r="B46" s="35">
        <v>14460</v>
      </c>
      <c r="C46" s="38"/>
      <c r="D46" s="38">
        <f t="shared" si="1"/>
        <v>2</v>
      </c>
      <c r="E46" s="38">
        <f t="shared" si="6"/>
        <v>1</v>
      </c>
      <c r="F46" s="38">
        <f>J46+N46</f>
        <v>1</v>
      </c>
      <c r="G46" s="38"/>
      <c r="H46" s="38">
        <f t="shared" si="2"/>
        <v>2</v>
      </c>
      <c r="I46" s="38">
        <v>1</v>
      </c>
      <c r="J46" s="38">
        <v>1</v>
      </c>
      <c r="K46" s="38"/>
      <c r="L46" s="38">
        <f t="shared" si="3"/>
        <v>0</v>
      </c>
      <c r="M46" s="38">
        <v>0</v>
      </c>
      <c r="N46" s="38">
        <v>0</v>
      </c>
    </row>
    <row r="47" spans="1:14">
      <c r="A47" s="30" t="s">
        <v>48</v>
      </c>
      <c r="B47" s="35">
        <v>15210</v>
      </c>
      <c r="C47" s="38"/>
      <c r="D47" s="38">
        <f t="shared" si="1"/>
        <v>1</v>
      </c>
      <c r="E47" s="38">
        <f t="shared" si="6"/>
        <v>1</v>
      </c>
      <c r="F47" s="38">
        <v>0</v>
      </c>
      <c r="G47" s="38"/>
      <c r="H47" s="38">
        <f t="shared" si="2"/>
        <v>1</v>
      </c>
      <c r="I47" s="38">
        <v>1</v>
      </c>
      <c r="J47" s="38">
        <v>0</v>
      </c>
      <c r="K47" s="38"/>
      <c r="L47" s="38">
        <f t="shared" si="3"/>
        <v>0</v>
      </c>
      <c r="M47" s="38">
        <v>0</v>
      </c>
      <c r="N47" s="38">
        <v>0</v>
      </c>
    </row>
    <row r="48" spans="1:14">
      <c r="A48" s="30" t="s">
        <v>49</v>
      </c>
      <c r="B48" s="35">
        <v>15560</v>
      </c>
      <c r="C48" s="38"/>
      <c r="D48" s="38">
        <f t="shared" si="1"/>
        <v>11</v>
      </c>
      <c r="E48" s="38">
        <f t="shared" si="6"/>
        <v>9</v>
      </c>
      <c r="F48" s="38">
        <f>J48+N48</f>
        <v>2</v>
      </c>
      <c r="G48" s="38"/>
      <c r="H48" s="38">
        <f t="shared" si="2"/>
        <v>11</v>
      </c>
      <c r="I48" s="38">
        <v>9</v>
      </c>
      <c r="J48" s="38">
        <v>2</v>
      </c>
      <c r="K48" s="38"/>
      <c r="L48" s="38">
        <f t="shared" si="3"/>
        <v>0</v>
      </c>
      <c r="M48" s="38">
        <v>0</v>
      </c>
      <c r="N48" s="38">
        <v>0</v>
      </c>
    </row>
    <row r="49" spans="1:21">
      <c r="A49" s="30" t="s">
        <v>50</v>
      </c>
      <c r="B49" s="35">
        <v>16720</v>
      </c>
      <c r="C49" s="38"/>
      <c r="D49" s="38">
        <f t="shared" si="1"/>
        <v>2</v>
      </c>
      <c r="E49" s="38">
        <f t="shared" si="6"/>
        <v>2</v>
      </c>
      <c r="F49" s="38">
        <v>0</v>
      </c>
      <c r="G49" s="38"/>
      <c r="H49" s="38">
        <f t="shared" si="2"/>
        <v>2</v>
      </c>
      <c r="I49" s="38">
        <v>2</v>
      </c>
      <c r="J49" s="38">
        <v>0</v>
      </c>
      <c r="K49" s="38"/>
      <c r="L49" s="38">
        <f t="shared" si="3"/>
        <v>0</v>
      </c>
      <c r="M49" s="38">
        <v>0</v>
      </c>
      <c r="N49" s="38">
        <v>0</v>
      </c>
    </row>
    <row r="50" spans="1:21">
      <c r="A50" s="30" t="s">
        <v>51</v>
      </c>
      <c r="B50" s="35">
        <v>17420</v>
      </c>
      <c r="C50" s="38"/>
      <c r="D50" s="38">
        <f t="shared" si="1"/>
        <v>4</v>
      </c>
      <c r="E50" s="38">
        <f t="shared" si="6"/>
        <v>3</v>
      </c>
      <c r="F50" s="38">
        <f>J50+N50</f>
        <v>1</v>
      </c>
      <c r="G50" s="38"/>
      <c r="H50" s="38">
        <f t="shared" si="2"/>
        <v>2</v>
      </c>
      <c r="I50" s="38">
        <v>1</v>
      </c>
      <c r="J50" s="38">
        <v>1</v>
      </c>
      <c r="K50" s="38"/>
      <c r="L50" s="38">
        <f t="shared" si="3"/>
        <v>2</v>
      </c>
      <c r="M50" s="38">
        <v>2</v>
      </c>
      <c r="N50" s="38">
        <v>0</v>
      </c>
    </row>
    <row r="51" spans="1:21">
      <c r="A51" s="30" t="s">
        <v>52</v>
      </c>
      <c r="B51" s="35">
        <v>18320</v>
      </c>
      <c r="C51" s="38"/>
      <c r="D51" s="38">
        <f t="shared" si="1"/>
        <v>1</v>
      </c>
      <c r="E51" s="38">
        <f t="shared" si="6"/>
        <v>1</v>
      </c>
      <c r="F51" s="38">
        <v>0</v>
      </c>
      <c r="G51" s="38"/>
      <c r="H51" s="38">
        <f t="shared" si="2"/>
        <v>1</v>
      </c>
      <c r="I51" s="38">
        <v>1</v>
      </c>
      <c r="J51" s="38">
        <v>0</v>
      </c>
      <c r="K51" s="38"/>
      <c r="L51" s="38">
        <f t="shared" si="3"/>
        <v>0</v>
      </c>
      <c r="M51" s="38">
        <v>0</v>
      </c>
      <c r="N51" s="38">
        <v>0</v>
      </c>
    </row>
    <row r="52" spans="1:21">
      <c r="A52" s="30" t="s">
        <v>53</v>
      </c>
      <c r="B52" s="35">
        <v>19510</v>
      </c>
      <c r="C52" s="38"/>
      <c r="D52" s="6">
        <f t="shared" si="1"/>
        <v>1</v>
      </c>
      <c r="E52" s="6">
        <f t="shared" si="6"/>
        <v>1</v>
      </c>
      <c r="F52" s="6">
        <v>0</v>
      </c>
      <c r="G52" s="6"/>
      <c r="H52" s="6">
        <f t="shared" si="2"/>
        <v>1</v>
      </c>
      <c r="I52" s="6">
        <v>1</v>
      </c>
      <c r="J52" s="6">
        <v>0</v>
      </c>
      <c r="K52" s="6"/>
      <c r="L52" s="6">
        <f t="shared" si="3"/>
        <v>0</v>
      </c>
      <c r="M52" s="6">
        <v>0</v>
      </c>
      <c r="N52" s="6">
        <v>0</v>
      </c>
    </row>
    <row r="53" spans="1:21">
      <c r="A53" s="31" t="s">
        <v>54</v>
      </c>
      <c r="B53" s="36">
        <v>20500</v>
      </c>
      <c r="C53" s="5"/>
      <c r="D53" s="5">
        <f t="shared" si="1"/>
        <v>18</v>
      </c>
      <c r="E53" s="5">
        <f t="shared" si="6"/>
        <v>15</v>
      </c>
      <c r="F53" s="5">
        <f>J53+N53</f>
        <v>3</v>
      </c>
      <c r="G53" s="5"/>
      <c r="H53" s="5">
        <f t="shared" si="2"/>
        <v>18</v>
      </c>
      <c r="I53" s="5">
        <v>15</v>
      </c>
      <c r="J53" s="5">
        <v>3</v>
      </c>
      <c r="K53" s="5"/>
      <c r="L53" s="5">
        <f t="shared" si="3"/>
        <v>0</v>
      </c>
      <c r="M53" s="5">
        <v>0</v>
      </c>
      <c r="N53" s="5">
        <v>0</v>
      </c>
    </row>
    <row r="54" spans="1:21" s="1" customFormat="1" ht="17.25">
      <c r="A54" s="10" t="s">
        <v>55</v>
      </c>
      <c r="B54" s="11"/>
      <c r="C54" s="12"/>
      <c r="D54" s="12"/>
      <c r="E54" s="12"/>
      <c r="F54" s="12"/>
      <c r="G54" s="12"/>
      <c r="H54" s="12"/>
      <c r="I54" s="12"/>
      <c r="J54" s="4"/>
      <c r="K54" s="4"/>
      <c r="L54" s="4"/>
      <c r="N54" s="2" t="s">
        <v>63</v>
      </c>
    </row>
    <row r="55" spans="1:21">
      <c r="B55" s="17"/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21">
      <c r="B56" s="17"/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21">
      <c r="E57" s="13"/>
      <c r="F57" s="33"/>
    </row>
    <row r="58" spans="1:21">
      <c r="G58" s="32"/>
      <c r="S58" t="s">
        <v>70</v>
      </c>
      <c r="T58" s="34" t="s">
        <v>6</v>
      </c>
      <c r="U58" s="34" t="s">
        <v>7</v>
      </c>
    </row>
    <row r="59" spans="1:21">
      <c r="G59" s="32"/>
      <c r="S59" t="s">
        <v>69</v>
      </c>
      <c r="T59" s="39">
        <v>4388</v>
      </c>
      <c r="U59" s="39">
        <v>3870</v>
      </c>
    </row>
    <row r="60" spans="1:21">
      <c r="G60" s="32"/>
      <c r="S60" t="s">
        <v>68</v>
      </c>
      <c r="T60" s="39">
        <v>4072</v>
      </c>
      <c r="U60" s="39">
        <v>5147</v>
      </c>
    </row>
    <row r="61" spans="1:21">
      <c r="G61" s="32"/>
      <c r="S61" t="s">
        <v>67</v>
      </c>
      <c r="T61" s="39">
        <v>111</v>
      </c>
      <c r="U61" s="39">
        <v>31</v>
      </c>
    </row>
    <row r="62" spans="1:21">
      <c r="G62" s="32"/>
      <c r="S62" t="s">
        <v>66</v>
      </c>
      <c r="T62" s="39">
        <v>32</v>
      </c>
      <c r="U62" s="39">
        <v>6</v>
      </c>
    </row>
    <row r="63" spans="1:21">
      <c r="G63" s="32"/>
      <c r="S63"/>
      <c r="T63" s="40">
        <f>SUM(T59:T62)</f>
        <v>8603</v>
      </c>
      <c r="U63" s="40">
        <f>SUM(U59:U62)</f>
        <v>9054</v>
      </c>
    </row>
    <row r="64" spans="1:21">
      <c r="G64" s="32"/>
    </row>
    <row r="65" spans="1:22">
      <c r="G65" s="32"/>
    </row>
    <row r="66" spans="1:22">
      <c r="G66" s="32"/>
    </row>
    <row r="67" spans="1:22" s="20" customFormat="1" ht="12">
      <c r="A67" s="21"/>
      <c r="G67" s="32"/>
      <c r="H67" s="32"/>
      <c r="I67" s="32"/>
      <c r="J67" s="32"/>
      <c r="K67" s="32"/>
      <c r="L67" s="32"/>
      <c r="M67" s="32"/>
      <c r="N67" s="32"/>
    </row>
    <row r="72" spans="1:22">
      <c r="T72" s="16"/>
      <c r="U72" s="21" t="s">
        <v>8</v>
      </c>
      <c r="V72" s="20" t="s">
        <v>61</v>
      </c>
    </row>
    <row r="73" spans="1:22">
      <c r="T73" s="16"/>
      <c r="U73" s="21" t="s">
        <v>20</v>
      </c>
      <c r="V73" s="32">
        <v>3199</v>
      </c>
    </row>
    <row r="74" spans="1:22">
      <c r="T74" s="16"/>
      <c r="U74" s="21" t="s">
        <v>11</v>
      </c>
      <c r="V74" s="32">
        <v>2940</v>
      </c>
    </row>
    <row r="75" spans="1:22">
      <c r="T75" s="16"/>
      <c r="U75" s="21" t="s">
        <v>17</v>
      </c>
      <c r="V75" s="32">
        <v>2736</v>
      </c>
    </row>
    <row r="76" spans="1:22">
      <c r="T76" s="16"/>
      <c r="U76" s="21" t="s">
        <v>23</v>
      </c>
      <c r="V76" s="32">
        <v>2337</v>
      </c>
    </row>
    <row r="77" spans="1:22">
      <c r="T77" s="16"/>
      <c r="U77" s="21" t="s">
        <v>27</v>
      </c>
      <c r="V77" s="32">
        <v>1419</v>
      </c>
    </row>
    <row r="78" spans="1:22">
      <c r="T78" s="16"/>
      <c r="U78" s="21" t="s">
        <v>18</v>
      </c>
      <c r="V78" s="32">
        <v>1192</v>
      </c>
    </row>
    <row r="79" spans="1:22">
      <c r="T79" s="16"/>
      <c r="U79" s="21" t="s">
        <v>12</v>
      </c>
      <c r="V79" s="32">
        <v>1132</v>
      </c>
    </row>
    <row r="80" spans="1:22">
      <c r="U80" s="21" t="s">
        <v>15</v>
      </c>
      <c r="V80" s="32">
        <v>892</v>
      </c>
    </row>
    <row r="81" spans="20:22">
      <c r="T81" s="32"/>
      <c r="U81" s="21" t="s">
        <v>13</v>
      </c>
      <c r="V81" s="32">
        <v>358</v>
      </c>
    </row>
    <row r="82" spans="20:22">
      <c r="T82" s="16"/>
      <c r="U82" s="21" t="s">
        <v>32</v>
      </c>
      <c r="V82" s="32">
        <v>351</v>
      </c>
    </row>
    <row r="83" spans="20:22">
      <c r="T83" s="33" t="s">
        <v>65</v>
      </c>
      <c r="U83" s="16"/>
      <c r="V83" s="16"/>
    </row>
  </sheetData>
  <sortState ref="D90:E133">
    <sortCondition ref="E90:E133"/>
  </sortState>
  <mergeCells count="13">
    <mergeCell ref="A9:B9"/>
    <mergeCell ref="L5:N5"/>
    <mergeCell ref="I4:N4"/>
    <mergeCell ref="A1:N1"/>
    <mergeCell ref="A2:N2"/>
    <mergeCell ref="A6:A7"/>
    <mergeCell ref="B6:B7"/>
    <mergeCell ref="B4:B5"/>
    <mergeCell ref="A4:A5"/>
    <mergeCell ref="D4:H4"/>
    <mergeCell ref="D5:F5"/>
    <mergeCell ref="H5:J5"/>
    <mergeCell ref="A3:M3"/>
  </mergeCells>
  <pageMargins left="0.62" right="0.59" top="0.26" bottom="0.19" header="0.13" footer="0.14000000000000001"/>
  <pageSetup paperSize="9" scale="76" orientation="portrait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5.9</vt:lpstr>
      <vt:lpstr>'5.9'!Print_Area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2013-07-02T06:49:27Z</cp:lastPrinted>
  <dcterms:created xsi:type="dcterms:W3CDTF">2013-03-26T05:45:33Z</dcterms:created>
  <dcterms:modified xsi:type="dcterms:W3CDTF">2013-07-02T06:56:20Z</dcterms:modified>
</cp:coreProperties>
</file>