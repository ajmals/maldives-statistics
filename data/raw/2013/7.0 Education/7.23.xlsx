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23" sheetId="15" r:id="rId1"/>
  </sheets>
  <calcPr calcId="124519"/>
</workbook>
</file>

<file path=xl/calcChain.xml><?xml version="1.0" encoding="utf-8"?>
<calcChain xmlns="http://schemas.openxmlformats.org/spreadsheetml/2006/main">
  <c r="I14" i="15"/>
  <c r="H11"/>
  <c r="J59" l="1"/>
  <c r="H59" s="1"/>
  <c r="G59"/>
  <c r="B59"/>
  <c r="J58"/>
  <c r="H58" s="1"/>
  <c r="G58"/>
  <c r="E58" s="1"/>
  <c r="B58"/>
  <c r="J57"/>
  <c r="H57"/>
  <c r="G57"/>
  <c r="E57"/>
  <c r="B57"/>
  <c r="J56"/>
  <c r="I56"/>
  <c r="H56"/>
  <c r="G56"/>
  <c r="F56"/>
  <c r="E56" s="1"/>
  <c r="D56"/>
  <c r="C56"/>
  <c r="B56"/>
  <c r="J55"/>
  <c r="H55"/>
  <c r="G55"/>
  <c r="E55"/>
  <c r="B55"/>
  <c r="J54"/>
  <c r="H54" s="1"/>
  <c r="G54"/>
  <c r="E54" s="1"/>
  <c r="B54"/>
  <c r="J53"/>
  <c r="I53"/>
  <c r="H53" s="1"/>
  <c r="G53"/>
  <c r="F53"/>
  <c r="E53"/>
  <c r="D53"/>
  <c r="C53"/>
  <c r="B53" s="1"/>
  <c r="J52"/>
  <c r="H52" s="1"/>
  <c r="G52"/>
  <c r="E52" s="1"/>
  <c r="J51"/>
  <c r="H51" s="1"/>
  <c r="G51"/>
  <c r="E51" s="1"/>
  <c r="J50"/>
  <c r="H50" s="1"/>
  <c r="G50"/>
  <c r="E50" s="1"/>
  <c r="B50"/>
  <c r="G49"/>
  <c r="G47" s="1"/>
  <c r="B49"/>
  <c r="J48"/>
  <c r="H48" s="1"/>
  <c r="G48"/>
  <c r="E48" s="1"/>
  <c r="B48"/>
  <c r="B47"/>
  <c r="I46"/>
  <c r="F46"/>
  <c r="D46"/>
  <c r="C46"/>
  <c r="B46"/>
  <c r="B40"/>
  <c r="B39"/>
  <c r="B38"/>
  <c r="B37"/>
  <c r="B36"/>
  <c r="B35"/>
  <c r="B34"/>
  <c r="B33"/>
  <c r="I32"/>
  <c r="F32"/>
  <c r="D32"/>
  <c r="C32"/>
  <c r="B32"/>
  <c r="H31"/>
  <c r="E31"/>
  <c r="B31"/>
  <c r="H30"/>
  <c r="E30"/>
  <c r="B30"/>
  <c r="H29"/>
  <c r="E29"/>
  <c r="B29"/>
  <c r="H28"/>
  <c r="E28"/>
  <c r="B28"/>
  <c r="H27"/>
  <c r="E27"/>
  <c r="B27"/>
  <c r="J26"/>
  <c r="I26"/>
  <c r="G26"/>
  <c r="F26"/>
  <c r="E26"/>
  <c r="D26"/>
  <c r="C26"/>
  <c r="B26" s="1"/>
  <c r="J25"/>
  <c r="I25"/>
  <c r="G25"/>
  <c r="F25"/>
  <c r="E25"/>
  <c r="D25"/>
  <c r="C25"/>
  <c r="B25" s="1"/>
  <c r="B24"/>
  <c r="I23"/>
  <c r="F23"/>
  <c r="D23"/>
  <c r="C23"/>
  <c r="B23" s="1"/>
  <c r="H22"/>
  <c r="E22"/>
  <c r="B22"/>
  <c r="H21"/>
  <c r="E21"/>
  <c r="B21"/>
  <c r="H20"/>
  <c r="E20"/>
  <c r="B20"/>
  <c r="H19"/>
  <c r="E19"/>
  <c r="B19"/>
  <c r="H18"/>
  <c r="E18"/>
  <c r="B18"/>
  <c r="H17"/>
  <c r="E17"/>
  <c r="B17"/>
  <c r="H16"/>
  <c r="E16"/>
  <c r="B16"/>
  <c r="H15"/>
  <c r="E15"/>
  <c r="B15"/>
  <c r="J14"/>
  <c r="H14" s="1"/>
  <c r="G14"/>
  <c r="F14"/>
  <c r="E14"/>
  <c r="D14"/>
  <c r="C14"/>
  <c r="B14" s="1"/>
  <c r="H13"/>
  <c r="E13"/>
  <c r="B13"/>
  <c r="J12"/>
  <c r="I12"/>
  <c r="H12" s="1"/>
  <c r="G12"/>
  <c r="F12"/>
  <c r="E12"/>
  <c r="D12"/>
  <c r="C12"/>
  <c r="B12" s="1"/>
  <c r="E11"/>
  <c r="H10"/>
  <c r="E10"/>
  <c r="B10"/>
  <c r="J9"/>
  <c r="I9"/>
  <c r="I8" s="1"/>
  <c r="H9"/>
  <c r="G9"/>
  <c r="F9"/>
  <c r="F8" s="1"/>
  <c r="E9"/>
  <c r="D9"/>
  <c r="C9"/>
  <c r="B9"/>
  <c r="J8"/>
  <c r="G8"/>
  <c r="E8" s="1"/>
  <c r="D8"/>
  <c r="C8"/>
  <c r="B8"/>
  <c r="F7"/>
  <c r="D7"/>
  <c r="C7"/>
  <c r="B7" s="1"/>
  <c r="E47" l="1"/>
  <c r="G46"/>
  <c r="G45" s="1"/>
  <c r="E46"/>
  <c r="H25"/>
  <c r="H26"/>
  <c r="J49"/>
  <c r="J47" s="1"/>
  <c r="H8"/>
  <c r="I7"/>
  <c r="H47" l="1"/>
  <c r="J46"/>
  <c r="E45"/>
  <c r="G44"/>
  <c r="E44" l="1"/>
  <c r="G43"/>
  <c r="H46"/>
  <c r="J45"/>
  <c r="H45" l="1"/>
  <c r="J44"/>
  <c r="E43"/>
  <c r="G42"/>
  <c r="E42" l="1"/>
  <c r="G41"/>
  <c r="H44"/>
  <c r="J43"/>
  <c r="H43" l="1"/>
  <c r="J42"/>
  <c r="E41"/>
  <c r="G40"/>
  <c r="E40" l="1"/>
  <c r="G39"/>
  <c r="H42"/>
  <c r="J41"/>
  <c r="H41" l="1"/>
  <c r="J40"/>
  <c r="E39"/>
  <c r="G38"/>
  <c r="E38" l="1"/>
  <c r="G37"/>
  <c r="H40"/>
  <c r="J39"/>
  <c r="H39" l="1"/>
  <c r="J38"/>
  <c r="E37"/>
  <c r="G36"/>
  <c r="E36" l="1"/>
  <c r="G35"/>
  <c r="G34" s="1"/>
  <c r="G33" s="1"/>
  <c r="H38"/>
  <c r="J37"/>
  <c r="H37" l="1"/>
  <c r="J36"/>
  <c r="E33"/>
  <c r="G32"/>
  <c r="G24" l="1"/>
  <c r="G7"/>
  <c r="E7" s="1"/>
  <c r="E32"/>
  <c r="H36"/>
  <c r="J35"/>
  <c r="J34" s="1"/>
  <c r="J33" s="1"/>
  <c r="H33" l="1"/>
  <c r="J32"/>
  <c r="G23"/>
  <c r="E23" s="1"/>
  <c r="E24"/>
  <c r="J24" l="1"/>
  <c r="J7"/>
  <c r="H7" s="1"/>
  <c r="H32"/>
  <c r="H24" l="1"/>
  <c r="J23"/>
  <c r="H23" s="1"/>
</calcChain>
</file>

<file path=xl/sharedStrings.xml><?xml version="1.0" encoding="utf-8"?>
<sst xmlns="http://schemas.openxmlformats.org/spreadsheetml/2006/main" count="67" uniqueCount="55">
  <si>
    <t>Male</t>
  </si>
  <si>
    <t>Female</t>
  </si>
  <si>
    <t>Type of Training</t>
  </si>
  <si>
    <t>Maldives Polytechnic</t>
  </si>
  <si>
    <t xml:space="preserve">Regional Youth Vocational Training Centres ( RYVTC )  </t>
  </si>
  <si>
    <t>Short Courses</t>
  </si>
  <si>
    <t>Mobile Courses</t>
  </si>
  <si>
    <t>IHDP Project Courses</t>
  </si>
  <si>
    <t>Hunaru Project Courses</t>
  </si>
  <si>
    <t>Source: Maldives Polytechnic</t>
  </si>
  <si>
    <t xml:space="preserve"> ތާވަލް 7.23: ތަމްރީނުގެ ބާވަތާއި ޖިންސުގެ ގޮތުން ފަންނީ ތަޢުލީމްގެ ދާއިރާއިން ކިޔަވާ ކުދިންގެ އަދަދު 2010 - 2012</t>
  </si>
  <si>
    <t xml:space="preserve"> Table  7.23:   STUDENT ENROLMENT IN TECHNICAL EDUCATION, BY TYPE OF TRAINING AND SEX, 2010 - 2012</t>
  </si>
  <si>
    <t xml:space="preserve"> Both Sexes</t>
  </si>
  <si>
    <t>Grand Total</t>
  </si>
  <si>
    <t>Diploma (2 Years)</t>
  </si>
  <si>
    <t>Building Construction</t>
  </si>
  <si>
    <t>Civil Engineering</t>
  </si>
  <si>
    <t>Diploma (1 1/2 Years)</t>
  </si>
  <si>
    <t>Architecture</t>
  </si>
  <si>
    <t>Advance Certificate  (1 1/2 Years)</t>
  </si>
  <si>
    <t>Engine Repair &amp; Maintenance</t>
  </si>
  <si>
    <t>Electrical &amp; Electronics Engineering</t>
  </si>
  <si>
    <t>Refrigeration &amp; Air-Conditioning</t>
  </si>
  <si>
    <t>Power Systems Operation &amp; Maintenance</t>
  </si>
  <si>
    <t>Electrical &amp; Electronics Specialized in Security Systems</t>
  </si>
  <si>
    <t>Welding &amp; Sheet Metal</t>
  </si>
  <si>
    <t>Machining &amp; Mechanical Fitting</t>
  </si>
  <si>
    <t xml:space="preserve"> Certificate III  (15 Weeks)</t>
  </si>
  <si>
    <t>Certificate III in Welding and Metal Fabrication</t>
  </si>
  <si>
    <t>Advance Certificate Course (1 1/2 years)</t>
  </si>
  <si>
    <t>Desalination System Operation &amp; Maintenance</t>
  </si>
  <si>
    <t>Wooden &amp; Fiberglass BoatBuilding</t>
  </si>
  <si>
    <t>Advanced National Certificate in Welding</t>
  </si>
  <si>
    <t>National Certificate Level III in Refrigeration &amp; Airconditioning Mechanics</t>
  </si>
  <si>
    <t>Basic Certificate in Refrigeration &amp; Airconditioning Mechanics</t>
  </si>
  <si>
    <t>Advanced Certificate in Arc Welding</t>
  </si>
  <si>
    <t>National Certificate Level III in Tig Welding</t>
  </si>
  <si>
    <t>National Certificaet III in IT Techanican</t>
  </si>
  <si>
    <t>Certificate III in Electrican</t>
  </si>
  <si>
    <t>National Certificate II in Marine Mechanics</t>
  </si>
  <si>
    <t>National Certificate III in Electrican</t>
  </si>
  <si>
    <t>Basic Arc Welding</t>
  </si>
  <si>
    <t>Outboard  Engine Operation &amp; Maintenance</t>
  </si>
  <si>
    <t>Wood Carving</t>
  </si>
  <si>
    <t>Wood Carving and Lacqurer Work</t>
  </si>
  <si>
    <t xml:space="preserve">Certificate 3 in Furniture Carpentry </t>
  </si>
  <si>
    <t>Certificate III in ElectricIan</t>
  </si>
  <si>
    <t>Coastal Navigation</t>
  </si>
  <si>
    <t>Road Worthiness Inspection Training Programme</t>
  </si>
  <si>
    <t>Renewable Energy Systems Installation and Maintenance</t>
  </si>
  <si>
    <t>Engine Operation and Maintenace</t>
  </si>
  <si>
    <t>Certificate III in Furniture Carpentry</t>
  </si>
  <si>
    <t>Certificate III in Electrician</t>
  </si>
  <si>
    <t>Certificate III in Renewable Energy</t>
  </si>
  <si>
    <t>* Advanced Certificate Course alinged to M.Q.A format effective from 2011 September.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</si>
</sst>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#,##0;[Red]#,##0"/>
    <numFmt numFmtId="166" formatCode="#,##0.0_);[Red]\(#,##0.0\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9"/>
      <name val="Courier"/>
      <family val="3"/>
    </font>
    <font>
      <b/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166" fontId="7" fillId="0" borderId="0"/>
    <xf numFmtId="165" fontId="7" fillId="0" borderId="0"/>
    <xf numFmtId="165" fontId="7" fillId="0" borderId="0"/>
  </cellStyleXfs>
  <cellXfs count="46">
    <xf numFmtId="0" fontId="0" fillId="0" borderId="0" xfId="0"/>
    <xf numFmtId="164" fontId="7" fillId="2" borderId="0" xfId="4" applyNumberFormat="1" applyFill="1"/>
    <xf numFmtId="164" fontId="6" fillId="2" borderId="0" xfId="4" applyNumberFormat="1" applyFont="1" applyFill="1" applyBorder="1"/>
    <xf numFmtId="164" fontId="7" fillId="2" borderId="0" xfId="4" applyNumberFormat="1" applyFill="1" applyBorder="1"/>
    <xf numFmtId="164" fontId="7" fillId="2" borderId="0" xfId="4" applyNumberFormat="1" applyFill="1" applyAlignment="1">
      <alignment vertical="center"/>
    </xf>
    <xf numFmtId="164" fontId="2" fillId="2" borderId="3" xfId="4" applyNumberFormat="1" applyFont="1" applyFill="1" applyBorder="1" applyAlignment="1">
      <alignment horizontal="right" vertical="center"/>
    </xf>
    <xf numFmtId="164" fontId="2" fillId="2" borderId="1" xfId="4" applyNumberFormat="1" applyFont="1" applyFill="1" applyBorder="1" applyAlignment="1">
      <alignment horizontal="right" vertical="center"/>
    </xf>
    <xf numFmtId="164" fontId="2" fillId="2" borderId="2" xfId="4" applyNumberFormat="1" applyFont="1" applyFill="1" applyBorder="1" applyAlignment="1">
      <alignment horizontal="right" vertical="center"/>
    </xf>
    <xf numFmtId="164" fontId="3" fillId="2" borderId="0" xfId="4" applyNumberFormat="1" applyFont="1" applyFill="1" applyAlignment="1">
      <alignment vertical="center"/>
    </xf>
    <xf numFmtId="164" fontId="2" fillId="2" borderId="0" xfId="4" applyNumberFormat="1" applyFont="1" applyFill="1" applyBorder="1" applyAlignment="1">
      <alignment horizontal="right" vertical="center"/>
    </xf>
    <xf numFmtId="164" fontId="10" fillId="2" borderId="0" xfId="4" applyNumberFormat="1" applyFont="1" applyFill="1" applyAlignment="1">
      <alignment vertical="center"/>
    </xf>
    <xf numFmtId="164" fontId="6" fillId="2" borderId="0" xfId="4" applyNumberFormat="1" applyFont="1" applyFill="1" applyBorder="1" applyAlignment="1">
      <alignment horizontal="right" vertical="center"/>
    </xf>
    <xf numFmtId="164" fontId="6" fillId="2" borderId="1" xfId="4" applyNumberFormat="1" applyFont="1" applyFill="1" applyBorder="1" applyAlignment="1">
      <alignment horizontal="right" vertical="center"/>
    </xf>
    <xf numFmtId="164" fontId="3" fillId="2" borderId="0" xfId="4" applyNumberFormat="1" applyFont="1" applyFill="1" applyBorder="1" applyAlignment="1">
      <alignment vertical="center"/>
    </xf>
    <xf numFmtId="164" fontId="10" fillId="2" borderId="0" xfId="4" applyNumberFormat="1" applyFont="1" applyFill="1" applyBorder="1" applyAlignment="1">
      <alignment vertical="center"/>
    </xf>
    <xf numFmtId="164" fontId="3" fillId="2" borderId="0" xfId="4" applyNumberFormat="1" applyFont="1" applyFill="1" applyBorder="1" applyAlignment="1"/>
    <xf numFmtId="164" fontId="5" fillId="2" borderId="0" xfId="3" applyNumberFormat="1" applyFont="1" applyFill="1" applyAlignment="1">
      <alignment vertical="top"/>
    </xf>
    <xf numFmtId="164" fontId="4" fillId="2" borderId="0" xfId="4" applyNumberFormat="1" applyFont="1" applyFill="1" applyAlignment="1"/>
    <xf numFmtId="164" fontId="3" fillId="2" borderId="0" xfId="4" applyNumberFormat="1" applyFont="1" applyFill="1" applyAlignment="1"/>
    <xf numFmtId="164" fontId="2" fillId="2" borderId="0" xfId="4" applyNumberFormat="1" applyFont="1" applyFill="1" applyBorder="1" applyAlignment="1">
      <alignment horizontal="center" vertical="center"/>
    </xf>
    <xf numFmtId="164" fontId="6" fillId="2" borderId="0" xfId="4" applyNumberFormat="1" applyFont="1" applyFill="1" applyAlignment="1"/>
    <xf numFmtId="164" fontId="7" fillId="2" borderId="0" xfId="4" applyNumberFormat="1" applyFill="1" applyAlignment="1"/>
    <xf numFmtId="164" fontId="2" fillId="2" borderId="0" xfId="4" applyNumberFormat="1" applyFont="1" applyFill="1" applyBorder="1" applyAlignment="1">
      <alignment horizontal="center"/>
    </xf>
    <xf numFmtId="164" fontId="2" fillId="2" borderId="2" xfId="4" applyNumberFormat="1" applyFont="1" applyFill="1" applyBorder="1" applyAlignment="1">
      <alignment vertical="center"/>
    </xf>
    <xf numFmtId="164" fontId="2" fillId="2" borderId="0" xfId="4" applyNumberFormat="1" applyFont="1" applyFill="1" applyBorder="1" applyAlignment="1">
      <alignment vertical="center"/>
    </xf>
    <xf numFmtId="164" fontId="2" fillId="2" borderId="0" xfId="4" applyNumberFormat="1" applyFont="1" applyFill="1" applyBorder="1" applyAlignment="1">
      <alignment horizontal="left" vertical="center"/>
    </xf>
    <xf numFmtId="164" fontId="9" fillId="2" borderId="0" xfId="4" applyNumberFormat="1" applyFont="1" applyFill="1" applyBorder="1" applyAlignment="1">
      <alignment horizontal="left" vertical="center" indent="2"/>
    </xf>
    <xf numFmtId="164" fontId="9" fillId="2" borderId="1" xfId="4" applyNumberFormat="1" applyFont="1" applyFill="1" applyBorder="1" applyAlignment="1">
      <alignment horizontal="left" vertical="center" indent="2"/>
    </xf>
    <xf numFmtId="164" fontId="2" fillId="2" borderId="0" xfId="4" applyNumberFormat="1" applyFont="1" applyFill="1" applyBorder="1" applyAlignment="1">
      <alignment horizontal="left" vertical="center" indent="1"/>
    </xf>
    <xf numFmtId="164" fontId="2" fillId="2" borderId="7" xfId="4" applyNumberFormat="1" applyFont="1" applyFill="1" applyBorder="1" applyAlignment="1">
      <alignment horizontal="right" vertical="center"/>
    </xf>
    <xf numFmtId="164" fontId="2" fillId="2" borderId="5" xfId="4" applyNumberFormat="1" applyFont="1" applyFill="1" applyBorder="1" applyAlignment="1">
      <alignment horizontal="right" vertical="center"/>
    </xf>
    <xf numFmtId="164" fontId="2" fillId="2" borderId="8" xfId="4" applyNumberFormat="1" applyFont="1" applyFill="1" applyBorder="1" applyAlignment="1">
      <alignment horizontal="right" vertical="center"/>
    </xf>
    <xf numFmtId="164" fontId="6" fillId="2" borderId="8" xfId="4" applyNumberFormat="1" applyFont="1" applyFill="1" applyBorder="1" applyAlignment="1">
      <alignment horizontal="right" vertical="center"/>
    </xf>
    <xf numFmtId="164" fontId="6" fillId="2" borderId="7" xfId="4" applyNumberFormat="1" applyFont="1" applyFill="1" applyBorder="1" applyAlignment="1">
      <alignment horizontal="right" vertical="center"/>
    </xf>
    <xf numFmtId="164" fontId="2" fillId="2" borderId="6" xfId="4" applyNumberFormat="1" applyFont="1" applyFill="1" applyBorder="1" applyAlignment="1">
      <alignment horizontal="right" vertical="center"/>
    </xf>
    <xf numFmtId="164" fontId="2" fillId="2" borderId="4" xfId="4" applyNumberFormat="1" applyFont="1" applyFill="1" applyBorder="1" applyAlignment="1">
      <alignment horizontal="right" vertical="center"/>
    </xf>
    <xf numFmtId="164" fontId="2" fillId="2" borderId="9" xfId="4" applyNumberFormat="1" applyFont="1" applyFill="1" applyBorder="1" applyAlignment="1">
      <alignment horizontal="right" vertical="center"/>
    </xf>
    <xf numFmtId="164" fontId="6" fillId="2" borderId="9" xfId="4" applyNumberFormat="1" applyFont="1" applyFill="1" applyBorder="1" applyAlignment="1">
      <alignment horizontal="right" vertical="center"/>
    </xf>
    <xf numFmtId="164" fontId="6" fillId="2" borderId="6" xfId="4" applyNumberFormat="1" applyFont="1" applyFill="1" applyBorder="1" applyAlignment="1">
      <alignment horizontal="right" vertical="center"/>
    </xf>
    <xf numFmtId="164" fontId="11" fillId="2" borderId="0" xfId="4" applyNumberFormat="1" applyFont="1" applyFill="1" applyAlignment="1">
      <alignment horizontal="center"/>
    </xf>
    <xf numFmtId="164" fontId="2" fillId="2" borderId="3" xfId="4" applyNumberFormat="1" applyFont="1" applyFill="1" applyBorder="1" applyAlignment="1">
      <alignment horizontal="center" vertical="center"/>
    </xf>
    <xf numFmtId="164" fontId="2" fillId="2" borderId="2" xfId="4" applyNumberFormat="1" applyFont="1" applyFill="1" applyBorder="1" applyAlignment="1">
      <alignment horizontal="left" vertical="center"/>
    </xf>
    <xf numFmtId="164" fontId="2" fillId="2" borderId="1" xfId="4" applyNumberFormat="1" applyFont="1" applyFill="1" applyBorder="1" applyAlignment="1">
      <alignment horizontal="left" vertical="center"/>
    </xf>
    <xf numFmtId="164" fontId="2" fillId="2" borderId="11" xfId="4" applyNumberFormat="1" applyFont="1" applyFill="1" applyBorder="1" applyAlignment="1">
      <alignment horizontal="center" vertical="center"/>
    </xf>
    <xf numFmtId="164" fontId="2" fillId="2" borderId="10" xfId="4" applyNumberFormat="1" applyFont="1" applyFill="1" applyBorder="1" applyAlignment="1">
      <alignment horizontal="center" vertical="center"/>
    </xf>
    <xf numFmtId="164" fontId="8" fillId="2" borderId="0" xfId="4" applyNumberFormat="1" applyFont="1" applyFill="1" applyBorder="1" applyAlignment="1">
      <alignment horizontal="center"/>
    </xf>
  </cellXfs>
  <cellStyles count="5">
    <cellStyle name="Normal" xfId="0" builtinId="0"/>
    <cellStyle name="Normal 2 2 2" xfId="1"/>
    <cellStyle name="Normal 6" xfId="4"/>
    <cellStyle name="Normal 7" xfId="3"/>
    <cellStyle name="Normal 8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12</xdr:row>
      <xdr:rowOff>0</xdr:rowOff>
    </xdr:from>
    <xdr:to>
      <xdr:col>11</xdr:col>
      <xdr:colOff>0</xdr:colOff>
      <xdr:row>12</xdr:row>
      <xdr:rowOff>142875</xdr:rowOff>
    </xdr:to>
    <xdr:sp macro="" textlink="">
      <xdr:nvSpPr>
        <xdr:cNvPr id="2" name="Text 8"/>
        <xdr:cNvSpPr txBox="1">
          <a:spLocks noChangeArrowheads="1"/>
        </xdr:cNvSpPr>
      </xdr:nvSpPr>
      <xdr:spPr bwMode="auto">
        <a:xfrm>
          <a:off x="10715625" y="248602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0</xdr:colOff>
      <xdr:row>12</xdr:row>
      <xdr:rowOff>142875</xdr:rowOff>
    </xdr:to>
    <xdr:sp macro="" textlink="">
      <xdr:nvSpPr>
        <xdr:cNvPr id="3" name="Text 8"/>
        <xdr:cNvSpPr txBox="1">
          <a:spLocks noChangeArrowheads="1"/>
        </xdr:cNvSpPr>
      </xdr:nvSpPr>
      <xdr:spPr bwMode="auto">
        <a:xfrm>
          <a:off x="10715625" y="2486025"/>
          <a:ext cx="0" cy="1428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69"/>
  <sheetViews>
    <sheetView tabSelected="1" workbookViewId="0">
      <selection activeCell="A18" sqref="A18"/>
    </sheetView>
  </sheetViews>
  <sheetFormatPr defaultRowHeight="12"/>
  <cols>
    <col min="1" max="1" width="64" style="1" customWidth="1"/>
    <col min="2" max="2" width="11" style="1" customWidth="1"/>
    <col min="3" max="3" width="9.5703125" style="1" customWidth="1"/>
    <col min="4" max="4" width="9.7109375" style="1" customWidth="1"/>
    <col min="5" max="5" width="10.140625" style="1" customWidth="1"/>
    <col min="6" max="7" width="8.85546875" style="1" customWidth="1"/>
    <col min="8" max="8" width="9.28515625" style="1" customWidth="1"/>
    <col min="9" max="9" width="8.85546875" style="1" customWidth="1"/>
    <col min="10" max="10" width="8.140625" style="1" customWidth="1"/>
    <col min="11" max="11" width="12.5703125" style="1" customWidth="1"/>
    <col min="12" max="13" width="12.140625" style="1" customWidth="1"/>
    <col min="14" max="16384" width="9.140625" style="1"/>
  </cols>
  <sheetData>
    <row r="2" spans="1:13" ht="17.25" customHeight="1">
      <c r="A2" s="39" t="s">
        <v>10</v>
      </c>
      <c r="B2" s="39"/>
      <c r="C2" s="39"/>
      <c r="D2" s="39"/>
      <c r="E2" s="39"/>
      <c r="F2" s="39"/>
      <c r="G2" s="39"/>
      <c r="H2" s="39"/>
      <c r="I2" s="39"/>
      <c r="J2" s="39"/>
    </row>
    <row r="3" spans="1:13" ht="15">
      <c r="A3" s="45" t="s">
        <v>11</v>
      </c>
      <c r="B3" s="45"/>
      <c r="C3" s="45"/>
      <c r="D3" s="45"/>
      <c r="E3" s="45"/>
      <c r="F3" s="45"/>
      <c r="G3" s="45"/>
      <c r="H3" s="45"/>
      <c r="I3" s="45"/>
      <c r="J3" s="45"/>
    </row>
    <row r="4" spans="1:13" s="3" customFormat="1" ht="12.75">
      <c r="A4" s="22"/>
      <c r="B4" s="2"/>
      <c r="C4" s="2"/>
      <c r="D4" s="2"/>
    </row>
    <row r="5" spans="1:13" s="4" customFormat="1" ht="12.75">
      <c r="A5" s="41" t="s">
        <v>2</v>
      </c>
      <c r="B5" s="40">
        <v>2010</v>
      </c>
      <c r="C5" s="40"/>
      <c r="D5" s="40"/>
      <c r="E5" s="43">
        <v>2011</v>
      </c>
      <c r="F5" s="40"/>
      <c r="G5" s="44"/>
      <c r="H5" s="40">
        <v>2012</v>
      </c>
      <c r="I5" s="40"/>
      <c r="J5" s="40"/>
    </row>
    <row r="6" spans="1:13" ht="12.75">
      <c r="A6" s="42"/>
      <c r="B6" s="5" t="s">
        <v>12</v>
      </c>
      <c r="C6" s="5" t="s">
        <v>0</v>
      </c>
      <c r="D6" s="5" t="s">
        <v>1</v>
      </c>
      <c r="E6" s="34" t="s">
        <v>12</v>
      </c>
      <c r="F6" s="6" t="s">
        <v>0</v>
      </c>
      <c r="G6" s="29" t="s">
        <v>1</v>
      </c>
      <c r="H6" s="6" t="s">
        <v>12</v>
      </c>
      <c r="I6" s="6" t="s">
        <v>0</v>
      </c>
      <c r="J6" s="6" t="s">
        <v>1</v>
      </c>
    </row>
    <row r="7" spans="1:13" s="8" customFormat="1" ht="12.75">
      <c r="A7" s="23" t="s">
        <v>13</v>
      </c>
      <c r="B7" s="7">
        <f>C7+D7</f>
        <v>295</v>
      </c>
      <c r="C7" s="7">
        <f>C8+C25+C32+C46</f>
        <v>294</v>
      </c>
      <c r="D7" s="7">
        <f>D8+D25+D32+D46</f>
        <v>1</v>
      </c>
      <c r="E7" s="35">
        <f>F7+G7</f>
        <v>785</v>
      </c>
      <c r="F7" s="7">
        <f>F8+F25+F32+F46</f>
        <v>783</v>
      </c>
      <c r="G7" s="30">
        <f>G8+G25+G32+G46</f>
        <v>2</v>
      </c>
      <c r="H7" s="7">
        <f>I7+J7</f>
        <v>561</v>
      </c>
      <c r="I7" s="7">
        <f>I8+I25+I32+I46+I53+I56+I23</f>
        <v>561</v>
      </c>
      <c r="J7" s="7">
        <f>J8+J25+J32+J46</f>
        <v>0</v>
      </c>
    </row>
    <row r="8" spans="1:13" s="10" customFormat="1" ht="12.75">
      <c r="A8" s="24" t="s">
        <v>3</v>
      </c>
      <c r="B8" s="9">
        <f>C8+D8</f>
        <v>63</v>
      </c>
      <c r="C8" s="9">
        <f>SUM(C9+C14+C12)</f>
        <v>63</v>
      </c>
      <c r="D8" s="9">
        <f>D9+D12</f>
        <v>0</v>
      </c>
      <c r="E8" s="36">
        <f>F8+G8</f>
        <v>329</v>
      </c>
      <c r="F8" s="9">
        <f>SUM(F9,F12,F14)</f>
        <v>327</v>
      </c>
      <c r="G8" s="31">
        <f>SUM(G9,G12,G14)</f>
        <v>2</v>
      </c>
      <c r="H8" s="9">
        <f>I8+J8</f>
        <v>271</v>
      </c>
      <c r="I8" s="9">
        <f>SUM(I9,I12,I14)</f>
        <v>271</v>
      </c>
      <c r="J8" s="9">
        <f>SUM(J9,J12,J14)</f>
        <v>0</v>
      </c>
    </row>
    <row r="9" spans="1:13" s="10" customFormat="1" ht="12.75">
      <c r="A9" s="25" t="s">
        <v>14</v>
      </c>
      <c r="B9" s="9">
        <f>C9+D9</f>
        <v>4</v>
      </c>
      <c r="C9" s="9">
        <f>C10</f>
        <v>4</v>
      </c>
      <c r="D9" s="9">
        <f>D10</f>
        <v>0</v>
      </c>
      <c r="E9" s="36">
        <f>F9+G9</f>
        <v>7</v>
      </c>
      <c r="F9" s="9">
        <f>F10+F11</f>
        <v>7</v>
      </c>
      <c r="G9" s="31">
        <f>G10</f>
        <v>0</v>
      </c>
      <c r="H9" s="9">
        <f>I9+J9</f>
        <v>1</v>
      </c>
      <c r="I9" s="9">
        <f>I10+I11</f>
        <v>1</v>
      </c>
      <c r="J9" s="9">
        <f>J10</f>
        <v>0</v>
      </c>
    </row>
    <row r="10" spans="1:13" s="10" customFormat="1" ht="12.75">
      <c r="A10" s="26" t="s">
        <v>15</v>
      </c>
      <c r="B10" s="11">
        <f>C10+D10</f>
        <v>4</v>
      </c>
      <c r="C10" s="11">
        <v>4</v>
      </c>
      <c r="D10" s="11">
        <v>0</v>
      </c>
      <c r="E10" s="37">
        <f>F10+G10</f>
        <v>0</v>
      </c>
      <c r="F10" s="11">
        <v>0</v>
      </c>
      <c r="G10" s="32">
        <v>0</v>
      </c>
      <c r="H10" s="11">
        <f>I10+J10</f>
        <v>0</v>
      </c>
      <c r="I10" s="11">
        <v>0</v>
      </c>
      <c r="J10" s="11">
        <v>0</v>
      </c>
    </row>
    <row r="11" spans="1:13" s="8" customFormat="1" ht="12.75">
      <c r="A11" s="26" t="s">
        <v>16</v>
      </c>
      <c r="B11" s="11">
        <v>0</v>
      </c>
      <c r="C11" s="11">
        <v>0</v>
      </c>
      <c r="D11" s="11">
        <v>0</v>
      </c>
      <c r="E11" s="37">
        <f t="shared" ref="E11:E47" si="0">F11+G11</f>
        <v>7</v>
      </c>
      <c r="F11" s="11">
        <v>7</v>
      </c>
      <c r="G11" s="32">
        <v>0</v>
      </c>
      <c r="H11" s="11">
        <f>I11+J11</f>
        <v>1</v>
      </c>
      <c r="I11" s="11">
        <v>1</v>
      </c>
      <c r="J11" s="11">
        <v>0</v>
      </c>
      <c r="K11" s="10"/>
      <c r="L11" s="10"/>
      <c r="M11" s="10"/>
    </row>
    <row r="12" spans="1:13" s="10" customFormat="1" ht="12.75">
      <c r="A12" s="25" t="s">
        <v>17</v>
      </c>
      <c r="B12" s="9">
        <f>C12+D12</f>
        <v>0</v>
      </c>
      <c r="C12" s="9">
        <f>SUM(C13)</f>
        <v>0</v>
      </c>
      <c r="D12" s="9">
        <f>SUM(D13)</f>
        <v>0</v>
      </c>
      <c r="E12" s="36">
        <f t="shared" si="0"/>
        <v>6</v>
      </c>
      <c r="F12" s="9">
        <f>SUM(F13)</f>
        <v>4</v>
      </c>
      <c r="G12" s="31">
        <f>SUM(G13)</f>
        <v>2</v>
      </c>
      <c r="H12" s="9">
        <f t="shared" ref="H12:H22" si="1">I12+J12</f>
        <v>0</v>
      </c>
      <c r="I12" s="9">
        <f>SUM(I13)</f>
        <v>0</v>
      </c>
      <c r="J12" s="9">
        <f>SUM(J13)</f>
        <v>0</v>
      </c>
    </row>
    <row r="13" spans="1:13" s="8" customFormat="1" ht="12.75">
      <c r="A13" s="26" t="s">
        <v>18</v>
      </c>
      <c r="B13" s="11">
        <f t="shared" ref="B13:B40" si="2">C13+D13</f>
        <v>0</v>
      </c>
      <c r="C13" s="11">
        <v>0</v>
      </c>
      <c r="D13" s="11">
        <v>0</v>
      </c>
      <c r="E13" s="37">
        <f t="shared" si="0"/>
        <v>6</v>
      </c>
      <c r="F13" s="11">
        <v>4</v>
      </c>
      <c r="G13" s="32">
        <v>2</v>
      </c>
      <c r="H13" s="11">
        <f t="shared" si="1"/>
        <v>0</v>
      </c>
      <c r="I13" s="11">
        <v>0</v>
      </c>
      <c r="J13" s="11">
        <v>0</v>
      </c>
      <c r="K13" s="10"/>
      <c r="L13" s="10"/>
      <c r="M13" s="10"/>
    </row>
    <row r="14" spans="1:13" s="10" customFormat="1" ht="12.75">
      <c r="A14" s="25" t="s">
        <v>19</v>
      </c>
      <c r="B14" s="9">
        <f t="shared" si="2"/>
        <v>59</v>
      </c>
      <c r="C14" s="9">
        <f>SUM(C15:C22)</f>
        <v>59</v>
      </c>
      <c r="D14" s="9">
        <f>SUM(D15:D22)</f>
        <v>0</v>
      </c>
      <c r="E14" s="36">
        <f t="shared" si="0"/>
        <v>316</v>
      </c>
      <c r="F14" s="9">
        <f>SUM(F15:F22)</f>
        <v>316</v>
      </c>
      <c r="G14" s="31">
        <f>SUM(G15:G22)</f>
        <v>0</v>
      </c>
      <c r="H14" s="9">
        <f t="shared" si="1"/>
        <v>270</v>
      </c>
      <c r="I14" s="9">
        <f>SUM(I15:I22)</f>
        <v>270</v>
      </c>
      <c r="J14" s="9">
        <f>SUM(J15:J22)</f>
        <v>0</v>
      </c>
    </row>
    <row r="15" spans="1:13" s="8" customFormat="1" ht="12.75">
      <c r="A15" s="26" t="s">
        <v>20</v>
      </c>
      <c r="B15" s="11">
        <f t="shared" si="2"/>
        <v>25</v>
      </c>
      <c r="C15" s="11">
        <v>25</v>
      </c>
      <c r="D15" s="11">
        <v>0</v>
      </c>
      <c r="E15" s="37">
        <f t="shared" si="0"/>
        <v>100</v>
      </c>
      <c r="F15" s="11">
        <v>100</v>
      </c>
      <c r="G15" s="32">
        <v>0</v>
      </c>
      <c r="H15" s="11">
        <f t="shared" si="1"/>
        <v>79</v>
      </c>
      <c r="I15" s="11">
        <v>79</v>
      </c>
      <c r="J15" s="11">
        <v>0</v>
      </c>
      <c r="K15" s="10"/>
      <c r="L15" s="10"/>
      <c r="M15" s="10"/>
    </row>
    <row r="16" spans="1:13" s="8" customFormat="1" ht="12.75">
      <c r="A16" s="26" t="s">
        <v>21</v>
      </c>
      <c r="B16" s="11">
        <f t="shared" si="2"/>
        <v>16</v>
      </c>
      <c r="C16" s="11">
        <v>16</v>
      </c>
      <c r="D16" s="11">
        <v>0</v>
      </c>
      <c r="E16" s="37">
        <f t="shared" si="0"/>
        <v>128</v>
      </c>
      <c r="F16" s="11">
        <v>128</v>
      </c>
      <c r="G16" s="32">
        <v>0</v>
      </c>
      <c r="H16" s="11">
        <f t="shared" si="1"/>
        <v>129</v>
      </c>
      <c r="I16" s="11">
        <v>129</v>
      </c>
      <c r="J16" s="11">
        <v>0</v>
      </c>
      <c r="K16" s="10"/>
      <c r="L16" s="10"/>
      <c r="M16" s="10"/>
    </row>
    <row r="17" spans="1:14" s="8" customFormat="1" ht="12.75">
      <c r="A17" s="26" t="s">
        <v>22</v>
      </c>
      <c r="B17" s="11">
        <f t="shared" si="2"/>
        <v>11</v>
      </c>
      <c r="C17" s="11">
        <v>11</v>
      </c>
      <c r="D17" s="11">
        <v>0</v>
      </c>
      <c r="E17" s="37">
        <f t="shared" si="0"/>
        <v>54</v>
      </c>
      <c r="F17" s="11">
        <v>54</v>
      </c>
      <c r="G17" s="32">
        <v>0</v>
      </c>
      <c r="H17" s="11">
        <f t="shared" si="1"/>
        <v>41</v>
      </c>
      <c r="I17" s="11">
        <v>41</v>
      </c>
      <c r="J17" s="11">
        <v>0</v>
      </c>
      <c r="K17" s="10"/>
      <c r="L17" s="10"/>
      <c r="M17" s="10"/>
    </row>
    <row r="18" spans="1:14" s="8" customFormat="1" ht="12.75">
      <c r="A18" s="26" t="s">
        <v>23</v>
      </c>
      <c r="B18" s="11">
        <f t="shared" si="2"/>
        <v>7</v>
      </c>
      <c r="C18" s="11">
        <v>7</v>
      </c>
      <c r="D18" s="11">
        <v>0</v>
      </c>
      <c r="E18" s="37">
        <f t="shared" si="0"/>
        <v>0</v>
      </c>
      <c r="F18" s="11">
        <v>0</v>
      </c>
      <c r="G18" s="32">
        <v>0</v>
      </c>
      <c r="H18" s="11">
        <f t="shared" si="1"/>
        <v>0</v>
      </c>
      <c r="I18" s="11">
        <v>0</v>
      </c>
      <c r="J18" s="11">
        <v>0</v>
      </c>
      <c r="K18" s="10"/>
      <c r="L18" s="10"/>
      <c r="M18" s="10"/>
    </row>
    <row r="19" spans="1:14" s="8" customFormat="1" ht="12.75">
      <c r="A19" s="26" t="s">
        <v>24</v>
      </c>
      <c r="B19" s="11">
        <f>C19+D19</f>
        <v>0</v>
      </c>
      <c r="C19" s="11">
        <v>0</v>
      </c>
      <c r="D19" s="11">
        <v>0</v>
      </c>
      <c r="E19" s="37">
        <f>F19+G19</f>
        <v>0</v>
      </c>
      <c r="F19" s="11">
        <v>0</v>
      </c>
      <c r="G19" s="32">
        <v>0</v>
      </c>
      <c r="H19" s="11">
        <f>I19+J19</f>
        <v>8</v>
      </c>
      <c r="I19" s="11">
        <v>8</v>
      </c>
      <c r="J19" s="11">
        <v>0</v>
      </c>
      <c r="K19" s="10"/>
      <c r="L19" s="10"/>
      <c r="M19" s="10"/>
    </row>
    <row r="20" spans="1:14" s="8" customFormat="1" ht="12.75">
      <c r="A20" s="26" t="s">
        <v>25</v>
      </c>
      <c r="B20" s="11">
        <f t="shared" si="2"/>
        <v>0</v>
      </c>
      <c r="C20" s="11">
        <v>0</v>
      </c>
      <c r="D20" s="11">
        <v>0</v>
      </c>
      <c r="E20" s="37">
        <f t="shared" si="0"/>
        <v>9</v>
      </c>
      <c r="F20" s="11">
        <v>9</v>
      </c>
      <c r="G20" s="32">
        <v>0</v>
      </c>
      <c r="H20" s="11">
        <f t="shared" si="1"/>
        <v>5</v>
      </c>
      <c r="I20" s="11">
        <v>5</v>
      </c>
      <c r="J20" s="11">
        <v>0</v>
      </c>
      <c r="K20" s="10"/>
      <c r="L20" s="10"/>
      <c r="M20" s="10"/>
    </row>
    <row r="21" spans="1:14" s="8" customFormat="1" ht="12.75">
      <c r="A21" s="26" t="s">
        <v>26</v>
      </c>
      <c r="B21" s="11">
        <f t="shared" si="2"/>
        <v>0</v>
      </c>
      <c r="C21" s="11">
        <v>0</v>
      </c>
      <c r="D21" s="11">
        <v>0</v>
      </c>
      <c r="E21" s="37">
        <f t="shared" si="0"/>
        <v>12</v>
      </c>
      <c r="F21" s="11">
        <v>12</v>
      </c>
      <c r="G21" s="32">
        <v>0</v>
      </c>
      <c r="H21" s="11">
        <f t="shared" si="1"/>
        <v>0</v>
      </c>
      <c r="I21" s="11">
        <v>0</v>
      </c>
      <c r="J21" s="11">
        <v>0</v>
      </c>
    </row>
    <row r="22" spans="1:14" s="8" customFormat="1" ht="12.75">
      <c r="A22" s="26" t="s">
        <v>15</v>
      </c>
      <c r="B22" s="11">
        <f t="shared" si="2"/>
        <v>0</v>
      </c>
      <c r="C22" s="11">
        <v>0</v>
      </c>
      <c r="D22" s="11">
        <v>0</v>
      </c>
      <c r="E22" s="37">
        <f t="shared" si="0"/>
        <v>13</v>
      </c>
      <c r="F22" s="11">
        <v>13</v>
      </c>
      <c r="G22" s="32">
        <v>0</v>
      </c>
      <c r="H22" s="11">
        <f t="shared" si="1"/>
        <v>8</v>
      </c>
      <c r="I22" s="11">
        <v>8</v>
      </c>
      <c r="J22" s="11">
        <v>0</v>
      </c>
      <c r="K22" s="10"/>
      <c r="L22" s="10"/>
      <c r="M22" s="10"/>
    </row>
    <row r="23" spans="1:14" s="8" customFormat="1" ht="12.75">
      <c r="A23" s="25" t="s">
        <v>27</v>
      </c>
      <c r="B23" s="9">
        <f>SUM(C23:D23)</f>
        <v>0</v>
      </c>
      <c r="C23" s="9">
        <f>SUM(C24)</f>
        <v>0</v>
      </c>
      <c r="D23" s="9">
        <f>SUM(D24)</f>
        <v>0</v>
      </c>
      <c r="E23" s="36">
        <f>SUM(F23:G23)</f>
        <v>0</v>
      </c>
      <c r="F23" s="9">
        <f>SUM(F24)</f>
        <v>0</v>
      </c>
      <c r="G23" s="31">
        <f>SUM(G24)</f>
        <v>0</v>
      </c>
      <c r="H23" s="9">
        <f>SUM(I23:J23)</f>
        <v>5</v>
      </c>
      <c r="I23" s="9">
        <f>SUM(I24)</f>
        <v>5</v>
      </c>
      <c r="J23" s="9">
        <f>SUM(J24)</f>
        <v>0</v>
      </c>
      <c r="K23" s="10"/>
      <c r="L23" s="10"/>
      <c r="M23" s="10"/>
    </row>
    <row r="24" spans="1:14" s="13" customFormat="1" ht="12.75">
      <c r="A24" s="26" t="s">
        <v>28</v>
      </c>
      <c r="B24" s="11">
        <f>C24+D24</f>
        <v>0</v>
      </c>
      <c r="C24" s="11">
        <v>0</v>
      </c>
      <c r="D24" s="11">
        <v>0</v>
      </c>
      <c r="E24" s="37">
        <f>F24+G24</f>
        <v>0</v>
      </c>
      <c r="F24" s="11">
        <v>0</v>
      </c>
      <c r="G24" s="32">
        <f>SUM(G26:G38)</f>
        <v>0</v>
      </c>
      <c r="H24" s="11">
        <f>I24+J24</f>
        <v>5</v>
      </c>
      <c r="I24" s="11">
        <v>5</v>
      </c>
      <c r="J24" s="11">
        <f>SUM(J26:J38)</f>
        <v>0</v>
      </c>
    </row>
    <row r="25" spans="1:14" s="10" customFormat="1" ht="15" customHeight="1">
      <c r="A25" s="24" t="s">
        <v>4</v>
      </c>
      <c r="B25" s="9">
        <f>SUM(C25:D25)</f>
        <v>43</v>
      </c>
      <c r="C25" s="9">
        <f>SUM(C26)</f>
        <v>43</v>
      </c>
      <c r="D25" s="9">
        <f>SUM(D26)</f>
        <v>0</v>
      </c>
      <c r="E25" s="36">
        <f>SUM(F25:G25)</f>
        <v>51</v>
      </c>
      <c r="F25" s="9">
        <f>SUM(F26)</f>
        <v>51</v>
      </c>
      <c r="G25" s="31">
        <f>SUM(G26)</f>
        <v>0</v>
      </c>
      <c r="H25" s="9">
        <f>SUM(I25:J25)</f>
        <v>4</v>
      </c>
      <c r="I25" s="9">
        <f>SUM(I26)</f>
        <v>4</v>
      </c>
      <c r="J25" s="9">
        <f>SUM(J26)</f>
        <v>0</v>
      </c>
      <c r="N25" s="14"/>
    </row>
    <row r="26" spans="1:14" s="10" customFormat="1" ht="12.75">
      <c r="A26" s="28" t="s">
        <v>29</v>
      </c>
      <c r="B26" s="11">
        <f>SUM(C26:D26)</f>
        <v>43</v>
      </c>
      <c r="C26" s="11">
        <f>SUM(C27:C31)</f>
        <v>43</v>
      </c>
      <c r="D26" s="11">
        <f>SUM(D27:D31)</f>
        <v>0</v>
      </c>
      <c r="E26" s="37">
        <f>SUM(F26:G26)</f>
        <v>51</v>
      </c>
      <c r="F26" s="11">
        <f>SUM(F27:F31)</f>
        <v>51</v>
      </c>
      <c r="G26" s="32">
        <f>SUM(G27:G31)</f>
        <v>0</v>
      </c>
      <c r="H26" s="11">
        <f>SUM(I26:J26)</f>
        <v>4</v>
      </c>
      <c r="I26" s="11">
        <f>SUM(I27:I31)</f>
        <v>4</v>
      </c>
      <c r="J26" s="11">
        <f>SUM(J27:J31)</f>
        <v>0</v>
      </c>
      <c r="N26" s="14"/>
    </row>
    <row r="27" spans="1:14" s="8" customFormat="1" ht="12.75">
      <c r="A27" s="26" t="s">
        <v>21</v>
      </c>
      <c r="B27" s="11">
        <f t="shared" si="2"/>
        <v>10</v>
      </c>
      <c r="C27" s="11">
        <v>10</v>
      </c>
      <c r="D27" s="11">
        <v>0</v>
      </c>
      <c r="E27" s="37">
        <f t="shared" si="0"/>
        <v>4</v>
      </c>
      <c r="F27" s="11">
        <v>4</v>
      </c>
      <c r="G27" s="32">
        <v>0</v>
      </c>
      <c r="H27" s="11">
        <f t="shared" ref="H27:H33" si="3">I27+J27</f>
        <v>0</v>
      </c>
      <c r="I27" s="11">
        <v>0</v>
      </c>
      <c r="J27" s="11">
        <v>0</v>
      </c>
      <c r="K27" s="10"/>
      <c r="L27" s="10"/>
      <c r="M27" s="10"/>
      <c r="N27" s="13"/>
    </row>
    <row r="28" spans="1:14" s="8" customFormat="1" ht="12.75">
      <c r="A28" s="26" t="s">
        <v>20</v>
      </c>
      <c r="B28" s="11">
        <f t="shared" si="2"/>
        <v>14</v>
      </c>
      <c r="C28" s="11">
        <v>14</v>
      </c>
      <c r="D28" s="11">
        <v>0</v>
      </c>
      <c r="E28" s="37">
        <f t="shared" si="0"/>
        <v>18</v>
      </c>
      <c r="F28" s="11">
        <v>18</v>
      </c>
      <c r="G28" s="32">
        <v>0</v>
      </c>
      <c r="H28" s="11">
        <f t="shared" si="3"/>
        <v>0</v>
      </c>
      <c r="I28" s="11">
        <v>0</v>
      </c>
      <c r="J28" s="11">
        <v>0</v>
      </c>
      <c r="K28" s="10"/>
      <c r="L28" s="10"/>
      <c r="M28" s="10"/>
      <c r="N28" s="13"/>
    </row>
    <row r="29" spans="1:14" s="8" customFormat="1" ht="12.75">
      <c r="A29" s="26" t="s">
        <v>30</v>
      </c>
      <c r="B29" s="11">
        <f t="shared" si="2"/>
        <v>14</v>
      </c>
      <c r="C29" s="11">
        <v>14</v>
      </c>
      <c r="D29" s="11">
        <v>0</v>
      </c>
      <c r="E29" s="37">
        <f t="shared" si="0"/>
        <v>6</v>
      </c>
      <c r="F29" s="11">
        <v>6</v>
      </c>
      <c r="G29" s="32">
        <v>0</v>
      </c>
      <c r="H29" s="11">
        <f t="shared" si="3"/>
        <v>0</v>
      </c>
      <c r="I29" s="11">
        <v>0</v>
      </c>
      <c r="J29" s="11">
        <v>0</v>
      </c>
      <c r="K29" s="10"/>
      <c r="L29" s="10"/>
      <c r="M29" s="10"/>
      <c r="N29" s="13"/>
    </row>
    <row r="30" spans="1:14" s="13" customFormat="1" ht="12.75">
      <c r="A30" s="26" t="s">
        <v>31</v>
      </c>
      <c r="B30" s="11">
        <f t="shared" si="2"/>
        <v>5</v>
      </c>
      <c r="C30" s="11">
        <v>5</v>
      </c>
      <c r="D30" s="11">
        <v>0</v>
      </c>
      <c r="E30" s="37">
        <f>F30+G30</f>
        <v>14</v>
      </c>
      <c r="F30" s="11">
        <v>14</v>
      </c>
      <c r="G30" s="32">
        <v>0</v>
      </c>
      <c r="H30" s="11">
        <f t="shared" si="3"/>
        <v>4</v>
      </c>
      <c r="I30" s="11">
        <v>4</v>
      </c>
      <c r="J30" s="11">
        <v>0</v>
      </c>
      <c r="K30" s="8"/>
      <c r="L30" s="8"/>
      <c r="M30" s="8"/>
    </row>
    <row r="31" spans="1:14" s="13" customFormat="1" ht="12.75">
      <c r="A31" s="26" t="s">
        <v>32</v>
      </c>
      <c r="B31" s="11">
        <f t="shared" si="2"/>
        <v>0</v>
      </c>
      <c r="C31" s="11">
        <v>0</v>
      </c>
      <c r="D31" s="11">
        <v>0</v>
      </c>
      <c r="E31" s="37">
        <f t="shared" si="0"/>
        <v>9</v>
      </c>
      <c r="F31" s="11">
        <v>9</v>
      </c>
      <c r="G31" s="32">
        <v>0</v>
      </c>
      <c r="H31" s="11">
        <f t="shared" si="3"/>
        <v>0</v>
      </c>
      <c r="I31" s="11">
        <v>0</v>
      </c>
      <c r="J31" s="11">
        <v>0</v>
      </c>
      <c r="K31" s="10"/>
      <c r="L31" s="10"/>
      <c r="M31" s="10"/>
    </row>
    <row r="32" spans="1:14" s="14" customFormat="1" ht="12.75">
      <c r="A32" s="24" t="s">
        <v>5</v>
      </c>
      <c r="B32" s="9">
        <f>C32+D32</f>
        <v>134</v>
      </c>
      <c r="C32" s="9">
        <f>SUM(C33:C45)</f>
        <v>133</v>
      </c>
      <c r="D32" s="9">
        <f>SUM(D33:D45)</f>
        <v>1</v>
      </c>
      <c r="E32" s="36">
        <f t="shared" si="0"/>
        <v>256</v>
      </c>
      <c r="F32" s="9">
        <f>SUM(F33:F45)</f>
        <v>256</v>
      </c>
      <c r="G32" s="31">
        <f>SUM(G33:G45)</f>
        <v>0</v>
      </c>
      <c r="H32" s="9">
        <f>I32+J32</f>
        <v>37</v>
      </c>
      <c r="I32" s="9">
        <f>SUM(I33:I45)</f>
        <v>37</v>
      </c>
      <c r="J32" s="9">
        <f>SUM(J33:J45)</f>
        <v>0</v>
      </c>
      <c r="L32" s="10"/>
      <c r="M32" s="10"/>
    </row>
    <row r="33" spans="1:13" s="13" customFormat="1" ht="12.75">
      <c r="A33" s="26" t="s">
        <v>33</v>
      </c>
      <c r="B33" s="11">
        <f t="shared" si="2"/>
        <v>26</v>
      </c>
      <c r="C33" s="11">
        <v>26</v>
      </c>
      <c r="D33" s="11">
        <v>0</v>
      </c>
      <c r="E33" s="37">
        <f t="shared" si="0"/>
        <v>15</v>
      </c>
      <c r="F33" s="11">
        <v>15</v>
      </c>
      <c r="G33" s="32">
        <f>SUM(G34:G46)</f>
        <v>0</v>
      </c>
      <c r="H33" s="11">
        <f t="shared" si="3"/>
        <v>21</v>
      </c>
      <c r="I33" s="11">
        <v>21</v>
      </c>
      <c r="J33" s="11">
        <f>SUM(J34:J46)</f>
        <v>0</v>
      </c>
      <c r="K33" s="10"/>
      <c r="L33" s="10"/>
      <c r="M33" s="10"/>
    </row>
    <row r="34" spans="1:13" s="13" customFormat="1" ht="12.75">
      <c r="A34" s="26" t="s">
        <v>34</v>
      </c>
      <c r="B34" s="11">
        <f t="shared" si="2"/>
        <v>10</v>
      </c>
      <c r="C34" s="11">
        <v>10</v>
      </c>
      <c r="D34" s="11">
        <v>0</v>
      </c>
      <c r="E34" s="37">
        <v>0</v>
      </c>
      <c r="F34" s="11">
        <v>0</v>
      </c>
      <c r="G34" s="32">
        <f>SUM(G35:G47)</f>
        <v>0</v>
      </c>
      <c r="H34" s="11">
        <v>0</v>
      </c>
      <c r="I34" s="11">
        <v>0</v>
      </c>
      <c r="J34" s="11">
        <f>SUM(J35:J47)</f>
        <v>0</v>
      </c>
      <c r="K34" s="10"/>
      <c r="L34" s="10"/>
      <c r="M34" s="10"/>
    </row>
    <row r="35" spans="1:13" s="13" customFormat="1" ht="12.75">
      <c r="A35" s="26" t="s">
        <v>35</v>
      </c>
      <c r="B35" s="11">
        <f t="shared" si="2"/>
        <v>20</v>
      </c>
      <c r="C35" s="11">
        <v>20</v>
      </c>
      <c r="D35" s="11">
        <v>0</v>
      </c>
      <c r="E35" s="37">
        <v>0</v>
      </c>
      <c r="F35" s="11">
        <v>0</v>
      </c>
      <c r="G35" s="32">
        <f>SUM(G36:G49)</f>
        <v>0</v>
      </c>
      <c r="H35" s="11">
        <v>0</v>
      </c>
      <c r="I35" s="11">
        <v>0</v>
      </c>
      <c r="J35" s="11">
        <f>SUM(J36:J49)</f>
        <v>0</v>
      </c>
      <c r="K35" s="10"/>
      <c r="L35" s="10"/>
      <c r="M35" s="10"/>
    </row>
    <row r="36" spans="1:13" s="13" customFormat="1" ht="12.75">
      <c r="A36" s="26" t="s">
        <v>36</v>
      </c>
      <c r="B36" s="11">
        <f t="shared" si="2"/>
        <v>26</v>
      </c>
      <c r="C36" s="11">
        <v>26</v>
      </c>
      <c r="D36" s="11">
        <v>0</v>
      </c>
      <c r="E36" s="37">
        <f t="shared" si="0"/>
        <v>0</v>
      </c>
      <c r="F36" s="11">
        <v>0</v>
      </c>
      <c r="G36" s="32">
        <f>SUM(G37:G50)</f>
        <v>0</v>
      </c>
      <c r="H36" s="11">
        <f>I36+J36</f>
        <v>0</v>
      </c>
      <c r="I36" s="11">
        <v>0</v>
      </c>
      <c r="J36" s="11">
        <f>SUM(J37:J50)</f>
        <v>0</v>
      </c>
      <c r="K36" s="10"/>
      <c r="L36" s="10"/>
      <c r="M36" s="10"/>
    </row>
    <row r="37" spans="1:13" s="13" customFormat="1" ht="12.75">
      <c r="A37" s="26" t="s">
        <v>37</v>
      </c>
      <c r="B37" s="11">
        <f>C37+D37</f>
        <v>15</v>
      </c>
      <c r="C37" s="11">
        <v>14</v>
      </c>
      <c r="D37" s="11">
        <v>1</v>
      </c>
      <c r="E37" s="37">
        <f>F37+G37</f>
        <v>0</v>
      </c>
      <c r="F37" s="11">
        <v>0</v>
      </c>
      <c r="G37" s="32">
        <f>SUM(G38:G51)</f>
        <v>0</v>
      </c>
      <c r="H37" s="11">
        <f>I37+J37</f>
        <v>0</v>
      </c>
      <c r="I37" s="11">
        <v>0</v>
      </c>
      <c r="J37" s="11">
        <f>SUM(J38:J51)</f>
        <v>0</v>
      </c>
    </row>
    <row r="38" spans="1:13" s="13" customFormat="1" ht="12.75">
      <c r="A38" s="26" t="s">
        <v>38</v>
      </c>
      <c r="B38" s="11">
        <f>C38+D38</f>
        <v>9</v>
      </c>
      <c r="C38" s="11">
        <v>9</v>
      </c>
      <c r="D38" s="11">
        <v>0</v>
      </c>
      <c r="E38" s="37">
        <f>F38+G38</f>
        <v>20</v>
      </c>
      <c r="F38" s="11">
        <v>20</v>
      </c>
      <c r="G38" s="32">
        <f>SUM(G39:G52)</f>
        <v>0</v>
      </c>
      <c r="H38" s="11">
        <f>I38+J38</f>
        <v>10</v>
      </c>
      <c r="I38" s="11">
        <v>10</v>
      </c>
      <c r="J38" s="11">
        <f>SUM(J39:J52)</f>
        <v>0</v>
      </c>
      <c r="K38" s="8"/>
      <c r="L38" s="8"/>
      <c r="M38" s="8"/>
    </row>
    <row r="39" spans="1:13" s="13" customFormat="1" ht="12.75">
      <c r="A39" s="26" t="s">
        <v>39</v>
      </c>
      <c r="B39" s="11">
        <f t="shared" si="2"/>
        <v>9</v>
      </c>
      <c r="C39" s="11">
        <v>9</v>
      </c>
      <c r="D39" s="11">
        <v>0</v>
      </c>
      <c r="E39" s="37">
        <f t="shared" si="0"/>
        <v>13</v>
      </c>
      <c r="F39" s="11">
        <v>13</v>
      </c>
      <c r="G39" s="32">
        <f t="shared" ref="G39:G45" si="4">SUM(G40:G60)</f>
        <v>0</v>
      </c>
      <c r="H39" s="11">
        <f t="shared" ref="H39:H47" si="5">I39+J39</f>
        <v>6</v>
      </c>
      <c r="I39" s="11">
        <v>6</v>
      </c>
      <c r="J39" s="11">
        <f t="shared" ref="J39:J45" si="6">SUM(J40:J60)</f>
        <v>0</v>
      </c>
      <c r="K39" s="8"/>
      <c r="L39" s="8"/>
      <c r="M39" s="8"/>
    </row>
    <row r="40" spans="1:13" s="13" customFormat="1" ht="12.75">
      <c r="A40" s="26" t="s">
        <v>40</v>
      </c>
      <c r="B40" s="11">
        <f t="shared" si="2"/>
        <v>19</v>
      </c>
      <c r="C40" s="11">
        <v>19</v>
      </c>
      <c r="D40" s="11">
        <v>0</v>
      </c>
      <c r="E40" s="37">
        <f t="shared" si="0"/>
        <v>76</v>
      </c>
      <c r="F40" s="11">
        <v>76</v>
      </c>
      <c r="G40" s="32">
        <f t="shared" si="4"/>
        <v>0</v>
      </c>
      <c r="H40" s="11">
        <f t="shared" si="5"/>
        <v>0</v>
      </c>
      <c r="I40" s="11">
        <v>0</v>
      </c>
      <c r="J40" s="11">
        <f t="shared" si="6"/>
        <v>0</v>
      </c>
      <c r="K40" s="8"/>
      <c r="L40" s="8"/>
      <c r="M40" s="8"/>
    </row>
    <row r="41" spans="1:13" s="13" customFormat="1" ht="12.75">
      <c r="A41" s="26" t="s">
        <v>41</v>
      </c>
      <c r="B41" s="11">
        <v>0</v>
      </c>
      <c r="C41" s="11">
        <v>0</v>
      </c>
      <c r="D41" s="11">
        <v>0</v>
      </c>
      <c r="E41" s="37">
        <f t="shared" si="0"/>
        <v>36</v>
      </c>
      <c r="F41" s="11">
        <v>36</v>
      </c>
      <c r="G41" s="32">
        <f t="shared" si="4"/>
        <v>0</v>
      </c>
      <c r="H41" s="11">
        <f t="shared" si="5"/>
        <v>0</v>
      </c>
      <c r="I41" s="11">
        <v>0</v>
      </c>
      <c r="J41" s="11">
        <f t="shared" si="6"/>
        <v>0</v>
      </c>
      <c r="K41" s="10"/>
      <c r="L41" s="10"/>
      <c r="M41" s="10"/>
    </row>
    <row r="42" spans="1:13" s="13" customFormat="1" ht="12.75">
      <c r="A42" s="26" t="s">
        <v>42</v>
      </c>
      <c r="B42" s="11">
        <v>0</v>
      </c>
      <c r="C42" s="11">
        <v>0</v>
      </c>
      <c r="D42" s="11">
        <v>0</v>
      </c>
      <c r="E42" s="37">
        <f t="shared" si="0"/>
        <v>15</v>
      </c>
      <c r="F42" s="11">
        <v>15</v>
      </c>
      <c r="G42" s="32">
        <f t="shared" si="4"/>
        <v>0</v>
      </c>
      <c r="H42" s="11">
        <f t="shared" si="5"/>
        <v>0</v>
      </c>
      <c r="I42" s="11">
        <v>0</v>
      </c>
      <c r="J42" s="11">
        <f t="shared" si="6"/>
        <v>0</v>
      </c>
      <c r="K42" s="10"/>
      <c r="L42" s="10"/>
      <c r="M42" s="10"/>
    </row>
    <row r="43" spans="1:13" s="13" customFormat="1" ht="12.75">
      <c r="A43" s="26" t="s">
        <v>43</v>
      </c>
      <c r="B43" s="11">
        <v>0</v>
      </c>
      <c r="C43" s="11">
        <v>0</v>
      </c>
      <c r="D43" s="11">
        <v>0</v>
      </c>
      <c r="E43" s="37">
        <f t="shared" si="0"/>
        <v>51</v>
      </c>
      <c r="F43" s="11">
        <v>51</v>
      </c>
      <c r="G43" s="32">
        <f t="shared" si="4"/>
        <v>0</v>
      </c>
      <c r="H43" s="11">
        <f t="shared" si="5"/>
        <v>0</v>
      </c>
      <c r="I43" s="11">
        <v>0</v>
      </c>
      <c r="J43" s="11">
        <f t="shared" si="6"/>
        <v>0</v>
      </c>
      <c r="K43" s="10"/>
      <c r="L43" s="10"/>
      <c r="M43" s="10"/>
    </row>
    <row r="44" spans="1:13" s="13" customFormat="1" ht="12.75">
      <c r="A44" s="26" t="s">
        <v>44</v>
      </c>
      <c r="B44" s="11">
        <v>0</v>
      </c>
      <c r="C44" s="11">
        <v>0</v>
      </c>
      <c r="D44" s="11">
        <v>0</v>
      </c>
      <c r="E44" s="37">
        <f t="shared" si="0"/>
        <v>15</v>
      </c>
      <c r="F44" s="11">
        <v>15</v>
      </c>
      <c r="G44" s="32">
        <f t="shared" si="4"/>
        <v>0</v>
      </c>
      <c r="H44" s="11">
        <f t="shared" si="5"/>
        <v>0</v>
      </c>
      <c r="I44" s="11">
        <v>0</v>
      </c>
      <c r="J44" s="11">
        <f t="shared" si="6"/>
        <v>0</v>
      </c>
      <c r="K44" s="10"/>
      <c r="L44" s="10"/>
      <c r="M44" s="10"/>
    </row>
    <row r="45" spans="1:13" s="13" customFormat="1" ht="12.75">
      <c r="A45" s="26" t="s">
        <v>45</v>
      </c>
      <c r="B45" s="11">
        <v>0</v>
      </c>
      <c r="C45" s="11">
        <v>0</v>
      </c>
      <c r="D45" s="11">
        <v>0</v>
      </c>
      <c r="E45" s="37">
        <f t="shared" si="0"/>
        <v>15</v>
      </c>
      <c r="F45" s="11">
        <v>15</v>
      </c>
      <c r="G45" s="32">
        <f t="shared" si="4"/>
        <v>0</v>
      </c>
      <c r="H45" s="11">
        <f t="shared" si="5"/>
        <v>0</v>
      </c>
      <c r="I45" s="11">
        <v>0</v>
      </c>
      <c r="J45" s="11">
        <f t="shared" si="6"/>
        <v>0</v>
      </c>
      <c r="K45" s="14"/>
      <c r="L45" s="10"/>
      <c r="M45" s="10"/>
    </row>
    <row r="46" spans="1:13" s="13" customFormat="1" ht="12.75">
      <c r="A46" s="24" t="s">
        <v>6</v>
      </c>
      <c r="B46" s="9">
        <f>C46+D46</f>
        <v>55</v>
      </c>
      <c r="C46" s="9">
        <f>SUM(C47:C52)</f>
        <v>55</v>
      </c>
      <c r="D46" s="9">
        <f>SUM(D47:D52)</f>
        <v>0</v>
      </c>
      <c r="E46" s="36">
        <f t="shared" si="0"/>
        <v>149</v>
      </c>
      <c r="F46" s="9">
        <f>SUM(F47:F52)</f>
        <v>149</v>
      </c>
      <c r="G46" s="31">
        <f>SUM(G47:G52)</f>
        <v>0</v>
      </c>
      <c r="H46" s="9">
        <f t="shared" si="5"/>
        <v>21</v>
      </c>
      <c r="I46" s="9">
        <f>SUM(I47:I52)</f>
        <v>21</v>
      </c>
      <c r="J46" s="9">
        <f>SUM(J47:J52)</f>
        <v>0</v>
      </c>
      <c r="L46" s="8"/>
      <c r="M46" s="8"/>
    </row>
    <row r="47" spans="1:13" s="15" customFormat="1" ht="12.75">
      <c r="A47" s="26" t="s">
        <v>46</v>
      </c>
      <c r="B47" s="11">
        <f>C47+D47</f>
        <v>11</v>
      </c>
      <c r="C47" s="11">
        <v>11</v>
      </c>
      <c r="D47" s="11">
        <v>0</v>
      </c>
      <c r="E47" s="37">
        <f t="shared" si="0"/>
        <v>119</v>
      </c>
      <c r="F47" s="11">
        <v>119</v>
      </c>
      <c r="G47" s="32">
        <f>SUM(G49:G68)</f>
        <v>0</v>
      </c>
      <c r="H47" s="11">
        <f t="shared" si="5"/>
        <v>0</v>
      </c>
      <c r="I47" s="11">
        <v>0</v>
      </c>
      <c r="J47" s="11">
        <f>SUM(J49:J68)</f>
        <v>0</v>
      </c>
      <c r="K47" s="8"/>
      <c r="L47" s="8"/>
      <c r="M47" s="8"/>
    </row>
    <row r="48" spans="1:13" s="15" customFormat="1" ht="12.75">
      <c r="A48" s="26" t="s">
        <v>39</v>
      </c>
      <c r="B48" s="11">
        <f>C48+D48</f>
        <v>0</v>
      </c>
      <c r="C48" s="11">
        <v>0</v>
      </c>
      <c r="D48" s="11">
        <v>0</v>
      </c>
      <c r="E48" s="37">
        <f>F48+G48</f>
        <v>0</v>
      </c>
      <c r="F48" s="11">
        <v>0</v>
      </c>
      <c r="G48" s="32">
        <f>SUM(G50:G69)</f>
        <v>0</v>
      </c>
      <c r="H48" s="11">
        <f>I48+J48</f>
        <v>5</v>
      </c>
      <c r="I48" s="11">
        <v>5</v>
      </c>
      <c r="J48" s="11">
        <f>SUM(J50:J69)</f>
        <v>0</v>
      </c>
      <c r="K48" s="8"/>
      <c r="L48" s="8"/>
      <c r="M48" s="8"/>
    </row>
    <row r="49" spans="1:13" s="15" customFormat="1" ht="12.75">
      <c r="A49" s="26" t="s">
        <v>47</v>
      </c>
      <c r="B49" s="11">
        <f>C49+D49</f>
        <v>18</v>
      </c>
      <c r="C49" s="11">
        <v>18</v>
      </c>
      <c r="D49" s="11">
        <v>0</v>
      </c>
      <c r="E49" s="37">
        <v>0</v>
      </c>
      <c r="F49" s="11">
        <v>0</v>
      </c>
      <c r="G49" s="32">
        <f>SUM(G50:G69)</f>
        <v>0</v>
      </c>
      <c r="H49" s="11">
        <v>0</v>
      </c>
      <c r="I49" s="11">
        <v>0</v>
      </c>
      <c r="J49" s="11">
        <f>SUM(J50:J69)</f>
        <v>0</v>
      </c>
      <c r="K49" s="8"/>
      <c r="L49" s="8"/>
      <c r="M49" s="8"/>
    </row>
    <row r="50" spans="1:13" s="15" customFormat="1" ht="12.75">
      <c r="A50" s="26" t="s">
        <v>48</v>
      </c>
      <c r="B50" s="11">
        <f>C50+D50</f>
        <v>26</v>
      </c>
      <c r="C50" s="11">
        <v>26</v>
      </c>
      <c r="D50" s="11">
        <v>0</v>
      </c>
      <c r="E50" s="37">
        <f>F50+G50</f>
        <v>0</v>
      </c>
      <c r="F50" s="11">
        <v>0</v>
      </c>
      <c r="G50" s="32">
        <f>SUM(G51:G70)</f>
        <v>0</v>
      </c>
      <c r="H50" s="11">
        <f>I50+J50</f>
        <v>0</v>
      </c>
      <c r="I50" s="11">
        <v>0</v>
      </c>
      <c r="J50" s="11">
        <f>SUM(J51:J70)</f>
        <v>0</v>
      </c>
      <c r="K50" s="10"/>
      <c r="L50" s="10"/>
      <c r="M50" s="10"/>
    </row>
    <row r="51" spans="1:13" s="15" customFormat="1" ht="12.75">
      <c r="A51" s="26" t="s">
        <v>49</v>
      </c>
      <c r="B51" s="11">
        <v>0</v>
      </c>
      <c r="C51" s="11">
        <v>0</v>
      </c>
      <c r="D51" s="11">
        <v>0</v>
      </c>
      <c r="E51" s="37">
        <f>F51+G51</f>
        <v>18</v>
      </c>
      <c r="F51" s="11">
        <v>18</v>
      </c>
      <c r="G51" s="32">
        <f>SUM(G52:G71)</f>
        <v>0</v>
      </c>
      <c r="H51" s="11">
        <f>I51+J51</f>
        <v>0</v>
      </c>
      <c r="I51" s="11">
        <v>0</v>
      </c>
      <c r="J51" s="11">
        <f>SUM(J52:J71)</f>
        <v>0</v>
      </c>
      <c r="K51" s="10"/>
      <c r="L51" s="10"/>
      <c r="M51" s="10"/>
    </row>
    <row r="52" spans="1:13" s="15" customFormat="1" ht="12.75">
      <c r="A52" s="26" t="s">
        <v>50</v>
      </c>
      <c r="B52" s="11">
        <v>0</v>
      </c>
      <c r="C52" s="11">
        <v>0</v>
      </c>
      <c r="D52" s="11">
        <v>0</v>
      </c>
      <c r="E52" s="37">
        <f>F52+G52</f>
        <v>12</v>
      </c>
      <c r="F52" s="11">
        <v>12</v>
      </c>
      <c r="G52" s="32">
        <f>SUM(G60:G72)</f>
        <v>0</v>
      </c>
      <c r="H52" s="11">
        <f>I52+J52</f>
        <v>16</v>
      </c>
      <c r="I52" s="11">
        <v>16</v>
      </c>
      <c r="J52" s="11">
        <f>SUM(J60:J72)</f>
        <v>0</v>
      </c>
      <c r="K52" s="10"/>
      <c r="L52" s="10"/>
      <c r="M52" s="10"/>
    </row>
    <row r="53" spans="1:13" s="15" customFormat="1" ht="12.75">
      <c r="A53" s="24" t="s">
        <v>7</v>
      </c>
      <c r="B53" s="9">
        <f t="shared" ref="B53:B59" si="7">C53+D53</f>
        <v>0</v>
      </c>
      <c r="C53" s="9">
        <f>SUM(C54:C55)</f>
        <v>0</v>
      </c>
      <c r="D53" s="9">
        <f>SUM(D54:D55)</f>
        <v>0</v>
      </c>
      <c r="E53" s="36">
        <f t="shared" ref="E53:E58" si="8">F53+G53</f>
        <v>0</v>
      </c>
      <c r="F53" s="9">
        <f>SUM(F54:F55)</f>
        <v>0</v>
      </c>
      <c r="G53" s="31">
        <f>SUM(G54:G55)</f>
        <v>0</v>
      </c>
      <c r="H53" s="9">
        <f t="shared" ref="H53:H59" si="9">I53+J53</f>
        <v>25</v>
      </c>
      <c r="I53" s="9">
        <f>SUM(I54:I55)</f>
        <v>25</v>
      </c>
      <c r="J53" s="9">
        <f>SUM(J54:J55)</f>
        <v>0</v>
      </c>
      <c r="K53" s="10"/>
      <c r="L53" s="10"/>
      <c r="M53" s="10"/>
    </row>
    <row r="54" spans="1:13" s="15" customFormat="1" ht="12.75">
      <c r="A54" s="26" t="s">
        <v>51</v>
      </c>
      <c r="B54" s="11">
        <f t="shared" si="7"/>
        <v>0</v>
      </c>
      <c r="C54" s="11">
        <v>0</v>
      </c>
      <c r="D54" s="11">
        <v>0</v>
      </c>
      <c r="E54" s="37">
        <f t="shared" si="8"/>
        <v>0</v>
      </c>
      <c r="F54" s="11">
        <v>0</v>
      </c>
      <c r="G54" s="32">
        <f>SUM(G60:G75)</f>
        <v>0</v>
      </c>
      <c r="H54" s="11">
        <f t="shared" si="9"/>
        <v>10</v>
      </c>
      <c r="I54" s="11">
        <v>10</v>
      </c>
      <c r="J54" s="11">
        <f>SUM(J60:J75)</f>
        <v>0</v>
      </c>
      <c r="K54" s="10"/>
      <c r="L54" s="10"/>
      <c r="M54" s="10"/>
    </row>
    <row r="55" spans="1:13" s="15" customFormat="1" ht="12.75">
      <c r="A55" s="26" t="s">
        <v>52</v>
      </c>
      <c r="B55" s="11">
        <f t="shared" si="7"/>
        <v>0</v>
      </c>
      <c r="C55" s="11">
        <v>0</v>
      </c>
      <c r="D55" s="11">
        <v>0</v>
      </c>
      <c r="E55" s="37">
        <f t="shared" si="8"/>
        <v>0</v>
      </c>
      <c r="F55" s="11">
        <v>0</v>
      </c>
      <c r="G55" s="32">
        <f>SUM(G60:G76)</f>
        <v>0</v>
      </c>
      <c r="H55" s="11">
        <f t="shared" si="9"/>
        <v>15</v>
      </c>
      <c r="I55" s="11">
        <v>15</v>
      </c>
      <c r="J55" s="11">
        <f>SUM(J60:J76)</f>
        <v>0</v>
      </c>
      <c r="K55" s="10"/>
      <c r="L55" s="10"/>
      <c r="M55" s="10"/>
    </row>
    <row r="56" spans="1:13" s="15" customFormat="1" ht="12.75">
      <c r="A56" s="24" t="s">
        <v>8</v>
      </c>
      <c r="B56" s="9">
        <f t="shared" si="7"/>
        <v>18</v>
      </c>
      <c r="C56" s="9">
        <f>SUM(C57:C59)</f>
        <v>18</v>
      </c>
      <c r="D56" s="9">
        <f>SUM(D57:D59)</f>
        <v>0</v>
      </c>
      <c r="E56" s="36">
        <f t="shared" si="8"/>
        <v>119</v>
      </c>
      <c r="F56" s="9">
        <f>SUM(F57:F59)</f>
        <v>119</v>
      </c>
      <c r="G56" s="31">
        <f>SUM(G57:G59)</f>
        <v>0</v>
      </c>
      <c r="H56" s="9">
        <f t="shared" si="9"/>
        <v>198</v>
      </c>
      <c r="I56" s="9">
        <f>SUM(I57:I59)</f>
        <v>198</v>
      </c>
      <c r="J56" s="9">
        <f>SUM(J57:J59)</f>
        <v>0</v>
      </c>
      <c r="K56" s="10"/>
      <c r="L56" s="10"/>
      <c r="M56" s="10"/>
    </row>
    <row r="57" spans="1:13" s="15" customFormat="1" ht="12.75">
      <c r="A57" s="26" t="s">
        <v>46</v>
      </c>
      <c r="B57" s="11">
        <f t="shared" si="7"/>
        <v>0</v>
      </c>
      <c r="C57" s="11">
        <v>0</v>
      </c>
      <c r="D57" s="11">
        <v>0</v>
      </c>
      <c r="E57" s="37">
        <f t="shared" si="8"/>
        <v>119</v>
      </c>
      <c r="F57" s="11">
        <v>119</v>
      </c>
      <c r="G57" s="32">
        <f>SUM(G59:G78)</f>
        <v>0</v>
      </c>
      <c r="H57" s="11">
        <f t="shared" si="9"/>
        <v>147</v>
      </c>
      <c r="I57" s="11">
        <v>147</v>
      </c>
      <c r="J57" s="11">
        <f>SUM(J59:J78)</f>
        <v>0</v>
      </c>
      <c r="K57" s="10"/>
      <c r="L57" s="10"/>
      <c r="M57" s="10"/>
    </row>
    <row r="58" spans="1:13" s="15" customFormat="1" ht="12.75">
      <c r="A58" s="26" t="s">
        <v>53</v>
      </c>
      <c r="B58" s="11">
        <f t="shared" si="7"/>
        <v>0</v>
      </c>
      <c r="C58" s="11">
        <v>0</v>
      </c>
      <c r="D58" s="11">
        <v>0</v>
      </c>
      <c r="E58" s="37">
        <f t="shared" si="8"/>
        <v>0</v>
      </c>
      <c r="F58" s="11">
        <v>0</v>
      </c>
      <c r="G58" s="32">
        <f>SUM(G60:G79)</f>
        <v>0</v>
      </c>
      <c r="H58" s="11">
        <f t="shared" si="9"/>
        <v>21</v>
      </c>
      <c r="I58" s="11">
        <v>21</v>
      </c>
      <c r="J58" s="11">
        <f>SUM(J60:J79)</f>
        <v>0</v>
      </c>
      <c r="K58" s="10"/>
      <c r="L58" s="10"/>
      <c r="M58" s="10"/>
    </row>
    <row r="59" spans="1:13" s="15" customFormat="1" ht="12.75">
      <c r="A59" s="27" t="s">
        <v>51</v>
      </c>
      <c r="B59" s="12">
        <f t="shared" si="7"/>
        <v>18</v>
      </c>
      <c r="C59" s="12">
        <v>18</v>
      </c>
      <c r="D59" s="12">
        <v>0</v>
      </c>
      <c r="E59" s="38">
        <v>0</v>
      </c>
      <c r="F59" s="12">
        <v>0</v>
      </c>
      <c r="G59" s="33">
        <f>SUM(G60:G79)</f>
        <v>0</v>
      </c>
      <c r="H59" s="12">
        <f t="shared" si="9"/>
        <v>30</v>
      </c>
      <c r="I59" s="12">
        <v>30</v>
      </c>
      <c r="J59" s="12">
        <f>SUM(J60:J79)</f>
        <v>0</v>
      </c>
      <c r="K59" s="10"/>
      <c r="L59" s="10"/>
      <c r="M59" s="10"/>
    </row>
    <row r="60" spans="1:13" s="18" customFormat="1" ht="12.75">
      <c r="A60" s="16" t="s">
        <v>9</v>
      </c>
      <c r="B60" s="17"/>
      <c r="C60" s="17"/>
      <c r="D60" s="17"/>
      <c r="G60" s="19"/>
      <c r="J60" s="19"/>
    </row>
    <row r="61" spans="1:13" s="21" customFormat="1" ht="12.75">
      <c r="A61" s="20" t="s">
        <v>54</v>
      </c>
      <c r="B61" s="20"/>
      <c r="C61" s="20"/>
      <c r="D61" s="20"/>
    </row>
    <row r="62" spans="1:13" s="21" customFormat="1"/>
    <row r="63" spans="1:13" s="21" customFormat="1"/>
    <row r="64" spans="1:13" s="21" customFormat="1"/>
    <row r="65" s="21" customFormat="1"/>
    <row r="66" s="21" customFormat="1"/>
    <row r="67" s="21" customFormat="1"/>
    <row r="68" s="21" customFormat="1"/>
    <row r="69" s="21" customFormat="1"/>
  </sheetData>
  <mergeCells count="6">
    <mergeCell ref="A2:J2"/>
    <mergeCell ref="H5:J5"/>
    <mergeCell ref="A5:A6"/>
    <mergeCell ref="B5:D5"/>
    <mergeCell ref="E5:G5"/>
    <mergeCell ref="A3:J3"/>
  </mergeCells>
  <pageMargins left="0.17" right="0.16" top="0.76" bottom="0.75" header="0.3" footer="0.3"/>
  <pageSetup paperSize="9" scale="68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7.23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2013-09-03T09:59:57Z</dcterms:modified>
</cp:coreProperties>
</file>