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8" sheetId="7" r:id="rId1"/>
  </sheets>
  <calcPr calcId="124519"/>
</workbook>
</file>

<file path=xl/calcChain.xml><?xml version="1.0" encoding="utf-8"?>
<calcChain xmlns="http://schemas.openxmlformats.org/spreadsheetml/2006/main">
  <c r="J11" i="7"/>
  <c r="J10"/>
  <c r="J9"/>
  <c r="J8"/>
  <c r="I10"/>
  <c r="H10"/>
  <c r="I8"/>
  <c r="H8"/>
  <c r="B11" l="1"/>
  <c r="B12"/>
  <c r="B13"/>
  <c r="B30"/>
  <c r="J30" s="1"/>
  <c r="B29"/>
  <c r="J29" s="1"/>
  <c r="B28"/>
  <c r="J28" s="1"/>
  <c r="B27"/>
  <c r="J27" s="1"/>
  <c r="B26"/>
  <c r="J26" s="1"/>
  <c r="B25"/>
  <c r="J25" s="1"/>
  <c r="B24"/>
  <c r="J24" s="1"/>
  <c r="B23"/>
  <c r="J23" s="1"/>
  <c r="B22"/>
  <c r="J22" s="1"/>
  <c r="B21"/>
  <c r="J21" s="1"/>
  <c r="B20"/>
  <c r="J20" s="1"/>
  <c r="B19"/>
  <c r="J19" s="1"/>
  <c r="B18"/>
  <c r="J18" s="1"/>
  <c r="B17"/>
  <c r="J17" s="1"/>
  <c r="B16"/>
  <c r="J16" s="1"/>
  <c r="B15"/>
  <c r="J15" s="1"/>
  <c r="B14"/>
  <c r="J14" s="1"/>
  <c r="J13"/>
  <c r="J12"/>
  <c r="B10"/>
  <c r="B9"/>
  <c r="B8"/>
</calcChain>
</file>

<file path=xl/sharedStrings.xml><?xml version="1.0" encoding="utf-8"?>
<sst xmlns="http://schemas.openxmlformats.org/spreadsheetml/2006/main" count="80" uniqueCount="74">
  <si>
    <t xml:space="preserve">  Locality</t>
  </si>
  <si>
    <t>Total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</si>
  <si>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</si>
  <si>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</si>
  <si>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</si>
  <si>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</si>
  <si>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</si>
  <si>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</si>
  <si>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</si>
  <si>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</si>
  <si>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</si>
  <si>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</si>
  <si>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</si>
  <si>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</si>
  <si>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</si>
  <si>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</si>
  <si>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</si>
  <si>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</si>
  <si>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</si>
  <si>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</si>
  <si>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</si>
  <si>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</si>
  <si>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</si>
  <si>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</si>
  <si>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</si>
  <si>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</si>
  <si>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</si>
  <si>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</si>
  <si>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</si>
  <si>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</si>
  <si>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</si>
  <si>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</si>
  <si>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</si>
  <si>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</si>
  <si>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</si>
  <si>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</si>
  <si>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</si>
  <si>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</si>
  <si>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</si>
  <si>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</si>
  <si>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</si>
  <si>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</si>
  <si>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 xml:space="preserve"> AA</t>
  </si>
  <si>
    <t>Gn</t>
  </si>
  <si>
    <t>N</t>
  </si>
  <si>
    <t>s</t>
  </si>
  <si>
    <t>Source: Ministry of Education</t>
  </si>
  <si>
    <t>cnwxEkuaiDea cfoa IrcTcsinim :ctWrwf ivcaed utWmUluAwm</t>
  </si>
  <si>
    <t>Teachers</t>
  </si>
  <si>
    <t>Trained</t>
  </si>
  <si>
    <t>cnIsEdib</t>
  </si>
  <si>
    <t>cnusircawdum</t>
  </si>
  <si>
    <t>Untrained</t>
  </si>
  <si>
    <t>Expatriate</t>
  </si>
  <si>
    <t>2012 ,cnusircawdum IsEdib idwa ihevid WviretctWkwrwH iawgukwtWswrudwm egukwtuLotwa iaWaelWm : 7.8 ulwvWt</t>
  </si>
  <si>
    <t>TABLE 7.8: LOCAL AND EXPATRIATE TEACHERS SERVING IN SCHOOLS OF MALE' AND ATOLLS BY LOCALITY, 2012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</si>
  <si>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</si>
  <si>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</si>
  <si>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</si>
  <si>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</si>
  <si>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</si>
  <si>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</si>
  <si>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</si>
  <si>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</si>
  <si>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</si>
  <si>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</si>
  <si>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</si>
  <si>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</si>
  <si>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</si>
  <si>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</si>
  <si>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</si>
  <si>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</si>
  <si>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Note: No untrained expatriate</t>
  </si>
  <si>
    <t>ބިދޭސީ ޓީޗަރުންގެ ތެރޭގައި ތަމްރީނު ލިބިފައިނުވާ ޓީޗަރުންނެއް ނެތް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</si>
</sst>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27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Waheed"/>
    </font>
    <font>
      <b/>
      <sz val="9"/>
      <name val="Arial"/>
      <family val="2"/>
    </font>
    <font>
      <sz val="9"/>
      <name val="Calibri"/>
      <family val="2"/>
      <scheme val="minor"/>
    </font>
    <font>
      <sz val="9"/>
      <name val="A_Randhoo"/>
    </font>
    <font>
      <b/>
      <sz val="9"/>
      <name val="A_Waheed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_Waheed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b/>
      <sz val="10"/>
      <name val="Faruma"/>
    </font>
    <font>
      <sz val="12"/>
      <name val="A_Utheem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0" fontId="13" fillId="0" borderId="0"/>
    <xf numFmtId="166" fontId="13" fillId="0" borderId="0"/>
    <xf numFmtId="165" fontId="13" fillId="0" borderId="0"/>
    <xf numFmtId="165" fontId="13" fillId="0" borderId="0"/>
  </cellStyleXfs>
  <cellXfs count="50">
    <xf numFmtId="0" fontId="0" fillId="0" borderId="0" xfId="0"/>
    <xf numFmtId="164" fontId="9" fillId="2" borderId="0" xfId="0" applyNumberFormat="1" applyFont="1" applyFill="1" applyBorder="1" applyAlignment="1">
      <alignment horizontal="right" vertical="center"/>
    </xf>
    <xf numFmtId="164" fontId="3" fillId="2" borderId="1" xfId="2" applyNumberFormat="1" applyFont="1" applyFill="1" applyBorder="1" applyAlignment="1">
      <alignment horizontal="center" vertical="top"/>
    </xf>
    <xf numFmtId="164" fontId="10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2" fillId="2" borderId="0" xfId="2" applyNumberFormat="1" applyFont="1" applyFill="1" applyAlignment="1">
      <alignment horizontal="center" vertical="center"/>
    </xf>
    <xf numFmtId="164" fontId="2" fillId="2" borderId="0" xfId="2" applyNumberFormat="1" applyFont="1" applyFill="1" applyAlignment="1">
      <alignment horizontal="center" vertical="top"/>
    </xf>
    <xf numFmtId="164" fontId="4" fillId="2" borderId="0" xfId="2" applyNumberFormat="1" applyFont="1" applyFill="1" applyBorder="1" applyAlignment="1">
      <alignment horizontal="center" vertical="center"/>
    </xf>
    <xf numFmtId="164" fontId="23" fillId="2" borderId="0" xfId="2" applyNumberFormat="1" applyFont="1" applyFill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left" vertical="center"/>
    </xf>
    <xf numFmtId="164" fontId="22" fillId="2" borderId="0" xfId="0" applyNumberFormat="1" applyFont="1" applyFill="1" applyBorder="1" applyAlignment="1">
      <alignment horizontal="right" vertical="center"/>
    </xf>
    <xf numFmtId="164" fontId="2" fillId="2" borderId="0" xfId="2" applyNumberFormat="1" applyFont="1" applyFill="1" applyAlignment="1">
      <alignment horizontal="right" vertical="center"/>
    </xf>
    <xf numFmtId="164" fontId="7" fillId="2" borderId="0" xfId="2" applyNumberFormat="1" applyFont="1" applyFill="1" applyBorder="1" applyAlignment="1" applyProtection="1">
      <alignment horizontal="left" vertical="center"/>
    </xf>
    <xf numFmtId="164" fontId="3" fillId="2" borderId="0" xfId="2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5" fillId="2" borderId="2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2" fillId="2" borderId="0" xfId="2" applyNumberFormat="1" applyFont="1" applyFill="1" applyAlignment="1">
      <alignment horizontal="left" vertical="center"/>
    </xf>
    <xf numFmtId="3" fontId="19" fillId="2" borderId="2" xfId="2" applyNumberFormat="1" applyFont="1" applyFill="1" applyBorder="1"/>
    <xf numFmtId="3" fontId="3" fillId="2" borderId="2" xfId="2" applyNumberFormat="1" applyFont="1" applyFill="1" applyBorder="1" applyAlignment="1">
      <alignment horizontal="right"/>
    </xf>
    <xf numFmtId="3" fontId="3" fillId="2" borderId="0" xfId="2" applyNumberFormat="1" applyFont="1" applyFill="1" applyBorder="1"/>
    <xf numFmtId="3" fontId="19" fillId="2" borderId="0" xfId="2" applyNumberFormat="1" applyFont="1" applyFill="1" applyBorder="1"/>
    <xf numFmtId="3" fontId="24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/>
    </xf>
    <xf numFmtId="3" fontId="18" fillId="2" borderId="0" xfId="2" applyNumberFormat="1" applyFont="1" applyFill="1" applyBorder="1" applyAlignment="1">
      <alignment horizontal="right"/>
    </xf>
    <xf numFmtId="3" fontId="25" fillId="2" borderId="0" xfId="2" applyNumberFormat="1" applyFont="1" applyFill="1" applyBorder="1" applyAlignment="1">
      <alignment horizontal="center" vertical="center"/>
    </xf>
    <xf numFmtId="3" fontId="3" fillId="2" borderId="1" xfId="2" applyNumberFormat="1" applyFont="1" applyFill="1" applyBorder="1"/>
    <xf numFmtId="3" fontId="18" fillId="2" borderId="1" xfId="2" applyNumberFormat="1" applyFont="1" applyFill="1" applyBorder="1" applyAlignment="1">
      <alignment horizontal="right"/>
    </xf>
    <xf numFmtId="3" fontId="25" fillId="2" borderId="1" xfId="2" applyNumberFormat="1" applyFont="1" applyFill="1" applyBorder="1" applyAlignment="1">
      <alignment horizontal="center" vertical="center"/>
    </xf>
    <xf numFmtId="3" fontId="12" fillId="2" borderId="0" xfId="2" applyNumberFormat="1" applyFont="1" applyFill="1" applyBorder="1" applyAlignment="1">
      <alignment horizontal="right"/>
    </xf>
    <xf numFmtId="3" fontId="12" fillId="2" borderId="1" xfId="2" applyNumberFormat="1" applyFont="1" applyFill="1" applyBorder="1" applyAlignment="1">
      <alignment horizontal="right"/>
    </xf>
    <xf numFmtId="3" fontId="15" fillId="2" borderId="2" xfId="2" applyNumberFormat="1" applyFont="1" applyFill="1" applyBorder="1"/>
    <xf numFmtId="3" fontId="15" fillId="2" borderId="0" xfId="2" applyNumberFormat="1" applyFont="1" applyFill="1" applyBorder="1"/>
    <xf numFmtId="3" fontId="17" fillId="2" borderId="0" xfId="2" applyNumberFormat="1" applyFont="1" applyFill="1" applyBorder="1" applyAlignment="1">
      <alignment horizontal="right"/>
    </xf>
    <xf numFmtId="3" fontId="17" fillId="2" borderId="1" xfId="2" applyNumberFormat="1" applyFont="1" applyFill="1" applyBorder="1" applyAlignment="1">
      <alignment horizontal="right"/>
    </xf>
    <xf numFmtId="3" fontId="15" fillId="2" borderId="2" xfId="2" applyNumberFormat="1" applyFont="1" applyFill="1" applyBorder="1" applyAlignment="1">
      <alignment horizontal="right"/>
    </xf>
    <xf numFmtId="164" fontId="21" fillId="2" borderId="0" xfId="2" applyNumberFormat="1" applyFont="1" applyFill="1" applyAlignment="1">
      <alignment horizontal="right"/>
    </xf>
    <xf numFmtId="164" fontId="26" fillId="2" borderId="0" xfId="2" applyNumberFormat="1" applyFont="1" applyFill="1" applyAlignment="1">
      <alignment horizontal="left" vertical="center"/>
    </xf>
    <xf numFmtId="164" fontId="11" fillId="2" borderId="0" xfId="2" applyNumberFormat="1" applyFont="1" applyFill="1" applyAlignment="1">
      <alignment horizontal="left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>
      <alignment horizontal="center" vertical="top"/>
    </xf>
    <xf numFmtId="164" fontId="22" fillId="2" borderId="0" xfId="0" applyNumberFormat="1" applyFont="1" applyFill="1" applyBorder="1" applyAlignment="1">
      <alignment horizontal="center" vertical="center"/>
    </xf>
    <xf numFmtId="164" fontId="20" fillId="2" borderId="0" xfId="0" applyNumberFormat="1" applyFont="1" applyFill="1" applyBorder="1" applyAlignment="1">
      <alignment horizontal="center" vertical="center"/>
    </xf>
    <xf numFmtId="164" fontId="3" fillId="2" borderId="3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F13" sqref="F13"/>
    </sheetView>
  </sheetViews>
  <sheetFormatPr defaultRowHeight="12.75"/>
  <cols>
    <col min="1" max="1" width="11.42578125" style="23" customWidth="1"/>
    <col min="2" max="2" width="11.5703125" style="7" customWidth="1"/>
    <col min="3" max="4" width="13" style="7" customWidth="1"/>
    <col min="5" max="5" width="2.140625" style="7" customWidth="1"/>
    <col min="6" max="7" width="13.7109375" style="7" customWidth="1"/>
    <col min="8" max="10" width="14.5703125" style="7" customWidth="1"/>
    <col min="11" max="11" width="16.85546875" style="7" customWidth="1"/>
    <col min="12" max="16384" width="9.140625" style="7"/>
  </cols>
  <sheetData>
    <row r="1" spans="1:11" ht="20.25" customHeight="1">
      <c r="A1" s="45" t="s">
        <v>54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8" customFormat="1" ht="16.5" customHeight="1">
      <c r="A2" s="46" t="s">
        <v>55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s="8" customFormat="1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.75">
      <c r="A4" s="9"/>
      <c r="B4" s="9"/>
      <c r="C4" s="47" t="s">
        <v>56</v>
      </c>
      <c r="D4" s="47"/>
      <c r="E4" s="9"/>
      <c r="F4" s="48" t="s">
        <v>57</v>
      </c>
      <c r="G4" s="48"/>
      <c r="H4" s="5" t="s">
        <v>58</v>
      </c>
      <c r="I4" s="5" t="s">
        <v>59</v>
      </c>
      <c r="J4" s="5" t="s">
        <v>50</v>
      </c>
      <c r="K4" s="10"/>
    </row>
    <row r="5" spans="1:11" ht="17.25" customHeight="1">
      <c r="A5" s="11" t="s">
        <v>0</v>
      </c>
      <c r="B5" s="12" t="s">
        <v>60</v>
      </c>
      <c r="C5" s="49" t="s">
        <v>49</v>
      </c>
      <c r="D5" s="49"/>
      <c r="E5" s="9"/>
      <c r="F5" s="49" t="s">
        <v>52</v>
      </c>
      <c r="G5" s="49"/>
      <c r="H5" s="5" t="s">
        <v>51</v>
      </c>
      <c r="I5" s="5" t="s">
        <v>51</v>
      </c>
      <c r="J5" s="12" t="s">
        <v>61</v>
      </c>
      <c r="K5" s="13"/>
    </row>
    <row r="6" spans="1:11" ht="18.75">
      <c r="A6" s="14"/>
      <c r="B6" s="15" t="s">
        <v>1</v>
      </c>
      <c r="C6" s="5" t="s">
        <v>62</v>
      </c>
      <c r="D6" s="5" t="s">
        <v>63</v>
      </c>
      <c r="E6" s="16"/>
      <c r="F6" s="5" t="s">
        <v>62</v>
      </c>
      <c r="G6" s="5" t="s">
        <v>63</v>
      </c>
      <c r="H6" s="15" t="s">
        <v>64</v>
      </c>
      <c r="I6" s="15" t="s">
        <v>65</v>
      </c>
      <c r="J6" s="15" t="s">
        <v>53</v>
      </c>
      <c r="K6" s="12" t="s">
        <v>66</v>
      </c>
    </row>
    <row r="7" spans="1:11" ht="12.75" customHeight="1">
      <c r="A7" s="17"/>
      <c r="B7" s="16"/>
      <c r="C7" s="15" t="s">
        <v>67</v>
      </c>
      <c r="D7" s="15" t="s">
        <v>68</v>
      </c>
      <c r="E7" s="16"/>
      <c r="F7" s="15" t="s">
        <v>67</v>
      </c>
      <c r="G7" s="15" t="s">
        <v>68</v>
      </c>
      <c r="H7" s="15" t="s">
        <v>69</v>
      </c>
      <c r="I7" s="15" t="s">
        <v>48</v>
      </c>
      <c r="J7" s="15" t="s">
        <v>70</v>
      </c>
      <c r="K7" s="18"/>
    </row>
    <row r="8" spans="1:11" ht="15">
      <c r="A8" s="19" t="s">
        <v>2</v>
      </c>
      <c r="B8" s="24">
        <f>SUM(C8:G8)</f>
        <v>7830</v>
      </c>
      <c r="C8" s="24">
        <v>6188</v>
      </c>
      <c r="D8" s="24">
        <v>520</v>
      </c>
      <c r="E8" s="24"/>
      <c r="F8" s="24">
        <v>777</v>
      </c>
      <c r="G8" s="24">
        <v>345</v>
      </c>
      <c r="H8" s="41">
        <f>SUM(H9:H10)</f>
        <v>2509</v>
      </c>
      <c r="I8" s="37">
        <f>SUM(I9:I10)</f>
        <v>5321</v>
      </c>
      <c r="J8" s="25">
        <f>H8/B8*100</f>
        <v>32.043422733077904</v>
      </c>
      <c r="K8" s="6" t="s">
        <v>3</v>
      </c>
    </row>
    <row r="9" spans="1:11" ht="14.25">
      <c r="A9" s="11" t="s">
        <v>4</v>
      </c>
      <c r="B9" s="26">
        <f>SUM(C9:G9)</f>
        <v>1650</v>
      </c>
      <c r="C9" s="27">
        <v>1308</v>
      </c>
      <c r="D9" s="27">
        <v>172</v>
      </c>
      <c r="E9" s="28"/>
      <c r="F9" s="27">
        <v>158</v>
      </c>
      <c r="G9" s="27">
        <v>12</v>
      </c>
      <c r="H9" s="38">
        <v>424</v>
      </c>
      <c r="I9" s="38">
        <v>1226</v>
      </c>
      <c r="J9" s="29">
        <f>H9/B9*100</f>
        <v>25.696969696969695</v>
      </c>
      <c r="K9" s="3" t="s">
        <v>5</v>
      </c>
    </row>
    <row r="10" spans="1:11" ht="14.25">
      <c r="A10" s="11" t="s">
        <v>6</v>
      </c>
      <c r="B10" s="27">
        <f>SUM(C10:G10)</f>
        <v>6180</v>
      </c>
      <c r="C10" s="27">
        <v>4880</v>
      </c>
      <c r="D10" s="27">
        <v>348</v>
      </c>
      <c r="E10" s="27"/>
      <c r="F10" s="27">
        <v>619</v>
      </c>
      <c r="G10" s="27">
        <v>333</v>
      </c>
      <c r="H10" s="38">
        <f>SUM(H11:H30)</f>
        <v>2085</v>
      </c>
      <c r="I10" s="38">
        <f>SUM(I11:I30)</f>
        <v>4095</v>
      </c>
      <c r="J10" s="29">
        <f>H10/B10*100</f>
        <v>33.737864077669904</v>
      </c>
      <c r="K10" s="3" t="s">
        <v>7</v>
      </c>
    </row>
    <row r="11" spans="1:11" ht="14.25">
      <c r="A11" s="20" t="s">
        <v>8</v>
      </c>
      <c r="B11" s="26">
        <f t="shared" ref="B11:B30" si="0">SUM(C11:G11)</f>
        <v>431</v>
      </c>
      <c r="C11" s="30">
        <v>378</v>
      </c>
      <c r="D11" s="30">
        <v>17</v>
      </c>
      <c r="E11" s="31"/>
      <c r="F11" s="30">
        <v>21</v>
      </c>
      <c r="G11" s="30">
        <v>15</v>
      </c>
      <c r="H11" s="39">
        <v>176</v>
      </c>
      <c r="I11" s="39">
        <v>255</v>
      </c>
      <c r="J11" s="35">
        <f>H11/B11*100</f>
        <v>40.835266821345705</v>
      </c>
      <c r="K11" s="4" t="s">
        <v>9</v>
      </c>
    </row>
    <row r="12" spans="1:11" ht="14.25">
      <c r="A12" s="20" t="s">
        <v>10</v>
      </c>
      <c r="B12" s="26">
        <f>SUM(C12:G12)</f>
        <v>536</v>
      </c>
      <c r="C12" s="30">
        <v>449</v>
      </c>
      <c r="D12" s="30">
        <v>32</v>
      </c>
      <c r="E12" s="31"/>
      <c r="F12" s="30">
        <v>33</v>
      </c>
      <c r="G12" s="30">
        <v>22</v>
      </c>
      <c r="H12" s="39">
        <v>182</v>
      </c>
      <c r="I12" s="39">
        <v>354</v>
      </c>
      <c r="J12" s="35">
        <f t="shared" ref="J12:J30" si="1">H12/B12*100</f>
        <v>33.955223880597011</v>
      </c>
      <c r="K12" s="4" t="s">
        <v>11</v>
      </c>
    </row>
    <row r="13" spans="1:11" ht="14.25">
      <c r="A13" s="20" t="s">
        <v>12</v>
      </c>
      <c r="B13" s="26">
        <f t="shared" si="0"/>
        <v>414</v>
      </c>
      <c r="C13" s="30">
        <v>344</v>
      </c>
      <c r="D13" s="30">
        <v>31</v>
      </c>
      <c r="E13" s="31"/>
      <c r="F13" s="30">
        <v>20</v>
      </c>
      <c r="G13" s="30">
        <v>19</v>
      </c>
      <c r="H13" s="39">
        <v>157</v>
      </c>
      <c r="I13" s="39">
        <v>257</v>
      </c>
      <c r="J13" s="35">
        <f t="shared" si="1"/>
        <v>37.922705314009661</v>
      </c>
      <c r="K13" s="4" t="s">
        <v>13</v>
      </c>
    </row>
    <row r="14" spans="1:11" ht="14.25">
      <c r="A14" s="20" t="s">
        <v>14</v>
      </c>
      <c r="B14" s="26">
        <f t="shared" si="0"/>
        <v>371</v>
      </c>
      <c r="C14" s="30">
        <v>304</v>
      </c>
      <c r="D14" s="30">
        <v>8</v>
      </c>
      <c r="E14" s="31"/>
      <c r="F14" s="30">
        <v>42</v>
      </c>
      <c r="G14" s="30">
        <v>17</v>
      </c>
      <c r="H14" s="39">
        <v>131</v>
      </c>
      <c r="I14" s="39">
        <v>240</v>
      </c>
      <c r="J14" s="35">
        <f t="shared" si="1"/>
        <v>35.309973045822105</v>
      </c>
      <c r="K14" s="4" t="s">
        <v>15</v>
      </c>
    </row>
    <row r="15" spans="1:11" ht="14.25">
      <c r="A15" s="20" t="s">
        <v>16</v>
      </c>
      <c r="B15" s="26">
        <f t="shared" si="0"/>
        <v>560</v>
      </c>
      <c r="C15" s="30">
        <v>405</v>
      </c>
      <c r="D15" s="30">
        <v>30</v>
      </c>
      <c r="E15" s="31"/>
      <c r="F15" s="30">
        <v>53</v>
      </c>
      <c r="G15" s="30">
        <v>72</v>
      </c>
      <c r="H15" s="39">
        <v>209</v>
      </c>
      <c r="I15" s="39">
        <v>351</v>
      </c>
      <c r="J15" s="35">
        <f t="shared" si="1"/>
        <v>37.321428571428569</v>
      </c>
      <c r="K15" s="4" t="s">
        <v>17</v>
      </c>
    </row>
    <row r="16" spans="1:11" ht="14.25">
      <c r="A16" s="20" t="s">
        <v>18</v>
      </c>
      <c r="B16" s="26">
        <f t="shared" si="0"/>
        <v>351</v>
      </c>
      <c r="C16" s="30">
        <v>266</v>
      </c>
      <c r="D16" s="30">
        <v>22</v>
      </c>
      <c r="E16" s="31"/>
      <c r="F16" s="30">
        <v>51</v>
      </c>
      <c r="G16" s="30">
        <v>12</v>
      </c>
      <c r="H16" s="39">
        <v>115</v>
      </c>
      <c r="I16" s="39">
        <v>236</v>
      </c>
      <c r="J16" s="35">
        <f t="shared" si="1"/>
        <v>32.763532763532766</v>
      </c>
      <c r="K16" s="4" t="s">
        <v>19</v>
      </c>
    </row>
    <row r="17" spans="1:11" ht="14.25">
      <c r="A17" s="20" t="s">
        <v>20</v>
      </c>
      <c r="B17" s="26">
        <f t="shared" si="0"/>
        <v>227</v>
      </c>
      <c r="C17" s="30">
        <v>181</v>
      </c>
      <c r="D17" s="30">
        <v>12</v>
      </c>
      <c r="E17" s="31"/>
      <c r="F17" s="30">
        <v>24</v>
      </c>
      <c r="G17" s="30">
        <v>10</v>
      </c>
      <c r="H17" s="39">
        <v>69</v>
      </c>
      <c r="I17" s="39">
        <v>158</v>
      </c>
      <c r="J17" s="35">
        <f t="shared" si="1"/>
        <v>30.396475770925107</v>
      </c>
      <c r="K17" s="4" t="s">
        <v>21</v>
      </c>
    </row>
    <row r="18" spans="1:11" ht="14.25">
      <c r="A18" s="20" t="s">
        <v>22</v>
      </c>
      <c r="B18" s="26">
        <f t="shared" si="0"/>
        <v>290</v>
      </c>
      <c r="C18" s="30">
        <v>216</v>
      </c>
      <c r="D18" s="30">
        <v>11</v>
      </c>
      <c r="E18" s="31"/>
      <c r="F18" s="30">
        <v>43</v>
      </c>
      <c r="G18" s="30">
        <v>20</v>
      </c>
      <c r="H18" s="39">
        <v>114</v>
      </c>
      <c r="I18" s="39">
        <v>176</v>
      </c>
      <c r="J18" s="35">
        <f t="shared" si="1"/>
        <v>39.310344827586206</v>
      </c>
      <c r="K18" s="4" t="s">
        <v>23</v>
      </c>
    </row>
    <row r="19" spans="1:11" ht="14.25">
      <c r="A19" s="20" t="s">
        <v>42</v>
      </c>
      <c r="B19" s="26">
        <f t="shared" si="0"/>
        <v>205</v>
      </c>
      <c r="C19" s="30">
        <v>156</v>
      </c>
      <c r="D19" s="30">
        <v>16</v>
      </c>
      <c r="E19" s="31"/>
      <c r="F19" s="30">
        <v>22</v>
      </c>
      <c r="G19" s="30">
        <v>11</v>
      </c>
      <c r="H19" s="39">
        <v>69</v>
      </c>
      <c r="I19" s="39">
        <v>136</v>
      </c>
      <c r="J19" s="35">
        <f t="shared" si="1"/>
        <v>33.658536585365859</v>
      </c>
      <c r="K19" s="4" t="s">
        <v>24</v>
      </c>
    </row>
    <row r="20" spans="1:11" ht="14.25">
      <c r="A20" s="20" t="s">
        <v>71</v>
      </c>
      <c r="B20" s="26">
        <f t="shared" si="0"/>
        <v>251</v>
      </c>
      <c r="C20" s="30">
        <v>197</v>
      </c>
      <c r="D20" s="30">
        <v>15</v>
      </c>
      <c r="E20" s="31"/>
      <c r="F20" s="30">
        <v>17</v>
      </c>
      <c r="G20" s="30">
        <v>22</v>
      </c>
      <c r="H20" s="39">
        <v>90</v>
      </c>
      <c r="I20" s="39">
        <v>161</v>
      </c>
      <c r="J20" s="35">
        <f t="shared" si="1"/>
        <v>35.856573705179287</v>
      </c>
      <c r="K20" s="4" t="s">
        <v>25</v>
      </c>
    </row>
    <row r="21" spans="1:11" ht="14.25">
      <c r="A21" s="20" t="s">
        <v>26</v>
      </c>
      <c r="B21" s="26">
        <f t="shared" si="0"/>
        <v>66</v>
      </c>
      <c r="C21" s="30">
        <v>44</v>
      </c>
      <c r="D21" s="30">
        <v>6</v>
      </c>
      <c r="E21" s="31"/>
      <c r="F21" s="30">
        <v>8</v>
      </c>
      <c r="G21" s="30">
        <v>8</v>
      </c>
      <c r="H21" s="39">
        <v>25</v>
      </c>
      <c r="I21" s="39">
        <v>41</v>
      </c>
      <c r="J21" s="35">
        <f t="shared" si="1"/>
        <v>37.878787878787875</v>
      </c>
      <c r="K21" s="4" t="s">
        <v>27</v>
      </c>
    </row>
    <row r="22" spans="1:11" ht="14.25">
      <c r="A22" s="20" t="s">
        <v>28</v>
      </c>
      <c r="B22" s="26">
        <f t="shared" si="0"/>
        <v>167</v>
      </c>
      <c r="C22" s="30">
        <v>128</v>
      </c>
      <c r="D22" s="30">
        <v>11</v>
      </c>
      <c r="E22" s="31"/>
      <c r="F22" s="30">
        <v>23</v>
      </c>
      <c r="G22" s="30">
        <v>5</v>
      </c>
      <c r="H22" s="39">
        <v>45</v>
      </c>
      <c r="I22" s="39">
        <v>122</v>
      </c>
      <c r="J22" s="35">
        <f t="shared" si="1"/>
        <v>26.946107784431138</v>
      </c>
      <c r="K22" s="4" t="s">
        <v>29</v>
      </c>
    </row>
    <row r="23" spans="1:11" ht="14.25">
      <c r="A23" s="20" t="s">
        <v>30</v>
      </c>
      <c r="B23" s="26">
        <f t="shared" si="0"/>
        <v>164</v>
      </c>
      <c r="C23" s="30">
        <v>127</v>
      </c>
      <c r="D23" s="30">
        <v>26</v>
      </c>
      <c r="E23" s="31"/>
      <c r="F23" s="30">
        <v>8</v>
      </c>
      <c r="G23" s="30">
        <v>3</v>
      </c>
      <c r="H23" s="39">
        <v>48</v>
      </c>
      <c r="I23" s="39">
        <v>116</v>
      </c>
      <c r="J23" s="35">
        <f t="shared" si="1"/>
        <v>29.268292682926827</v>
      </c>
      <c r="K23" s="4" t="s">
        <v>31</v>
      </c>
    </row>
    <row r="24" spans="1:11" ht="14.25">
      <c r="A24" s="20" t="s">
        <v>32</v>
      </c>
      <c r="B24" s="26">
        <f t="shared" si="0"/>
        <v>177</v>
      </c>
      <c r="C24" s="30">
        <v>140</v>
      </c>
      <c r="D24" s="30">
        <v>13</v>
      </c>
      <c r="E24" s="31"/>
      <c r="F24" s="30">
        <v>16</v>
      </c>
      <c r="G24" s="30">
        <v>8</v>
      </c>
      <c r="H24" s="39">
        <v>73</v>
      </c>
      <c r="I24" s="39">
        <v>104</v>
      </c>
      <c r="J24" s="35">
        <f t="shared" si="1"/>
        <v>41.242937853107343</v>
      </c>
      <c r="K24" s="4" t="s">
        <v>33</v>
      </c>
    </row>
    <row r="25" spans="1:11" ht="14.25">
      <c r="A25" s="20" t="s">
        <v>34</v>
      </c>
      <c r="B25" s="26">
        <f t="shared" si="0"/>
        <v>325</v>
      </c>
      <c r="C25" s="30">
        <v>258</v>
      </c>
      <c r="D25" s="30">
        <v>12</v>
      </c>
      <c r="E25" s="31"/>
      <c r="F25" s="30">
        <v>43</v>
      </c>
      <c r="G25" s="30">
        <v>12</v>
      </c>
      <c r="H25" s="39">
        <v>126</v>
      </c>
      <c r="I25" s="39">
        <v>199</v>
      </c>
      <c r="J25" s="35">
        <f t="shared" si="1"/>
        <v>38.769230769230766</v>
      </c>
      <c r="K25" s="4" t="s">
        <v>35</v>
      </c>
    </row>
    <row r="26" spans="1:11" ht="14.25">
      <c r="A26" s="20" t="s">
        <v>36</v>
      </c>
      <c r="B26" s="26">
        <f t="shared" si="0"/>
        <v>395</v>
      </c>
      <c r="C26" s="30">
        <v>254</v>
      </c>
      <c r="D26" s="30">
        <v>53</v>
      </c>
      <c r="E26" s="31"/>
      <c r="F26" s="30">
        <v>60</v>
      </c>
      <c r="G26" s="30">
        <v>28</v>
      </c>
      <c r="H26" s="39">
        <v>144</v>
      </c>
      <c r="I26" s="39">
        <v>251</v>
      </c>
      <c r="J26" s="35">
        <f t="shared" si="1"/>
        <v>36.455696202531648</v>
      </c>
      <c r="K26" s="4" t="s">
        <v>37</v>
      </c>
    </row>
    <row r="27" spans="1:11" ht="14.25">
      <c r="A27" s="20" t="s">
        <v>38</v>
      </c>
      <c r="B27" s="26">
        <f t="shared" si="0"/>
        <v>268</v>
      </c>
      <c r="C27" s="30">
        <v>224</v>
      </c>
      <c r="D27" s="30">
        <v>5</v>
      </c>
      <c r="E27" s="31"/>
      <c r="F27" s="30">
        <v>27</v>
      </c>
      <c r="G27" s="30">
        <v>12</v>
      </c>
      <c r="H27" s="39">
        <v>92</v>
      </c>
      <c r="I27" s="39">
        <v>176</v>
      </c>
      <c r="J27" s="35">
        <f t="shared" si="1"/>
        <v>34.328358208955223</v>
      </c>
      <c r="K27" s="4" t="s">
        <v>39</v>
      </c>
    </row>
    <row r="28" spans="1:11" ht="14.25">
      <c r="A28" s="20" t="s">
        <v>40</v>
      </c>
      <c r="B28" s="26">
        <f t="shared" si="0"/>
        <v>345</v>
      </c>
      <c r="C28" s="30">
        <v>272</v>
      </c>
      <c r="D28" s="30">
        <v>14</v>
      </c>
      <c r="E28" s="31"/>
      <c r="F28" s="30">
        <v>37</v>
      </c>
      <c r="G28" s="30">
        <v>22</v>
      </c>
      <c r="H28" s="39">
        <v>94</v>
      </c>
      <c r="I28" s="39">
        <v>251</v>
      </c>
      <c r="J28" s="35">
        <f t="shared" si="1"/>
        <v>27.246376811594203</v>
      </c>
      <c r="K28" s="4" t="s">
        <v>41</v>
      </c>
    </row>
    <row r="29" spans="1:11" ht="14.25">
      <c r="A29" s="20" t="s">
        <v>43</v>
      </c>
      <c r="B29" s="26">
        <f t="shared" si="0"/>
        <v>208</v>
      </c>
      <c r="C29" s="30">
        <v>166</v>
      </c>
      <c r="D29" s="30">
        <v>10</v>
      </c>
      <c r="E29" s="31"/>
      <c r="F29" s="30">
        <v>28</v>
      </c>
      <c r="G29" s="30">
        <v>4</v>
      </c>
      <c r="H29" s="39">
        <v>3</v>
      </c>
      <c r="I29" s="39">
        <v>205</v>
      </c>
      <c r="J29" s="35">
        <f t="shared" si="1"/>
        <v>1.4423076923076923</v>
      </c>
      <c r="K29" s="4" t="s">
        <v>44</v>
      </c>
    </row>
    <row r="30" spans="1:11" ht="14.25">
      <c r="A30" s="21" t="s">
        <v>13</v>
      </c>
      <c r="B30" s="32">
        <f t="shared" si="0"/>
        <v>429</v>
      </c>
      <c r="C30" s="33">
        <v>371</v>
      </c>
      <c r="D30" s="33">
        <v>4</v>
      </c>
      <c r="E30" s="34"/>
      <c r="F30" s="33">
        <v>43</v>
      </c>
      <c r="G30" s="33">
        <v>11</v>
      </c>
      <c r="H30" s="40">
        <v>123</v>
      </c>
      <c r="I30" s="40">
        <v>306</v>
      </c>
      <c r="J30" s="36">
        <f t="shared" si="1"/>
        <v>28.671328671328673</v>
      </c>
      <c r="K30" s="22" t="s">
        <v>45</v>
      </c>
    </row>
    <row r="31" spans="1:11" ht="17.25">
      <c r="A31" s="43" t="s">
        <v>72</v>
      </c>
      <c r="K31" s="42" t="s">
        <v>73</v>
      </c>
    </row>
    <row r="32" spans="1:11" ht="15">
      <c r="A32" s="44" t="s">
        <v>46</v>
      </c>
      <c r="K32" s="1" t="s">
        <v>47</v>
      </c>
    </row>
  </sheetData>
  <mergeCells count="6">
    <mergeCell ref="A1:K1"/>
    <mergeCell ref="A2:K2"/>
    <mergeCell ref="C4:D4"/>
    <mergeCell ref="F4:G4"/>
    <mergeCell ref="C5:D5"/>
    <mergeCell ref="F5:G5"/>
  </mergeCells>
  <pageMargins left="0.26" right="0.51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7.8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2013-09-03T09:47:42Z</dcterms:modified>
</cp:coreProperties>
</file>