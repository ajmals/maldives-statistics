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9" sheetId="8" r:id="rId1"/>
  </sheets>
  <calcPr calcId="124519"/>
</workbook>
</file>

<file path=xl/calcChain.xml><?xml version="1.0" encoding="utf-8"?>
<calcChain xmlns="http://schemas.openxmlformats.org/spreadsheetml/2006/main">
  <c r="J9" i="8"/>
  <c r="H11" l="1"/>
  <c r="H10"/>
  <c r="D11"/>
  <c r="D10"/>
  <c r="C9"/>
  <c r="G7"/>
  <c r="C7"/>
  <c r="G9"/>
  <c r="H29"/>
  <c r="D29"/>
  <c r="J29" s="1"/>
  <c r="H28"/>
  <c r="D28"/>
  <c r="J28" s="1"/>
  <c r="H27"/>
  <c r="D27"/>
  <c r="J27" s="1"/>
  <c r="H26"/>
  <c r="D26"/>
  <c r="J26" s="1"/>
  <c r="H25"/>
  <c r="D25"/>
  <c r="J25" s="1"/>
  <c r="H24"/>
  <c r="D24"/>
  <c r="J24" s="1"/>
  <c r="H23"/>
  <c r="D23"/>
  <c r="J23" s="1"/>
  <c r="H22"/>
  <c r="D22"/>
  <c r="J22" s="1"/>
  <c r="H21"/>
  <c r="D21"/>
  <c r="J21" s="1"/>
  <c r="H20"/>
  <c r="D20"/>
  <c r="J20" s="1"/>
  <c r="H19"/>
  <c r="D19"/>
  <c r="J19" s="1"/>
  <c r="H18"/>
  <c r="D18"/>
  <c r="J18" s="1"/>
  <c r="H17"/>
  <c r="D17"/>
  <c r="J17" s="1"/>
  <c r="H16"/>
  <c r="D16"/>
  <c r="J16" s="1"/>
  <c r="H15"/>
  <c r="D15"/>
  <c r="J15" s="1"/>
  <c r="H14"/>
  <c r="D14"/>
  <c r="J14" s="1"/>
  <c r="H13"/>
  <c r="D13"/>
  <c r="J13" s="1"/>
  <c r="H12"/>
  <c r="H9" s="1"/>
  <c r="D12"/>
  <c r="J12" s="1"/>
  <c r="J11"/>
  <c r="H8"/>
  <c r="H7" s="1"/>
  <c r="D8"/>
  <c r="J8" s="1"/>
  <c r="D9" l="1"/>
  <c r="K8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J10" l="1"/>
  <c r="K10" s="1"/>
  <c r="K9" l="1"/>
  <c r="D7"/>
  <c r="J7" s="1"/>
  <c r="K7" s="1"/>
</calcChain>
</file>

<file path=xl/sharedStrings.xml><?xml version="1.0" encoding="utf-8"?>
<sst xmlns="http://schemas.openxmlformats.org/spreadsheetml/2006/main" count="43" uniqueCount="39">
  <si>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</si>
  <si>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</si>
  <si>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</si>
  <si>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</si>
  <si>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</si>
  <si>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</si>
  <si>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</si>
  <si>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</si>
  <si>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</si>
  <si>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</si>
  <si>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</si>
  <si>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</si>
  <si>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</si>
  <si>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</si>
  <si>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</si>
  <si>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</si>
  <si>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</si>
  <si>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</si>
  <si>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</si>
  <si>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</si>
  <si>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</si>
  <si>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Male</t>
  </si>
  <si>
    <t>Female</t>
  </si>
  <si>
    <t>Locality</t>
  </si>
  <si>
    <t>Teachers</t>
  </si>
  <si>
    <t xml:space="preserve"> Teachers</t>
  </si>
  <si>
    <t>HA</t>
  </si>
  <si>
    <t>HDh</t>
  </si>
  <si>
    <t>Sh</t>
  </si>
  <si>
    <t>R</t>
  </si>
  <si>
    <t xml:space="preserve"> ތާވަލް 7.9: މާލެ އާއި އަތޮޅުތަކުގެ މަދަރުސާތަކުގައި ހަރަކާތްތެރިވާ މުދައްރިސުން، ޖިންސް ވަކިން، 2012</t>
  </si>
  <si>
    <t>Table 7.9: TEACHERS SERVING IN SCHOOLS OF MALE' AND ATOLLS BY LOCALITY AND SEX, 2012</t>
  </si>
  <si>
    <t xml:space="preserve">Total </t>
  </si>
  <si>
    <t xml:space="preserve">Trained </t>
  </si>
  <si>
    <t xml:space="preserve">Untrained </t>
  </si>
  <si>
    <t>Total Male</t>
  </si>
  <si>
    <t>Total Female</t>
  </si>
  <si>
    <t>Female as a</t>
  </si>
  <si>
    <t xml:space="preserve"> % of total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</si>
</sst>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#,##0;[Red]#,##0"/>
    <numFmt numFmtId="166" formatCode="#,##0.0_);[Red]\(#,##0.0\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4" fillId="0" borderId="0"/>
    <xf numFmtId="166" fontId="4" fillId="0" borderId="0"/>
    <xf numFmtId="165" fontId="4" fillId="0" borderId="0"/>
    <xf numFmtId="165" fontId="4" fillId="0" borderId="0"/>
  </cellStyleXfs>
  <cellXfs count="49">
    <xf numFmtId="0" fontId="0" fillId="0" borderId="0" xfId="0"/>
    <xf numFmtId="164" fontId="8" fillId="2" borderId="0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/>
    <xf numFmtId="3" fontId="3" fillId="2" borderId="0" xfId="0" applyNumberFormat="1" applyFont="1" applyFill="1" applyBorder="1"/>
    <xf numFmtId="3" fontId="3" fillId="2" borderId="1" xfId="0" applyNumberFormat="1" applyFont="1" applyFill="1" applyBorder="1"/>
    <xf numFmtId="164" fontId="6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>
      <alignment vertical="center"/>
    </xf>
    <xf numFmtId="164" fontId="0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left" vertical="center"/>
    </xf>
    <xf numFmtId="164" fontId="7" fillId="2" borderId="0" xfId="0" applyNumberFormat="1" applyFont="1" applyFill="1" applyAlignment="1">
      <alignment horizontal="center" vertical="center"/>
    </xf>
    <xf numFmtId="164" fontId="5" fillId="2" borderId="1" xfId="0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 applyAlignment="1" applyProtection="1">
      <alignment horizontal="left" vertical="center"/>
    </xf>
    <xf numFmtId="3" fontId="5" fillId="2" borderId="2" xfId="0" applyNumberFormat="1" applyFont="1" applyFill="1" applyBorder="1"/>
    <xf numFmtId="164" fontId="6" fillId="2" borderId="0" xfId="0" applyNumberFormat="1" applyFont="1" applyFill="1" applyBorder="1" applyAlignment="1" applyProtection="1">
      <alignment horizontal="left" vertical="center"/>
    </xf>
    <xf numFmtId="164" fontId="6" fillId="2" borderId="1" xfId="0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 applyAlignment="1" applyProtection="1">
      <alignment horizontal="left" vertical="center"/>
    </xf>
    <xf numFmtId="164" fontId="7" fillId="2" borderId="0" xfId="0" applyNumberFormat="1" applyFont="1" applyFill="1" applyAlignment="1">
      <alignment horizontal="right" vertical="center"/>
    </xf>
    <xf numFmtId="164" fontId="12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0" fillId="2" borderId="0" xfId="0" applyNumberFormat="1" applyFont="1" applyFill="1" applyAlignment="1">
      <alignment horizontal="right" vertical="center"/>
    </xf>
    <xf numFmtId="164" fontId="0" fillId="2" borderId="0" xfId="0" applyNumberFormat="1" applyFont="1" applyFill="1" applyBorder="1" applyAlignment="1">
      <alignment horizontal="left" vertical="center"/>
    </xf>
    <xf numFmtId="164" fontId="0" fillId="2" borderId="0" xfId="0" applyNumberFormat="1" applyFont="1" applyFill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64" fontId="8" fillId="2" borderId="8" xfId="0" applyNumberFormat="1" applyFont="1" applyFill="1" applyBorder="1" applyAlignment="1">
      <alignment horizontal="right" vertical="center"/>
    </xf>
    <xf numFmtId="164" fontId="8" fillId="2" borderId="7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164" fontId="0" fillId="2" borderId="5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right" vertical="center"/>
    </xf>
    <xf numFmtId="164" fontId="0" fillId="2" borderId="8" xfId="0" applyNumberFormat="1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4" fontId="0" fillId="2" borderId="7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164" fontId="8" fillId="2" borderId="0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selection activeCell="G10" sqref="G10"/>
    </sheetView>
  </sheetViews>
  <sheetFormatPr defaultRowHeight="15"/>
  <cols>
    <col min="1" max="1" width="7.42578125" style="25" customWidth="1"/>
    <col min="2" max="4" width="12.140625" style="8" customWidth="1"/>
    <col min="5" max="5" width="1.5703125" style="8" customWidth="1"/>
    <col min="6" max="6" width="12.140625" style="23" customWidth="1"/>
    <col min="7" max="8" width="12.5703125" style="23" customWidth="1"/>
    <col min="9" max="9" width="1.85546875" style="23" customWidth="1"/>
    <col min="10" max="10" width="12.140625" style="23" customWidth="1"/>
    <col min="11" max="11" width="15" style="23" customWidth="1"/>
    <col min="12" max="16384" width="9.140625" style="8"/>
  </cols>
  <sheetData>
    <row r="1" spans="1:14" ht="21.75">
      <c r="A1" s="45" t="s">
        <v>30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7"/>
      <c r="M1" s="7"/>
      <c r="N1" s="7"/>
    </row>
    <row r="2" spans="1:14" ht="18" customHeight="1">
      <c r="A2" s="46" t="s">
        <v>31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4" s="11" customFormat="1" ht="10.5" hidden="1" customHeight="1">
      <c r="A3" s="9"/>
      <c r="B3" s="10"/>
      <c r="C3" s="10"/>
      <c r="D3" s="10"/>
      <c r="E3" s="9"/>
      <c r="F3" s="10"/>
      <c r="G3" s="10"/>
      <c r="H3" s="10"/>
      <c r="I3" s="10"/>
      <c r="J3" s="10"/>
      <c r="K3" s="10"/>
    </row>
    <row r="4" spans="1:14" ht="21" customHeight="1">
      <c r="A4" s="12"/>
      <c r="B4" s="47" t="s">
        <v>21</v>
      </c>
      <c r="C4" s="47"/>
      <c r="D4" s="47"/>
      <c r="E4" s="31"/>
      <c r="F4" s="48" t="s">
        <v>22</v>
      </c>
      <c r="G4" s="48"/>
      <c r="H4" s="48"/>
      <c r="I4" s="32"/>
      <c r="J4" s="47" t="s">
        <v>32</v>
      </c>
      <c r="K4" s="47"/>
    </row>
    <row r="5" spans="1:14">
      <c r="A5" s="13"/>
      <c r="B5" s="1" t="s">
        <v>33</v>
      </c>
      <c r="C5" s="1" t="s">
        <v>34</v>
      </c>
      <c r="D5" s="1" t="s">
        <v>35</v>
      </c>
      <c r="E5" s="28"/>
      <c r="F5" s="1" t="s">
        <v>33</v>
      </c>
      <c r="G5" s="1" t="s">
        <v>34</v>
      </c>
      <c r="H5" s="1" t="s">
        <v>36</v>
      </c>
      <c r="I5" s="28"/>
      <c r="J5" s="1" t="s">
        <v>32</v>
      </c>
      <c r="K5" s="1" t="s">
        <v>37</v>
      </c>
    </row>
    <row r="6" spans="1:14">
      <c r="A6" s="14" t="s">
        <v>23</v>
      </c>
      <c r="B6" s="2"/>
      <c r="C6" s="2"/>
      <c r="D6" s="2" t="s">
        <v>24</v>
      </c>
      <c r="E6" s="30"/>
      <c r="F6" s="2"/>
      <c r="G6" s="2"/>
      <c r="H6" s="10" t="s">
        <v>25</v>
      </c>
      <c r="I6" s="29"/>
      <c r="J6" s="2" t="s">
        <v>24</v>
      </c>
      <c r="K6" s="2" t="s">
        <v>38</v>
      </c>
    </row>
    <row r="7" spans="1:14">
      <c r="A7" s="15" t="s">
        <v>0</v>
      </c>
      <c r="B7" s="33">
        <v>2849</v>
      </c>
      <c r="C7" s="33">
        <f>SUM(C8:C9)</f>
        <v>265</v>
      </c>
      <c r="D7" s="33">
        <f>SUM(D8:D9)</f>
        <v>3114</v>
      </c>
      <c r="E7" s="34"/>
      <c r="F7" s="38">
        <v>3859</v>
      </c>
      <c r="G7" s="33">
        <f>SUM(G8:G9)</f>
        <v>857</v>
      </c>
      <c r="H7" s="33">
        <f>SUM(H8:H9)</f>
        <v>4716</v>
      </c>
      <c r="I7" s="39"/>
      <c r="J7" s="16">
        <f t="shared" ref="J7:J29" si="0">SUM(D7,H7)</f>
        <v>7830</v>
      </c>
      <c r="K7" s="35">
        <f t="shared" ref="K7:K29" si="1">H7/J7*100</f>
        <v>60.229885057471265</v>
      </c>
    </row>
    <row r="8" spans="1:14">
      <c r="A8" s="15" t="s">
        <v>1</v>
      </c>
      <c r="B8" s="34">
        <v>555</v>
      </c>
      <c r="C8" s="34">
        <v>32</v>
      </c>
      <c r="D8" s="34">
        <f t="shared" ref="D8:D29" si="2">B8+C8</f>
        <v>587</v>
      </c>
      <c r="E8" s="34"/>
      <c r="F8" s="40">
        <v>925</v>
      </c>
      <c r="G8" s="34">
        <v>138</v>
      </c>
      <c r="H8" s="34">
        <f t="shared" ref="H8:H29" si="3">F8+G8</f>
        <v>1063</v>
      </c>
      <c r="I8" s="41"/>
      <c r="J8" s="3">
        <f t="shared" si="0"/>
        <v>1650</v>
      </c>
      <c r="K8" s="35">
        <f t="shared" si="1"/>
        <v>64.424242424242422</v>
      </c>
    </row>
    <row r="9" spans="1:14">
      <c r="A9" s="15" t="s">
        <v>2</v>
      </c>
      <c r="B9" s="34">
        <v>2294</v>
      </c>
      <c r="C9" s="34">
        <f>SUM(C10:C29)</f>
        <v>233</v>
      </c>
      <c r="D9" s="34">
        <f>SUM(D10:D29)</f>
        <v>2527</v>
      </c>
      <c r="E9" s="34"/>
      <c r="F9" s="40">
        <v>2934</v>
      </c>
      <c r="G9" s="34">
        <f>SUM(G10:G29)</f>
        <v>719</v>
      </c>
      <c r="H9" s="34">
        <f>SUM(H10:H29)</f>
        <v>3653</v>
      </c>
      <c r="I9" s="41"/>
      <c r="J9" s="3">
        <f>SUM(D9,H9)</f>
        <v>6180</v>
      </c>
      <c r="K9" s="35">
        <f t="shared" si="1"/>
        <v>59.110032362459542</v>
      </c>
    </row>
    <row r="10" spans="1:14">
      <c r="A10" s="6" t="s">
        <v>26</v>
      </c>
      <c r="B10" s="26">
        <v>173</v>
      </c>
      <c r="C10" s="26">
        <v>9</v>
      </c>
      <c r="D10" s="34">
        <f>B10+C10</f>
        <v>182</v>
      </c>
      <c r="E10" s="26"/>
      <c r="F10" s="42">
        <v>222</v>
      </c>
      <c r="G10" s="26">
        <v>27</v>
      </c>
      <c r="H10" s="34">
        <f>F10+G10</f>
        <v>249</v>
      </c>
      <c r="I10" s="41"/>
      <c r="J10" s="4">
        <f t="shared" si="0"/>
        <v>431</v>
      </c>
      <c r="K10" s="36">
        <f t="shared" si="1"/>
        <v>57.772621809744784</v>
      </c>
    </row>
    <row r="11" spans="1:14">
      <c r="A11" s="6" t="s">
        <v>27</v>
      </c>
      <c r="B11" s="26">
        <v>208</v>
      </c>
      <c r="C11" s="26">
        <v>15</v>
      </c>
      <c r="D11" s="34">
        <f>B11+C11</f>
        <v>223</v>
      </c>
      <c r="E11" s="26"/>
      <c r="F11" s="42">
        <v>273</v>
      </c>
      <c r="G11" s="26">
        <v>40</v>
      </c>
      <c r="H11" s="34">
        <f>F11+G11</f>
        <v>313</v>
      </c>
      <c r="I11" s="41"/>
      <c r="J11" s="4">
        <f t="shared" si="0"/>
        <v>536</v>
      </c>
      <c r="K11" s="36">
        <f t="shared" si="1"/>
        <v>58.395522388059703</v>
      </c>
    </row>
    <row r="12" spans="1:14">
      <c r="A12" s="6" t="s">
        <v>28</v>
      </c>
      <c r="B12" s="26">
        <v>203</v>
      </c>
      <c r="C12" s="26">
        <v>21</v>
      </c>
      <c r="D12" s="34">
        <f t="shared" si="2"/>
        <v>224</v>
      </c>
      <c r="E12" s="26"/>
      <c r="F12" s="42">
        <v>172</v>
      </c>
      <c r="G12" s="26">
        <v>18</v>
      </c>
      <c r="H12" s="34">
        <f t="shared" si="3"/>
        <v>190</v>
      </c>
      <c r="I12" s="41"/>
      <c r="J12" s="4">
        <f t="shared" si="0"/>
        <v>414</v>
      </c>
      <c r="K12" s="36">
        <f t="shared" si="1"/>
        <v>45.893719806763286</v>
      </c>
    </row>
    <row r="13" spans="1:14">
      <c r="A13" s="6" t="s">
        <v>18</v>
      </c>
      <c r="B13" s="26">
        <v>145</v>
      </c>
      <c r="C13" s="26">
        <v>10</v>
      </c>
      <c r="D13" s="34">
        <f t="shared" si="2"/>
        <v>155</v>
      </c>
      <c r="E13" s="26"/>
      <c r="F13" s="42">
        <v>167</v>
      </c>
      <c r="G13" s="26">
        <v>49</v>
      </c>
      <c r="H13" s="34">
        <f t="shared" si="3"/>
        <v>216</v>
      </c>
      <c r="I13" s="41"/>
      <c r="J13" s="4">
        <f t="shared" si="0"/>
        <v>371</v>
      </c>
      <c r="K13" s="36">
        <f t="shared" si="1"/>
        <v>58.22102425876011</v>
      </c>
    </row>
    <row r="14" spans="1:14">
      <c r="A14" s="6" t="s">
        <v>29</v>
      </c>
      <c r="B14" s="26">
        <v>212</v>
      </c>
      <c r="C14" s="26">
        <v>37</v>
      </c>
      <c r="D14" s="34">
        <f t="shared" si="2"/>
        <v>249</v>
      </c>
      <c r="E14" s="26"/>
      <c r="F14" s="42">
        <v>223</v>
      </c>
      <c r="G14" s="26">
        <v>88</v>
      </c>
      <c r="H14" s="34">
        <f t="shared" si="3"/>
        <v>311</v>
      </c>
      <c r="I14" s="41"/>
      <c r="J14" s="4">
        <f t="shared" si="0"/>
        <v>560</v>
      </c>
      <c r="K14" s="36">
        <f t="shared" si="1"/>
        <v>55.535714285714292</v>
      </c>
    </row>
    <row r="15" spans="1:14">
      <c r="A15" s="6" t="s">
        <v>4</v>
      </c>
      <c r="B15" s="26">
        <v>128</v>
      </c>
      <c r="C15" s="26">
        <v>20</v>
      </c>
      <c r="D15" s="34">
        <f t="shared" si="2"/>
        <v>148</v>
      </c>
      <c r="E15" s="26"/>
      <c r="F15" s="42">
        <v>160</v>
      </c>
      <c r="G15" s="26">
        <v>43</v>
      </c>
      <c r="H15" s="34">
        <f t="shared" si="3"/>
        <v>203</v>
      </c>
      <c r="I15" s="41"/>
      <c r="J15" s="4">
        <f t="shared" si="0"/>
        <v>351</v>
      </c>
      <c r="K15" s="36">
        <f t="shared" si="1"/>
        <v>57.834757834757831</v>
      </c>
    </row>
    <row r="16" spans="1:14">
      <c r="A16" s="6" t="s">
        <v>5</v>
      </c>
      <c r="B16" s="26">
        <v>86</v>
      </c>
      <c r="C16" s="26">
        <v>3</v>
      </c>
      <c r="D16" s="34">
        <f t="shared" si="2"/>
        <v>89</v>
      </c>
      <c r="E16" s="26"/>
      <c r="F16" s="42">
        <v>107</v>
      </c>
      <c r="G16" s="26">
        <v>31</v>
      </c>
      <c r="H16" s="34">
        <f t="shared" si="3"/>
        <v>138</v>
      </c>
      <c r="I16" s="41"/>
      <c r="J16" s="4">
        <f t="shared" si="0"/>
        <v>227</v>
      </c>
      <c r="K16" s="36">
        <f t="shared" si="1"/>
        <v>60.792951541850215</v>
      </c>
    </row>
    <row r="17" spans="1:11">
      <c r="A17" s="6" t="s">
        <v>7</v>
      </c>
      <c r="B17" s="26">
        <v>103</v>
      </c>
      <c r="C17" s="26">
        <v>19</v>
      </c>
      <c r="D17" s="34">
        <f t="shared" si="2"/>
        <v>122</v>
      </c>
      <c r="E17" s="26"/>
      <c r="F17" s="42">
        <v>124</v>
      </c>
      <c r="G17" s="26">
        <v>44</v>
      </c>
      <c r="H17" s="34">
        <f t="shared" si="3"/>
        <v>168</v>
      </c>
      <c r="I17" s="41"/>
      <c r="J17" s="4">
        <f t="shared" si="0"/>
        <v>290</v>
      </c>
      <c r="K17" s="36">
        <f t="shared" si="1"/>
        <v>57.931034482758626</v>
      </c>
    </row>
    <row r="18" spans="1:11">
      <c r="A18" s="6" t="s">
        <v>8</v>
      </c>
      <c r="B18" s="26">
        <v>85</v>
      </c>
      <c r="C18" s="26">
        <v>9</v>
      </c>
      <c r="D18" s="34">
        <f t="shared" si="2"/>
        <v>94</v>
      </c>
      <c r="E18" s="26"/>
      <c r="F18" s="42">
        <v>87</v>
      </c>
      <c r="G18" s="26">
        <v>24</v>
      </c>
      <c r="H18" s="34">
        <f t="shared" si="3"/>
        <v>111</v>
      </c>
      <c r="I18" s="41"/>
      <c r="J18" s="4">
        <f t="shared" si="0"/>
        <v>205</v>
      </c>
      <c r="K18" s="36">
        <f t="shared" si="1"/>
        <v>54.146341463414636</v>
      </c>
    </row>
    <row r="19" spans="1:11">
      <c r="A19" s="6" t="s">
        <v>9</v>
      </c>
      <c r="B19" s="26">
        <v>72</v>
      </c>
      <c r="C19" s="26">
        <v>6</v>
      </c>
      <c r="D19" s="34">
        <f t="shared" si="2"/>
        <v>78</v>
      </c>
      <c r="E19" s="26"/>
      <c r="F19" s="42">
        <v>140</v>
      </c>
      <c r="G19" s="26">
        <v>33</v>
      </c>
      <c r="H19" s="34">
        <f t="shared" si="3"/>
        <v>173</v>
      </c>
      <c r="I19" s="41"/>
      <c r="J19" s="4">
        <f t="shared" si="0"/>
        <v>251</v>
      </c>
      <c r="K19" s="36">
        <f t="shared" si="1"/>
        <v>68.924302788844628</v>
      </c>
    </row>
    <row r="20" spans="1:11">
      <c r="A20" s="6" t="s">
        <v>10</v>
      </c>
      <c r="B20" s="26">
        <v>22</v>
      </c>
      <c r="C20" s="26">
        <v>8</v>
      </c>
      <c r="D20" s="34">
        <f t="shared" si="2"/>
        <v>30</v>
      </c>
      <c r="E20" s="26"/>
      <c r="F20" s="42">
        <v>28</v>
      </c>
      <c r="G20" s="26">
        <v>8</v>
      </c>
      <c r="H20" s="34">
        <f t="shared" si="3"/>
        <v>36</v>
      </c>
      <c r="I20" s="41"/>
      <c r="J20" s="4">
        <f t="shared" si="0"/>
        <v>66</v>
      </c>
      <c r="K20" s="36">
        <f t="shared" si="1"/>
        <v>54.54545454545454</v>
      </c>
    </row>
    <row r="21" spans="1:11">
      <c r="A21" s="6" t="s">
        <v>11</v>
      </c>
      <c r="B21" s="26">
        <v>57</v>
      </c>
      <c r="C21" s="26">
        <v>10</v>
      </c>
      <c r="D21" s="34">
        <f t="shared" si="2"/>
        <v>67</v>
      </c>
      <c r="E21" s="26"/>
      <c r="F21" s="42">
        <v>82</v>
      </c>
      <c r="G21" s="26">
        <v>18</v>
      </c>
      <c r="H21" s="34">
        <f t="shared" si="3"/>
        <v>100</v>
      </c>
      <c r="I21" s="41"/>
      <c r="J21" s="4">
        <f t="shared" si="0"/>
        <v>167</v>
      </c>
      <c r="K21" s="36">
        <f t="shared" si="1"/>
        <v>59.880239520958078</v>
      </c>
    </row>
    <row r="22" spans="1:11">
      <c r="A22" s="6" t="s">
        <v>12</v>
      </c>
      <c r="B22" s="26">
        <v>84</v>
      </c>
      <c r="C22" s="26">
        <v>4</v>
      </c>
      <c r="D22" s="34">
        <f t="shared" si="2"/>
        <v>88</v>
      </c>
      <c r="E22" s="26"/>
      <c r="F22" s="42">
        <v>69</v>
      </c>
      <c r="G22" s="26">
        <v>7</v>
      </c>
      <c r="H22" s="34">
        <f t="shared" si="3"/>
        <v>76</v>
      </c>
      <c r="I22" s="41"/>
      <c r="J22" s="4">
        <f t="shared" si="0"/>
        <v>164</v>
      </c>
      <c r="K22" s="36">
        <f t="shared" si="1"/>
        <v>46.341463414634148</v>
      </c>
    </row>
    <row r="23" spans="1:11">
      <c r="A23" s="6" t="s">
        <v>13</v>
      </c>
      <c r="B23" s="26">
        <v>88</v>
      </c>
      <c r="C23" s="26">
        <v>9</v>
      </c>
      <c r="D23" s="34">
        <f t="shared" si="2"/>
        <v>97</v>
      </c>
      <c r="E23" s="26"/>
      <c r="F23" s="42">
        <v>65</v>
      </c>
      <c r="G23" s="26">
        <v>15</v>
      </c>
      <c r="H23" s="34">
        <f t="shared" si="3"/>
        <v>80</v>
      </c>
      <c r="I23" s="41"/>
      <c r="J23" s="4">
        <f t="shared" si="0"/>
        <v>177</v>
      </c>
      <c r="K23" s="36">
        <f t="shared" si="1"/>
        <v>45.197740112994353</v>
      </c>
    </row>
    <row r="24" spans="1:11">
      <c r="A24" s="6" t="s">
        <v>14</v>
      </c>
      <c r="B24" s="26">
        <v>137</v>
      </c>
      <c r="C24" s="26">
        <v>12</v>
      </c>
      <c r="D24" s="34">
        <f t="shared" si="2"/>
        <v>149</v>
      </c>
      <c r="E24" s="26"/>
      <c r="F24" s="42">
        <v>133</v>
      </c>
      <c r="G24" s="26">
        <v>43</v>
      </c>
      <c r="H24" s="34">
        <f t="shared" si="3"/>
        <v>176</v>
      </c>
      <c r="I24" s="41"/>
      <c r="J24" s="4">
        <f t="shared" si="0"/>
        <v>325</v>
      </c>
      <c r="K24" s="36">
        <f t="shared" si="1"/>
        <v>54.153846153846153</v>
      </c>
    </row>
    <row r="25" spans="1:11">
      <c r="A25" s="6" t="s">
        <v>6</v>
      </c>
      <c r="B25" s="26">
        <v>160</v>
      </c>
      <c r="C25" s="26">
        <v>14</v>
      </c>
      <c r="D25" s="34">
        <f t="shared" si="2"/>
        <v>174</v>
      </c>
      <c r="E25" s="26"/>
      <c r="F25" s="42">
        <v>147</v>
      </c>
      <c r="G25" s="26">
        <v>74</v>
      </c>
      <c r="H25" s="34">
        <f t="shared" si="3"/>
        <v>221</v>
      </c>
      <c r="I25" s="41"/>
      <c r="J25" s="4">
        <f t="shared" si="0"/>
        <v>395</v>
      </c>
      <c r="K25" s="36">
        <f t="shared" si="1"/>
        <v>55.949367088607595</v>
      </c>
    </row>
    <row r="26" spans="1:11">
      <c r="A26" s="6" t="s">
        <v>15</v>
      </c>
      <c r="B26" s="26">
        <v>86</v>
      </c>
      <c r="C26" s="26">
        <v>7</v>
      </c>
      <c r="D26" s="34">
        <f t="shared" si="2"/>
        <v>93</v>
      </c>
      <c r="E26" s="26"/>
      <c r="F26" s="42">
        <v>143</v>
      </c>
      <c r="G26" s="26">
        <v>32</v>
      </c>
      <c r="H26" s="34">
        <f t="shared" si="3"/>
        <v>175</v>
      </c>
      <c r="I26" s="41"/>
      <c r="J26" s="4">
        <f t="shared" si="0"/>
        <v>268</v>
      </c>
      <c r="K26" s="36">
        <f t="shared" si="1"/>
        <v>65.298507462686572</v>
      </c>
    </row>
    <row r="27" spans="1:11">
      <c r="A27" s="6" t="s">
        <v>16</v>
      </c>
      <c r="B27" s="26">
        <v>103</v>
      </c>
      <c r="C27" s="26">
        <v>11</v>
      </c>
      <c r="D27" s="34">
        <f t="shared" si="2"/>
        <v>114</v>
      </c>
      <c r="E27" s="26"/>
      <c r="F27" s="42">
        <v>183</v>
      </c>
      <c r="G27" s="26">
        <v>48</v>
      </c>
      <c r="H27" s="34">
        <f t="shared" si="3"/>
        <v>231</v>
      </c>
      <c r="I27" s="41"/>
      <c r="J27" s="4">
        <f t="shared" si="0"/>
        <v>345</v>
      </c>
      <c r="K27" s="36">
        <f t="shared" si="1"/>
        <v>66.956521739130437</v>
      </c>
    </row>
    <row r="28" spans="1:11">
      <c r="A28" s="17" t="s">
        <v>17</v>
      </c>
      <c r="B28" s="26">
        <v>16</v>
      </c>
      <c r="C28" s="26">
        <v>2</v>
      </c>
      <c r="D28" s="34">
        <f t="shared" si="2"/>
        <v>18</v>
      </c>
      <c r="E28" s="26"/>
      <c r="F28" s="42">
        <v>160</v>
      </c>
      <c r="G28" s="26">
        <v>30</v>
      </c>
      <c r="H28" s="34">
        <f t="shared" si="3"/>
        <v>190</v>
      </c>
      <c r="I28" s="41"/>
      <c r="J28" s="4">
        <f t="shared" si="0"/>
        <v>208</v>
      </c>
      <c r="K28" s="36">
        <f t="shared" si="1"/>
        <v>91.34615384615384</v>
      </c>
    </row>
    <row r="29" spans="1:11">
      <c r="A29" s="18" t="s">
        <v>3</v>
      </c>
      <c r="B29" s="27">
        <v>126</v>
      </c>
      <c r="C29" s="27">
        <v>7</v>
      </c>
      <c r="D29" s="37">
        <f t="shared" si="2"/>
        <v>133</v>
      </c>
      <c r="E29" s="27"/>
      <c r="F29" s="43">
        <v>249</v>
      </c>
      <c r="G29" s="27">
        <v>47</v>
      </c>
      <c r="H29" s="37">
        <f t="shared" si="3"/>
        <v>296</v>
      </c>
      <c r="I29" s="44"/>
      <c r="J29" s="5">
        <f t="shared" si="0"/>
        <v>429</v>
      </c>
      <c r="K29" s="27">
        <f t="shared" si="1"/>
        <v>68.997668997668995</v>
      </c>
    </row>
    <row r="30" spans="1:11">
      <c r="A30" s="19" t="s">
        <v>19</v>
      </c>
      <c r="B30" s="13"/>
      <c r="C30" s="13"/>
      <c r="D30" s="13"/>
      <c r="E30" s="13"/>
      <c r="F30" s="20"/>
      <c r="G30" s="20"/>
      <c r="H30" s="20"/>
      <c r="I30" s="20"/>
      <c r="J30" s="20"/>
      <c r="K30" s="21" t="s">
        <v>20</v>
      </c>
    </row>
    <row r="32" spans="1:11">
      <c r="A32" s="22"/>
      <c r="B32" s="11"/>
    </row>
    <row r="33" spans="1:2">
      <c r="A33" s="22"/>
      <c r="B33" s="11"/>
    </row>
    <row r="34" spans="1:2">
      <c r="A34" s="22"/>
      <c r="B34" s="11"/>
    </row>
    <row r="35" spans="1:2">
      <c r="A35" s="22"/>
      <c r="B35" s="11"/>
    </row>
    <row r="36" spans="1:2">
      <c r="A36" s="22"/>
      <c r="B36" s="11"/>
    </row>
    <row r="37" spans="1:2">
      <c r="A37" s="24"/>
      <c r="B37" s="11"/>
    </row>
  </sheetData>
  <mergeCells count="5">
    <mergeCell ref="A1:K1"/>
    <mergeCell ref="A2:K2"/>
    <mergeCell ref="B4:D4"/>
    <mergeCell ref="F4:H4"/>
    <mergeCell ref="J4:K4"/>
  </mergeCells>
  <pageMargins left="0.8" right="0.1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7.9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2013-09-03T09:49:48Z</dcterms:modified>
</cp:coreProperties>
</file>