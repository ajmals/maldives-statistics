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15135" windowHeight="7365" tabRatio="914"/>
  </bookViews>
  <sheets>
    <sheet name="7.2" sheetId="2" r:id="rId1"/>
  </sheets>
  <definedNames>
    <definedName name="_xlnm.Print_Area" localSheetId="0">'7.2'!$A$1:$R$43</definedName>
  </definedNames>
  <calcPr calcId="124519"/>
</workbook>
</file>

<file path=xl/calcChain.xml><?xml version="1.0" encoding="utf-8"?>
<calcChain xmlns="http://schemas.openxmlformats.org/spreadsheetml/2006/main">
  <c r="I21" i="2"/>
  <c r="I22"/>
  <c r="I23"/>
  <c r="I24"/>
  <c r="I20"/>
  <c r="I15"/>
  <c r="I16"/>
  <c r="I17"/>
  <c r="I18"/>
  <c r="I14"/>
  <c r="I9"/>
  <c r="I10"/>
  <c r="I11"/>
  <c r="I12"/>
  <c r="I8"/>
  <c r="I13"/>
  <c r="I7"/>
  <c r="B19"/>
  <c r="B7"/>
  <c r="B8"/>
  <c r="F18"/>
  <c r="B24"/>
  <c r="B23"/>
  <c r="B22"/>
  <c r="B21"/>
  <c r="B20"/>
  <c r="D19"/>
  <c r="H24" s="1"/>
  <c r="C19"/>
  <c r="G24" s="1"/>
  <c r="F19"/>
  <c r="B18"/>
  <c r="B17"/>
  <c r="B16"/>
  <c r="B15"/>
  <c r="B14"/>
  <c r="D13"/>
  <c r="H18" s="1"/>
  <c r="C13"/>
  <c r="G18" s="1"/>
  <c r="B13"/>
  <c r="F13" s="1"/>
  <c r="D12"/>
  <c r="C12"/>
  <c r="B12"/>
  <c r="D11"/>
  <c r="C11"/>
  <c r="B11"/>
  <c r="D10"/>
  <c r="C10"/>
  <c r="B10"/>
  <c r="D9"/>
  <c r="C9"/>
  <c r="B9"/>
  <c r="D8"/>
  <c r="C8"/>
  <c r="D7"/>
  <c r="C7"/>
  <c r="G7" s="1"/>
  <c r="F7"/>
  <c r="F14" l="1"/>
  <c r="F15"/>
  <c r="F16"/>
  <c r="F17"/>
  <c r="H7"/>
  <c r="G13"/>
  <c r="H13"/>
  <c r="G14"/>
  <c r="H14"/>
  <c r="G15"/>
  <c r="H15"/>
  <c r="G16"/>
  <c r="H16"/>
  <c r="G17"/>
  <c r="H17"/>
  <c r="G19"/>
  <c r="H19"/>
  <c r="I19"/>
  <c r="G20"/>
  <c r="H20"/>
  <c r="G21"/>
  <c r="H21"/>
  <c r="G22"/>
  <c r="H22"/>
  <c r="G23"/>
  <c r="H23"/>
  <c r="AE22" l="1"/>
  <c r="AD22"/>
  <c r="AC22"/>
  <c r="AE21"/>
  <c r="AD21"/>
  <c r="AC21"/>
  <c r="AE20"/>
  <c r="AD20"/>
  <c r="AC20"/>
</calcChain>
</file>

<file path=xl/sharedStrings.xml><?xml version="1.0" encoding="utf-8"?>
<sst xmlns="http://schemas.openxmlformats.org/spreadsheetml/2006/main" count="98" uniqueCount="47">
  <si>
    <t>Total</t>
  </si>
  <si>
    <t>Republic</t>
  </si>
  <si>
    <t>Male'</t>
  </si>
  <si>
    <t>elWm</t>
  </si>
  <si>
    <t>Atolls</t>
  </si>
  <si>
    <t>cawtuLotwa</t>
  </si>
  <si>
    <t>Source: Ministry of Education</t>
  </si>
  <si>
    <t>cnwxEkuaiDea cfoa IrcTcsinim :ctWrwf ivcaed utWmUluAwm</t>
  </si>
  <si>
    <t>Table 7.2 :  STUDENT ENROLMENT BY EDUCATIONAL LEVEL AND SEX, 2012</t>
  </si>
  <si>
    <t>Level</t>
  </si>
  <si>
    <t>No. of students</t>
  </si>
  <si>
    <t>udwdwA egcnidukWvwyik</t>
  </si>
  <si>
    <t>% share</t>
  </si>
  <si>
    <t>cniawtcaws ctogWviawfiheb</t>
  </si>
  <si>
    <t>cnehcnwa</t>
  </si>
  <si>
    <t>uscnijed</t>
  </si>
  <si>
    <t>cnehirif</t>
  </si>
  <si>
    <t>cniawtcawscnia</t>
  </si>
  <si>
    <t xml:space="preserve"> itcnwf</t>
  </si>
  <si>
    <t>Both Sexes</t>
  </si>
  <si>
    <t>Male</t>
  </si>
  <si>
    <t>Female</t>
  </si>
  <si>
    <t>% of females</t>
  </si>
  <si>
    <t xml:space="preserve">ejcaWriLum </t>
  </si>
  <si>
    <t>Pre - Primary</t>
  </si>
  <si>
    <t>clUkcs Ircp</t>
  </si>
  <si>
    <t>Primary ( 1 - 7)</t>
  </si>
  <si>
    <r>
      <t xml:space="preserve">                   (7 - 1 ) umIluAwt WSwf                     </t>
    </r>
    <r>
      <rPr>
        <sz val="9"/>
        <rFont val="Win Ahamedey PRB"/>
        <family val="2"/>
      </rPr>
      <t xml:space="preserve"> </t>
    </r>
  </si>
  <si>
    <t>Lower Secondary ( 8 - 10)</t>
  </si>
  <si>
    <r>
      <t xml:space="preserve">           (10 - 8 ) umIluAwt IvwnWX                 </t>
    </r>
    <r>
      <rPr>
        <sz val="9"/>
        <rFont val="Win Ahamedey PRB"/>
        <family val="2"/>
      </rPr>
      <t xml:space="preserve"> </t>
    </r>
  </si>
  <si>
    <t>Higher Secondary ( 11 - 12)</t>
  </si>
  <si>
    <r>
      <t xml:space="preserve">          (12 - 11 )  umIluAwt IvwnWXItwm                 </t>
    </r>
    <r>
      <rPr>
        <sz val="9"/>
        <rFont val="Win Ahamedey PRB"/>
        <family val="2"/>
      </rPr>
      <t xml:space="preserve"> </t>
    </r>
  </si>
  <si>
    <t>Special Classes  1_/</t>
  </si>
  <si>
    <t>1_/  cawtcsWlck wBcaWK</t>
  </si>
  <si>
    <t>1_/  For children with special needs.</t>
  </si>
  <si>
    <t>.cawtcsWlck egcniduk WvcnunEb cSwaIhea wBcaWK  1_/</t>
  </si>
  <si>
    <t>Primary</t>
  </si>
  <si>
    <t>Lower Secondary</t>
  </si>
  <si>
    <t>Higher Secondary</t>
  </si>
  <si>
    <t>Special class</t>
  </si>
  <si>
    <t xml:space="preserve">Both Sexes </t>
  </si>
  <si>
    <t>Pre-primary</t>
  </si>
  <si>
    <t>primary</t>
  </si>
  <si>
    <t>lower secondary</t>
  </si>
  <si>
    <t>higher secondary</t>
  </si>
  <si>
    <t>table 7.10</t>
  </si>
  <si>
    <t xml:space="preserve"> 2012 ,cnikwv cscnij udwdwA egcnidukWvwyik iawgItcnwfikea egukwtWsurwdwm :7.2 clwvWt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</si>
</sst>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General_)"/>
    <numFmt numFmtId="165" formatCode="#,##0;[Red]#,##0"/>
    <numFmt numFmtId="166" formatCode="#,##0.0_);[Red]\(#,##0.0\)"/>
    <numFmt numFmtId="171" formatCode="_(* #,##0_);_(* \(#,##0\);_(* &quot;-&quot;??_);_(@_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name val="Courier"/>
      <family val="3"/>
    </font>
    <font>
      <sz val="9"/>
      <name val="Calibri"/>
      <family val="2"/>
      <scheme val="minor"/>
    </font>
    <font>
      <sz val="9"/>
      <name val="A_Randhoo"/>
    </font>
    <font>
      <sz val="9"/>
      <name val="Arial"/>
      <family val="2"/>
    </font>
    <font>
      <i/>
      <sz val="9"/>
      <name val="Calibri"/>
      <family val="2"/>
      <scheme val="minor"/>
    </font>
    <font>
      <u/>
      <sz val="10"/>
      <color indexed="12"/>
      <name val="Courier"/>
      <family val="3"/>
    </font>
    <font>
      <u/>
      <sz val="9"/>
      <color indexed="12"/>
      <name val="Courier"/>
      <family val="3"/>
    </font>
    <font>
      <b/>
      <sz val="12"/>
      <name val="A_Randhoo"/>
    </font>
    <font>
      <b/>
      <sz val="8"/>
      <name val="A_Randhoo"/>
    </font>
    <font>
      <b/>
      <sz val="9"/>
      <name val="A_Randhoo"/>
    </font>
    <font>
      <sz val="9"/>
      <name val="Akuru-Bodu Bold"/>
      <family val="2"/>
      <charset val="2"/>
    </font>
    <font>
      <sz val="9"/>
      <name val="Win Ahamedey PRB"/>
      <family val="2"/>
    </font>
    <font>
      <b/>
      <sz val="10"/>
      <name val="Courier"/>
      <family val="3"/>
    </font>
    <font>
      <sz val="10"/>
      <name val="Courier"/>
      <family val="3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0" fontId="18" fillId="0" borderId="0"/>
    <xf numFmtId="166" fontId="18" fillId="0" borderId="0"/>
    <xf numFmtId="165" fontId="18" fillId="0" borderId="0"/>
    <xf numFmtId="165" fontId="18" fillId="0" borderId="0"/>
  </cellStyleXfs>
  <cellXfs count="59">
    <xf numFmtId="0" fontId="0" fillId="0" borderId="0" xfId="0"/>
    <xf numFmtId="164" fontId="0" fillId="2" borderId="0" xfId="0" applyNumberFormat="1" applyFill="1"/>
    <xf numFmtId="164" fontId="0" fillId="2" borderId="1" xfId="0" applyNumberFormat="1" applyFill="1" applyBorder="1"/>
    <xf numFmtId="164" fontId="0" fillId="2" borderId="0" xfId="0" applyNumberFormat="1" applyFill="1" applyBorder="1" applyAlignment="1">
      <alignment vertical="center"/>
    </xf>
    <xf numFmtId="164" fontId="4" fillId="2" borderId="0" xfId="0" applyNumberFormat="1" applyFont="1" applyFill="1" applyBorder="1" applyAlignment="1">
      <alignment vertical="center"/>
    </xf>
    <xf numFmtId="164" fontId="8" fillId="2" borderId="0" xfId="0" applyNumberFormat="1" applyFont="1" applyFill="1" applyBorder="1" applyAlignment="1">
      <alignment vertical="center"/>
    </xf>
    <xf numFmtId="164" fontId="13" fillId="2" borderId="0" xfId="0" applyNumberFormat="1" applyFont="1" applyFill="1" applyBorder="1" applyAlignment="1">
      <alignment horizontal="right" vertical="center"/>
    </xf>
    <xf numFmtId="164" fontId="14" fillId="2" borderId="0" xfId="0" applyNumberFormat="1" applyFont="1" applyFill="1" applyBorder="1" applyAlignment="1">
      <alignment horizontal="right" vertical="center"/>
    </xf>
    <xf numFmtId="164" fontId="7" fillId="2" borderId="0" xfId="0" applyNumberFormat="1" applyFont="1" applyFill="1" applyBorder="1" applyAlignment="1">
      <alignment horizontal="left" vertical="center"/>
    </xf>
    <xf numFmtId="164" fontId="5" fillId="2" borderId="0" xfId="0" applyNumberFormat="1" applyFont="1" applyFill="1" applyBorder="1" applyAlignment="1">
      <alignment vertical="center"/>
    </xf>
    <xf numFmtId="164" fontId="14" fillId="2" borderId="2" xfId="0" applyNumberFormat="1" applyFont="1" applyFill="1" applyBorder="1" applyAlignment="1" applyProtection="1">
      <alignment horizontal="right" vertical="center"/>
    </xf>
    <xf numFmtId="164" fontId="14" fillId="2" borderId="0" xfId="0" applyNumberFormat="1" applyFont="1" applyFill="1" applyBorder="1" applyAlignment="1" applyProtection="1">
      <alignment horizontal="right" vertical="center"/>
    </xf>
    <xf numFmtId="164" fontId="14" fillId="2" borderId="2" xfId="0" applyNumberFormat="1" applyFont="1" applyFill="1" applyBorder="1" applyAlignment="1">
      <alignment horizontal="right" vertical="center"/>
    </xf>
    <xf numFmtId="164" fontId="4" fillId="2" borderId="1" xfId="0" applyNumberFormat="1" applyFont="1" applyFill="1" applyBorder="1" applyAlignment="1" applyProtection="1">
      <alignment horizontal="right" vertical="center"/>
    </xf>
    <xf numFmtId="164" fontId="4" fillId="2" borderId="1" xfId="0" applyNumberFormat="1" applyFont="1" applyFill="1" applyBorder="1" applyAlignment="1">
      <alignment horizontal="right" vertical="center"/>
    </xf>
    <xf numFmtId="164" fontId="15" fillId="2" borderId="1" xfId="0" applyNumberFormat="1" applyFont="1" applyFill="1" applyBorder="1" applyAlignment="1">
      <alignment horizontal="right" vertical="center"/>
    </xf>
    <xf numFmtId="164" fontId="4" fillId="2" borderId="0" xfId="0" applyNumberFormat="1" applyFont="1" applyFill="1" applyAlignment="1" applyProtection="1">
      <alignment horizontal="left"/>
    </xf>
    <xf numFmtId="164" fontId="14" fillId="2" borderId="0" xfId="0" applyNumberFormat="1" applyFont="1" applyFill="1" applyBorder="1" applyAlignment="1">
      <alignment horizontal="right"/>
    </xf>
    <xf numFmtId="164" fontId="6" fillId="2" borderId="0" xfId="0" applyNumberFormat="1" applyFont="1" applyFill="1" applyAlignment="1">
      <alignment horizontal="left"/>
    </xf>
    <xf numFmtId="164" fontId="7" fillId="2" borderId="0" xfId="0" applyNumberFormat="1" applyFont="1" applyFill="1" applyAlignment="1">
      <alignment horizontal="right"/>
    </xf>
    <xf numFmtId="164" fontId="7" fillId="2" borderId="0" xfId="0" applyNumberFormat="1" applyFont="1" applyFill="1" applyBorder="1" applyAlignment="1">
      <alignment horizontal="right"/>
    </xf>
    <xf numFmtId="0" fontId="4" fillId="2" borderId="0" xfId="0" applyNumberFormat="1" applyFont="1" applyFill="1" applyAlignment="1" applyProtection="1">
      <alignment horizontal="left"/>
    </xf>
    <xf numFmtId="164" fontId="6" fillId="2" borderId="1" xfId="0" applyNumberFormat="1" applyFont="1" applyFill="1" applyBorder="1" applyAlignment="1">
      <alignment horizontal="left"/>
    </xf>
    <xf numFmtId="164" fontId="7" fillId="2" borderId="1" xfId="0" applyNumberFormat="1" applyFont="1" applyFill="1" applyBorder="1" applyAlignment="1">
      <alignment horizontal="right"/>
    </xf>
    <xf numFmtId="164" fontId="9" fillId="2" borderId="0" xfId="0" applyNumberFormat="1" applyFont="1" applyFill="1" applyBorder="1" applyAlignment="1"/>
    <xf numFmtId="164" fontId="8" fillId="2" borderId="0" xfId="0" applyNumberFormat="1" applyFont="1" applyFill="1" applyBorder="1" applyAlignment="1">
      <alignment horizontal="right" vertical="center"/>
    </xf>
    <xf numFmtId="164" fontId="17" fillId="2" borderId="0" xfId="0" applyNumberFormat="1" applyFont="1" applyFill="1" applyAlignment="1">
      <alignment horizontal="center" vertical="center"/>
    </xf>
    <xf numFmtId="164" fontId="9" fillId="2" borderId="0" xfId="0" applyNumberFormat="1" applyFont="1" applyFill="1" applyAlignment="1" applyProtection="1">
      <alignment horizontal="left"/>
    </xf>
    <xf numFmtId="164" fontId="8" fillId="2" borderId="0" xfId="0" applyNumberFormat="1" applyFont="1" applyFill="1" applyAlignment="1">
      <alignment vertical="center"/>
    </xf>
    <xf numFmtId="164" fontId="3" fillId="2" borderId="0" xfId="0" applyNumberFormat="1" applyFont="1" applyFill="1"/>
    <xf numFmtId="38" fontId="8" fillId="2" borderId="0" xfId="1" applyNumberFormat="1" applyFont="1" applyFill="1" applyAlignment="1">
      <alignment horizontal="right"/>
    </xf>
    <xf numFmtId="164" fontId="11" fillId="2" borderId="0" xfId="2" applyNumberFormat="1" applyFont="1" applyFill="1" applyAlignment="1" applyProtection="1">
      <alignment vertical="center"/>
    </xf>
    <xf numFmtId="164" fontId="8" fillId="2" borderId="0" xfId="0" applyNumberFormat="1" applyFont="1" applyFill="1" applyAlignment="1">
      <alignment horizontal="left"/>
    </xf>
    <xf numFmtId="38" fontId="4" fillId="2" borderId="0" xfId="1" applyNumberFormat="1" applyFont="1" applyFill="1" applyAlignment="1">
      <alignment horizontal="right"/>
    </xf>
    <xf numFmtId="38" fontId="4" fillId="2" borderId="0" xfId="1" applyNumberFormat="1" applyFont="1" applyFill="1" applyAlignment="1" applyProtection="1">
      <alignment horizontal="right"/>
    </xf>
    <xf numFmtId="38" fontId="4" fillId="2" borderId="0" xfId="1" applyNumberFormat="1" applyFont="1" applyFill="1" applyBorder="1" applyAlignment="1">
      <alignment horizontal="right"/>
    </xf>
    <xf numFmtId="1" fontId="4" fillId="2" borderId="0" xfId="0" applyNumberFormat="1" applyFont="1" applyFill="1" applyBorder="1" applyAlignment="1" applyProtection="1"/>
    <xf numFmtId="1" fontId="4" fillId="2" borderId="0" xfId="0" applyNumberFormat="1" applyFont="1" applyFill="1" applyBorder="1" applyAlignment="1"/>
    <xf numFmtId="38" fontId="6" fillId="2" borderId="0" xfId="1" applyNumberFormat="1" applyFont="1" applyFill="1" applyAlignment="1">
      <alignment horizontal="right"/>
    </xf>
    <xf numFmtId="38" fontId="6" fillId="2" borderId="0" xfId="1" applyNumberFormat="1" applyFont="1" applyFill="1" applyBorder="1" applyAlignment="1">
      <alignment horizontal="right"/>
    </xf>
    <xf numFmtId="1" fontId="6" fillId="2" borderId="0" xfId="0" applyNumberFormat="1" applyFont="1" applyFill="1" applyBorder="1" applyAlignment="1" applyProtection="1"/>
    <xf numFmtId="1" fontId="6" fillId="2" borderId="0" xfId="0" applyNumberFormat="1" applyFont="1" applyFill="1" applyBorder="1" applyAlignment="1"/>
    <xf numFmtId="38" fontId="4" fillId="2" borderId="0" xfId="1" applyNumberFormat="1" applyFont="1" applyFill="1" applyBorder="1" applyAlignment="1" applyProtection="1">
      <alignment horizontal="right"/>
    </xf>
    <xf numFmtId="38" fontId="6" fillId="2" borderId="0" xfId="1" applyNumberFormat="1" applyFont="1" applyFill="1" applyBorder="1" applyAlignment="1" applyProtection="1">
      <alignment horizontal="right"/>
    </xf>
    <xf numFmtId="38" fontId="6" fillId="2" borderId="1" xfId="1" applyNumberFormat="1" applyFont="1" applyFill="1" applyBorder="1" applyAlignment="1">
      <alignment horizontal="right"/>
    </xf>
    <xf numFmtId="38" fontId="6" fillId="2" borderId="1" xfId="1" applyNumberFormat="1" applyFont="1" applyFill="1" applyBorder="1" applyAlignment="1" applyProtection="1">
      <alignment horizontal="right"/>
    </xf>
    <xf numFmtId="1" fontId="6" fillId="2" borderId="1" xfId="0" applyNumberFormat="1" applyFont="1" applyFill="1" applyBorder="1" applyAlignment="1"/>
    <xf numFmtId="164" fontId="2" fillId="2" borderId="0" xfId="0" applyNumberFormat="1" applyFont="1" applyFill="1"/>
    <xf numFmtId="171" fontId="0" fillId="2" borderId="0" xfId="1" applyNumberFormat="1" applyFont="1" applyFill="1"/>
    <xf numFmtId="171" fontId="2" fillId="2" borderId="0" xfId="1" applyNumberFormat="1" applyFont="1" applyFill="1"/>
    <xf numFmtId="164" fontId="0" fillId="3" borderId="0" xfId="0" applyNumberFormat="1" applyFill="1"/>
    <xf numFmtId="164" fontId="20" fillId="3" borderId="0" xfId="0" applyNumberFormat="1" applyFont="1" applyFill="1"/>
    <xf numFmtId="164" fontId="4" fillId="3" borderId="0" xfId="0" applyNumberFormat="1" applyFont="1" applyFill="1" applyAlignment="1" applyProtection="1">
      <alignment horizontal="left"/>
    </xf>
    <xf numFmtId="38" fontId="6" fillId="2" borderId="0" xfId="1" applyNumberFormat="1" applyFont="1" applyFill="1" applyAlignment="1" applyProtection="1">
      <alignment horizontal="right"/>
    </xf>
    <xf numFmtId="38" fontId="4" fillId="2" borderId="1" xfId="1" applyNumberFormat="1" applyFont="1" applyFill="1" applyBorder="1" applyAlignment="1" applyProtection="1">
      <alignment horizontal="right"/>
    </xf>
    <xf numFmtId="164" fontId="12" fillId="2" borderId="0" xfId="0" applyNumberFormat="1" applyFont="1" applyFill="1" applyAlignment="1">
      <alignment horizontal="center" vertical="center"/>
    </xf>
    <xf numFmtId="164" fontId="19" fillId="2" borderId="0" xfId="0" applyNumberFormat="1" applyFont="1" applyFill="1" applyBorder="1" applyAlignment="1" applyProtection="1">
      <alignment horizontal="center" vertical="center"/>
    </xf>
    <xf numFmtId="164" fontId="4" fillId="2" borderId="0" xfId="0" applyNumberFormat="1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left" vertical="center"/>
    </xf>
  </cellXfs>
  <cellStyles count="7">
    <cellStyle name="Comma" xfId="1" builtinId="3"/>
    <cellStyle name="Hyperlink" xfId="2" builtinId="8"/>
    <cellStyle name="Normal" xfId="0" builtinId="0"/>
    <cellStyle name="Normal 2 2 2" xfId="3"/>
    <cellStyle name="Normal 6" xfId="6"/>
    <cellStyle name="Normal 7" xfId="5"/>
    <cellStyle name="Normal 8" xfId="4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"/>
  <c:chart>
    <c:title>
      <c:tx>
        <c:rich>
          <a:bodyPr/>
          <a:lstStyle/>
          <a:p>
            <a:pPr>
              <a:defRPr sz="1050">
                <a:solidFill>
                  <a:schemeClr val="tx1"/>
                </a:solidFill>
              </a:defRPr>
            </a:pPr>
            <a:r>
              <a:rPr lang="en-US" sz="1050">
                <a:solidFill>
                  <a:schemeClr val="tx1"/>
                </a:solidFill>
              </a:rPr>
              <a:t>Figure 7.2: Student enrolment by educational level ,</a:t>
            </a:r>
            <a:r>
              <a:rPr lang="en-US" sz="1050" baseline="0">
                <a:solidFill>
                  <a:schemeClr val="tx1"/>
                </a:solidFill>
              </a:rPr>
              <a:t> 2012</a:t>
            </a:r>
            <a:endParaRPr lang="en-US" sz="1050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0747549752483499"/>
          <c:y val="5.5247554282987346E-2"/>
        </c:manualLayout>
      </c:layout>
    </c:title>
    <c:view3D>
      <c:depthPercent val="100"/>
      <c:rAngAx val="1"/>
    </c:view3D>
    <c:sideWall>
      <c:spPr>
        <a:ln>
          <a:solidFill>
            <a:sysClr val="window" lastClr="FFFFFF">
              <a:lumMod val="65000"/>
            </a:sysClr>
          </a:solidFill>
        </a:ln>
      </c:spPr>
    </c:sideWall>
    <c:backWall>
      <c:spPr>
        <a:ln>
          <a:solidFill>
            <a:sysClr val="window" lastClr="FFFFFF">
              <a:lumMod val="65000"/>
            </a:sysClr>
          </a:solidFill>
        </a:ln>
      </c:spPr>
    </c:backWall>
    <c:plotArea>
      <c:layout>
        <c:manualLayout>
          <c:layoutTarget val="inner"/>
          <c:xMode val="edge"/>
          <c:yMode val="edge"/>
          <c:x val="0.10561443485159212"/>
          <c:y val="0.15843214720111332"/>
          <c:w val="0.88024413308630534"/>
          <c:h val="0.67048021436345384"/>
        </c:manualLayout>
      </c:layout>
      <c:bar3DChart>
        <c:barDir val="col"/>
        <c:grouping val="clustered"/>
        <c:ser>
          <c:idx val="0"/>
          <c:order val="0"/>
          <c:tx>
            <c:strRef>
              <c:f>'7.2'!$O$10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</c:spPr>
          <c:cat>
            <c:strRef>
              <c:f>'7.2'!$N$11:$N$15</c:f>
              <c:strCache>
                <c:ptCount val="5"/>
                <c:pt idx="0">
                  <c:v>Pre - Primary</c:v>
                </c:pt>
                <c:pt idx="1">
                  <c:v>Primary</c:v>
                </c:pt>
                <c:pt idx="2">
                  <c:v>Lower Secondary</c:v>
                </c:pt>
                <c:pt idx="3">
                  <c:v>Higher Secondary</c:v>
                </c:pt>
                <c:pt idx="4">
                  <c:v>Special class</c:v>
                </c:pt>
              </c:strCache>
            </c:strRef>
          </c:cat>
          <c:val>
            <c:numRef>
              <c:f>'7.2'!$O$11:$O$15</c:f>
              <c:numCache>
                <c:formatCode>_(* #,##0_);_(* \(#,##0\);_(* "-"??_);_(@_)</c:formatCode>
                <c:ptCount val="5"/>
                <c:pt idx="0">
                  <c:v>11224</c:v>
                </c:pt>
                <c:pt idx="1">
                  <c:v>20034</c:v>
                </c:pt>
                <c:pt idx="2">
                  <c:v>10982</c:v>
                </c:pt>
                <c:pt idx="3">
                  <c:v>2098</c:v>
                </c:pt>
                <c:pt idx="4">
                  <c:v>82</c:v>
                </c:pt>
              </c:numCache>
            </c:numRef>
          </c:val>
        </c:ser>
        <c:ser>
          <c:idx val="1"/>
          <c:order val="1"/>
          <c:tx>
            <c:strRef>
              <c:f>'7.2'!$P$10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</c:spPr>
          <c:cat>
            <c:strRef>
              <c:f>'7.2'!$N$11:$N$15</c:f>
              <c:strCache>
                <c:ptCount val="5"/>
                <c:pt idx="0">
                  <c:v>Pre - Primary</c:v>
                </c:pt>
                <c:pt idx="1">
                  <c:v>Primary</c:v>
                </c:pt>
                <c:pt idx="2">
                  <c:v>Lower Secondary</c:v>
                </c:pt>
                <c:pt idx="3">
                  <c:v>Higher Secondary</c:v>
                </c:pt>
                <c:pt idx="4">
                  <c:v>Special class</c:v>
                </c:pt>
              </c:strCache>
            </c:strRef>
          </c:cat>
          <c:val>
            <c:numRef>
              <c:f>'7.2'!$P$11:$P$15</c:f>
              <c:numCache>
                <c:formatCode>_(* #,##0_);_(* \(#,##0\);_(* "-"??_);_(@_)</c:formatCode>
                <c:ptCount val="5"/>
                <c:pt idx="0">
                  <c:v>10825</c:v>
                </c:pt>
                <c:pt idx="1">
                  <c:v>18604</c:v>
                </c:pt>
                <c:pt idx="2">
                  <c:v>10462</c:v>
                </c:pt>
                <c:pt idx="3">
                  <c:v>2139</c:v>
                </c:pt>
                <c:pt idx="4">
                  <c:v>60</c:v>
                </c:pt>
              </c:numCache>
            </c:numRef>
          </c:val>
        </c:ser>
        <c:shape val="box"/>
        <c:axId val="89646976"/>
        <c:axId val="89648512"/>
        <c:axId val="0"/>
      </c:bar3DChart>
      <c:catAx>
        <c:axId val="8964697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89648512"/>
        <c:crosses val="autoZero"/>
        <c:auto val="1"/>
        <c:lblAlgn val="ctr"/>
        <c:lblOffset val="100"/>
      </c:catAx>
      <c:valAx>
        <c:axId val="89648512"/>
        <c:scaling>
          <c:orientation val="minMax"/>
        </c:scaling>
        <c:axPos val="l"/>
        <c:majorGridlines>
          <c:spPr>
            <a:ln>
              <a:solidFill>
                <a:schemeClr val="bg1"/>
              </a:solidFill>
            </a:ln>
          </c:spPr>
        </c:majorGridlines>
        <c:numFmt formatCode="#,##0" sourceLinked="0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8964697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6001132854716682"/>
          <c:y val="0.25091946839978374"/>
          <c:w val="0.20838003705419192"/>
          <c:h val="6.1378913001728513E-2"/>
        </c:manualLayout>
      </c:layout>
    </c:legend>
    <c:plotVisOnly val="1"/>
    <c:dispBlanksAs val="gap"/>
  </c:chart>
  <c:printSettings>
    <c:headerFooter/>
    <c:pageMargins b="0.75000000000000711" l="0.70000000000000062" r="0.70000000000000062" t="0.75000000000000711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1524000</xdr:colOff>
      <xdr:row>26</xdr:row>
      <xdr:rowOff>76200</xdr:rowOff>
    </xdr:from>
    <xdr:to>
      <xdr:col>9</xdr:col>
      <xdr:colOff>523875</xdr:colOff>
      <xdr:row>39</xdr:row>
      <xdr:rowOff>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46"/>
  <sheetViews>
    <sheetView tabSelected="1" workbookViewId="0">
      <selection activeCell="A8" sqref="A8"/>
    </sheetView>
  </sheetViews>
  <sheetFormatPr defaultColWidth="26.42578125" defaultRowHeight="15"/>
  <cols>
    <col min="1" max="1" width="23.42578125" style="1" customWidth="1"/>
    <col min="2" max="2" width="10.28515625" style="1" customWidth="1"/>
    <col min="3" max="3" width="9.5703125" style="1" customWidth="1"/>
    <col min="4" max="4" width="11.28515625" style="1" customWidth="1"/>
    <col min="5" max="5" width="2.28515625" style="1" customWidth="1"/>
    <col min="6" max="6" width="10.42578125" style="1" customWidth="1"/>
    <col min="7" max="7" width="9.7109375" style="1" customWidth="1"/>
    <col min="8" max="9" width="12.140625" style="1" customWidth="1"/>
    <col min="10" max="10" width="24.7109375" style="1" customWidth="1"/>
    <col min="11" max="11" width="3.140625" style="1" customWidth="1"/>
    <col min="12" max="12" width="58.28515625" style="1" customWidth="1"/>
    <col min="13" max="13" width="26.42578125" style="1"/>
    <col min="14" max="16" width="9.140625" style="1" customWidth="1"/>
    <col min="17" max="31" width="8.7109375" style="1" customWidth="1"/>
    <col min="32" max="16384" width="26.42578125" style="1"/>
  </cols>
  <sheetData>
    <row r="1" spans="1:18" ht="19.5">
      <c r="A1" s="55" t="s">
        <v>46</v>
      </c>
      <c r="B1" s="55"/>
      <c r="C1" s="55"/>
      <c r="D1" s="55"/>
      <c r="E1" s="55"/>
      <c r="F1" s="55"/>
      <c r="G1" s="55"/>
      <c r="H1" s="55"/>
      <c r="I1" s="55"/>
      <c r="J1" s="55"/>
    </row>
    <row r="2" spans="1:18">
      <c r="A2" s="56" t="s">
        <v>8</v>
      </c>
      <c r="B2" s="56"/>
      <c r="C2" s="56"/>
      <c r="D2" s="56"/>
      <c r="E2" s="56"/>
      <c r="F2" s="56"/>
      <c r="G2" s="56"/>
      <c r="H2" s="56"/>
      <c r="I2" s="56"/>
      <c r="J2" s="56"/>
    </row>
    <row r="3" spans="1:18" ht="3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3"/>
      <c r="L3" s="3"/>
      <c r="M3" s="3"/>
      <c r="N3" s="3"/>
      <c r="O3" s="3"/>
      <c r="P3" s="3"/>
      <c r="Q3" s="3"/>
      <c r="R3" s="3"/>
    </row>
    <row r="4" spans="1:18">
      <c r="A4" s="57" t="s">
        <v>9</v>
      </c>
      <c r="B4" s="4" t="s">
        <v>10</v>
      </c>
      <c r="C4" s="5"/>
      <c r="D4" s="6" t="s">
        <v>11</v>
      </c>
      <c r="E4" s="7"/>
      <c r="F4" s="4" t="s">
        <v>12</v>
      </c>
      <c r="G4" s="8"/>
      <c r="H4" s="6" t="s">
        <v>13</v>
      </c>
      <c r="I4" s="7" t="s">
        <v>14</v>
      </c>
      <c r="J4" s="9"/>
      <c r="K4" s="9"/>
      <c r="L4" s="9"/>
      <c r="M4" s="9"/>
      <c r="N4" s="9"/>
      <c r="O4" s="9"/>
      <c r="P4" s="9"/>
      <c r="Q4" s="9"/>
      <c r="R4" s="9"/>
    </row>
    <row r="5" spans="1:18">
      <c r="A5" s="57"/>
      <c r="B5" s="10" t="s">
        <v>15</v>
      </c>
      <c r="C5" s="10" t="s">
        <v>16</v>
      </c>
      <c r="D5" s="10" t="s">
        <v>14</v>
      </c>
      <c r="E5" s="11"/>
      <c r="F5" s="10" t="s">
        <v>15</v>
      </c>
      <c r="G5" s="10" t="s">
        <v>16</v>
      </c>
      <c r="H5" s="12" t="s">
        <v>14</v>
      </c>
      <c r="I5" s="7" t="s">
        <v>17</v>
      </c>
      <c r="J5" s="7" t="s">
        <v>18</v>
      </c>
    </row>
    <row r="6" spans="1:18">
      <c r="A6" s="58"/>
      <c r="B6" s="13" t="s">
        <v>19</v>
      </c>
      <c r="C6" s="13" t="s">
        <v>20</v>
      </c>
      <c r="D6" s="13" t="s">
        <v>21</v>
      </c>
      <c r="E6" s="13"/>
      <c r="F6" s="13" t="s">
        <v>19</v>
      </c>
      <c r="G6" s="13" t="s">
        <v>20</v>
      </c>
      <c r="H6" s="14" t="s">
        <v>21</v>
      </c>
      <c r="I6" s="14" t="s">
        <v>22</v>
      </c>
      <c r="J6" s="15"/>
    </row>
    <row r="7" spans="1:18" ht="19.5" customHeight="1">
      <c r="A7" s="16" t="s">
        <v>1</v>
      </c>
      <c r="B7" s="33">
        <f>SUM(B8:B12)</f>
        <v>86510</v>
      </c>
      <c r="C7" s="34">
        <f>SUM(C8:C12)</f>
        <v>44420</v>
      </c>
      <c r="D7" s="34">
        <f>SUM(D8:D12)</f>
        <v>42090</v>
      </c>
      <c r="E7" s="35"/>
      <c r="F7" s="36">
        <f>B7/B7*100</f>
        <v>100</v>
      </c>
      <c r="G7" s="36">
        <f>C7/C7*100</f>
        <v>100</v>
      </c>
      <c r="H7" s="36">
        <f>D7/D7*100</f>
        <v>100</v>
      </c>
      <c r="I7" s="37">
        <f>D7/B7*100</f>
        <v>48.65333487458097</v>
      </c>
      <c r="J7" s="17" t="s">
        <v>23</v>
      </c>
    </row>
    <row r="8" spans="1:18" ht="19.5" customHeight="1">
      <c r="A8" s="18" t="s">
        <v>24</v>
      </c>
      <c r="B8" s="34">
        <f>SUM(C8:D8)</f>
        <v>22049</v>
      </c>
      <c r="C8" s="38">
        <f t="shared" ref="C8:D12" si="0">SUM(C14+C20)</f>
        <v>11224</v>
      </c>
      <c r="D8" s="38">
        <f t="shared" si="0"/>
        <v>10825</v>
      </c>
      <c r="E8" s="39"/>
      <c r="F8" s="40">
        <v>25</v>
      </c>
      <c r="G8" s="40">
        <v>25</v>
      </c>
      <c r="H8" s="40">
        <v>26</v>
      </c>
      <c r="I8" s="41">
        <f>D8/B8*100</f>
        <v>49.095197061091206</v>
      </c>
      <c r="J8" s="19" t="s">
        <v>25</v>
      </c>
    </row>
    <row r="9" spans="1:18" ht="19.5" customHeight="1">
      <c r="A9" s="18" t="s">
        <v>26</v>
      </c>
      <c r="B9" s="34">
        <f>SUM(C9:D9)</f>
        <v>38638</v>
      </c>
      <c r="C9" s="38">
        <f t="shared" si="0"/>
        <v>20034</v>
      </c>
      <c r="D9" s="38">
        <f t="shared" si="0"/>
        <v>18604</v>
      </c>
      <c r="E9" s="39"/>
      <c r="F9" s="40">
        <v>45</v>
      </c>
      <c r="G9" s="40">
        <v>45</v>
      </c>
      <c r="H9" s="40">
        <v>44</v>
      </c>
      <c r="I9" s="41">
        <f t="shared" ref="I9:I12" si="1">D9/B9*100</f>
        <v>48.149490139241166</v>
      </c>
      <c r="J9" s="20" t="s">
        <v>27</v>
      </c>
    </row>
    <row r="10" spans="1:18" ht="19.5" customHeight="1">
      <c r="A10" s="18" t="s">
        <v>28</v>
      </c>
      <c r="B10" s="34">
        <f>SUM(C10:D10)</f>
        <v>21444</v>
      </c>
      <c r="C10" s="38">
        <f t="shared" si="0"/>
        <v>10982</v>
      </c>
      <c r="D10" s="38">
        <f t="shared" si="0"/>
        <v>10462</v>
      </c>
      <c r="E10" s="39"/>
      <c r="F10" s="40">
        <v>25</v>
      </c>
      <c r="G10" s="40">
        <v>25</v>
      </c>
      <c r="H10" s="40">
        <v>25</v>
      </c>
      <c r="I10" s="41">
        <f t="shared" si="1"/>
        <v>48.787539638127214</v>
      </c>
      <c r="J10" s="20" t="s">
        <v>29</v>
      </c>
      <c r="O10" s="1" t="s">
        <v>20</v>
      </c>
      <c r="P10" s="1" t="s">
        <v>21</v>
      </c>
    </row>
    <row r="11" spans="1:18" ht="19.5" customHeight="1">
      <c r="A11" s="18" t="s">
        <v>30</v>
      </c>
      <c r="B11" s="34">
        <f>SUM(C11:D11)</f>
        <v>4237</v>
      </c>
      <c r="C11" s="38">
        <f t="shared" si="0"/>
        <v>2098</v>
      </c>
      <c r="D11" s="38">
        <f t="shared" si="0"/>
        <v>2139</v>
      </c>
      <c r="E11" s="39"/>
      <c r="F11" s="40">
        <v>5</v>
      </c>
      <c r="G11" s="40">
        <v>5</v>
      </c>
      <c r="H11" s="40">
        <v>5</v>
      </c>
      <c r="I11" s="41">
        <f t="shared" si="1"/>
        <v>50.483832900637246</v>
      </c>
      <c r="J11" s="20" t="s">
        <v>31</v>
      </c>
      <c r="N11" s="29" t="s">
        <v>24</v>
      </c>
      <c r="O11" s="48">
        <v>11224</v>
      </c>
      <c r="P11" s="48">
        <v>10825</v>
      </c>
    </row>
    <row r="12" spans="1:18" ht="19.5" customHeight="1">
      <c r="A12" s="18" t="s">
        <v>32</v>
      </c>
      <c r="B12" s="34">
        <f>SUM(C12:D12)</f>
        <v>142</v>
      </c>
      <c r="C12" s="38">
        <f t="shared" si="0"/>
        <v>82</v>
      </c>
      <c r="D12" s="38">
        <f t="shared" si="0"/>
        <v>60</v>
      </c>
      <c r="E12" s="39"/>
      <c r="F12" s="40">
        <v>0</v>
      </c>
      <c r="G12" s="40">
        <v>0</v>
      </c>
      <c r="H12" s="40">
        <v>0</v>
      </c>
      <c r="I12" s="41">
        <f t="shared" si="1"/>
        <v>42.25352112676056</v>
      </c>
      <c r="J12" s="20" t="s">
        <v>33</v>
      </c>
      <c r="N12" s="29" t="s">
        <v>36</v>
      </c>
      <c r="O12" s="48">
        <v>20034</v>
      </c>
      <c r="P12" s="48">
        <v>18604</v>
      </c>
    </row>
    <row r="13" spans="1:18" s="47" customFormat="1" ht="19.5" customHeight="1">
      <c r="A13" s="21" t="s">
        <v>2</v>
      </c>
      <c r="B13" s="34">
        <f>SUM(B14:B18)</f>
        <v>26583</v>
      </c>
      <c r="C13" s="34">
        <f>SUM(C14:C18)</f>
        <v>13426</v>
      </c>
      <c r="D13" s="34">
        <f>SUM(D14:D18)</f>
        <v>13157</v>
      </c>
      <c r="E13" s="42"/>
      <c r="F13" s="36">
        <f>B13/B13*100</f>
        <v>100</v>
      </c>
      <c r="G13" s="36">
        <f t="shared" ref="G13:H13" si="2">C13/C13*100</f>
        <v>100</v>
      </c>
      <c r="H13" s="36">
        <f t="shared" si="2"/>
        <v>100</v>
      </c>
      <c r="I13" s="37">
        <f>D13/B13*100</f>
        <v>49.494037542790501</v>
      </c>
      <c r="J13" s="17" t="s">
        <v>3</v>
      </c>
      <c r="N13" s="29" t="s">
        <v>37</v>
      </c>
      <c r="O13" s="49">
        <v>10982</v>
      </c>
      <c r="P13" s="49">
        <v>10462</v>
      </c>
    </row>
    <row r="14" spans="1:18" ht="19.5" customHeight="1">
      <c r="A14" s="18" t="s">
        <v>24</v>
      </c>
      <c r="B14" s="34">
        <f>SUM(C14:D14)</f>
        <v>7025</v>
      </c>
      <c r="C14" s="38">
        <v>3522</v>
      </c>
      <c r="D14" s="38">
        <v>3503</v>
      </c>
      <c r="E14" s="39"/>
      <c r="F14" s="40">
        <f>B14/B13*100</f>
        <v>26.426663657224541</v>
      </c>
      <c r="G14" s="40">
        <f>C14/C13*100</f>
        <v>26.232682854163563</v>
      </c>
      <c r="H14" s="40">
        <f>D14/D13*100</f>
        <v>26.624610473512199</v>
      </c>
      <c r="I14" s="41">
        <f>D14/B14*100</f>
        <v>49.864768683274022</v>
      </c>
      <c r="J14" s="19" t="s">
        <v>25</v>
      </c>
      <c r="N14" s="29" t="s">
        <v>38</v>
      </c>
      <c r="O14" s="48">
        <v>2098</v>
      </c>
      <c r="P14" s="48">
        <v>2139</v>
      </c>
    </row>
    <row r="15" spans="1:18" ht="19.5" customHeight="1">
      <c r="A15" s="18" t="s">
        <v>26</v>
      </c>
      <c r="B15" s="33">
        <f>SUM(C15:D15)</f>
        <v>10424</v>
      </c>
      <c r="C15" s="38">
        <v>5304</v>
      </c>
      <c r="D15" s="38">
        <v>5120</v>
      </c>
      <c r="E15" s="39"/>
      <c r="F15" s="40">
        <f>B15/B13*100</f>
        <v>39.213030884399799</v>
      </c>
      <c r="G15" s="40">
        <f>C15/C13*100</f>
        <v>39.505437211380901</v>
      </c>
      <c r="H15" s="40">
        <f>D15/D13*100</f>
        <v>38.914646195941323</v>
      </c>
      <c r="I15" s="41">
        <f t="shared" ref="I15:I18" si="3">D15/B15*100</f>
        <v>49.117421335379888</v>
      </c>
      <c r="J15" s="20" t="s">
        <v>27</v>
      </c>
      <c r="N15" s="29" t="s">
        <v>39</v>
      </c>
      <c r="O15" s="48">
        <v>82</v>
      </c>
      <c r="P15" s="48">
        <v>60</v>
      </c>
    </row>
    <row r="16" spans="1:18" ht="19.5" customHeight="1">
      <c r="A16" s="18" t="s">
        <v>28</v>
      </c>
      <c r="B16" s="34">
        <f>SUM(C16:D16)</f>
        <v>6358</v>
      </c>
      <c r="C16" s="38">
        <v>3137</v>
      </c>
      <c r="D16" s="38">
        <v>3221</v>
      </c>
      <c r="E16" s="39"/>
      <c r="F16" s="40">
        <f>B16/B13*100</f>
        <v>23.917541285784147</v>
      </c>
      <c r="G16" s="40">
        <f>C16/C13*100</f>
        <v>23.365112468345004</v>
      </c>
      <c r="H16" s="40">
        <f>D16/D13*100</f>
        <v>24.481264726001367</v>
      </c>
      <c r="I16" s="41">
        <f t="shared" si="3"/>
        <v>50.660585089650837</v>
      </c>
      <c r="J16" s="20" t="s">
        <v>29</v>
      </c>
    </row>
    <row r="17" spans="1:31" ht="17.25">
      <c r="A17" s="18" t="s">
        <v>30</v>
      </c>
      <c r="B17" s="34">
        <f>SUM(C17:D17)</f>
        <v>2689</v>
      </c>
      <c r="C17" s="38">
        <v>1404</v>
      </c>
      <c r="D17" s="38">
        <v>1285</v>
      </c>
      <c r="E17" s="39"/>
      <c r="F17" s="40">
        <f>B17/B13*100</f>
        <v>10.115487341534063</v>
      </c>
      <c r="G17" s="40">
        <f>C17/C13*100</f>
        <v>10.457321614777298</v>
      </c>
      <c r="H17" s="40">
        <f>D17/D13*100</f>
        <v>9.7666641331610542</v>
      </c>
      <c r="I17" s="41">
        <f t="shared" si="3"/>
        <v>47.787281517292676</v>
      </c>
      <c r="J17" s="20" t="s">
        <v>31</v>
      </c>
      <c r="M17" s="50" t="s">
        <v>45</v>
      </c>
    </row>
    <row r="18" spans="1:31" ht="17.25">
      <c r="A18" s="18" t="s">
        <v>32</v>
      </c>
      <c r="B18" s="34">
        <f>SUM(C18:D18)</f>
        <v>87</v>
      </c>
      <c r="C18" s="38">
        <v>59</v>
      </c>
      <c r="D18" s="38">
        <v>28</v>
      </c>
      <c r="E18" s="39"/>
      <c r="F18" s="40">
        <f>B18/B13*100</f>
        <v>0.32727683105744276</v>
      </c>
      <c r="G18" s="40">
        <f>C18/C13*100</f>
        <v>0.43944585133323405</v>
      </c>
      <c r="H18" s="40">
        <f>D18/D13*100</f>
        <v>0.21281447138405413</v>
      </c>
      <c r="I18" s="41">
        <f t="shared" si="3"/>
        <v>32.183908045977013</v>
      </c>
      <c r="J18" s="20" t="s">
        <v>33</v>
      </c>
      <c r="M18" s="50"/>
      <c r="N18" s="50" t="s">
        <v>41</v>
      </c>
      <c r="O18" s="50"/>
      <c r="P18" s="50"/>
      <c r="Q18" s="50" t="s">
        <v>42</v>
      </c>
      <c r="R18" s="50"/>
      <c r="S18" s="50"/>
      <c r="T18" s="50" t="s">
        <v>43</v>
      </c>
      <c r="U18" s="50"/>
      <c r="V18" s="50"/>
      <c r="W18" s="50" t="s">
        <v>44</v>
      </c>
      <c r="X18" s="50"/>
      <c r="Y18" s="50"/>
      <c r="Z18" s="50" t="s">
        <v>32</v>
      </c>
      <c r="AA18" s="50"/>
      <c r="AB18" s="50"/>
      <c r="AC18" s="50" t="s">
        <v>0</v>
      </c>
      <c r="AD18" s="50"/>
      <c r="AE18" s="50"/>
    </row>
    <row r="19" spans="1:31" s="47" customFormat="1" ht="17.25">
      <c r="A19" s="16" t="s">
        <v>4</v>
      </c>
      <c r="B19" s="34">
        <f>SUM(B20:B24)</f>
        <v>59927</v>
      </c>
      <c r="C19" s="34">
        <f>SUM(C20:C24)</f>
        <v>30994</v>
      </c>
      <c r="D19" s="34">
        <f>SUM(D20:D24)</f>
        <v>28933</v>
      </c>
      <c r="E19" s="42"/>
      <c r="F19" s="36">
        <f>B19/B19*100</f>
        <v>100</v>
      </c>
      <c r="G19" s="36">
        <f t="shared" ref="G19:H19" si="4">C19/C19*100</f>
        <v>100</v>
      </c>
      <c r="H19" s="36">
        <f t="shared" si="4"/>
        <v>100</v>
      </c>
      <c r="I19" s="37">
        <f t="shared" ref="I19" si="5">D19/B19*100</f>
        <v>48.28040782952592</v>
      </c>
      <c r="J19" s="17" t="s">
        <v>5</v>
      </c>
      <c r="M19" s="50"/>
      <c r="N19" s="51" t="s">
        <v>40</v>
      </c>
      <c r="O19" s="51" t="s">
        <v>20</v>
      </c>
      <c r="P19" s="51" t="s">
        <v>21</v>
      </c>
      <c r="Q19" s="50" t="s">
        <v>40</v>
      </c>
      <c r="R19" s="50" t="s">
        <v>20</v>
      </c>
      <c r="S19" s="50" t="s">
        <v>21</v>
      </c>
      <c r="T19" s="50" t="s">
        <v>40</v>
      </c>
      <c r="U19" s="50" t="s">
        <v>20</v>
      </c>
      <c r="V19" s="50" t="s">
        <v>21</v>
      </c>
      <c r="W19" s="50" t="s">
        <v>40</v>
      </c>
      <c r="X19" s="50" t="s">
        <v>20</v>
      </c>
      <c r="Y19" s="50" t="s">
        <v>21</v>
      </c>
      <c r="Z19" s="50" t="s">
        <v>40</v>
      </c>
      <c r="AA19" s="50" t="s">
        <v>20</v>
      </c>
      <c r="AB19" s="50" t="s">
        <v>21</v>
      </c>
      <c r="AC19" s="50" t="s">
        <v>40</v>
      </c>
      <c r="AD19" s="50" t="s">
        <v>20</v>
      </c>
      <c r="AE19" s="50" t="s">
        <v>21</v>
      </c>
    </row>
    <row r="20" spans="1:31" ht="17.25">
      <c r="A20" s="18" t="s">
        <v>24</v>
      </c>
      <c r="B20" s="34">
        <f>SUM(C20:D20)</f>
        <v>15024</v>
      </c>
      <c r="C20" s="38">
        <v>7702</v>
      </c>
      <c r="D20" s="53">
        <v>7322</v>
      </c>
      <c r="E20" s="43"/>
      <c r="F20" s="40">
        <v>25</v>
      </c>
      <c r="G20" s="41">
        <f>C20/C19*100</f>
        <v>24.849970962121702</v>
      </c>
      <c r="H20" s="41">
        <f>D20/D19*100</f>
        <v>25.306743165243837</v>
      </c>
      <c r="I20" s="41">
        <f>D20/B20*100</f>
        <v>48.735356762513312</v>
      </c>
      <c r="J20" s="19" t="s">
        <v>25</v>
      </c>
      <c r="M20" s="52" t="s">
        <v>1</v>
      </c>
      <c r="N20" s="50">
        <v>22049</v>
      </c>
      <c r="O20" s="50">
        <v>11224</v>
      </c>
      <c r="P20" s="50">
        <v>10825</v>
      </c>
      <c r="Q20" s="50">
        <v>38638</v>
      </c>
      <c r="R20" s="50">
        <v>20034</v>
      </c>
      <c r="S20" s="50">
        <v>18604</v>
      </c>
      <c r="T20" s="50">
        <v>21444</v>
      </c>
      <c r="U20" s="50">
        <v>10982</v>
      </c>
      <c r="V20" s="50">
        <v>10462</v>
      </c>
      <c r="W20" s="50">
        <v>4237</v>
      </c>
      <c r="X20" s="50">
        <v>2098</v>
      </c>
      <c r="Y20" s="50">
        <v>2139</v>
      </c>
      <c r="Z20" s="50">
        <v>142</v>
      </c>
      <c r="AA20" s="50">
        <v>82</v>
      </c>
      <c r="AB20" s="50">
        <v>60</v>
      </c>
      <c r="AC20" s="50">
        <f>N20+Q20+T20+W20+Z20</f>
        <v>86510</v>
      </c>
      <c r="AD20" s="50">
        <f t="shared" ref="AD20:AE22" si="6">O20+R20+U20+X20+AA20</f>
        <v>44420</v>
      </c>
      <c r="AE20" s="50">
        <f t="shared" si="6"/>
        <v>42090</v>
      </c>
    </row>
    <row r="21" spans="1:31" ht="17.25">
      <c r="A21" s="18" t="s">
        <v>26</v>
      </c>
      <c r="B21" s="34">
        <f>SUM(C21:D21)</f>
        <v>28214</v>
      </c>
      <c r="C21" s="53">
        <v>14730</v>
      </c>
      <c r="D21" s="53">
        <v>13484</v>
      </c>
      <c r="E21" s="43"/>
      <c r="F21" s="40">
        <v>47</v>
      </c>
      <c r="G21" s="41">
        <f>C21/C19*100</f>
        <v>47.525327482738597</v>
      </c>
      <c r="H21" s="41">
        <f>D21/D19*100</f>
        <v>46.604223550962573</v>
      </c>
      <c r="I21" s="41">
        <f t="shared" ref="I21:I24" si="7">D21/B21*100</f>
        <v>47.791876373431627</v>
      </c>
      <c r="J21" s="20" t="s">
        <v>27</v>
      </c>
      <c r="M21" s="52" t="s">
        <v>2</v>
      </c>
      <c r="N21" s="50">
        <v>7025</v>
      </c>
      <c r="O21" s="50">
        <v>3522</v>
      </c>
      <c r="P21" s="50">
        <v>3503</v>
      </c>
      <c r="Q21" s="50">
        <v>10424</v>
      </c>
      <c r="R21" s="50">
        <v>5304</v>
      </c>
      <c r="S21" s="50">
        <v>5120</v>
      </c>
      <c r="T21" s="50">
        <v>6358</v>
      </c>
      <c r="U21" s="50">
        <v>3137</v>
      </c>
      <c r="V21" s="50">
        <v>3221</v>
      </c>
      <c r="W21" s="50">
        <v>2689</v>
      </c>
      <c r="X21" s="50">
        <v>1404</v>
      </c>
      <c r="Y21" s="50">
        <v>1285</v>
      </c>
      <c r="Z21" s="50">
        <v>87</v>
      </c>
      <c r="AA21" s="50">
        <v>59</v>
      </c>
      <c r="AB21" s="50">
        <v>28</v>
      </c>
      <c r="AC21" s="50">
        <f t="shared" ref="AC21:AC22" si="8">N21+Q21+T21+W21+Z21</f>
        <v>26583</v>
      </c>
      <c r="AD21" s="50">
        <f t="shared" si="6"/>
        <v>13426</v>
      </c>
      <c r="AE21" s="50">
        <f t="shared" si="6"/>
        <v>13157</v>
      </c>
    </row>
    <row r="22" spans="1:31" ht="17.25">
      <c r="A22" s="18" t="s">
        <v>28</v>
      </c>
      <c r="B22" s="34">
        <f>SUM(C22:D22)</f>
        <v>15086</v>
      </c>
      <c r="C22" s="53">
        <v>7845</v>
      </c>
      <c r="D22" s="53">
        <v>7241</v>
      </c>
      <c r="E22" s="43"/>
      <c r="F22" s="40">
        <v>25</v>
      </c>
      <c r="G22" s="41">
        <f>C22/C19*100</f>
        <v>25.311350583983998</v>
      </c>
      <c r="H22" s="41">
        <f>D22/D19*100</f>
        <v>25.026786022880447</v>
      </c>
      <c r="I22" s="41">
        <f t="shared" si="7"/>
        <v>47.99814397454594</v>
      </c>
      <c r="J22" s="20" t="s">
        <v>29</v>
      </c>
      <c r="M22" s="52" t="s">
        <v>4</v>
      </c>
      <c r="N22" s="50">
        <v>15024</v>
      </c>
      <c r="O22" s="50">
        <v>7702</v>
      </c>
      <c r="P22" s="50">
        <v>7322</v>
      </c>
      <c r="Q22" s="50">
        <v>28214</v>
      </c>
      <c r="R22" s="50">
        <v>14730</v>
      </c>
      <c r="S22" s="50">
        <v>13484</v>
      </c>
      <c r="T22" s="50">
        <v>15086</v>
      </c>
      <c r="U22" s="50">
        <v>7845</v>
      </c>
      <c r="V22" s="50">
        <v>7241</v>
      </c>
      <c r="W22" s="50">
        <v>1548</v>
      </c>
      <c r="X22" s="50">
        <v>694</v>
      </c>
      <c r="Y22" s="50">
        <v>854</v>
      </c>
      <c r="Z22" s="50">
        <v>55</v>
      </c>
      <c r="AA22" s="50">
        <v>23</v>
      </c>
      <c r="AB22" s="50">
        <v>32</v>
      </c>
      <c r="AC22" s="50">
        <f t="shared" si="8"/>
        <v>59927</v>
      </c>
      <c r="AD22" s="50">
        <f t="shared" si="6"/>
        <v>30994</v>
      </c>
      <c r="AE22" s="50">
        <f t="shared" si="6"/>
        <v>28933</v>
      </c>
    </row>
    <row r="23" spans="1:31" ht="17.25">
      <c r="A23" s="18" t="s">
        <v>30</v>
      </c>
      <c r="B23" s="34">
        <f>SUM(C23:D23)</f>
        <v>1548</v>
      </c>
      <c r="C23" s="43">
        <v>694</v>
      </c>
      <c r="D23" s="43">
        <v>854</v>
      </c>
      <c r="E23" s="43"/>
      <c r="F23" s="40">
        <v>3</v>
      </c>
      <c r="G23" s="41">
        <f>C23/C19*100</f>
        <v>2.2391430599470867</v>
      </c>
      <c r="H23" s="41">
        <f>D23/D19*100</f>
        <v>2.9516469083745207</v>
      </c>
      <c r="I23" s="41">
        <f t="shared" si="7"/>
        <v>55.167958656330754</v>
      </c>
      <c r="J23" s="20" t="s">
        <v>31</v>
      </c>
    </row>
    <row r="24" spans="1:31" ht="17.25">
      <c r="A24" s="22" t="s">
        <v>32</v>
      </c>
      <c r="B24" s="54">
        <f>SUM(C24:D24)</f>
        <v>55</v>
      </c>
      <c r="C24" s="44">
        <v>23</v>
      </c>
      <c r="D24" s="44">
        <v>32</v>
      </c>
      <c r="E24" s="45"/>
      <c r="F24" s="46">
        <v>0</v>
      </c>
      <c r="G24" s="46">
        <f>C24/C19*100</f>
        <v>7.4207911208621025E-2</v>
      </c>
      <c r="H24" s="46">
        <f>D24/D19*100</f>
        <v>0.11060035253862373</v>
      </c>
      <c r="I24" s="46">
        <f t="shared" si="7"/>
        <v>58.18181818181818</v>
      </c>
      <c r="J24" s="23" t="s">
        <v>33</v>
      </c>
    </row>
    <row r="25" spans="1:31" ht="17.25">
      <c r="A25" s="24" t="s">
        <v>34</v>
      </c>
      <c r="B25" s="5"/>
      <c r="C25" s="5"/>
      <c r="D25" s="5"/>
      <c r="E25" s="5"/>
      <c r="F25" s="25"/>
      <c r="G25" s="5"/>
      <c r="H25" s="5"/>
      <c r="I25" s="5"/>
      <c r="J25" s="20" t="s">
        <v>35</v>
      </c>
      <c r="P25" s="26"/>
      <c r="Q25" s="26"/>
    </row>
    <row r="26" spans="1:31" ht="17.25">
      <c r="A26" s="27" t="s">
        <v>6</v>
      </c>
      <c r="B26" s="28"/>
      <c r="C26" s="28"/>
      <c r="D26" s="28"/>
      <c r="E26" s="28"/>
      <c r="F26" s="28"/>
      <c r="G26" s="28"/>
      <c r="H26" s="28"/>
      <c r="I26" s="28"/>
      <c r="J26" s="20" t="s">
        <v>7</v>
      </c>
      <c r="O26" s="29"/>
      <c r="P26" s="30"/>
      <c r="Q26" s="30"/>
    </row>
    <row r="27" spans="1:31">
      <c r="A27" s="28"/>
      <c r="B27" s="28"/>
      <c r="C27" s="28"/>
      <c r="D27" s="28"/>
      <c r="E27" s="28"/>
      <c r="F27" s="28"/>
      <c r="G27" s="28"/>
      <c r="H27" s="28"/>
      <c r="I27" s="28"/>
      <c r="O27" s="29"/>
      <c r="P27" s="30"/>
      <c r="Q27" s="30"/>
    </row>
    <row r="28" spans="1:31">
      <c r="A28" s="28"/>
      <c r="B28" s="28"/>
      <c r="C28" s="31"/>
      <c r="D28" s="28"/>
      <c r="E28" s="28"/>
      <c r="F28" s="28"/>
      <c r="G28" s="28"/>
      <c r="H28" s="28"/>
      <c r="I28" s="28"/>
      <c r="J28" s="28"/>
      <c r="O28" s="29"/>
      <c r="P28" s="30"/>
      <c r="Q28" s="30"/>
    </row>
    <row r="29" spans="1:31">
      <c r="A29" s="32"/>
      <c r="B29" s="28"/>
      <c r="C29" s="28"/>
      <c r="D29" s="28"/>
      <c r="E29" s="28"/>
      <c r="F29" s="28"/>
      <c r="G29" s="28"/>
      <c r="H29" s="28"/>
      <c r="I29" s="28"/>
      <c r="O29" s="29"/>
      <c r="P29" s="30"/>
      <c r="Q29" s="30"/>
    </row>
    <row r="30" spans="1:31">
      <c r="A30" s="32"/>
      <c r="B30" s="28"/>
      <c r="C30" s="28"/>
      <c r="D30" s="28"/>
      <c r="E30" s="28"/>
      <c r="F30" s="28"/>
      <c r="G30" s="28"/>
      <c r="H30" s="28"/>
      <c r="I30" s="28"/>
      <c r="O30" s="29"/>
      <c r="P30" s="30"/>
      <c r="Q30" s="30"/>
    </row>
    <row r="31" spans="1:31">
      <c r="A31" s="32"/>
      <c r="B31" s="28"/>
      <c r="C31" s="28"/>
      <c r="D31" s="28"/>
      <c r="E31" s="28"/>
      <c r="F31" s="28"/>
      <c r="G31" s="28"/>
      <c r="H31" s="28"/>
      <c r="I31" s="28"/>
    </row>
    <row r="32" spans="1:31">
      <c r="A32" s="32"/>
      <c r="B32" s="28"/>
      <c r="C32" s="28"/>
      <c r="D32" s="28"/>
      <c r="E32" s="28"/>
      <c r="F32" s="28"/>
      <c r="G32" s="28"/>
      <c r="H32" s="28"/>
      <c r="I32" s="28"/>
    </row>
    <row r="33" spans="1:9">
      <c r="A33" s="32"/>
      <c r="B33" s="28"/>
      <c r="C33" s="28"/>
      <c r="D33" s="28"/>
      <c r="E33" s="28"/>
      <c r="F33" s="28"/>
      <c r="G33" s="28"/>
      <c r="H33" s="28"/>
      <c r="I33" s="28"/>
    </row>
    <row r="34" spans="1:9">
      <c r="A34" s="28"/>
      <c r="B34" s="28"/>
      <c r="C34" s="28"/>
      <c r="D34" s="28"/>
      <c r="E34" s="28"/>
      <c r="F34" s="28"/>
      <c r="G34" s="28"/>
      <c r="H34" s="28"/>
      <c r="I34" s="28"/>
    </row>
    <row r="35" spans="1:9">
      <c r="A35" s="28"/>
      <c r="B35" s="28"/>
      <c r="C35" s="28"/>
      <c r="D35" s="28"/>
      <c r="E35" s="28"/>
      <c r="F35" s="28"/>
      <c r="G35" s="28"/>
      <c r="H35" s="28"/>
      <c r="I35" s="28"/>
    </row>
    <row r="36" spans="1:9">
      <c r="A36" s="28"/>
      <c r="B36" s="28"/>
      <c r="C36" s="28"/>
      <c r="D36" s="28"/>
      <c r="E36" s="28"/>
      <c r="F36" s="28"/>
      <c r="G36" s="28"/>
      <c r="H36" s="28"/>
      <c r="I36" s="28"/>
    </row>
    <row r="37" spans="1:9">
      <c r="A37" s="28"/>
      <c r="B37" s="28"/>
      <c r="C37" s="28"/>
      <c r="D37" s="28"/>
      <c r="E37" s="28"/>
      <c r="F37" s="28"/>
      <c r="G37" s="28"/>
      <c r="H37" s="28"/>
      <c r="I37" s="28"/>
    </row>
    <row r="38" spans="1:9">
      <c r="A38" s="28"/>
      <c r="B38" s="28"/>
      <c r="C38" s="28"/>
      <c r="D38" s="28"/>
      <c r="E38" s="28"/>
      <c r="F38" s="28"/>
      <c r="G38" s="28"/>
      <c r="H38" s="28"/>
      <c r="I38" s="28"/>
    </row>
    <row r="39" spans="1:9">
      <c r="A39" s="28"/>
      <c r="B39" s="28"/>
      <c r="C39" s="28"/>
      <c r="D39" s="28"/>
      <c r="E39" s="28"/>
      <c r="F39" s="28"/>
      <c r="G39" s="28"/>
      <c r="H39" s="28"/>
      <c r="I39" s="28"/>
    </row>
    <row r="40" spans="1:9">
      <c r="A40" s="28"/>
      <c r="B40" s="28"/>
      <c r="C40" s="28"/>
      <c r="D40" s="28"/>
      <c r="E40" s="28"/>
      <c r="F40" s="28"/>
      <c r="G40" s="28"/>
      <c r="H40" s="28"/>
      <c r="I40" s="28"/>
    </row>
    <row r="41" spans="1:9">
      <c r="A41" s="28"/>
      <c r="B41" s="28"/>
      <c r="C41" s="28"/>
      <c r="D41" s="28"/>
      <c r="E41" s="28"/>
      <c r="F41" s="28"/>
      <c r="G41" s="28"/>
      <c r="H41" s="28"/>
      <c r="I41" s="28"/>
    </row>
    <row r="42" spans="1:9">
      <c r="A42" s="28"/>
      <c r="B42" s="28"/>
      <c r="C42" s="28"/>
      <c r="D42" s="28"/>
      <c r="E42" s="28"/>
      <c r="F42" s="28"/>
      <c r="G42" s="28"/>
      <c r="H42" s="28"/>
      <c r="I42" s="28"/>
    </row>
    <row r="43" spans="1:9">
      <c r="A43" s="28"/>
      <c r="B43" s="28"/>
      <c r="C43" s="28"/>
      <c r="D43" s="28"/>
      <c r="E43" s="28"/>
      <c r="F43" s="28"/>
      <c r="G43" s="28"/>
      <c r="H43" s="28"/>
      <c r="I43" s="28"/>
    </row>
    <row r="44" spans="1:9">
      <c r="A44" s="28"/>
      <c r="B44" s="28"/>
      <c r="C44" s="28"/>
      <c r="D44" s="28"/>
      <c r="E44" s="28"/>
      <c r="F44" s="28"/>
      <c r="G44" s="28"/>
      <c r="H44" s="28"/>
      <c r="I44" s="28"/>
    </row>
    <row r="45" spans="1:9">
      <c r="A45" s="28"/>
      <c r="B45" s="28"/>
      <c r="C45" s="28"/>
      <c r="D45" s="28"/>
      <c r="E45" s="28"/>
      <c r="F45" s="28"/>
      <c r="G45" s="28"/>
      <c r="H45" s="28"/>
      <c r="I45" s="28"/>
    </row>
    <row r="46" spans="1:9">
      <c r="A46" s="28"/>
      <c r="B46" s="28"/>
      <c r="C46" s="28"/>
      <c r="D46" s="28"/>
      <c r="E46" s="28"/>
      <c r="F46" s="28"/>
      <c r="G46" s="28"/>
      <c r="H46" s="28"/>
      <c r="I46" s="28"/>
    </row>
  </sheetData>
  <mergeCells count="3">
    <mergeCell ref="A1:J1"/>
    <mergeCell ref="A2:J2"/>
    <mergeCell ref="A4:A6"/>
  </mergeCells>
  <pageMargins left="0.17" right="0.16" top="0.75" bottom="0.75" header="0.3" footer="0.3"/>
  <pageSetup paperSize="9" scale="80" orientation="portrait" r:id="rId1"/>
  <colBreaks count="1" manualBreakCount="1">
    <brk id="12" max="1048575" man="1"/>
  </colBreaks>
  <ignoredErrors>
    <ignoredError sqref="B13 B19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7.2</vt:lpstr>
      <vt:lpstr>'7.2'!Print_Area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2013-09-03T09:17:07Z</cp:lastPrinted>
  <dcterms:created xsi:type="dcterms:W3CDTF">2013-04-29T08:45:56Z</dcterms:created>
  <dcterms:modified xsi:type="dcterms:W3CDTF">2013-09-03T09:42:00Z</dcterms:modified>
</cp:coreProperties>
</file>