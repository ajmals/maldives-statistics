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10" sheetId="9" r:id="rId1"/>
  </sheets>
  <definedNames>
    <definedName name="_xlnm.Print_Titles" localSheetId="0">'7.10'!$3:$4</definedName>
  </definedNames>
  <calcPr calcId="124519"/>
</workbook>
</file>

<file path=xl/calcChain.xml><?xml version="1.0" encoding="utf-8"?>
<calcChain xmlns="http://schemas.openxmlformats.org/spreadsheetml/2006/main">
  <c r="F7" i="9"/>
  <c r="H83" l="1"/>
  <c r="E81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H56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E77"/>
  <c r="E56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I7"/>
  <c r="H127" l="1"/>
  <c r="E127"/>
  <c r="B127"/>
  <c r="H126"/>
  <c r="E126"/>
  <c r="B126"/>
  <c r="H125"/>
  <c r="E125"/>
  <c r="B125"/>
  <c r="H124"/>
  <c r="E124"/>
  <c r="B124"/>
  <c r="H123"/>
  <c r="E123"/>
  <c r="B123"/>
  <c r="H122"/>
  <c r="E122"/>
  <c r="B122"/>
  <c r="H121"/>
  <c r="E121"/>
  <c r="B121"/>
  <c r="H120"/>
  <c r="E120"/>
  <c r="B120"/>
  <c r="H119"/>
  <c r="E119"/>
  <c r="B119"/>
  <c r="H118"/>
  <c r="E118"/>
  <c r="B118"/>
  <c r="H117"/>
  <c r="E117"/>
  <c r="B117"/>
  <c r="H116"/>
  <c r="E116"/>
  <c r="B116"/>
  <c r="H115"/>
  <c r="E115"/>
  <c r="B115"/>
  <c r="H114"/>
  <c r="E114"/>
  <c r="B114"/>
  <c r="H113"/>
  <c r="E113"/>
  <c r="B113"/>
  <c r="H112"/>
  <c r="E112"/>
  <c r="B112"/>
  <c r="H111"/>
  <c r="E111"/>
  <c r="B111"/>
  <c r="H110"/>
  <c r="E110"/>
  <c r="B110"/>
  <c r="H109"/>
  <c r="E109"/>
  <c r="B109"/>
  <c r="H108"/>
  <c r="E108"/>
  <c r="B108"/>
  <c r="J107"/>
  <c r="I107"/>
  <c r="H107" s="1"/>
  <c r="G107"/>
  <c r="G105" s="1"/>
  <c r="F107"/>
  <c r="D107"/>
  <c r="C107"/>
  <c r="B107"/>
  <c r="H106"/>
  <c r="E106"/>
  <c r="B106"/>
  <c r="J105"/>
  <c r="F105"/>
  <c r="E105" s="1"/>
  <c r="D105"/>
  <c r="C105"/>
  <c r="B105"/>
  <c r="H102"/>
  <c r="B102"/>
  <c r="H101"/>
  <c r="B101"/>
  <c r="H100"/>
  <c r="B100"/>
  <c r="H99"/>
  <c r="B99"/>
  <c r="H98"/>
  <c r="B98"/>
  <c r="H97"/>
  <c r="B97"/>
  <c r="H96"/>
  <c r="B96"/>
  <c r="H95"/>
  <c r="B95"/>
  <c r="H94"/>
  <c r="B94"/>
  <c r="H93"/>
  <c r="B93"/>
  <c r="H92"/>
  <c r="B92"/>
  <c r="H91"/>
  <c r="B91"/>
  <c r="H90"/>
  <c r="B90"/>
  <c r="H89"/>
  <c r="B89"/>
  <c r="H88"/>
  <c r="B88"/>
  <c r="H87"/>
  <c r="B87"/>
  <c r="H86"/>
  <c r="B86"/>
  <c r="H85"/>
  <c r="B85"/>
  <c r="H84"/>
  <c r="B84"/>
  <c r="B83"/>
  <c r="J82"/>
  <c r="I82"/>
  <c r="H82"/>
  <c r="G82"/>
  <c r="F82"/>
  <c r="E82" s="1"/>
  <c r="D82"/>
  <c r="C82"/>
  <c r="C80" s="1"/>
  <c r="H81"/>
  <c r="B81"/>
  <c r="J80"/>
  <c r="I80"/>
  <c r="G80"/>
  <c r="D80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 s="1"/>
  <c r="J57"/>
  <c r="I57"/>
  <c r="H57" s="1"/>
  <c r="G57"/>
  <c r="F57"/>
  <c r="E57" s="1"/>
  <c r="D57"/>
  <c r="C57"/>
  <c r="B56"/>
  <c r="J55"/>
  <c r="I55"/>
  <c r="H55" s="1"/>
  <c r="G55"/>
  <c r="F55"/>
  <c r="E55" s="1"/>
  <c r="D55"/>
  <c r="C55"/>
  <c r="B55" s="1"/>
  <c r="H52"/>
  <c r="E52"/>
  <c r="B52"/>
  <c r="H51"/>
  <c r="E51"/>
  <c r="B51"/>
  <c r="H50"/>
  <c r="E50"/>
  <c r="B50"/>
  <c r="H49"/>
  <c r="E49"/>
  <c r="B49"/>
  <c r="H48"/>
  <c r="E48"/>
  <c r="B48"/>
  <c r="H47"/>
  <c r="E47"/>
  <c r="B47"/>
  <c r="H46"/>
  <c r="E46"/>
  <c r="B46"/>
  <c r="H45"/>
  <c r="E45"/>
  <c r="B45"/>
  <c r="H44"/>
  <c r="E44"/>
  <c r="B44"/>
  <c r="H43"/>
  <c r="E43"/>
  <c r="B43"/>
  <c r="H42"/>
  <c r="E42"/>
  <c r="B42"/>
  <c r="H41"/>
  <c r="E41"/>
  <c r="B41"/>
  <c r="H40"/>
  <c r="E40"/>
  <c r="B40"/>
  <c r="H39"/>
  <c r="E39"/>
  <c r="B39"/>
  <c r="H38"/>
  <c r="E38"/>
  <c r="B38"/>
  <c r="H37"/>
  <c r="E37"/>
  <c r="B37"/>
  <c r="H36"/>
  <c r="E36"/>
  <c r="B36"/>
  <c r="H35"/>
  <c r="E35"/>
  <c r="B35"/>
  <c r="H34"/>
  <c r="E34"/>
  <c r="B34"/>
  <c r="H33"/>
  <c r="E33"/>
  <c r="B33"/>
  <c r="J32"/>
  <c r="I32"/>
  <c r="H32"/>
  <c r="G32"/>
  <c r="F32"/>
  <c r="E32" s="1"/>
  <c r="D32"/>
  <c r="C32"/>
  <c r="B32"/>
  <c r="H31"/>
  <c r="E31"/>
  <c r="B31"/>
  <c r="J30"/>
  <c r="I30"/>
  <c r="H30"/>
  <c r="G30"/>
  <c r="F30"/>
  <c r="E30" s="1"/>
  <c r="D30"/>
  <c r="C30"/>
  <c r="B30"/>
  <c r="H27"/>
  <c r="E27"/>
  <c r="D27"/>
  <c r="C27"/>
  <c r="B27" s="1"/>
  <c r="H26"/>
  <c r="E26"/>
  <c r="D26"/>
  <c r="C26"/>
  <c r="B26"/>
  <c r="H25"/>
  <c r="E25"/>
  <c r="D25"/>
  <c r="C25"/>
  <c r="B25" s="1"/>
  <c r="H24"/>
  <c r="E24"/>
  <c r="D24"/>
  <c r="C24"/>
  <c r="B24"/>
  <c r="H23"/>
  <c r="E23"/>
  <c r="D23"/>
  <c r="C23"/>
  <c r="B23" s="1"/>
  <c r="H22"/>
  <c r="E22"/>
  <c r="D22"/>
  <c r="C22"/>
  <c r="B22"/>
  <c r="H21"/>
  <c r="E21"/>
  <c r="D21"/>
  <c r="C21"/>
  <c r="B21" s="1"/>
  <c r="H20"/>
  <c r="E20"/>
  <c r="D20"/>
  <c r="C20"/>
  <c r="B20"/>
  <c r="H19"/>
  <c r="E19"/>
  <c r="D19"/>
  <c r="C19"/>
  <c r="B19" s="1"/>
  <c r="H18"/>
  <c r="E18"/>
  <c r="D18"/>
  <c r="C18"/>
  <c r="B18"/>
  <c r="H17"/>
  <c r="E17"/>
  <c r="D17"/>
  <c r="C17"/>
  <c r="B17" s="1"/>
  <c r="H16"/>
  <c r="E16"/>
  <c r="D16"/>
  <c r="C16"/>
  <c r="B16"/>
  <c r="H15"/>
  <c r="E15"/>
  <c r="D15"/>
  <c r="C15"/>
  <c r="B15" s="1"/>
  <c r="H14"/>
  <c r="E14"/>
  <c r="D14"/>
  <c r="C14"/>
  <c r="B14"/>
  <c r="H13"/>
  <c r="E13"/>
  <c r="D13"/>
  <c r="C13"/>
  <c r="B13" s="1"/>
  <c r="H12"/>
  <c r="E12"/>
  <c r="D12"/>
  <c r="C12"/>
  <c r="B12"/>
  <c r="H11"/>
  <c r="E11"/>
  <c r="D11"/>
  <c r="C11"/>
  <c r="B11" s="1"/>
  <c r="H10"/>
  <c r="E10"/>
  <c r="D10"/>
  <c r="C10"/>
  <c r="B10"/>
  <c r="H9"/>
  <c r="E9"/>
  <c r="D9"/>
  <c r="C9"/>
  <c r="B9" s="1"/>
  <c r="H8"/>
  <c r="E8"/>
  <c r="D8"/>
  <c r="C8"/>
  <c r="B8"/>
  <c r="J7"/>
  <c r="H7"/>
  <c r="G7"/>
  <c r="E7"/>
  <c r="D7"/>
  <c r="H6"/>
  <c r="E6"/>
  <c r="D6"/>
  <c r="C6"/>
  <c r="B6" s="1"/>
  <c r="J5"/>
  <c r="I5"/>
  <c r="H5"/>
  <c r="G5"/>
  <c r="F5"/>
  <c r="B80" l="1"/>
  <c r="B82"/>
  <c r="D5"/>
  <c r="E5"/>
  <c r="C7"/>
  <c r="B7" s="1"/>
  <c r="F80"/>
  <c r="E80" s="1"/>
  <c r="H80"/>
  <c r="I105"/>
  <c r="H105" s="1"/>
  <c r="E107"/>
  <c r="C5" l="1"/>
  <c r="B5" s="1"/>
</calcChain>
</file>

<file path=xl/sharedStrings.xml><?xml version="1.0" encoding="utf-8"?>
<sst xmlns="http://schemas.openxmlformats.org/spreadsheetml/2006/main" count="186" uniqueCount="49">
  <si>
    <t xml:space="preserve">  Locality</t>
  </si>
  <si>
    <t>Total</t>
  </si>
  <si>
    <t>Republic</t>
  </si>
  <si>
    <t>Male'</t>
  </si>
  <si>
    <t>Atolls</t>
  </si>
  <si>
    <t>S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</si>
  <si>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</si>
  <si>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</si>
  <si>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</si>
  <si>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</si>
  <si>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</si>
  <si>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</si>
  <si>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</si>
  <si>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</si>
  <si>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</si>
  <si>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</si>
  <si>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</si>
  <si>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</si>
  <si>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</si>
  <si>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</si>
  <si>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</si>
  <si>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Source: Ministry of Education</t>
  </si>
  <si>
    <t>cnwxEkuaiDea cfoa IrcTcsinim :ctWrwf ivcaed utWmUluAwm</t>
  </si>
  <si>
    <t>Male</t>
  </si>
  <si>
    <t>Female</t>
  </si>
  <si>
    <t>Special Classes  1_/</t>
  </si>
  <si>
    <t>1_/  For children with special needs.</t>
  </si>
  <si>
    <t>.cawtcsWlck egcniduk WvcnunEb cSwaIhea wBcaWK  1_/</t>
  </si>
  <si>
    <t xml:space="preserve">Both Sexes </t>
  </si>
  <si>
    <t>Adh</t>
  </si>
  <si>
    <t>HA</t>
  </si>
  <si>
    <t>HDh</t>
  </si>
  <si>
    <t>Sh</t>
  </si>
  <si>
    <t>R</t>
  </si>
  <si>
    <t>ތާވަލް 7.10: މާލޭއާއި އަތޮޅުތަކުގެ މަދަރުސާތަކުގެ އެކި ފަންތީގައި ކިޔަވާކުދިންގެ އަދަދު، ގްރޭޑް އަދި ޖިންސް ވަކިން 2012</t>
  </si>
  <si>
    <t>Table 7.10 : STUDENT ENROLMENT IN MALE' AND ATOLLS, BY GRADE AND SEX, 2012</t>
  </si>
  <si>
    <t>Pre-primary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</si>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</sst>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  <numFmt numFmtId="167" formatCode="_(* ###0_);_(* \(###0\);_(* &quot;&quot;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color theme="1"/>
      <name val="Faruma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6" fontId="8" fillId="0" borderId="0"/>
    <xf numFmtId="165" fontId="8" fillId="0" borderId="0"/>
    <xf numFmtId="165" fontId="8" fillId="0" borderId="0"/>
  </cellStyleXfs>
  <cellXfs count="64">
    <xf numFmtId="0" fontId="0" fillId="0" borderId="0" xfId="0"/>
    <xf numFmtId="164" fontId="0" fillId="2" borderId="0" xfId="0" applyNumberFormat="1" applyFill="1"/>
    <xf numFmtId="164" fontId="3" fillId="2" borderId="0" xfId="0" applyNumberFormat="1" applyFont="1" applyFill="1" applyAlignment="1" applyProtection="1">
      <alignment horizontal="left"/>
    </xf>
    <xf numFmtId="164" fontId="5" fillId="2" borderId="0" xfId="0" applyNumberFormat="1" applyFont="1" applyFill="1" applyBorder="1" applyAlignment="1">
      <alignment horizontal="right"/>
    </xf>
    <xf numFmtId="164" fontId="6" fillId="2" borderId="0" xfId="0" applyNumberFormat="1" applyFont="1" applyFill="1" applyBorder="1" applyAlignment="1"/>
    <xf numFmtId="164" fontId="6" fillId="2" borderId="0" xfId="0" applyNumberFormat="1" applyFont="1" applyFill="1" applyAlignment="1" applyProtection="1">
      <alignment horizontal="left"/>
    </xf>
    <xf numFmtId="38" fontId="4" fillId="2" borderId="0" xfId="1" applyNumberFormat="1" applyFont="1" applyFill="1" applyBorder="1" applyAlignment="1">
      <alignment horizontal="right"/>
    </xf>
    <xf numFmtId="164" fontId="5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164" fontId="3" fillId="2" borderId="1" xfId="0" applyNumberFormat="1" applyFont="1" applyFill="1" applyBorder="1" applyAlignment="1" applyProtection="1">
      <alignment horizontal="right" vertical="top" wrapText="1"/>
    </xf>
    <xf numFmtId="164" fontId="4" fillId="2" borderId="0" xfId="0" applyNumberFormat="1" applyFont="1" applyFill="1" applyAlignment="1" applyProtection="1">
      <alignment horizontal="left" vertical="center"/>
    </xf>
    <xf numFmtId="164" fontId="4" fillId="2" borderId="1" xfId="0" applyNumberFormat="1" applyFont="1" applyFill="1" applyBorder="1" applyAlignment="1" applyProtection="1">
      <alignment horizontal="left" vertical="center"/>
    </xf>
    <xf numFmtId="164" fontId="3" fillId="2" borderId="2" xfId="0" applyNumberFormat="1" applyFont="1" applyFill="1" applyBorder="1" applyAlignment="1" applyProtection="1">
      <alignment horizontal="left" vertical="center"/>
    </xf>
    <xf numFmtId="164" fontId="3" fillId="2" borderId="3" xfId="0" applyNumberFormat="1" applyFont="1" applyFill="1" applyBorder="1" applyAlignment="1" applyProtection="1">
      <alignment horizontal="right" wrapText="1"/>
    </xf>
    <xf numFmtId="164" fontId="3" fillId="2" borderId="1" xfId="0" applyNumberFormat="1" applyFont="1" applyFill="1" applyBorder="1" applyAlignment="1" applyProtection="1">
      <alignment horizontal="right" wrapText="1"/>
    </xf>
    <xf numFmtId="164" fontId="3" fillId="2" borderId="3" xfId="0" applyNumberFormat="1" applyFont="1" applyFill="1" applyBorder="1" applyAlignment="1" applyProtection="1">
      <alignment horizontal="right" vertical="top" wrapText="1"/>
    </xf>
    <xf numFmtId="164" fontId="7" fillId="2" borderId="0" xfId="0" applyNumberFormat="1" applyFont="1" applyFill="1" applyAlignment="1">
      <alignment vertical="center"/>
    </xf>
    <xf numFmtId="164" fontId="2" fillId="2" borderId="0" xfId="0" applyNumberFormat="1" applyFont="1" applyFill="1" applyAlignment="1"/>
    <xf numFmtId="3" fontId="3" fillId="2" borderId="0" xfId="0" applyNumberFormat="1" applyFont="1" applyFill="1" applyBorder="1" applyAlignment="1" applyProtection="1">
      <alignment vertical="center"/>
    </xf>
    <xf numFmtId="3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 applyProtection="1">
      <alignment vertical="center"/>
    </xf>
    <xf numFmtId="3" fontId="4" fillId="2" borderId="0" xfId="0" applyNumberFormat="1" applyFont="1" applyFill="1" applyBorder="1" applyAlignment="1">
      <alignment vertical="center"/>
    </xf>
    <xf numFmtId="3" fontId="4" fillId="2" borderId="1" xfId="0" applyNumberFormat="1" applyFont="1" applyFill="1" applyBorder="1" applyAlignment="1" applyProtection="1">
      <alignment vertical="center"/>
    </xf>
    <xf numFmtId="167" fontId="3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right" vertical="center" wrapText="1"/>
    </xf>
    <xf numFmtId="3" fontId="4" fillId="2" borderId="1" xfId="0" applyNumberFormat="1" applyFont="1" applyFill="1" applyBorder="1" applyAlignment="1">
      <alignment vertical="center"/>
    </xf>
    <xf numFmtId="0" fontId="11" fillId="2" borderId="0" xfId="0" applyNumberFormat="1" applyFont="1" applyFill="1" applyBorder="1" applyAlignment="1">
      <alignment horizontal="right" vertical="center" wrapText="1"/>
    </xf>
    <xf numFmtId="3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NumberFormat="1" applyFont="1" applyFill="1" applyBorder="1" applyAlignment="1" applyProtection="1">
      <alignment horizontal="right" vertical="center"/>
    </xf>
    <xf numFmtId="164" fontId="11" fillId="2" borderId="1" xfId="0" applyNumberFormat="1" applyFont="1" applyFill="1" applyBorder="1" applyAlignment="1">
      <alignment horizontal="right" vertical="center" wrapText="1"/>
    </xf>
    <xf numFmtId="3" fontId="4" fillId="2" borderId="1" xfId="0" applyNumberFormat="1" applyFont="1" applyFill="1" applyBorder="1" applyAlignment="1" applyProtection="1">
      <alignment horizontal="right" vertical="center"/>
    </xf>
    <xf numFmtId="1" fontId="4" fillId="2" borderId="1" xfId="0" applyNumberFormat="1" applyFont="1" applyFill="1" applyBorder="1" applyAlignment="1" applyProtection="1">
      <alignment horizontal="right" vertical="center"/>
    </xf>
    <xf numFmtId="3" fontId="3" fillId="2" borderId="1" xfId="0" applyNumberFormat="1" applyFont="1" applyFill="1" applyBorder="1" applyAlignment="1">
      <alignment vertical="center"/>
    </xf>
    <xf numFmtId="3" fontId="3" fillId="2" borderId="1" xfId="0" applyNumberFormat="1" applyFont="1" applyFill="1" applyBorder="1" applyAlignment="1" applyProtection="1">
      <alignment vertical="center"/>
    </xf>
    <xf numFmtId="164" fontId="12" fillId="2" borderId="1" xfId="0" applyNumberFormat="1" applyFont="1" applyFill="1" applyBorder="1" applyAlignment="1">
      <alignment horizontal="right" vertical="center" wrapText="1"/>
    </xf>
    <xf numFmtId="164" fontId="3" fillId="2" borderId="6" xfId="0" applyNumberFormat="1" applyFont="1" applyFill="1" applyBorder="1" applyAlignment="1" applyProtection="1">
      <alignment horizontal="right" vertical="top" wrapText="1"/>
    </xf>
    <xf numFmtId="164" fontId="3" fillId="2" borderId="7" xfId="0" applyNumberFormat="1" applyFont="1" applyFill="1" applyBorder="1" applyAlignment="1" applyProtection="1">
      <alignment horizontal="right" vertical="top" wrapText="1"/>
    </xf>
    <xf numFmtId="3" fontId="3" fillId="2" borderId="9" xfId="0" applyNumberFormat="1" applyFont="1" applyFill="1" applyBorder="1" applyAlignment="1">
      <alignment vertical="center"/>
    </xf>
    <xf numFmtId="38" fontId="4" fillId="2" borderId="8" xfId="1" applyNumberFormat="1" applyFont="1" applyFill="1" applyBorder="1" applyAlignment="1">
      <alignment horizontal="right"/>
    </xf>
    <xf numFmtId="164" fontId="3" fillId="2" borderId="6" xfId="0" applyNumberFormat="1" applyFont="1" applyFill="1" applyBorder="1" applyAlignment="1" applyProtection="1">
      <alignment horizontal="right" wrapText="1"/>
    </xf>
    <xf numFmtId="164" fontId="3" fillId="2" borderId="7" xfId="0" applyNumberFormat="1" applyFont="1" applyFill="1" applyBorder="1" applyAlignment="1" applyProtection="1">
      <alignment horizontal="right" wrapText="1"/>
    </xf>
    <xf numFmtId="167" fontId="3" fillId="2" borderId="8" xfId="0" applyNumberFormat="1" applyFont="1" applyFill="1" applyBorder="1" applyAlignment="1">
      <alignment horizontal="center" vertical="center"/>
    </xf>
    <xf numFmtId="164" fontId="11" fillId="2" borderId="8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vertical="center"/>
    </xf>
    <xf numFmtId="3" fontId="3" fillId="2" borderId="8" xfId="0" applyNumberFormat="1" applyFont="1" applyFill="1" applyBorder="1" applyAlignment="1">
      <alignment vertical="center"/>
    </xf>
    <xf numFmtId="3" fontId="3" fillId="2" borderId="8" xfId="0" applyNumberFormat="1" applyFont="1" applyFill="1" applyBorder="1" applyAlignment="1" applyProtection="1">
      <alignment vertical="center"/>
    </xf>
    <xf numFmtId="0" fontId="11" fillId="2" borderId="8" xfId="0" applyNumberFormat="1" applyFont="1" applyFill="1" applyBorder="1" applyAlignment="1">
      <alignment horizontal="right" vertical="center" wrapText="1"/>
    </xf>
    <xf numFmtId="3" fontId="4" fillId="2" borderId="8" xfId="0" applyNumberFormat="1" applyFont="1" applyFill="1" applyBorder="1" applyAlignment="1" applyProtection="1">
      <alignment horizontal="right" vertical="center"/>
    </xf>
    <xf numFmtId="1" fontId="4" fillId="2" borderId="8" xfId="0" applyNumberFormat="1" applyFont="1" applyFill="1" applyBorder="1" applyAlignment="1" applyProtection="1">
      <alignment horizontal="right" vertical="center"/>
    </xf>
    <xf numFmtId="0" fontId="4" fillId="2" borderId="8" xfId="0" applyNumberFormat="1" applyFont="1" applyFill="1" applyBorder="1" applyAlignment="1" applyProtection="1">
      <alignment horizontal="right" vertical="center"/>
    </xf>
    <xf numFmtId="3" fontId="3" fillId="2" borderId="6" xfId="0" applyNumberFormat="1" applyFont="1" applyFill="1" applyBorder="1" applyAlignment="1">
      <alignment vertical="center"/>
    </xf>
    <xf numFmtId="3" fontId="4" fillId="2" borderId="7" xfId="0" applyNumberFormat="1" applyFont="1" applyFill="1" applyBorder="1" applyAlignment="1" applyProtection="1">
      <alignment horizontal="right" vertical="center"/>
    </xf>
    <xf numFmtId="164" fontId="10" fillId="2" borderId="4" xfId="3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 applyProtection="1">
      <alignment horizontal="center" vertical="center"/>
    </xf>
    <xf numFmtId="164" fontId="3" fillId="2" borderId="11" xfId="0" applyNumberFormat="1" applyFont="1" applyFill="1" applyBorder="1" applyAlignment="1" applyProtection="1">
      <alignment horizontal="center" vertical="center"/>
    </xf>
    <xf numFmtId="164" fontId="3" fillId="2" borderId="10" xfId="0" applyNumberFormat="1" applyFont="1" applyFill="1" applyBorder="1" applyAlignment="1" applyProtection="1">
      <alignment horizontal="center" vertical="center"/>
    </xf>
    <xf numFmtId="164" fontId="3" fillId="2" borderId="2" xfId="0" applyNumberFormat="1" applyFont="1" applyFill="1" applyBorder="1" applyAlignment="1" applyProtection="1">
      <alignment horizontal="left" vertical="center"/>
    </xf>
    <xf numFmtId="164" fontId="3" fillId="2" borderId="1" xfId="0" applyNumberFormat="1" applyFont="1" applyFill="1" applyBorder="1" applyAlignment="1" applyProtection="1">
      <alignment horizontal="left" vertical="center"/>
    </xf>
    <xf numFmtId="3" fontId="3" fillId="2" borderId="3" xfId="0" applyNumberFormat="1" applyFont="1" applyFill="1" applyBorder="1" applyAlignment="1" applyProtection="1">
      <alignment horizontal="center" vertical="center"/>
    </xf>
    <xf numFmtId="3" fontId="3" fillId="2" borderId="11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 2 2 2" xfId="2"/>
    <cellStyle name="Normal 6" xfId="5"/>
    <cellStyle name="Normal 7" xfId="4"/>
    <cellStyle name="Normal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6"/>
  <sheetViews>
    <sheetView tabSelected="1" workbookViewId="0">
      <selection activeCell="E12" sqref="E12"/>
    </sheetView>
  </sheetViews>
  <sheetFormatPr defaultRowHeight="15"/>
  <cols>
    <col min="1" max="1" width="12.5703125" style="1" customWidth="1"/>
    <col min="2" max="4" width="10.85546875" style="1" customWidth="1"/>
    <col min="5" max="5" width="11.140625" style="1" customWidth="1"/>
    <col min="6" max="10" width="10.85546875" style="1" customWidth="1"/>
    <col min="11" max="16384" width="9.140625" style="1"/>
  </cols>
  <sheetData>
    <row r="1" spans="1:10" ht="21.75">
      <c r="A1" s="54" t="s">
        <v>34</v>
      </c>
      <c r="B1" s="54"/>
      <c r="C1" s="54"/>
      <c r="D1" s="54"/>
      <c r="E1" s="54"/>
      <c r="F1" s="54"/>
      <c r="G1" s="54"/>
      <c r="H1" s="54"/>
      <c r="I1" s="54"/>
      <c r="J1" s="54"/>
    </row>
    <row r="2" spans="1:10">
      <c r="A2" s="55" t="s">
        <v>35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s="8" customFormat="1">
      <c r="A3" s="59" t="s">
        <v>0</v>
      </c>
      <c r="B3" s="56" t="s">
        <v>1</v>
      </c>
      <c r="C3" s="56"/>
      <c r="D3" s="56"/>
      <c r="E3" s="57" t="s">
        <v>36</v>
      </c>
      <c r="F3" s="56"/>
      <c r="G3" s="58"/>
      <c r="H3" s="56" t="s">
        <v>37</v>
      </c>
      <c r="I3" s="56"/>
      <c r="J3" s="56"/>
    </row>
    <row r="4" spans="1:10">
      <c r="A4" s="60"/>
      <c r="B4" s="10" t="s">
        <v>28</v>
      </c>
      <c r="C4" s="10" t="s">
        <v>23</v>
      </c>
      <c r="D4" s="10" t="s">
        <v>24</v>
      </c>
      <c r="E4" s="37" t="s">
        <v>28</v>
      </c>
      <c r="F4" s="10" t="s">
        <v>23</v>
      </c>
      <c r="G4" s="38" t="s">
        <v>24</v>
      </c>
      <c r="H4" s="10" t="s">
        <v>28</v>
      </c>
      <c r="I4" s="10" t="s">
        <v>23</v>
      </c>
      <c r="J4" s="10" t="s">
        <v>24</v>
      </c>
    </row>
    <row r="5" spans="1:10">
      <c r="A5" s="2" t="s">
        <v>2</v>
      </c>
      <c r="B5" s="19">
        <f>SUM(C5:D5)</f>
        <v>86510</v>
      </c>
      <c r="C5" s="19">
        <f>F5+I5+C30+F30+I30+C55+F55+I55+C80+F80+I80+C105+F105+I105</f>
        <v>44420</v>
      </c>
      <c r="D5" s="19">
        <f>G5+J5+D30+G30+J30+D55+G55+J55+D80+G80+J80+D105+G105+J105</f>
        <v>42090</v>
      </c>
      <c r="E5" s="39">
        <f>F5+G5</f>
        <v>22049</v>
      </c>
      <c r="F5" s="6">
        <f>F6+F7</f>
        <v>11224</v>
      </c>
      <c r="G5" s="40">
        <f>G6+G7</f>
        <v>10825</v>
      </c>
      <c r="H5" s="20">
        <f>I5+J5</f>
        <v>5640</v>
      </c>
      <c r="I5" s="6">
        <f>I6+I7</f>
        <v>2883</v>
      </c>
      <c r="J5" s="6">
        <f>J6+J7</f>
        <v>2757</v>
      </c>
    </row>
    <row r="6" spans="1:10">
      <c r="A6" s="2" t="s">
        <v>3</v>
      </c>
      <c r="B6" s="19">
        <f t="shared" ref="B6:B27" si="0">SUM(C6:D6)</f>
        <v>26583</v>
      </c>
      <c r="C6" s="19">
        <f t="shared" ref="C6:D21" si="1">F6+I6+C31+F31+I31+C56+F56+I56+C81+F81+I81+C106+F106+I106</f>
        <v>13426</v>
      </c>
      <c r="D6" s="19">
        <f t="shared" si="1"/>
        <v>13157</v>
      </c>
      <c r="E6" s="39">
        <f t="shared" ref="E6:E27" si="2">F6+G6</f>
        <v>7025</v>
      </c>
      <c r="F6" s="6">
        <v>3522</v>
      </c>
      <c r="G6" s="40">
        <v>3503</v>
      </c>
      <c r="H6" s="20">
        <f t="shared" ref="H6:H27" si="3">I6+J6</f>
        <v>1664</v>
      </c>
      <c r="I6" s="6">
        <v>855</v>
      </c>
      <c r="J6" s="6">
        <v>809</v>
      </c>
    </row>
    <row r="7" spans="1:10">
      <c r="A7" s="2" t="s">
        <v>4</v>
      </c>
      <c r="B7" s="19">
        <f t="shared" si="0"/>
        <v>59927</v>
      </c>
      <c r="C7" s="19">
        <f t="shared" si="1"/>
        <v>30994</v>
      </c>
      <c r="D7" s="19">
        <f t="shared" si="1"/>
        <v>28933</v>
      </c>
      <c r="E7" s="39">
        <f t="shared" si="2"/>
        <v>15024</v>
      </c>
      <c r="F7" s="6">
        <f>SUM(F8:F27)</f>
        <v>7702</v>
      </c>
      <c r="G7" s="40">
        <f>SUM(G8:G27)</f>
        <v>7322</v>
      </c>
      <c r="H7" s="20">
        <f t="shared" si="3"/>
        <v>3976</v>
      </c>
      <c r="I7" s="6">
        <f>SUM(I8:I27)</f>
        <v>2028</v>
      </c>
      <c r="J7" s="6">
        <f>SUM(J8:J27)</f>
        <v>1948</v>
      </c>
    </row>
    <row r="8" spans="1:10">
      <c r="A8" s="11" t="s">
        <v>30</v>
      </c>
      <c r="B8" s="19">
        <f t="shared" si="0"/>
        <v>4133</v>
      </c>
      <c r="C8" s="19">
        <f t="shared" si="1"/>
        <v>2110</v>
      </c>
      <c r="D8" s="19">
        <f t="shared" si="1"/>
        <v>2023</v>
      </c>
      <c r="E8" s="39">
        <f t="shared" si="2"/>
        <v>830</v>
      </c>
      <c r="F8" s="6">
        <v>440</v>
      </c>
      <c r="G8" s="40">
        <v>390</v>
      </c>
      <c r="H8" s="20">
        <f t="shared" si="3"/>
        <v>265</v>
      </c>
      <c r="I8" s="19">
        <v>134</v>
      </c>
      <c r="J8" s="19">
        <v>131</v>
      </c>
    </row>
    <row r="9" spans="1:10">
      <c r="A9" s="11" t="s">
        <v>31</v>
      </c>
      <c r="B9" s="19">
        <f t="shared" si="0"/>
        <v>5510</v>
      </c>
      <c r="C9" s="19">
        <f t="shared" si="1"/>
        <v>2903</v>
      </c>
      <c r="D9" s="19">
        <f t="shared" si="1"/>
        <v>2607</v>
      </c>
      <c r="E9" s="39">
        <f t="shared" si="2"/>
        <v>1479</v>
      </c>
      <c r="F9" s="6">
        <v>747</v>
      </c>
      <c r="G9" s="40">
        <v>732</v>
      </c>
      <c r="H9" s="20">
        <f t="shared" si="3"/>
        <v>351</v>
      </c>
      <c r="I9" s="23">
        <v>189</v>
      </c>
      <c r="J9" s="23">
        <v>162</v>
      </c>
    </row>
    <row r="10" spans="1:10">
      <c r="A10" s="11" t="s">
        <v>32</v>
      </c>
      <c r="B10" s="19">
        <f t="shared" si="0"/>
        <v>3962</v>
      </c>
      <c r="C10" s="19">
        <f t="shared" si="1"/>
        <v>2090</v>
      </c>
      <c r="D10" s="19">
        <f t="shared" si="1"/>
        <v>1872</v>
      </c>
      <c r="E10" s="39">
        <f t="shared" si="2"/>
        <v>976</v>
      </c>
      <c r="F10" s="6">
        <v>493</v>
      </c>
      <c r="G10" s="40">
        <v>483</v>
      </c>
      <c r="H10" s="20">
        <f t="shared" si="3"/>
        <v>256</v>
      </c>
      <c r="I10" s="23">
        <v>122</v>
      </c>
      <c r="J10" s="23">
        <v>134</v>
      </c>
    </row>
    <row r="11" spans="1:10">
      <c r="A11" s="11" t="s">
        <v>20</v>
      </c>
      <c r="B11" s="19">
        <f t="shared" si="0"/>
        <v>3266</v>
      </c>
      <c r="C11" s="19">
        <f t="shared" si="1"/>
        <v>1678</v>
      </c>
      <c r="D11" s="19">
        <f t="shared" si="1"/>
        <v>1588</v>
      </c>
      <c r="E11" s="39">
        <f t="shared" si="2"/>
        <v>795</v>
      </c>
      <c r="F11" s="6">
        <v>412</v>
      </c>
      <c r="G11" s="40">
        <v>383</v>
      </c>
      <c r="H11" s="20">
        <f t="shared" si="3"/>
        <v>197</v>
      </c>
      <c r="I11" s="23">
        <v>108</v>
      </c>
      <c r="J11" s="23">
        <v>89</v>
      </c>
    </row>
    <row r="12" spans="1:10">
      <c r="A12" s="11" t="s">
        <v>33</v>
      </c>
      <c r="B12" s="19">
        <f t="shared" si="0"/>
        <v>4918</v>
      </c>
      <c r="C12" s="19">
        <f t="shared" si="1"/>
        <v>2558</v>
      </c>
      <c r="D12" s="19">
        <f t="shared" si="1"/>
        <v>2360</v>
      </c>
      <c r="E12" s="39">
        <f t="shared" si="2"/>
        <v>1153</v>
      </c>
      <c r="F12" s="6">
        <v>595</v>
      </c>
      <c r="G12" s="40">
        <v>558</v>
      </c>
      <c r="H12" s="20">
        <f t="shared" si="3"/>
        <v>334</v>
      </c>
      <c r="I12" s="23">
        <v>163</v>
      </c>
      <c r="J12" s="23">
        <v>171</v>
      </c>
    </row>
    <row r="13" spans="1:10">
      <c r="A13" s="11" t="s">
        <v>6</v>
      </c>
      <c r="B13" s="19">
        <f t="shared" si="0"/>
        <v>2857</v>
      </c>
      <c r="C13" s="19">
        <f t="shared" si="1"/>
        <v>1539</v>
      </c>
      <c r="D13" s="19">
        <f t="shared" si="1"/>
        <v>1318</v>
      </c>
      <c r="E13" s="39">
        <f t="shared" si="2"/>
        <v>609</v>
      </c>
      <c r="F13" s="6">
        <v>333</v>
      </c>
      <c r="G13" s="40">
        <v>276</v>
      </c>
      <c r="H13" s="20">
        <f t="shared" si="3"/>
        <v>180</v>
      </c>
      <c r="I13" s="23">
        <v>94</v>
      </c>
      <c r="J13" s="23">
        <v>86</v>
      </c>
    </row>
    <row r="14" spans="1:10">
      <c r="A14" s="11" t="s">
        <v>7</v>
      </c>
      <c r="B14" s="19">
        <f t="shared" si="0"/>
        <v>2341</v>
      </c>
      <c r="C14" s="19">
        <f t="shared" si="1"/>
        <v>1176</v>
      </c>
      <c r="D14" s="19">
        <f t="shared" si="1"/>
        <v>1165</v>
      </c>
      <c r="E14" s="39">
        <f t="shared" si="2"/>
        <v>558</v>
      </c>
      <c r="F14" s="6">
        <v>274</v>
      </c>
      <c r="G14" s="40">
        <v>284</v>
      </c>
      <c r="H14" s="20">
        <f t="shared" si="3"/>
        <v>178</v>
      </c>
      <c r="I14" s="23">
        <v>91</v>
      </c>
      <c r="J14" s="23">
        <v>87</v>
      </c>
    </row>
    <row r="15" spans="1:10">
      <c r="A15" s="11" t="s">
        <v>9</v>
      </c>
      <c r="B15" s="19">
        <f t="shared" si="0"/>
        <v>2901</v>
      </c>
      <c r="C15" s="19">
        <f t="shared" si="1"/>
        <v>1490</v>
      </c>
      <c r="D15" s="19">
        <f t="shared" si="1"/>
        <v>1411</v>
      </c>
      <c r="E15" s="39">
        <f t="shared" si="2"/>
        <v>815</v>
      </c>
      <c r="F15" s="6">
        <v>418</v>
      </c>
      <c r="G15" s="40">
        <v>397</v>
      </c>
      <c r="H15" s="20">
        <f t="shared" si="3"/>
        <v>200</v>
      </c>
      <c r="I15" s="23">
        <v>104</v>
      </c>
      <c r="J15" s="23">
        <v>96</v>
      </c>
    </row>
    <row r="16" spans="1:10">
      <c r="A16" s="11" t="s">
        <v>10</v>
      </c>
      <c r="B16" s="19">
        <f t="shared" si="0"/>
        <v>1766</v>
      </c>
      <c r="C16" s="19">
        <f t="shared" si="1"/>
        <v>924</v>
      </c>
      <c r="D16" s="19">
        <f t="shared" si="1"/>
        <v>842</v>
      </c>
      <c r="E16" s="39">
        <f t="shared" si="2"/>
        <v>509</v>
      </c>
      <c r="F16" s="6">
        <v>254</v>
      </c>
      <c r="G16" s="40">
        <v>255</v>
      </c>
      <c r="H16" s="20">
        <f t="shared" si="3"/>
        <v>145</v>
      </c>
      <c r="I16" s="23">
        <v>80</v>
      </c>
      <c r="J16" s="23">
        <v>65</v>
      </c>
    </row>
    <row r="17" spans="1:10">
      <c r="A17" s="11" t="s">
        <v>29</v>
      </c>
      <c r="B17" s="19">
        <f t="shared" si="0"/>
        <v>2113</v>
      </c>
      <c r="C17" s="19">
        <f t="shared" si="1"/>
        <v>1121</v>
      </c>
      <c r="D17" s="19">
        <f t="shared" si="1"/>
        <v>992</v>
      </c>
      <c r="E17" s="39">
        <f t="shared" si="2"/>
        <v>621</v>
      </c>
      <c r="F17" s="6">
        <v>342</v>
      </c>
      <c r="G17" s="40">
        <v>279</v>
      </c>
      <c r="H17" s="20">
        <f t="shared" si="3"/>
        <v>164</v>
      </c>
      <c r="I17" s="23">
        <v>73</v>
      </c>
      <c r="J17" s="23">
        <v>91</v>
      </c>
    </row>
    <row r="18" spans="1:10">
      <c r="A18" s="11" t="s">
        <v>12</v>
      </c>
      <c r="B18" s="19">
        <f t="shared" si="0"/>
        <v>387</v>
      </c>
      <c r="C18" s="19">
        <f t="shared" si="1"/>
        <v>207</v>
      </c>
      <c r="D18" s="19">
        <f t="shared" si="1"/>
        <v>180</v>
      </c>
      <c r="E18" s="39">
        <f t="shared" si="2"/>
        <v>116</v>
      </c>
      <c r="F18" s="6">
        <v>57</v>
      </c>
      <c r="G18" s="40">
        <v>59</v>
      </c>
      <c r="H18" s="20">
        <f t="shared" si="3"/>
        <v>25</v>
      </c>
      <c r="I18" s="23">
        <v>16</v>
      </c>
      <c r="J18" s="23">
        <v>9</v>
      </c>
    </row>
    <row r="19" spans="1:10">
      <c r="A19" s="11" t="s">
        <v>13</v>
      </c>
      <c r="B19" s="19">
        <f t="shared" si="0"/>
        <v>1280</v>
      </c>
      <c r="C19" s="19">
        <f t="shared" si="1"/>
        <v>644</v>
      </c>
      <c r="D19" s="19">
        <f t="shared" si="1"/>
        <v>636</v>
      </c>
      <c r="E19" s="39">
        <f t="shared" si="2"/>
        <v>354</v>
      </c>
      <c r="F19" s="6">
        <v>173</v>
      </c>
      <c r="G19" s="40">
        <v>181</v>
      </c>
      <c r="H19" s="20">
        <f t="shared" si="3"/>
        <v>89</v>
      </c>
      <c r="I19" s="23">
        <v>41</v>
      </c>
      <c r="J19" s="23">
        <v>48</v>
      </c>
    </row>
    <row r="20" spans="1:10">
      <c r="A20" s="11" t="s">
        <v>14</v>
      </c>
      <c r="B20" s="19">
        <f t="shared" si="0"/>
        <v>1610</v>
      </c>
      <c r="C20" s="19">
        <f t="shared" si="1"/>
        <v>843</v>
      </c>
      <c r="D20" s="19">
        <f t="shared" si="1"/>
        <v>767</v>
      </c>
      <c r="E20" s="39">
        <f t="shared" si="2"/>
        <v>376</v>
      </c>
      <c r="F20" s="6">
        <v>208</v>
      </c>
      <c r="G20" s="40">
        <v>168</v>
      </c>
      <c r="H20" s="20">
        <f t="shared" si="3"/>
        <v>113</v>
      </c>
      <c r="I20" s="23">
        <v>55</v>
      </c>
      <c r="J20" s="23">
        <v>58</v>
      </c>
    </row>
    <row r="21" spans="1:10">
      <c r="A21" s="11" t="s">
        <v>15</v>
      </c>
      <c r="B21" s="19">
        <f t="shared" si="0"/>
        <v>1673</v>
      </c>
      <c r="C21" s="19">
        <f t="shared" si="1"/>
        <v>884</v>
      </c>
      <c r="D21" s="19">
        <f t="shared" si="1"/>
        <v>789</v>
      </c>
      <c r="E21" s="39">
        <f t="shared" si="2"/>
        <v>474</v>
      </c>
      <c r="F21" s="6">
        <v>256</v>
      </c>
      <c r="G21" s="40">
        <v>218</v>
      </c>
      <c r="H21" s="20">
        <f t="shared" si="3"/>
        <v>115</v>
      </c>
      <c r="I21" s="23">
        <v>61</v>
      </c>
      <c r="J21" s="23">
        <v>54</v>
      </c>
    </row>
    <row r="22" spans="1:10">
      <c r="A22" s="11" t="s">
        <v>16</v>
      </c>
      <c r="B22" s="19">
        <f t="shared" si="0"/>
        <v>2674</v>
      </c>
      <c r="C22" s="19">
        <f t="shared" ref="C22:D27" si="4">F22+I22+C47+F47+I47+C72+F72+I72+C97+F97+I97+C122+F122+I122</f>
        <v>1396</v>
      </c>
      <c r="D22" s="19">
        <f t="shared" si="4"/>
        <v>1278</v>
      </c>
      <c r="E22" s="39">
        <f t="shared" si="2"/>
        <v>738</v>
      </c>
      <c r="F22" s="6">
        <v>365</v>
      </c>
      <c r="G22" s="40">
        <v>373</v>
      </c>
      <c r="H22" s="20">
        <f t="shared" si="3"/>
        <v>176</v>
      </c>
      <c r="I22" s="23">
        <v>80</v>
      </c>
      <c r="J22" s="23">
        <v>96</v>
      </c>
    </row>
    <row r="23" spans="1:10">
      <c r="A23" s="11" t="s">
        <v>8</v>
      </c>
      <c r="B23" s="19">
        <f t="shared" si="0"/>
        <v>3950</v>
      </c>
      <c r="C23" s="19">
        <f t="shared" si="4"/>
        <v>2052</v>
      </c>
      <c r="D23" s="19">
        <f t="shared" si="4"/>
        <v>1898</v>
      </c>
      <c r="E23" s="39">
        <f t="shared" si="2"/>
        <v>992</v>
      </c>
      <c r="F23" s="6">
        <v>513</v>
      </c>
      <c r="G23" s="40">
        <v>479</v>
      </c>
      <c r="H23" s="20">
        <f t="shared" si="3"/>
        <v>272</v>
      </c>
      <c r="I23" s="23">
        <v>145</v>
      </c>
      <c r="J23" s="23">
        <v>127</v>
      </c>
    </row>
    <row r="24" spans="1:10">
      <c r="A24" s="11" t="s">
        <v>17</v>
      </c>
      <c r="B24" s="19">
        <f t="shared" si="0"/>
        <v>2722</v>
      </c>
      <c r="C24" s="19">
        <f t="shared" si="4"/>
        <v>1369</v>
      </c>
      <c r="D24" s="19">
        <f t="shared" si="4"/>
        <v>1353</v>
      </c>
      <c r="E24" s="39">
        <f t="shared" si="2"/>
        <v>583</v>
      </c>
      <c r="F24" s="6">
        <v>291</v>
      </c>
      <c r="G24" s="40">
        <v>292</v>
      </c>
      <c r="H24" s="20">
        <f t="shared" si="3"/>
        <v>189</v>
      </c>
      <c r="I24" s="23">
        <v>92</v>
      </c>
      <c r="J24" s="23">
        <v>97</v>
      </c>
    </row>
    <row r="25" spans="1:10">
      <c r="A25" s="11" t="s">
        <v>18</v>
      </c>
      <c r="B25" s="19">
        <f t="shared" si="0"/>
        <v>3688</v>
      </c>
      <c r="C25" s="19">
        <f t="shared" si="4"/>
        <v>1932</v>
      </c>
      <c r="D25" s="19">
        <f t="shared" si="4"/>
        <v>1756</v>
      </c>
      <c r="E25" s="39">
        <f t="shared" si="2"/>
        <v>868</v>
      </c>
      <c r="F25" s="6">
        <v>449</v>
      </c>
      <c r="G25" s="40">
        <v>419</v>
      </c>
      <c r="H25" s="20">
        <f t="shared" si="3"/>
        <v>270</v>
      </c>
      <c r="I25" s="23">
        <v>154</v>
      </c>
      <c r="J25" s="23">
        <v>116</v>
      </c>
    </row>
    <row r="26" spans="1:10">
      <c r="A26" s="11" t="s">
        <v>19</v>
      </c>
      <c r="B26" s="19">
        <f t="shared" si="0"/>
        <v>2730</v>
      </c>
      <c r="C26" s="19">
        <f t="shared" si="4"/>
        <v>1345</v>
      </c>
      <c r="D26" s="19">
        <f t="shared" si="4"/>
        <v>1385</v>
      </c>
      <c r="E26" s="39">
        <f t="shared" si="2"/>
        <v>825</v>
      </c>
      <c r="F26" s="6">
        <v>383</v>
      </c>
      <c r="G26" s="40">
        <v>442</v>
      </c>
      <c r="H26" s="20">
        <f t="shared" si="3"/>
        <v>117</v>
      </c>
      <c r="I26" s="23">
        <v>51</v>
      </c>
      <c r="J26" s="23">
        <v>66</v>
      </c>
    </row>
    <row r="27" spans="1:10">
      <c r="A27" s="12" t="s">
        <v>5</v>
      </c>
      <c r="B27" s="35">
        <f t="shared" si="0"/>
        <v>5446</v>
      </c>
      <c r="C27" s="19">
        <f t="shared" si="4"/>
        <v>2733</v>
      </c>
      <c r="D27" s="19">
        <f t="shared" si="4"/>
        <v>2713</v>
      </c>
      <c r="E27" s="39">
        <f t="shared" si="2"/>
        <v>1353</v>
      </c>
      <c r="F27" s="6">
        <v>699</v>
      </c>
      <c r="G27" s="40">
        <v>654</v>
      </c>
      <c r="H27" s="20">
        <f t="shared" si="3"/>
        <v>340</v>
      </c>
      <c r="I27" s="23">
        <v>175</v>
      </c>
      <c r="J27" s="23">
        <v>165</v>
      </c>
    </row>
    <row r="28" spans="1:10">
      <c r="A28" s="13" t="s">
        <v>0</v>
      </c>
      <c r="B28" s="56" t="s">
        <v>38</v>
      </c>
      <c r="C28" s="56"/>
      <c r="D28" s="56"/>
      <c r="E28" s="57" t="s">
        <v>39</v>
      </c>
      <c r="F28" s="56"/>
      <c r="G28" s="58"/>
      <c r="H28" s="56" t="s">
        <v>40</v>
      </c>
      <c r="I28" s="56"/>
      <c r="J28" s="56"/>
    </row>
    <row r="29" spans="1:10">
      <c r="A29" s="9"/>
      <c r="B29" s="14" t="s">
        <v>28</v>
      </c>
      <c r="C29" s="14" t="s">
        <v>23</v>
      </c>
      <c r="D29" s="14" t="s">
        <v>24</v>
      </c>
      <c r="E29" s="41" t="s">
        <v>28</v>
      </c>
      <c r="F29" s="15" t="s">
        <v>23</v>
      </c>
      <c r="G29" s="42" t="s">
        <v>24</v>
      </c>
      <c r="H29" s="15" t="s">
        <v>28</v>
      </c>
      <c r="I29" s="15" t="s">
        <v>23</v>
      </c>
      <c r="J29" s="15" t="s">
        <v>24</v>
      </c>
    </row>
    <row r="30" spans="1:10">
      <c r="A30" s="2" t="s">
        <v>2</v>
      </c>
      <c r="B30" s="20">
        <f>C30+D30</f>
        <v>5227</v>
      </c>
      <c r="C30" s="6">
        <f>C31+C32</f>
        <v>2695</v>
      </c>
      <c r="D30" s="6">
        <f>D31+D32</f>
        <v>2532</v>
      </c>
      <c r="E30" s="39">
        <f>F30+G30</f>
        <v>5163</v>
      </c>
      <c r="F30" s="6">
        <f>F31+F32</f>
        <v>2669</v>
      </c>
      <c r="G30" s="40">
        <f>G31+G32</f>
        <v>2494</v>
      </c>
      <c r="H30" s="20">
        <f>I30+J30</f>
        <v>5071</v>
      </c>
      <c r="I30" s="6">
        <f>I31+I32</f>
        <v>2626</v>
      </c>
      <c r="J30" s="6">
        <f>J31+J32</f>
        <v>2445</v>
      </c>
    </row>
    <row r="31" spans="1:10">
      <c r="A31" s="2" t="s">
        <v>3</v>
      </c>
      <c r="B31" s="19">
        <f>SUM(C31:D31)</f>
        <v>1545</v>
      </c>
      <c r="C31" s="25">
        <v>770</v>
      </c>
      <c r="D31" s="25">
        <v>775</v>
      </c>
      <c r="E31" s="39">
        <f t="shared" ref="E31:E52" si="5">F31+G31</f>
        <v>1482</v>
      </c>
      <c r="F31" s="25">
        <v>764</v>
      </c>
      <c r="G31" s="43">
        <v>718</v>
      </c>
      <c r="H31" s="20">
        <f t="shared" ref="H31:H52" si="6">I31+J31</f>
        <v>1355</v>
      </c>
      <c r="I31" s="21">
        <v>674</v>
      </c>
      <c r="J31" s="21">
        <v>681</v>
      </c>
    </row>
    <row r="32" spans="1:10">
      <c r="A32" s="2" t="s">
        <v>4</v>
      </c>
      <c r="B32" s="19">
        <f>SUM(B33:B52)</f>
        <v>3682</v>
      </c>
      <c r="C32" s="6">
        <f>SUM(C33:C52)</f>
        <v>1925</v>
      </c>
      <c r="D32" s="6">
        <f>SUM(D33:D52)</f>
        <v>1757</v>
      </c>
      <c r="E32" s="39">
        <f t="shared" si="5"/>
        <v>3681</v>
      </c>
      <c r="F32" s="6">
        <f>SUM(F33:F52)</f>
        <v>1905</v>
      </c>
      <c r="G32" s="40">
        <f>SUM(G33:G52)</f>
        <v>1776</v>
      </c>
      <c r="H32" s="20">
        <f t="shared" si="6"/>
        <v>3716</v>
      </c>
      <c r="I32" s="6">
        <f>SUM(I33:I52)</f>
        <v>1952</v>
      </c>
      <c r="J32" s="6">
        <f>SUM(J33:J52)</f>
        <v>1764</v>
      </c>
    </row>
    <row r="33" spans="1:10">
      <c r="A33" s="11" t="s">
        <v>30</v>
      </c>
      <c r="B33" s="19">
        <f t="shared" ref="B33:B52" si="7">SUM(C33:D33)</f>
        <v>245</v>
      </c>
      <c r="C33" s="26">
        <v>128</v>
      </c>
      <c r="D33" s="26">
        <v>117</v>
      </c>
      <c r="E33" s="39">
        <f t="shared" si="5"/>
        <v>245</v>
      </c>
      <c r="F33" s="26">
        <v>121</v>
      </c>
      <c r="G33" s="44">
        <v>124</v>
      </c>
      <c r="H33" s="20">
        <f t="shared" si="6"/>
        <v>267</v>
      </c>
      <c r="I33" s="26">
        <v>141</v>
      </c>
      <c r="J33" s="26">
        <v>126</v>
      </c>
    </row>
    <row r="34" spans="1:10">
      <c r="A34" s="11" t="s">
        <v>31</v>
      </c>
      <c r="B34" s="19">
        <f t="shared" si="7"/>
        <v>307</v>
      </c>
      <c r="C34" s="26">
        <v>164</v>
      </c>
      <c r="D34" s="26">
        <v>143</v>
      </c>
      <c r="E34" s="39">
        <f t="shared" si="5"/>
        <v>339</v>
      </c>
      <c r="F34" s="26">
        <v>171</v>
      </c>
      <c r="G34" s="44">
        <v>168</v>
      </c>
      <c r="H34" s="20">
        <f t="shared" si="6"/>
        <v>332</v>
      </c>
      <c r="I34" s="26">
        <v>180</v>
      </c>
      <c r="J34" s="26">
        <v>152</v>
      </c>
    </row>
    <row r="35" spans="1:10">
      <c r="A35" s="11" t="s">
        <v>32</v>
      </c>
      <c r="B35" s="19">
        <f t="shared" si="7"/>
        <v>257</v>
      </c>
      <c r="C35" s="26">
        <v>130</v>
      </c>
      <c r="D35" s="26">
        <v>127</v>
      </c>
      <c r="E35" s="39">
        <f t="shared" si="5"/>
        <v>219</v>
      </c>
      <c r="F35" s="26">
        <v>111</v>
      </c>
      <c r="G35" s="44">
        <v>108</v>
      </c>
      <c r="H35" s="20">
        <f t="shared" si="6"/>
        <v>250</v>
      </c>
      <c r="I35" s="26">
        <v>137</v>
      </c>
      <c r="J35" s="26">
        <v>113</v>
      </c>
    </row>
    <row r="36" spans="1:10">
      <c r="A36" s="11" t="s">
        <v>20</v>
      </c>
      <c r="B36" s="19">
        <f t="shared" si="7"/>
        <v>206</v>
      </c>
      <c r="C36" s="26">
        <v>100</v>
      </c>
      <c r="D36" s="26">
        <v>106</v>
      </c>
      <c r="E36" s="39">
        <f t="shared" si="5"/>
        <v>198</v>
      </c>
      <c r="F36" s="26">
        <v>105</v>
      </c>
      <c r="G36" s="44">
        <v>93</v>
      </c>
      <c r="H36" s="20">
        <f t="shared" si="6"/>
        <v>200</v>
      </c>
      <c r="I36" s="26">
        <v>90</v>
      </c>
      <c r="J36" s="26">
        <v>110</v>
      </c>
    </row>
    <row r="37" spans="1:10">
      <c r="A37" s="11" t="s">
        <v>33</v>
      </c>
      <c r="B37" s="19">
        <f t="shared" si="7"/>
        <v>299</v>
      </c>
      <c r="C37" s="26">
        <v>177</v>
      </c>
      <c r="D37" s="26">
        <v>122</v>
      </c>
      <c r="E37" s="39">
        <f t="shared" si="5"/>
        <v>320</v>
      </c>
      <c r="F37" s="26">
        <v>167</v>
      </c>
      <c r="G37" s="44">
        <v>153</v>
      </c>
      <c r="H37" s="20">
        <f t="shared" si="6"/>
        <v>327</v>
      </c>
      <c r="I37" s="26">
        <v>181</v>
      </c>
      <c r="J37" s="26">
        <v>146</v>
      </c>
    </row>
    <row r="38" spans="1:10">
      <c r="A38" s="11" t="s">
        <v>6</v>
      </c>
      <c r="B38" s="19">
        <f t="shared" si="7"/>
        <v>209</v>
      </c>
      <c r="C38" s="26">
        <v>106</v>
      </c>
      <c r="D38" s="26">
        <v>103</v>
      </c>
      <c r="E38" s="39">
        <f t="shared" si="5"/>
        <v>169</v>
      </c>
      <c r="F38" s="26">
        <v>91</v>
      </c>
      <c r="G38" s="44">
        <v>78</v>
      </c>
      <c r="H38" s="20">
        <f t="shared" si="6"/>
        <v>179</v>
      </c>
      <c r="I38" s="26">
        <v>89</v>
      </c>
      <c r="J38" s="26">
        <v>90</v>
      </c>
    </row>
    <row r="39" spans="1:10">
      <c r="A39" s="11" t="s">
        <v>7</v>
      </c>
      <c r="B39" s="19">
        <f t="shared" si="7"/>
        <v>148</v>
      </c>
      <c r="C39" s="26">
        <v>68</v>
      </c>
      <c r="D39" s="26">
        <v>80</v>
      </c>
      <c r="E39" s="39">
        <f t="shared" si="5"/>
        <v>147</v>
      </c>
      <c r="F39" s="26">
        <v>85</v>
      </c>
      <c r="G39" s="44">
        <v>62</v>
      </c>
      <c r="H39" s="20">
        <f t="shared" si="6"/>
        <v>118</v>
      </c>
      <c r="I39" s="26">
        <v>56</v>
      </c>
      <c r="J39" s="26">
        <v>62</v>
      </c>
    </row>
    <row r="40" spans="1:10">
      <c r="A40" s="11" t="s">
        <v>9</v>
      </c>
      <c r="B40" s="19">
        <f t="shared" si="7"/>
        <v>200</v>
      </c>
      <c r="C40" s="26">
        <v>105</v>
      </c>
      <c r="D40" s="26">
        <v>95</v>
      </c>
      <c r="E40" s="39">
        <f t="shared" si="5"/>
        <v>181</v>
      </c>
      <c r="F40" s="26">
        <v>103</v>
      </c>
      <c r="G40" s="44">
        <v>78</v>
      </c>
      <c r="H40" s="20">
        <f t="shared" si="6"/>
        <v>208</v>
      </c>
      <c r="I40" s="26">
        <v>103</v>
      </c>
      <c r="J40" s="26">
        <v>105</v>
      </c>
    </row>
    <row r="41" spans="1:10">
      <c r="A41" s="11" t="s">
        <v>10</v>
      </c>
      <c r="B41" s="19">
        <f t="shared" si="7"/>
        <v>119</v>
      </c>
      <c r="C41" s="26">
        <v>57</v>
      </c>
      <c r="D41" s="26">
        <v>62</v>
      </c>
      <c r="E41" s="39">
        <f t="shared" si="5"/>
        <v>115</v>
      </c>
      <c r="F41" s="26">
        <v>60</v>
      </c>
      <c r="G41" s="44">
        <v>55</v>
      </c>
      <c r="H41" s="20">
        <f t="shared" si="6"/>
        <v>114</v>
      </c>
      <c r="I41" s="26">
        <v>64</v>
      </c>
      <c r="J41" s="26">
        <v>50</v>
      </c>
    </row>
    <row r="42" spans="1:10">
      <c r="A42" s="11" t="s">
        <v>29</v>
      </c>
      <c r="B42" s="19">
        <f t="shared" si="7"/>
        <v>151</v>
      </c>
      <c r="C42" s="26">
        <v>92</v>
      </c>
      <c r="D42" s="26">
        <v>59</v>
      </c>
      <c r="E42" s="39">
        <f t="shared" si="5"/>
        <v>109</v>
      </c>
      <c r="F42" s="26">
        <v>50</v>
      </c>
      <c r="G42" s="44">
        <v>59</v>
      </c>
      <c r="H42" s="20">
        <f t="shared" si="6"/>
        <v>116</v>
      </c>
      <c r="I42" s="26">
        <v>59</v>
      </c>
      <c r="J42" s="26">
        <v>57</v>
      </c>
    </row>
    <row r="43" spans="1:10">
      <c r="A43" s="11" t="s">
        <v>12</v>
      </c>
      <c r="B43" s="19">
        <f t="shared" si="7"/>
        <v>26</v>
      </c>
      <c r="C43" s="26">
        <v>15</v>
      </c>
      <c r="D43" s="26">
        <v>11</v>
      </c>
      <c r="E43" s="39">
        <f t="shared" si="5"/>
        <v>28</v>
      </c>
      <c r="F43" s="26">
        <v>18</v>
      </c>
      <c r="G43" s="44">
        <v>10</v>
      </c>
      <c r="H43" s="20">
        <f t="shared" si="6"/>
        <v>22</v>
      </c>
      <c r="I43" s="26">
        <v>9</v>
      </c>
      <c r="J43" s="26">
        <v>13</v>
      </c>
    </row>
    <row r="44" spans="1:10">
      <c r="A44" s="11" t="s">
        <v>13</v>
      </c>
      <c r="B44" s="19">
        <f t="shared" si="7"/>
        <v>78</v>
      </c>
      <c r="C44" s="26">
        <v>41</v>
      </c>
      <c r="D44" s="26">
        <v>37</v>
      </c>
      <c r="E44" s="39">
        <f t="shared" si="5"/>
        <v>58</v>
      </c>
      <c r="F44" s="26">
        <v>32</v>
      </c>
      <c r="G44" s="44">
        <v>26</v>
      </c>
      <c r="H44" s="20">
        <f t="shared" si="6"/>
        <v>67</v>
      </c>
      <c r="I44" s="26">
        <v>40</v>
      </c>
      <c r="J44" s="26">
        <v>27</v>
      </c>
    </row>
    <row r="45" spans="1:10">
      <c r="A45" s="11" t="s">
        <v>14</v>
      </c>
      <c r="B45" s="19">
        <f t="shared" si="7"/>
        <v>90</v>
      </c>
      <c r="C45" s="26">
        <v>46</v>
      </c>
      <c r="D45" s="26">
        <v>44</v>
      </c>
      <c r="E45" s="39">
        <f t="shared" si="5"/>
        <v>88</v>
      </c>
      <c r="F45" s="26">
        <v>43</v>
      </c>
      <c r="G45" s="44">
        <v>45</v>
      </c>
      <c r="H45" s="20">
        <f t="shared" si="6"/>
        <v>92</v>
      </c>
      <c r="I45" s="26">
        <v>46</v>
      </c>
      <c r="J45" s="26">
        <v>46</v>
      </c>
    </row>
    <row r="46" spans="1:10">
      <c r="A46" s="11" t="s">
        <v>15</v>
      </c>
      <c r="B46" s="19">
        <f t="shared" si="7"/>
        <v>95</v>
      </c>
      <c r="C46" s="26">
        <v>49</v>
      </c>
      <c r="D46" s="26">
        <v>46</v>
      </c>
      <c r="E46" s="39">
        <f t="shared" si="5"/>
        <v>78</v>
      </c>
      <c r="F46" s="26">
        <v>46</v>
      </c>
      <c r="G46" s="44">
        <v>32</v>
      </c>
      <c r="H46" s="20">
        <f t="shared" si="6"/>
        <v>114</v>
      </c>
      <c r="I46" s="26">
        <v>51</v>
      </c>
      <c r="J46" s="26">
        <v>63</v>
      </c>
    </row>
    <row r="47" spans="1:10">
      <c r="A47" s="11" t="s">
        <v>16</v>
      </c>
      <c r="B47" s="19">
        <f t="shared" si="7"/>
        <v>146</v>
      </c>
      <c r="C47" s="26">
        <v>79</v>
      </c>
      <c r="D47" s="26">
        <v>67</v>
      </c>
      <c r="E47" s="39">
        <f t="shared" si="5"/>
        <v>163</v>
      </c>
      <c r="F47" s="26">
        <v>95</v>
      </c>
      <c r="G47" s="44">
        <v>68</v>
      </c>
      <c r="H47" s="20">
        <f t="shared" si="6"/>
        <v>162</v>
      </c>
      <c r="I47" s="26">
        <v>92</v>
      </c>
      <c r="J47" s="26">
        <v>70</v>
      </c>
    </row>
    <row r="48" spans="1:10">
      <c r="A48" s="11" t="s">
        <v>8</v>
      </c>
      <c r="B48" s="19">
        <f t="shared" si="7"/>
        <v>208</v>
      </c>
      <c r="C48" s="26">
        <v>117</v>
      </c>
      <c r="D48" s="26">
        <v>91</v>
      </c>
      <c r="E48" s="39">
        <f t="shared" si="5"/>
        <v>275</v>
      </c>
      <c r="F48" s="26">
        <v>137</v>
      </c>
      <c r="G48" s="44">
        <v>138</v>
      </c>
      <c r="H48" s="20">
        <f t="shared" si="6"/>
        <v>244</v>
      </c>
      <c r="I48" s="26">
        <v>131</v>
      </c>
      <c r="J48" s="26">
        <v>113</v>
      </c>
    </row>
    <row r="49" spans="1:10">
      <c r="A49" s="11" t="s">
        <v>17</v>
      </c>
      <c r="B49" s="19">
        <f t="shared" si="7"/>
        <v>158</v>
      </c>
      <c r="C49" s="26">
        <v>83</v>
      </c>
      <c r="D49" s="26">
        <v>75</v>
      </c>
      <c r="E49" s="39">
        <f t="shared" si="5"/>
        <v>207</v>
      </c>
      <c r="F49" s="26">
        <v>98</v>
      </c>
      <c r="G49" s="44">
        <v>109</v>
      </c>
      <c r="H49" s="20">
        <f t="shared" si="6"/>
        <v>167</v>
      </c>
      <c r="I49" s="26">
        <v>100</v>
      </c>
      <c r="J49" s="26">
        <v>67</v>
      </c>
    </row>
    <row r="50" spans="1:10">
      <c r="A50" s="11" t="s">
        <v>18</v>
      </c>
      <c r="B50" s="19">
        <f t="shared" si="7"/>
        <v>242</v>
      </c>
      <c r="C50" s="26">
        <v>129</v>
      </c>
      <c r="D50" s="26">
        <v>113</v>
      </c>
      <c r="E50" s="39">
        <f t="shared" si="5"/>
        <v>248</v>
      </c>
      <c r="F50" s="26">
        <v>123</v>
      </c>
      <c r="G50" s="44">
        <v>125</v>
      </c>
      <c r="H50" s="20">
        <f t="shared" si="6"/>
        <v>243</v>
      </c>
      <c r="I50" s="26">
        <v>137</v>
      </c>
      <c r="J50" s="26">
        <v>106</v>
      </c>
    </row>
    <row r="51" spans="1:10">
      <c r="A51" s="11" t="s">
        <v>19</v>
      </c>
      <c r="B51" s="19">
        <f t="shared" si="7"/>
        <v>161</v>
      </c>
      <c r="C51" s="26">
        <v>81</v>
      </c>
      <c r="D51" s="26">
        <v>80</v>
      </c>
      <c r="E51" s="39">
        <f t="shared" si="5"/>
        <v>177</v>
      </c>
      <c r="F51" s="26">
        <v>88</v>
      </c>
      <c r="G51" s="44">
        <v>89</v>
      </c>
      <c r="H51" s="20">
        <f t="shared" si="6"/>
        <v>187</v>
      </c>
      <c r="I51" s="26">
        <v>98</v>
      </c>
      <c r="J51" s="26">
        <v>89</v>
      </c>
    </row>
    <row r="52" spans="1:10">
      <c r="A52" s="12" t="s">
        <v>5</v>
      </c>
      <c r="B52" s="35">
        <f t="shared" si="7"/>
        <v>337</v>
      </c>
      <c r="C52" s="24">
        <v>158</v>
      </c>
      <c r="D52" s="24">
        <v>179</v>
      </c>
      <c r="E52" s="52">
        <f t="shared" si="5"/>
        <v>317</v>
      </c>
      <c r="F52" s="27">
        <v>161</v>
      </c>
      <c r="G52" s="45">
        <v>156</v>
      </c>
      <c r="H52" s="34">
        <f t="shared" si="6"/>
        <v>307</v>
      </c>
      <c r="I52" s="27">
        <v>148</v>
      </c>
      <c r="J52" s="27">
        <v>159</v>
      </c>
    </row>
    <row r="53" spans="1:10">
      <c r="A53" s="13" t="s">
        <v>0</v>
      </c>
      <c r="B53" s="56" t="s">
        <v>41</v>
      </c>
      <c r="C53" s="56"/>
      <c r="D53" s="56"/>
      <c r="E53" s="57" t="s">
        <v>42</v>
      </c>
      <c r="F53" s="56"/>
      <c r="G53" s="58"/>
      <c r="H53" s="56" t="s">
        <v>43</v>
      </c>
      <c r="I53" s="56"/>
      <c r="J53" s="56"/>
    </row>
    <row r="54" spans="1:10">
      <c r="A54" s="9"/>
      <c r="B54" s="16" t="s">
        <v>28</v>
      </c>
      <c r="C54" s="16" t="s">
        <v>23</v>
      </c>
      <c r="D54" s="16" t="s">
        <v>24</v>
      </c>
      <c r="E54" s="37" t="s">
        <v>28</v>
      </c>
      <c r="F54" s="10" t="s">
        <v>23</v>
      </c>
      <c r="G54" s="38" t="s">
        <v>24</v>
      </c>
      <c r="H54" s="10" t="s">
        <v>28</v>
      </c>
      <c r="I54" s="10" t="s">
        <v>23</v>
      </c>
      <c r="J54" s="10" t="s">
        <v>24</v>
      </c>
    </row>
    <row r="55" spans="1:10">
      <c r="A55" s="2" t="s">
        <v>2</v>
      </c>
      <c r="B55" s="20">
        <f>C55+D55</f>
        <v>5285</v>
      </c>
      <c r="C55" s="6">
        <f>C56+C57</f>
        <v>2708</v>
      </c>
      <c r="D55" s="6">
        <f>D56+D57</f>
        <v>2577</v>
      </c>
      <c r="E55" s="39">
        <f>F55+G55</f>
        <v>5920</v>
      </c>
      <c r="F55" s="6">
        <f>F56+F57</f>
        <v>3102</v>
      </c>
      <c r="G55" s="40">
        <f>G56+G57</f>
        <v>2818</v>
      </c>
      <c r="H55" s="20">
        <f>I55+J55</f>
        <v>6332</v>
      </c>
      <c r="I55" s="6">
        <f>I56+I57</f>
        <v>3351</v>
      </c>
      <c r="J55" s="6">
        <f>J56+J57</f>
        <v>2981</v>
      </c>
    </row>
    <row r="56" spans="1:10">
      <c r="A56" s="2" t="s">
        <v>3</v>
      </c>
      <c r="B56" s="19">
        <f>SUM(C56:D56)</f>
        <v>1384</v>
      </c>
      <c r="C56" s="25">
        <v>699</v>
      </c>
      <c r="D56" s="20">
        <v>685</v>
      </c>
      <c r="E56" s="39">
        <f t="shared" ref="E56:E76" si="8">F56+G56</f>
        <v>1511</v>
      </c>
      <c r="F56" s="20">
        <v>785</v>
      </c>
      <c r="G56" s="46">
        <v>726</v>
      </c>
      <c r="H56" s="20">
        <f t="shared" ref="H56:H77" si="9">I56+J56</f>
        <v>1483</v>
      </c>
      <c r="I56" s="20">
        <v>757</v>
      </c>
      <c r="J56" s="20">
        <v>726</v>
      </c>
    </row>
    <row r="57" spans="1:10">
      <c r="A57" s="2" t="s">
        <v>4</v>
      </c>
      <c r="B57" s="19">
        <f>SUM(B58:B77)</f>
        <v>3901</v>
      </c>
      <c r="C57" s="6">
        <f>SUM(C58:C77)</f>
        <v>2009</v>
      </c>
      <c r="D57" s="6">
        <f>SUM(D58:D77)</f>
        <v>1892</v>
      </c>
      <c r="E57" s="39">
        <f t="shared" si="8"/>
        <v>4409</v>
      </c>
      <c r="F57" s="6">
        <f>SUM(F58:F77)</f>
        <v>2317</v>
      </c>
      <c r="G57" s="40">
        <f>SUM(G58:G77)</f>
        <v>2092</v>
      </c>
      <c r="H57" s="20">
        <f t="shared" si="9"/>
        <v>4849</v>
      </c>
      <c r="I57" s="6">
        <f>SUM(I58:I77)</f>
        <v>2594</v>
      </c>
      <c r="J57" s="6">
        <f>SUM(J58:J77)</f>
        <v>2255</v>
      </c>
    </row>
    <row r="58" spans="1:10">
      <c r="A58" s="11" t="s">
        <v>30</v>
      </c>
      <c r="B58" s="19">
        <f t="shared" ref="B58:B77" si="10">SUM(C58:D58)</f>
        <v>287</v>
      </c>
      <c r="C58" s="26">
        <v>140</v>
      </c>
      <c r="D58" s="26">
        <v>147</v>
      </c>
      <c r="E58" s="39">
        <f t="shared" si="8"/>
        <v>347</v>
      </c>
      <c r="F58" s="26">
        <v>170</v>
      </c>
      <c r="G58" s="44">
        <v>177</v>
      </c>
      <c r="H58" s="20">
        <f t="shared" si="9"/>
        <v>394</v>
      </c>
      <c r="I58" s="26">
        <v>210</v>
      </c>
      <c r="J58" s="26">
        <v>184</v>
      </c>
    </row>
    <row r="59" spans="1:10">
      <c r="A59" s="11" t="s">
        <v>31</v>
      </c>
      <c r="B59" s="19">
        <f t="shared" si="10"/>
        <v>363</v>
      </c>
      <c r="C59" s="26">
        <v>187</v>
      </c>
      <c r="D59" s="26">
        <v>176</v>
      </c>
      <c r="E59" s="39">
        <f t="shared" si="8"/>
        <v>409</v>
      </c>
      <c r="F59" s="26">
        <v>226</v>
      </c>
      <c r="G59" s="44">
        <v>183</v>
      </c>
      <c r="H59" s="20">
        <f t="shared" si="9"/>
        <v>474</v>
      </c>
      <c r="I59" s="26">
        <v>279</v>
      </c>
      <c r="J59" s="26">
        <v>195</v>
      </c>
    </row>
    <row r="60" spans="1:10">
      <c r="A60" s="11" t="s">
        <v>32</v>
      </c>
      <c r="B60" s="19">
        <f t="shared" si="10"/>
        <v>257</v>
      </c>
      <c r="C60" s="26">
        <v>138</v>
      </c>
      <c r="D60" s="26">
        <v>119</v>
      </c>
      <c r="E60" s="39">
        <f t="shared" si="8"/>
        <v>352</v>
      </c>
      <c r="F60" s="26">
        <v>196</v>
      </c>
      <c r="G60" s="44">
        <v>156</v>
      </c>
      <c r="H60" s="20">
        <f t="shared" si="9"/>
        <v>347</v>
      </c>
      <c r="I60" s="26">
        <v>191</v>
      </c>
      <c r="J60" s="26">
        <v>156</v>
      </c>
    </row>
    <row r="61" spans="1:10">
      <c r="A61" s="11" t="s">
        <v>20</v>
      </c>
      <c r="B61" s="19">
        <f t="shared" si="10"/>
        <v>200</v>
      </c>
      <c r="C61" s="26">
        <v>99</v>
      </c>
      <c r="D61" s="26">
        <v>101</v>
      </c>
      <c r="E61" s="39">
        <f t="shared" si="8"/>
        <v>225</v>
      </c>
      <c r="F61" s="26">
        <v>107</v>
      </c>
      <c r="G61" s="44">
        <v>118</v>
      </c>
      <c r="H61" s="20">
        <f t="shared" si="9"/>
        <v>245</v>
      </c>
      <c r="I61" s="26">
        <v>130</v>
      </c>
      <c r="J61" s="26">
        <v>115</v>
      </c>
    </row>
    <row r="62" spans="1:10">
      <c r="A62" s="11" t="s">
        <v>33</v>
      </c>
      <c r="B62" s="19">
        <f t="shared" si="10"/>
        <v>331</v>
      </c>
      <c r="C62" s="26">
        <v>177</v>
      </c>
      <c r="D62" s="26">
        <v>154</v>
      </c>
      <c r="E62" s="39">
        <f t="shared" si="8"/>
        <v>426</v>
      </c>
      <c r="F62" s="26">
        <v>221</v>
      </c>
      <c r="G62" s="44">
        <v>205</v>
      </c>
      <c r="H62" s="20">
        <f t="shared" si="9"/>
        <v>391</v>
      </c>
      <c r="I62" s="26">
        <v>209</v>
      </c>
      <c r="J62" s="26">
        <v>182</v>
      </c>
    </row>
    <row r="63" spans="1:10">
      <c r="A63" s="11" t="s">
        <v>6</v>
      </c>
      <c r="B63" s="19">
        <f t="shared" si="10"/>
        <v>171</v>
      </c>
      <c r="C63" s="26">
        <v>85</v>
      </c>
      <c r="D63" s="26">
        <v>86</v>
      </c>
      <c r="E63" s="39">
        <f t="shared" si="8"/>
        <v>189</v>
      </c>
      <c r="F63" s="26">
        <v>111</v>
      </c>
      <c r="G63" s="44">
        <v>78</v>
      </c>
      <c r="H63" s="20">
        <f t="shared" si="9"/>
        <v>227</v>
      </c>
      <c r="I63" s="26">
        <v>129</v>
      </c>
      <c r="J63" s="26">
        <v>98</v>
      </c>
    </row>
    <row r="64" spans="1:10">
      <c r="A64" s="11" t="s">
        <v>7</v>
      </c>
      <c r="B64" s="19">
        <f t="shared" si="10"/>
        <v>142</v>
      </c>
      <c r="C64" s="26">
        <v>75</v>
      </c>
      <c r="D64" s="26">
        <v>67</v>
      </c>
      <c r="E64" s="39">
        <f t="shared" si="8"/>
        <v>177</v>
      </c>
      <c r="F64" s="26">
        <v>89</v>
      </c>
      <c r="G64" s="44">
        <v>88</v>
      </c>
      <c r="H64" s="20">
        <f t="shared" si="9"/>
        <v>194</v>
      </c>
      <c r="I64" s="26">
        <v>94</v>
      </c>
      <c r="J64" s="26">
        <v>100</v>
      </c>
    </row>
    <row r="65" spans="1:10">
      <c r="A65" s="11" t="s">
        <v>9</v>
      </c>
      <c r="B65" s="19">
        <f t="shared" si="10"/>
        <v>196</v>
      </c>
      <c r="C65" s="26">
        <v>108</v>
      </c>
      <c r="D65" s="26">
        <v>88</v>
      </c>
      <c r="E65" s="39">
        <f t="shared" si="8"/>
        <v>198</v>
      </c>
      <c r="F65" s="26">
        <v>102</v>
      </c>
      <c r="G65" s="44">
        <v>96</v>
      </c>
      <c r="H65" s="20">
        <f t="shared" si="9"/>
        <v>226</v>
      </c>
      <c r="I65" s="26">
        <v>115</v>
      </c>
      <c r="J65" s="26">
        <v>111</v>
      </c>
    </row>
    <row r="66" spans="1:10">
      <c r="A66" s="11" t="s">
        <v>10</v>
      </c>
      <c r="B66" s="19">
        <f t="shared" si="10"/>
        <v>99</v>
      </c>
      <c r="C66" s="26">
        <v>54</v>
      </c>
      <c r="D66" s="26">
        <v>45</v>
      </c>
      <c r="E66" s="39">
        <f t="shared" si="8"/>
        <v>107</v>
      </c>
      <c r="F66" s="26">
        <v>53</v>
      </c>
      <c r="G66" s="44">
        <v>54</v>
      </c>
      <c r="H66" s="20">
        <f t="shared" si="9"/>
        <v>133</v>
      </c>
      <c r="I66" s="26">
        <v>65</v>
      </c>
      <c r="J66" s="26">
        <v>68</v>
      </c>
    </row>
    <row r="67" spans="1:10">
      <c r="A67" s="11" t="s">
        <v>29</v>
      </c>
      <c r="B67" s="19">
        <f t="shared" si="10"/>
        <v>138</v>
      </c>
      <c r="C67" s="26">
        <v>69</v>
      </c>
      <c r="D67" s="26">
        <v>69</v>
      </c>
      <c r="E67" s="39">
        <f t="shared" si="8"/>
        <v>130</v>
      </c>
      <c r="F67" s="26">
        <v>58</v>
      </c>
      <c r="G67" s="44">
        <v>72</v>
      </c>
      <c r="H67" s="20">
        <f t="shared" si="9"/>
        <v>156</v>
      </c>
      <c r="I67" s="26">
        <v>84</v>
      </c>
      <c r="J67" s="26">
        <v>72</v>
      </c>
    </row>
    <row r="68" spans="1:10">
      <c r="A68" s="11" t="s">
        <v>12</v>
      </c>
      <c r="B68" s="19">
        <f t="shared" si="10"/>
        <v>24</v>
      </c>
      <c r="C68" s="26">
        <v>16</v>
      </c>
      <c r="D68" s="26">
        <v>8</v>
      </c>
      <c r="E68" s="39">
        <f t="shared" si="8"/>
        <v>29</v>
      </c>
      <c r="F68" s="26">
        <v>11</v>
      </c>
      <c r="G68" s="44">
        <v>18</v>
      </c>
      <c r="H68" s="20">
        <f t="shared" si="9"/>
        <v>30</v>
      </c>
      <c r="I68" s="26">
        <v>19</v>
      </c>
      <c r="J68" s="26">
        <v>11</v>
      </c>
    </row>
    <row r="69" spans="1:10">
      <c r="A69" s="11" t="s">
        <v>13</v>
      </c>
      <c r="B69" s="19">
        <f t="shared" si="10"/>
        <v>75</v>
      </c>
      <c r="C69" s="26">
        <v>34</v>
      </c>
      <c r="D69" s="26">
        <v>41</v>
      </c>
      <c r="E69" s="39">
        <f t="shared" si="8"/>
        <v>87</v>
      </c>
      <c r="F69" s="26">
        <v>48</v>
      </c>
      <c r="G69" s="44">
        <v>39</v>
      </c>
      <c r="H69" s="20">
        <f t="shared" si="9"/>
        <v>102</v>
      </c>
      <c r="I69" s="26">
        <v>50</v>
      </c>
      <c r="J69" s="26">
        <v>52</v>
      </c>
    </row>
    <row r="70" spans="1:10">
      <c r="A70" s="11" t="s">
        <v>14</v>
      </c>
      <c r="B70" s="19">
        <f t="shared" si="10"/>
        <v>99</v>
      </c>
      <c r="C70" s="26">
        <v>55</v>
      </c>
      <c r="D70" s="26">
        <v>44</v>
      </c>
      <c r="E70" s="39">
        <f t="shared" si="8"/>
        <v>125</v>
      </c>
      <c r="F70" s="26">
        <v>69</v>
      </c>
      <c r="G70" s="44">
        <v>56</v>
      </c>
      <c r="H70" s="20">
        <f t="shared" si="9"/>
        <v>120</v>
      </c>
      <c r="I70" s="26">
        <v>61</v>
      </c>
      <c r="J70" s="26">
        <v>59</v>
      </c>
    </row>
    <row r="71" spans="1:10">
      <c r="A71" s="11" t="s">
        <v>15</v>
      </c>
      <c r="B71" s="19">
        <f t="shared" si="10"/>
        <v>112</v>
      </c>
      <c r="C71" s="26">
        <v>63</v>
      </c>
      <c r="D71" s="26">
        <v>49</v>
      </c>
      <c r="E71" s="39">
        <f t="shared" si="8"/>
        <v>107</v>
      </c>
      <c r="F71" s="26">
        <v>62</v>
      </c>
      <c r="G71" s="44">
        <v>45</v>
      </c>
      <c r="H71" s="20">
        <f t="shared" si="9"/>
        <v>155</v>
      </c>
      <c r="I71" s="26">
        <v>86</v>
      </c>
      <c r="J71" s="26">
        <v>69</v>
      </c>
    </row>
    <row r="72" spans="1:10">
      <c r="A72" s="11" t="s">
        <v>16</v>
      </c>
      <c r="B72" s="19">
        <f t="shared" si="10"/>
        <v>193</v>
      </c>
      <c r="C72" s="26">
        <v>97</v>
      </c>
      <c r="D72" s="26">
        <v>96</v>
      </c>
      <c r="E72" s="39">
        <f t="shared" si="8"/>
        <v>196</v>
      </c>
      <c r="F72" s="26">
        <v>96</v>
      </c>
      <c r="G72" s="44">
        <v>100</v>
      </c>
      <c r="H72" s="20">
        <f t="shared" si="9"/>
        <v>195</v>
      </c>
      <c r="I72" s="26">
        <v>107</v>
      </c>
      <c r="J72" s="26">
        <v>88</v>
      </c>
    </row>
    <row r="73" spans="1:10">
      <c r="A73" s="11" t="s">
        <v>8</v>
      </c>
      <c r="B73" s="19">
        <f t="shared" si="10"/>
        <v>273</v>
      </c>
      <c r="C73" s="26">
        <v>136</v>
      </c>
      <c r="D73" s="26">
        <v>137</v>
      </c>
      <c r="E73" s="39">
        <f t="shared" si="8"/>
        <v>256</v>
      </c>
      <c r="F73" s="26">
        <v>128</v>
      </c>
      <c r="G73" s="44">
        <v>128</v>
      </c>
      <c r="H73" s="20">
        <f t="shared" si="9"/>
        <v>331</v>
      </c>
      <c r="I73" s="26">
        <v>173</v>
      </c>
      <c r="J73" s="26">
        <v>158</v>
      </c>
    </row>
    <row r="74" spans="1:10">
      <c r="A74" s="11" t="s">
        <v>17</v>
      </c>
      <c r="B74" s="19">
        <f t="shared" si="10"/>
        <v>173</v>
      </c>
      <c r="C74" s="26">
        <v>82</v>
      </c>
      <c r="D74" s="26">
        <v>91</v>
      </c>
      <c r="E74" s="39">
        <f t="shared" si="8"/>
        <v>216</v>
      </c>
      <c r="F74" s="26">
        <v>108</v>
      </c>
      <c r="G74" s="44">
        <v>108</v>
      </c>
      <c r="H74" s="20">
        <f t="shared" si="9"/>
        <v>255</v>
      </c>
      <c r="I74" s="26">
        <v>124</v>
      </c>
      <c r="J74" s="26">
        <v>131</v>
      </c>
    </row>
    <row r="75" spans="1:10">
      <c r="A75" s="11" t="s">
        <v>18</v>
      </c>
      <c r="B75" s="19">
        <f t="shared" si="10"/>
        <v>248</v>
      </c>
      <c r="C75" s="26">
        <v>131</v>
      </c>
      <c r="D75" s="26">
        <v>117</v>
      </c>
      <c r="E75" s="39">
        <f t="shared" si="8"/>
        <v>260</v>
      </c>
      <c r="F75" s="26">
        <v>134</v>
      </c>
      <c r="G75" s="44">
        <v>126</v>
      </c>
      <c r="H75" s="20">
        <f t="shared" si="9"/>
        <v>285</v>
      </c>
      <c r="I75" s="26">
        <v>168</v>
      </c>
      <c r="J75" s="26">
        <v>117</v>
      </c>
    </row>
    <row r="76" spans="1:10">
      <c r="A76" s="11" t="s">
        <v>19</v>
      </c>
      <c r="B76" s="19">
        <f t="shared" si="10"/>
        <v>193</v>
      </c>
      <c r="C76" s="26">
        <v>92</v>
      </c>
      <c r="D76" s="26">
        <v>101</v>
      </c>
      <c r="E76" s="39">
        <f t="shared" si="8"/>
        <v>222</v>
      </c>
      <c r="F76" s="26">
        <v>127</v>
      </c>
      <c r="G76" s="44">
        <v>95</v>
      </c>
      <c r="H76" s="20">
        <f t="shared" si="9"/>
        <v>209</v>
      </c>
      <c r="I76" s="26">
        <v>114</v>
      </c>
      <c r="J76" s="26">
        <v>95</v>
      </c>
    </row>
    <row r="77" spans="1:10">
      <c r="A77" s="12" t="s">
        <v>5</v>
      </c>
      <c r="B77" s="35">
        <f t="shared" si="10"/>
        <v>327</v>
      </c>
      <c r="C77" s="24">
        <v>171</v>
      </c>
      <c r="D77" s="24">
        <v>156</v>
      </c>
      <c r="E77" s="39">
        <f>F77+G77</f>
        <v>351</v>
      </c>
      <c r="F77" s="27">
        <v>201</v>
      </c>
      <c r="G77" s="45">
        <v>150</v>
      </c>
      <c r="H77" s="20">
        <f t="shared" si="9"/>
        <v>380</v>
      </c>
      <c r="I77" s="27">
        <v>186</v>
      </c>
      <c r="J77" s="27">
        <v>194</v>
      </c>
    </row>
    <row r="78" spans="1:10">
      <c r="A78" s="13" t="s">
        <v>0</v>
      </c>
      <c r="B78" s="61" t="s">
        <v>44</v>
      </c>
      <c r="C78" s="61"/>
      <c r="D78" s="61"/>
      <c r="E78" s="62" t="s">
        <v>45</v>
      </c>
      <c r="F78" s="61"/>
      <c r="G78" s="63"/>
      <c r="H78" s="61" t="s">
        <v>46</v>
      </c>
      <c r="I78" s="61"/>
      <c r="J78" s="61"/>
    </row>
    <row r="79" spans="1:10">
      <c r="A79" s="9"/>
      <c r="B79" s="10" t="s">
        <v>28</v>
      </c>
      <c r="C79" s="10" t="s">
        <v>23</v>
      </c>
      <c r="D79" s="10" t="s">
        <v>24</v>
      </c>
      <c r="E79" s="37" t="s">
        <v>28</v>
      </c>
      <c r="F79" s="10" t="s">
        <v>23</v>
      </c>
      <c r="G79" s="38" t="s">
        <v>24</v>
      </c>
      <c r="H79" s="10" t="s">
        <v>28</v>
      </c>
      <c r="I79" s="10" t="s">
        <v>23</v>
      </c>
      <c r="J79" s="10" t="s">
        <v>24</v>
      </c>
    </row>
    <row r="80" spans="1:10">
      <c r="A80" s="2" t="s">
        <v>2</v>
      </c>
      <c r="B80" s="20">
        <f>C80+D80</f>
        <v>7618</v>
      </c>
      <c r="C80" s="6">
        <f>C81+C82</f>
        <v>4082</v>
      </c>
      <c r="D80" s="6">
        <f>D81+D82</f>
        <v>3536</v>
      </c>
      <c r="E80" s="39">
        <f>F80+G80</f>
        <v>7290</v>
      </c>
      <c r="F80" s="6">
        <f>F81+F82</f>
        <v>3727</v>
      </c>
      <c r="G80" s="40">
        <f>G81+G82</f>
        <v>3563</v>
      </c>
      <c r="H80" s="20">
        <f>I80+J80</f>
        <v>6536</v>
      </c>
      <c r="I80" s="6">
        <f>I81+I82</f>
        <v>3173</v>
      </c>
      <c r="J80" s="6">
        <f>J81+J82</f>
        <v>3363</v>
      </c>
    </row>
    <row r="81" spans="1:10">
      <c r="A81" s="2" t="s">
        <v>3</v>
      </c>
      <c r="B81" s="19">
        <f>SUM(C81:D81)</f>
        <v>2095</v>
      </c>
      <c r="C81" s="20">
        <v>1118</v>
      </c>
      <c r="D81" s="20">
        <v>977</v>
      </c>
      <c r="E81" s="39">
        <f t="shared" ref="E81:E102" si="11">F81+G81</f>
        <v>2360</v>
      </c>
      <c r="F81" s="20">
        <v>1124</v>
      </c>
      <c r="G81" s="46">
        <v>1236</v>
      </c>
      <c r="H81" s="20">
        <f t="shared" ref="H81:H102" si="12">I81+J81</f>
        <v>1903</v>
      </c>
      <c r="I81" s="20">
        <v>895</v>
      </c>
      <c r="J81" s="20">
        <v>1008</v>
      </c>
    </row>
    <row r="82" spans="1:10">
      <c r="A82" s="2" t="s">
        <v>4</v>
      </c>
      <c r="B82" s="19">
        <f>SUM(B83:B102)</f>
        <v>5523</v>
      </c>
      <c r="C82" s="6">
        <f>SUM(C83:C102)</f>
        <v>2964</v>
      </c>
      <c r="D82" s="6">
        <f>SUM(D83:D102)</f>
        <v>2559</v>
      </c>
      <c r="E82" s="39">
        <f t="shared" si="11"/>
        <v>4930</v>
      </c>
      <c r="F82" s="6">
        <f>SUM(F83:F102)</f>
        <v>2603</v>
      </c>
      <c r="G82" s="40">
        <f>SUM(G83:G102)</f>
        <v>2327</v>
      </c>
      <c r="H82" s="20">
        <f t="shared" si="12"/>
        <v>4633</v>
      </c>
      <c r="I82" s="6">
        <f>SUM(I83:I102)</f>
        <v>2278</v>
      </c>
      <c r="J82" s="6">
        <f>SUM(J83:J102)</f>
        <v>2355</v>
      </c>
    </row>
    <row r="83" spans="1:10">
      <c r="A83" s="11" t="s">
        <v>30</v>
      </c>
      <c r="B83" s="19">
        <f t="shared" ref="B83:B102" si="13">SUM(C83:D83)</f>
        <v>471</v>
      </c>
      <c r="C83" s="26">
        <v>245</v>
      </c>
      <c r="D83" s="26">
        <v>226</v>
      </c>
      <c r="E83" s="39">
        <f t="shared" si="11"/>
        <v>381</v>
      </c>
      <c r="F83" s="26">
        <v>188</v>
      </c>
      <c r="G83" s="44">
        <v>193</v>
      </c>
      <c r="H83" s="20">
        <f>I83+J83</f>
        <v>280</v>
      </c>
      <c r="I83" s="26">
        <v>141</v>
      </c>
      <c r="J83" s="26">
        <v>139</v>
      </c>
    </row>
    <row r="84" spans="1:10">
      <c r="A84" s="11" t="s">
        <v>31</v>
      </c>
      <c r="B84" s="19">
        <f t="shared" si="13"/>
        <v>500</v>
      </c>
      <c r="C84" s="26">
        <v>287</v>
      </c>
      <c r="D84" s="26">
        <v>213</v>
      </c>
      <c r="E84" s="39">
        <f t="shared" si="11"/>
        <v>403</v>
      </c>
      <c r="F84" s="26">
        <v>219</v>
      </c>
      <c r="G84" s="44">
        <v>184</v>
      </c>
      <c r="H84" s="20">
        <f t="shared" si="12"/>
        <v>441</v>
      </c>
      <c r="I84" s="26">
        <v>210</v>
      </c>
      <c r="J84" s="26">
        <v>231</v>
      </c>
    </row>
    <row r="85" spans="1:10">
      <c r="A85" s="11" t="s">
        <v>32</v>
      </c>
      <c r="B85" s="19">
        <f t="shared" si="13"/>
        <v>414</v>
      </c>
      <c r="C85" s="26">
        <v>238</v>
      </c>
      <c r="D85" s="26">
        <v>176</v>
      </c>
      <c r="E85" s="39">
        <f t="shared" si="11"/>
        <v>331</v>
      </c>
      <c r="F85" s="26">
        <v>178</v>
      </c>
      <c r="G85" s="44">
        <v>153</v>
      </c>
      <c r="H85" s="20">
        <f t="shared" si="12"/>
        <v>263</v>
      </c>
      <c r="I85" s="26">
        <v>135</v>
      </c>
      <c r="J85" s="26">
        <v>128</v>
      </c>
    </row>
    <row r="86" spans="1:10">
      <c r="A86" s="11" t="s">
        <v>20</v>
      </c>
      <c r="B86" s="19">
        <f t="shared" si="13"/>
        <v>307</v>
      </c>
      <c r="C86" s="26">
        <v>160</v>
      </c>
      <c r="D86" s="26">
        <v>147</v>
      </c>
      <c r="E86" s="39">
        <f t="shared" si="11"/>
        <v>294</v>
      </c>
      <c r="F86" s="26">
        <v>165</v>
      </c>
      <c r="G86" s="44">
        <v>129</v>
      </c>
      <c r="H86" s="20">
        <f t="shared" si="12"/>
        <v>317</v>
      </c>
      <c r="I86" s="26">
        <v>162</v>
      </c>
      <c r="J86" s="26">
        <v>155</v>
      </c>
    </row>
    <row r="87" spans="1:10">
      <c r="A87" s="11" t="s">
        <v>33</v>
      </c>
      <c r="B87" s="19">
        <f t="shared" si="13"/>
        <v>448</v>
      </c>
      <c r="C87" s="26">
        <v>227</v>
      </c>
      <c r="D87" s="26">
        <v>221</v>
      </c>
      <c r="E87" s="39">
        <f t="shared" si="11"/>
        <v>420</v>
      </c>
      <c r="F87" s="26">
        <v>221</v>
      </c>
      <c r="G87" s="44">
        <v>199</v>
      </c>
      <c r="H87" s="20">
        <f t="shared" si="12"/>
        <v>371</v>
      </c>
      <c r="I87" s="26">
        <v>174</v>
      </c>
      <c r="J87" s="26">
        <v>197</v>
      </c>
    </row>
    <row r="88" spans="1:10">
      <c r="A88" s="11" t="s">
        <v>6</v>
      </c>
      <c r="B88" s="19">
        <f t="shared" si="13"/>
        <v>289</v>
      </c>
      <c r="C88" s="26">
        <v>170</v>
      </c>
      <c r="D88" s="26">
        <v>119</v>
      </c>
      <c r="E88" s="39">
        <f t="shared" si="11"/>
        <v>252</v>
      </c>
      <c r="F88" s="26">
        <v>136</v>
      </c>
      <c r="G88" s="44">
        <v>116</v>
      </c>
      <c r="H88" s="20">
        <f t="shared" si="12"/>
        <v>249</v>
      </c>
      <c r="I88" s="26">
        <v>126</v>
      </c>
      <c r="J88" s="26">
        <v>123</v>
      </c>
    </row>
    <row r="89" spans="1:10">
      <c r="A89" s="11" t="s">
        <v>7</v>
      </c>
      <c r="B89" s="19">
        <f t="shared" si="13"/>
        <v>178</v>
      </c>
      <c r="C89" s="26">
        <v>89</v>
      </c>
      <c r="D89" s="26">
        <v>89</v>
      </c>
      <c r="E89" s="39">
        <f t="shared" si="11"/>
        <v>201</v>
      </c>
      <c r="F89" s="26">
        <v>96</v>
      </c>
      <c r="G89" s="44">
        <v>105</v>
      </c>
      <c r="H89" s="20">
        <f t="shared" si="12"/>
        <v>201</v>
      </c>
      <c r="I89" s="26">
        <v>109</v>
      </c>
      <c r="J89" s="26">
        <v>92</v>
      </c>
    </row>
    <row r="90" spans="1:10">
      <c r="A90" s="11" t="s">
        <v>9</v>
      </c>
      <c r="B90" s="19">
        <f t="shared" si="13"/>
        <v>251</v>
      </c>
      <c r="C90" s="26">
        <v>129</v>
      </c>
      <c r="D90" s="26">
        <v>122</v>
      </c>
      <c r="E90" s="39">
        <f t="shared" si="11"/>
        <v>201</v>
      </c>
      <c r="F90" s="26">
        <v>101</v>
      </c>
      <c r="G90" s="44">
        <v>100</v>
      </c>
      <c r="H90" s="20">
        <f t="shared" si="12"/>
        <v>225</v>
      </c>
      <c r="I90" s="26">
        <v>102</v>
      </c>
      <c r="J90" s="26">
        <v>123</v>
      </c>
    </row>
    <row r="91" spans="1:10">
      <c r="A91" s="11" t="s">
        <v>10</v>
      </c>
      <c r="B91" s="19">
        <f t="shared" si="13"/>
        <v>137</v>
      </c>
      <c r="C91" s="26">
        <v>73</v>
      </c>
      <c r="D91" s="26">
        <v>64</v>
      </c>
      <c r="E91" s="39">
        <f t="shared" si="11"/>
        <v>147</v>
      </c>
      <c r="F91" s="26">
        <v>89</v>
      </c>
      <c r="G91" s="44">
        <v>58</v>
      </c>
      <c r="H91" s="20">
        <f t="shared" si="12"/>
        <v>115</v>
      </c>
      <c r="I91" s="26">
        <v>61</v>
      </c>
      <c r="J91" s="26">
        <v>54</v>
      </c>
    </row>
    <row r="92" spans="1:10">
      <c r="A92" s="11" t="s">
        <v>29</v>
      </c>
      <c r="B92" s="19">
        <f t="shared" si="13"/>
        <v>176</v>
      </c>
      <c r="C92" s="26">
        <v>101</v>
      </c>
      <c r="D92" s="26">
        <v>75</v>
      </c>
      <c r="E92" s="39">
        <f t="shared" si="11"/>
        <v>196</v>
      </c>
      <c r="F92" s="26">
        <v>108</v>
      </c>
      <c r="G92" s="44">
        <v>88</v>
      </c>
      <c r="H92" s="20">
        <f t="shared" si="12"/>
        <v>156</v>
      </c>
      <c r="I92" s="26">
        <v>85</v>
      </c>
      <c r="J92" s="26">
        <v>71</v>
      </c>
    </row>
    <row r="93" spans="1:10">
      <c r="A93" s="11" t="s">
        <v>12</v>
      </c>
      <c r="B93" s="19">
        <f t="shared" si="13"/>
        <v>31</v>
      </c>
      <c r="C93" s="26">
        <v>12</v>
      </c>
      <c r="D93" s="26">
        <v>19</v>
      </c>
      <c r="E93" s="39">
        <f t="shared" si="11"/>
        <v>22</v>
      </c>
      <c r="F93" s="26">
        <v>11</v>
      </c>
      <c r="G93" s="44">
        <v>11</v>
      </c>
      <c r="H93" s="20">
        <f t="shared" si="12"/>
        <v>34</v>
      </c>
      <c r="I93" s="26">
        <v>23</v>
      </c>
      <c r="J93" s="26">
        <v>11</v>
      </c>
    </row>
    <row r="94" spans="1:10">
      <c r="A94" s="11" t="s">
        <v>13</v>
      </c>
      <c r="B94" s="19">
        <f t="shared" si="13"/>
        <v>120</v>
      </c>
      <c r="C94" s="26">
        <v>58</v>
      </c>
      <c r="D94" s="26">
        <v>62</v>
      </c>
      <c r="E94" s="39">
        <f t="shared" si="11"/>
        <v>114</v>
      </c>
      <c r="F94" s="26">
        <v>61</v>
      </c>
      <c r="G94" s="44">
        <v>53</v>
      </c>
      <c r="H94" s="20">
        <f t="shared" si="12"/>
        <v>103</v>
      </c>
      <c r="I94" s="26">
        <v>52</v>
      </c>
      <c r="J94" s="26">
        <v>51</v>
      </c>
    </row>
    <row r="95" spans="1:10">
      <c r="A95" s="11" t="s">
        <v>14</v>
      </c>
      <c r="B95" s="19">
        <f t="shared" si="13"/>
        <v>125</v>
      </c>
      <c r="C95" s="26">
        <v>61</v>
      </c>
      <c r="D95" s="26">
        <v>64</v>
      </c>
      <c r="E95" s="39">
        <f t="shared" si="11"/>
        <v>158</v>
      </c>
      <c r="F95" s="26">
        <v>82</v>
      </c>
      <c r="G95" s="44">
        <v>76</v>
      </c>
      <c r="H95" s="20">
        <f t="shared" si="12"/>
        <v>123</v>
      </c>
      <c r="I95" s="26">
        <v>62</v>
      </c>
      <c r="J95" s="26">
        <v>61</v>
      </c>
    </row>
    <row r="96" spans="1:10">
      <c r="A96" s="11" t="s">
        <v>15</v>
      </c>
      <c r="B96" s="19">
        <f t="shared" si="13"/>
        <v>142</v>
      </c>
      <c r="C96" s="26">
        <v>78</v>
      </c>
      <c r="D96" s="26">
        <v>64</v>
      </c>
      <c r="E96" s="39">
        <f t="shared" si="11"/>
        <v>115</v>
      </c>
      <c r="F96" s="26">
        <v>57</v>
      </c>
      <c r="G96" s="44">
        <v>58</v>
      </c>
      <c r="H96" s="20">
        <f t="shared" si="12"/>
        <v>106</v>
      </c>
      <c r="I96" s="26">
        <v>44</v>
      </c>
      <c r="J96" s="26">
        <v>62</v>
      </c>
    </row>
    <row r="97" spans="1:10">
      <c r="A97" s="11" t="s">
        <v>16</v>
      </c>
      <c r="B97" s="19">
        <f t="shared" si="13"/>
        <v>223</v>
      </c>
      <c r="C97" s="26">
        <v>131</v>
      </c>
      <c r="D97" s="26">
        <v>92</v>
      </c>
      <c r="E97" s="39">
        <f t="shared" si="11"/>
        <v>259</v>
      </c>
      <c r="F97" s="26">
        <v>141</v>
      </c>
      <c r="G97" s="44">
        <v>118</v>
      </c>
      <c r="H97" s="20">
        <f t="shared" si="12"/>
        <v>206</v>
      </c>
      <c r="I97" s="26">
        <v>106</v>
      </c>
      <c r="J97" s="26">
        <v>100</v>
      </c>
    </row>
    <row r="98" spans="1:10">
      <c r="A98" s="11" t="s">
        <v>8</v>
      </c>
      <c r="B98" s="19">
        <f t="shared" si="13"/>
        <v>353</v>
      </c>
      <c r="C98" s="26">
        <v>188</v>
      </c>
      <c r="D98" s="26">
        <v>165</v>
      </c>
      <c r="E98" s="39">
        <f t="shared" si="11"/>
        <v>322</v>
      </c>
      <c r="F98" s="26">
        <v>171</v>
      </c>
      <c r="G98" s="44">
        <v>151</v>
      </c>
      <c r="H98" s="20">
        <f t="shared" si="12"/>
        <v>358</v>
      </c>
      <c r="I98" s="26">
        <v>185</v>
      </c>
      <c r="J98" s="26">
        <v>173</v>
      </c>
    </row>
    <row r="99" spans="1:10">
      <c r="A99" s="11" t="s">
        <v>17</v>
      </c>
      <c r="B99" s="19">
        <f t="shared" si="13"/>
        <v>274</v>
      </c>
      <c r="C99" s="26">
        <v>148</v>
      </c>
      <c r="D99" s="26">
        <v>126</v>
      </c>
      <c r="E99" s="39">
        <f t="shared" si="11"/>
        <v>247</v>
      </c>
      <c r="F99" s="26">
        <v>115</v>
      </c>
      <c r="G99" s="44">
        <v>132</v>
      </c>
      <c r="H99" s="20">
        <f t="shared" si="12"/>
        <v>177</v>
      </c>
      <c r="I99" s="26">
        <v>90</v>
      </c>
      <c r="J99" s="26">
        <v>87</v>
      </c>
    </row>
    <row r="100" spans="1:10">
      <c r="A100" s="11" t="s">
        <v>18</v>
      </c>
      <c r="B100" s="19">
        <f t="shared" si="13"/>
        <v>354</v>
      </c>
      <c r="C100" s="26">
        <v>197</v>
      </c>
      <c r="D100" s="26">
        <v>157</v>
      </c>
      <c r="E100" s="39">
        <f t="shared" si="11"/>
        <v>304</v>
      </c>
      <c r="F100" s="26">
        <v>155</v>
      </c>
      <c r="G100" s="44">
        <v>149</v>
      </c>
      <c r="H100" s="20">
        <f t="shared" si="12"/>
        <v>282</v>
      </c>
      <c r="I100" s="26">
        <v>122</v>
      </c>
      <c r="J100" s="26">
        <v>160</v>
      </c>
    </row>
    <row r="101" spans="1:10">
      <c r="A101" s="11" t="s">
        <v>19</v>
      </c>
      <c r="B101" s="19">
        <f t="shared" si="13"/>
        <v>196</v>
      </c>
      <c r="C101" s="26">
        <v>101</v>
      </c>
      <c r="D101" s="26">
        <v>95</v>
      </c>
      <c r="E101" s="39">
        <f t="shared" si="11"/>
        <v>158</v>
      </c>
      <c r="F101" s="26">
        <v>79</v>
      </c>
      <c r="G101" s="44">
        <v>79</v>
      </c>
      <c r="H101" s="20">
        <f t="shared" si="12"/>
        <v>161</v>
      </c>
      <c r="I101" s="26">
        <v>80</v>
      </c>
      <c r="J101" s="26">
        <v>81</v>
      </c>
    </row>
    <row r="102" spans="1:10">
      <c r="A102" s="12" t="s">
        <v>5</v>
      </c>
      <c r="B102" s="35">
        <f t="shared" si="13"/>
        <v>534</v>
      </c>
      <c r="C102" s="24">
        <v>271</v>
      </c>
      <c r="D102" s="24">
        <v>263</v>
      </c>
      <c r="E102" s="52">
        <f t="shared" si="11"/>
        <v>405</v>
      </c>
      <c r="F102" s="27">
        <v>230</v>
      </c>
      <c r="G102" s="45">
        <v>175</v>
      </c>
      <c r="H102" s="34">
        <f t="shared" si="12"/>
        <v>465</v>
      </c>
      <c r="I102" s="27">
        <v>209</v>
      </c>
      <c r="J102" s="27">
        <v>256</v>
      </c>
    </row>
    <row r="103" spans="1:10">
      <c r="A103" s="13" t="s">
        <v>0</v>
      </c>
      <c r="B103" s="56" t="s">
        <v>47</v>
      </c>
      <c r="C103" s="56"/>
      <c r="D103" s="56"/>
      <c r="E103" s="57" t="s">
        <v>48</v>
      </c>
      <c r="F103" s="56"/>
      <c r="G103" s="58"/>
      <c r="H103" s="56" t="s">
        <v>25</v>
      </c>
      <c r="I103" s="56"/>
      <c r="J103" s="56"/>
    </row>
    <row r="104" spans="1:10">
      <c r="A104" s="9"/>
      <c r="B104" s="15" t="s">
        <v>28</v>
      </c>
      <c r="C104" s="15" t="s">
        <v>23</v>
      </c>
      <c r="D104" s="15" t="s">
        <v>24</v>
      </c>
      <c r="E104" s="41" t="s">
        <v>28</v>
      </c>
      <c r="F104" s="15" t="s">
        <v>23</v>
      </c>
      <c r="G104" s="42" t="s">
        <v>24</v>
      </c>
      <c r="H104" s="15" t="s">
        <v>28</v>
      </c>
      <c r="I104" s="15" t="s">
        <v>23</v>
      </c>
      <c r="J104" s="15" t="s">
        <v>24</v>
      </c>
    </row>
    <row r="105" spans="1:10" ht="12" customHeight="1">
      <c r="A105" s="2" t="s">
        <v>2</v>
      </c>
      <c r="B105" s="20">
        <f>C105+D105</f>
        <v>2466</v>
      </c>
      <c r="C105" s="6">
        <f>C106+C107</f>
        <v>1217</v>
      </c>
      <c r="D105" s="6">
        <f>D106+D107</f>
        <v>1249</v>
      </c>
      <c r="E105" s="39">
        <f>F105+G105</f>
        <v>1771</v>
      </c>
      <c r="F105" s="6">
        <f>F106+F107</f>
        <v>881</v>
      </c>
      <c r="G105" s="40">
        <f>G106+G107</f>
        <v>890</v>
      </c>
      <c r="H105" s="20">
        <f>I105+J105</f>
        <v>142</v>
      </c>
      <c r="I105" s="6">
        <f>I106+I107</f>
        <v>82</v>
      </c>
      <c r="J105" s="6">
        <f>J106+J107</f>
        <v>60</v>
      </c>
    </row>
    <row r="106" spans="1:10" ht="12" customHeight="1">
      <c r="A106" s="2" t="s">
        <v>3</v>
      </c>
      <c r="B106" s="19">
        <f>SUM(C106:D106)</f>
        <v>1635</v>
      </c>
      <c r="C106" s="19">
        <v>852</v>
      </c>
      <c r="D106" s="19">
        <v>783</v>
      </c>
      <c r="E106" s="39">
        <f t="shared" ref="E106:E127" si="14">F106+G106</f>
        <v>1054</v>
      </c>
      <c r="F106" s="19">
        <v>552</v>
      </c>
      <c r="G106" s="47">
        <v>502</v>
      </c>
      <c r="H106" s="20">
        <f t="shared" ref="H106:H127" si="15">I106+J106</f>
        <v>87</v>
      </c>
      <c r="I106" s="19">
        <v>59</v>
      </c>
      <c r="J106" s="19">
        <v>28</v>
      </c>
    </row>
    <row r="107" spans="1:10" ht="12" customHeight="1">
      <c r="A107" s="2" t="s">
        <v>4</v>
      </c>
      <c r="B107" s="19">
        <f>SUM(B108:B127)</f>
        <v>831</v>
      </c>
      <c r="C107" s="6">
        <f>SUM(C108:C127)</f>
        <v>365</v>
      </c>
      <c r="D107" s="6">
        <f>SUM(D108:D127)</f>
        <v>466</v>
      </c>
      <c r="E107" s="39">
        <f>F107+G107</f>
        <v>717</v>
      </c>
      <c r="F107" s="6">
        <f>SUM(F108:F127)</f>
        <v>329</v>
      </c>
      <c r="G107" s="40">
        <f>SUM(G108:G127)</f>
        <v>388</v>
      </c>
      <c r="H107" s="20">
        <f t="shared" si="15"/>
        <v>55</v>
      </c>
      <c r="I107" s="6">
        <f>SUM(I108:I127)</f>
        <v>23</v>
      </c>
      <c r="J107" s="6">
        <f>SUM(J108:J127)</f>
        <v>32</v>
      </c>
    </row>
    <row r="108" spans="1:10" ht="12" customHeight="1">
      <c r="A108" s="11" t="s">
        <v>30</v>
      </c>
      <c r="B108" s="19">
        <f t="shared" ref="B108:B127" si="16">SUM(C108:D108)</f>
        <v>61</v>
      </c>
      <c r="C108" s="26">
        <v>29</v>
      </c>
      <c r="D108" s="26">
        <v>32</v>
      </c>
      <c r="E108" s="39">
        <f t="shared" si="14"/>
        <v>60</v>
      </c>
      <c r="F108" s="28">
        <v>23</v>
      </c>
      <c r="G108" s="48">
        <v>37</v>
      </c>
      <c r="H108" s="20">
        <f t="shared" si="15"/>
        <v>0</v>
      </c>
      <c r="I108" s="29">
        <v>0</v>
      </c>
      <c r="J108" s="29">
        <v>0</v>
      </c>
    </row>
    <row r="109" spans="1:10" ht="12" customHeight="1">
      <c r="A109" s="11" t="s">
        <v>31</v>
      </c>
      <c r="B109" s="19">
        <f t="shared" si="16"/>
        <v>62</v>
      </c>
      <c r="C109" s="22">
        <v>25</v>
      </c>
      <c r="D109" s="22">
        <v>37</v>
      </c>
      <c r="E109" s="39">
        <f t="shared" si="14"/>
        <v>50</v>
      </c>
      <c r="F109" s="29">
        <v>19</v>
      </c>
      <c r="G109" s="49">
        <v>31</v>
      </c>
      <c r="H109" s="20">
        <f t="shared" si="15"/>
        <v>0</v>
      </c>
      <c r="I109" s="29">
        <v>0</v>
      </c>
      <c r="J109" s="29">
        <v>0</v>
      </c>
    </row>
    <row r="110" spans="1:10" ht="12" customHeight="1">
      <c r="A110" s="11" t="s">
        <v>32</v>
      </c>
      <c r="B110" s="19">
        <f t="shared" si="16"/>
        <v>25</v>
      </c>
      <c r="C110" s="22">
        <v>12</v>
      </c>
      <c r="D110" s="22">
        <v>13</v>
      </c>
      <c r="E110" s="39">
        <f t="shared" si="14"/>
        <v>10</v>
      </c>
      <c r="F110" s="28">
        <v>6</v>
      </c>
      <c r="G110" s="48">
        <v>4</v>
      </c>
      <c r="H110" s="20">
        <f t="shared" si="15"/>
        <v>5</v>
      </c>
      <c r="I110" s="29">
        <v>3</v>
      </c>
      <c r="J110" s="29">
        <v>2</v>
      </c>
    </row>
    <row r="111" spans="1:10" ht="12" customHeight="1">
      <c r="A111" s="11" t="s">
        <v>20</v>
      </c>
      <c r="B111" s="19">
        <f t="shared" si="16"/>
        <v>46</v>
      </c>
      <c r="C111" s="29">
        <v>22</v>
      </c>
      <c r="D111" s="29">
        <v>24</v>
      </c>
      <c r="E111" s="39">
        <f t="shared" si="14"/>
        <v>36</v>
      </c>
      <c r="F111" s="28">
        <v>18</v>
      </c>
      <c r="G111" s="48">
        <v>18</v>
      </c>
      <c r="H111" s="20">
        <f t="shared" si="15"/>
        <v>0</v>
      </c>
      <c r="I111" s="29">
        <v>0</v>
      </c>
      <c r="J111" s="29">
        <v>0</v>
      </c>
    </row>
    <row r="112" spans="1:10" ht="12" customHeight="1">
      <c r="A112" s="11" t="s">
        <v>33</v>
      </c>
      <c r="B112" s="19">
        <f t="shared" si="16"/>
        <v>34</v>
      </c>
      <c r="C112" s="22">
        <v>17</v>
      </c>
      <c r="D112" s="22">
        <v>17</v>
      </c>
      <c r="E112" s="39">
        <f t="shared" si="14"/>
        <v>58</v>
      </c>
      <c r="F112" s="28">
        <v>27</v>
      </c>
      <c r="G112" s="48">
        <v>31</v>
      </c>
      <c r="H112" s="20">
        <f t="shared" si="15"/>
        <v>6</v>
      </c>
      <c r="I112" s="29">
        <v>2</v>
      </c>
      <c r="J112" s="29">
        <v>4</v>
      </c>
    </row>
    <row r="113" spans="1:10" ht="12" customHeight="1">
      <c r="A113" s="11" t="s">
        <v>6</v>
      </c>
      <c r="B113" s="19">
        <f t="shared" si="16"/>
        <v>82</v>
      </c>
      <c r="C113" s="22">
        <v>41</v>
      </c>
      <c r="D113" s="22">
        <v>41</v>
      </c>
      <c r="E113" s="39">
        <f t="shared" si="14"/>
        <v>52</v>
      </c>
      <c r="F113" s="29">
        <v>28</v>
      </c>
      <c r="G113" s="49">
        <v>24</v>
      </c>
      <c r="H113" s="20">
        <f t="shared" si="15"/>
        <v>0</v>
      </c>
      <c r="I113" s="29">
        <v>0</v>
      </c>
      <c r="J113" s="29">
        <v>0</v>
      </c>
    </row>
    <row r="114" spans="1:10" ht="12" customHeight="1">
      <c r="A114" s="11" t="s">
        <v>7</v>
      </c>
      <c r="B114" s="19">
        <f t="shared" si="16"/>
        <v>45</v>
      </c>
      <c r="C114" s="22">
        <v>25</v>
      </c>
      <c r="D114" s="22">
        <v>20</v>
      </c>
      <c r="E114" s="39">
        <f t="shared" si="14"/>
        <v>54</v>
      </c>
      <c r="F114" s="28">
        <v>25</v>
      </c>
      <c r="G114" s="50">
        <v>29</v>
      </c>
      <c r="H114" s="20">
        <f t="shared" si="15"/>
        <v>0</v>
      </c>
      <c r="I114" s="29">
        <v>0</v>
      </c>
      <c r="J114" s="29">
        <v>0</v>
      </c>
    </row>
    <row r="115" spans="1:10" ht="12" customHeight="1">
      <c r="A115" s="11" t="s">
        <v>9</v>
      </c>
      <c r="B115" s="19">
        <f t="shared" si="16"/>
        <v>0</v>
      </c>
      <c r="C115" s="29">
        <v>0</v>
      </c>
      <c r="D115" s="29">
        <v>0</v>
      </c>
      <c r="E115" s="39">
        <f t="shared" si="14"/>
        <v>0</v>
      </c>
      <c r="F115" s="29">
        <v>0</v>
      </c>
      <c r="G115" s="49">
        <v>0</v>
      </c>
      <c r="H115" s="20">
        <f t="shared" si="15"/>
        <v>0</v>
      </c>
      <c r="I115" s="29">
        <v>0</v>
      </c>
      <c r="J115" s="29">
        <v>0</v>
      </c>
    </row>
    <row r="116" spans="1:10" ht="12" customHeight="1">
      <c r="A116" s="11" t="s">
        <v>10</v>
      </c>
      <c r="B116" s="19">
        <f t="shared" si="16"/>
        <v>14</v>
      </c>
      <c r="C116" s="29">
        <v>8</v>
      </c>
      <c r="D116" s="29">
        <v>6</v>
      </c>
      <c r="E116" s="39">
        <f t="shared" si="14"/>
        <v>12</v>
      </c>
      <c r="F116" s="29">
        <v>6</v>
      </c>
      <c r="G116" s="49">
        <v>6</v>
      </c>
      <c r="H116" s="20">
        <f t="shared" si="15"/>
        <v>0</v>
      </c>
      <c r="I116" s="29">
        <v>0</v>
      </c>
      <c r="J116" s="29">
        <v>0</v>
      </c>
    </row>
    <row r="117" spans="1:10" ht="12" customHeight="1">
      <c r="A117" s="11" t="s">
        <v>11</v>
      </c>
      <c r="B117" s="19">
        <f t="shared" si="16"/>
        <v>0</v>
      </c>
      <c r="C117" s="29">
        <v>0</v>
      </c>
      <c r="D117" s="29">
        <v>0</v>
      </c>
      <c r="E117" s="39">
        <f t="shared" si="14"/>
        <v>0</v>
      </c>
      <c r="F117" s="28">
        <v>0</v>
      </c>
      <c r="G117" s="51">
        <v>0</v>
      </c>
      <c r="H117" s="20">
        <f t="shared" si="15"/>
        <v>0</v>
      </c>
      <c r="I117" s="29">
        <v>0</v>
      </c>
      <c r="J117" s="29">
        <v>0</v>
      </c>
    </row>
    <row r="118" spans="1:10" ht="12" customHeight="1">
      <c r="A118" s="11" t="s">
        <v>12</v>
      </c>
      <c r="B118" s="19">
        <f t="shared" si="16"/>
        <v>0</v>
      </c>
      <c r="C118" s="29">
        <v>0</v>
      </c>
      <c r="D118" s="29">
        <v>0</v>
      </c>
      <c r="E118" s="39">
        <f t="shared" si="14"/>
        <v>0</v>
      </c>
      <c r="F118" s="29">
        <v>0</v>
      </c>
      <c r="G118" s="49">
        <v>0</v>
      </c>
      <c r="H118" s="20">
        <f t="shared" si="15"/>
        <v>0</v>
      </c>
      <c r="I118" s="29">
        <v>0</v>
      </c>
      <c r="J118" s="29">
        <v>0</v>
      </c>
    </row>
    <row r="119" spans="1:10" ht="12" customHeight="1">
      <c r="A119" s="11" t="s">
        <v>13</v>
      </c>
      <c r="B119" s="19">
        <f t="shared" si="16"/>
        <v>17</v>
      </c>
      <c r="C119" s="29">
        <v>8</v>
      </c>
      <c r="D119" s="29">
        <v>9</v>
      </c>
      <c r="E119" s="39">
        <f t="shared" si="14"/>
        <v>16</v>
      </c>
      <c r="F119" s="29">
        <v>6</v>
      </c>
      <c r="G119" s="49">
        <v>10</v>
      </c>
      <c r="H119" s="20">
        <f t="shared" si="15"/>
        <v>0</v>
      </c>
      <c r="I119" s="29">
        <v>0</v>
      </c>
      <c r="J119" s="29">
        <v>0</v>
      </c>
    </row>
    <row r="120" spans="1:10" ht="12" customHeight="1">
      <c r="A120" s="11" t="s">
        <v>14</v>
      </c>
      <c r="B120" s="19">
        <f t="shared" si="16"/>
        <v>42</v>
      </c>
      <c r="C120" s="29">
        <v>22</v>
      </c>
      <c r="D120" s="29">
        <v>20</v>
      </c>
      <c r="E120" s="39">
        <f t="shared" si="14"/>
        <v>59</v>
      </c>
      <c r="F120" s="29">
        <v>33</v>
      </c>
      <c r="G120" s="49">
        <v>26</v>
      </c>
      <c r="H120" s="20">
        <f t="shared" si="15"/>
        <v>0</v>
      </c>
      <c r="I120" s="29">
        <v>0</v>
      </c>
      <c r="J120" s="29">
        <v>0</v>
      </c>
    </row>
    <row r="121" spans="1:10" ht="12" customHeight="1">
      <c r="A121" s="11" t="s">
        <v>15</v>
      </c>
      <c r="B121" s="19">
        <f t="shared" si="16"/>
        <v>27</v>
      </c>
      <c r="C121" s="30">
        <v>12</v>
      </c>
      <c r="D121" s="30">
        <v>15</v>
      </c>
      <c r="E121" s="39">
        <f t="shared" si="14"/>
        <v>33</v>
      </c>
      <c r="F121" s="28">
        <v>19</v>
      </c>
      <c r="G121" s="51">
        <v>14</v>
      </c>
      <c r="H121" s="20">
        <f t="shared" si="15"/>
        <v>0</v>
      </c>
      <c r="I121" s="29">
        <v>0</v>
      </c>
      <c r="J121" s="29">
        <v>0</v>
      </c>
    </row>
    <row r="122" spans="1:10" ht="12" customHeight="1">
      <c r="A122" s="11" t="s">
        <v>16</v>
      </c>
      <c r="B122" s="19">
        <f t="shared" si="16"/>
        <v>8</v>
      </c>
      <c r="C122" s="29">
        <v>1</v>
      </c>
      <c r="D122" s="29">
        <v>7</v>
      </c>
      <c r="E122" s="39">
        <f t="shared" si="14"/>
        <v>9</v>
      </c>
      <c r="F122" s="29">
        <v>6</v>
      </c>
      <c r="G122" s="49">
        <v>3</v>
      </c>
      <c r="H122" s="20">
        <f t="shared" si="15"/>
        <v>0</v>
      </c>
      <c r="I122" s="29">
        <v>0</v>
      </c>
      <c r="J122" s="29">
        <v>0</v>
      </c>
    </row>
    <row r="123" spans="1:10" ht="12" customHeight="1">
      <c r="A123" s="11" t="s">
        <v>8</v>
      </c>
      <c r="B123" s="19">
        <f t="shared" si="16"/>
        <v>34</v>
      </c>
      <c r="C123" s="29">
        <v>15</v>
      </c>
      <c r="D123" s="29">
        <v>19</v>
      </c>
      <c r="E123" s="39">
        <f t="shared" si="14"/>
        <v>29</v>
      </c>
      <c r="F123" s="28">
        <v>11</v>
      </c>
      <c r="G123" s="51">
        <v>18</v>
      </c>
      <c r="H123" s="20">
        <f t="shared" si="15"/>
        <v>3</v>
      </c>
      <c r="I123" s="29">
        <v>2</v>
      </c>
      <c r="J123" s="29">
        <v>1</v>
      </c>
    </row>
    <row r="124" spans="1:10" ht="12" customHeight="1">
      <c r="A124" s="11" t="s">
        <v>17</v>
      </c>
      <c r="B124" s="19">
        <f t="shared" si="16"/>
        <v>37</v>
      </c>
      <c r="C124" s="22">
        <v>22</v>
      </c>
      <c r="D124" s="22">
        <v>15</v>
      </c>
      <c r="E124" s="39">
        <f t="shared" si="14"/>
        <v>30</v>
      </c>
      <c r="F124" s="28">
        <v>13</v>
      </c>
      <c r="G124" s="51">
        <v>17</v>
      </c>
      <c r="H124" s="20">
        <f t="shared" si="15"/>
        <v>9</v>
      </c>
      <c r="I124" s="29">
        <v>3</v>
      </c>
      <c r="J124" s="29">
        <v>6</v>
      </c>
    </row>
    <row r="125" spans="1:10" ht="12" customHeight="1">
      <c r="A125" s="11" t="s">
        <v>18</v>
      </c>
      <c r="B125" s="19">
        <f t="shared" si="16"/>
        <v>38</v>
      </c>
      <c r="C125" s="22">
        <v>17</v>
      </c>
      <c r="D125" s="22">
        <v>21</v>
      </c>
      <c r="E125" s="39">
        <f t="shared" si="14"/>
        <v>34</v>
      </c>
      <c r="F125" s="29">
        <v>12</v>
      </c>
      <c r="G125" s="49">
        <v>22</v>
      </c>
      <c r="H125" s="20">
        <f t="shared" si="15"/>
        <v>12</v>
      </c>
      <c r="I125" s="29">
        <v>4</v>
      </c>
      <c r="J125" s="29">
        <v>8</v>
      </c>
    </row>
    <row r="126" spans="1:10" ht="12" customHeight="1">
      <c r="A126" s="11" t="s">
        <v>19</v>
      </c>
      <c r="B126" s="19">
        <f t="shared" si="16"/>
        <v>57</v>
      </c>
      <c r="C126" s="22">
        <v>22</v>
      </c>
      <c r="D126" s="22">
        <v>35</v>
      </c>
      <c r="E126" s="39">
        <f t="shared" si="14"/>
        <v>47</v>
      </c>
      <c r="F126" s="28">
        <v>20</v>
      </c>
      <c r="G126" s="51">
        <v>27</v>
      </c>
      <c r="H126" s="20">
        <f t="shared" si="15"/>
        <v>20</v>
      </c>
      <c r="I126" s="29">
        <v>9</v>
      </c>
      <c r="J126" s="29">
        <v>11</v>
      </c>
    </row>
    <row r="127" spans="1:10" ht="12" customHeight="1">
      <c r="A127" s="12" t="s">
        <v>5</v>
      </c>
      <c r="B127" s="36">
        <f t="shared" si="16"/>
        <v>202</v>
      </c>
      <c r="C127" s="31">
        <v>67</v>
      </c>
      <c r="D127" s="31">
        <v>135</v>
      </c>
      <c r="E127" s="52">
        <f t="shared" si="14"/>
        <v>128</v>
      </c>
      <c r="F127" s="32">
        <v>57</v>
      </c>
      <c r="G127" s="53">
        <v>71</v>
      </c>
      <c r="H127" s="34">
        <f t="shared" si="15"/>
        <v>0</v>
      </c>
      <c r="I127" s="33">
        <v>0</v>
      </c>
      <c r="J127" s="33">
        <v>0</v>
      </c>
    </row>
    <row r="128" spans="1:10">
      <c r="A128" s="5" t="s">
        <v>21</v>
      </c>
      <c r="B128" s="17"/>
      <c r="C128" s="17"/>
      <c r="D128" s="17"/>
      <c r="E128" s="17"/>
      <c r="F128" s="17"/>
      <c r="G128" s="17"/>
      <c r="H128" s="17"/>
      <c r="I128" s="17"/>
      <c r="J128" s="7" t="s">
        <v>22</v>
      </c>
    </row>
    <row r="129" spans="1:10" ht="17.25">
      <c r="A129" s="4" t="s">
        <v>26</v>
      </c>
      <c r="B129" s="17"/>
      <c r="C129" s="17"/>
      <c r="D129" s="17"/>
      <c r="E129" s="17"/>
      <c r="F129" s="17"/>
      <c r="G129" s="17"/>
      <c r="H129" s="17"/>
      <c r="I129" s="17"/>
      <c r="J129" s="3" t="s">
        <v>27</v>
      </c>
    </row>
    <row r="130" spans="1:10">
      <c r="A130" s="5"/>
      <c r="B130" s="17"/>
      <c r="C130" s="17"/>
      <c r="D130" s="17"/>
      <c r="E130" s="17"/>
      <c r="F130" s="17"/>
      <c r="G130" s="17"/>
      <c r="H130" s="17"/>
      <c r="I130" s="17"/>
      <c r="J130" s="17"/>
    </row>
    <row r="131" spans="1:10">
      <c r="A131" s="18"/>
    </row>
    <row r="132" spans="1:10">
      <c r="A132" s="18"/>
    </row>
    <row r="133" spans="1:10">
      <c r="A133" s="18"/>
    </row>
    <row r="134" spans="1:10">
      <c r="A134" s="18"/>
    </row>
    <row r="135" spans="1:10">
      <c r="A135" s="18"/>
    </row>
    <row r="136" spans="1:10">
      <c r="A136" s="18"/>
    </row>
  </sheetData>
  <mergeCells count="18">
    <mergeCell ref="B103:D103"/>
    <mergeCell ref="E103:G103"/>
    <mergeCell ref="H103:J103"/>
    <mergeCell ref="B28:D28"/>
    <mergeCell ref="E28:G28"/>
    <mergeCell ref="H28:J28"/>
    <mergeCell ref="B53:D53"/>
    <mergeCell ref="E53:G53"/>
    <mergeCell ref="H53:J53"/>
    <mergeCell ref="B78:D78"/>
    <mergeCell ref="E78:G78"/>
    <mergeCell ref="H78:J78"/>
    <mergeCell ref="A1:J1"/>
    <mergeCell ref="A2:J2"/>
    <mergeCell ref="B3:D3"/>
    <mergeCell ref="E3:G3"/>
    <mergeCell ref="H3:J3"/>
    <mergeCell ref="A3:A4"/>
  </mergeCells>
  <pageMargins left="0.17" right="0.16" top="0.75" bottom="0.75" header="0.3" footer="0.3"/>
  <pageSetup paperSize="9" scale="90" orientation="portrait" r:id="rId1"/>
  <rowBreaks count="2" manualBreakCount="2">
    <brk id="52" max="16383" man="1"/>
    <brk id="10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7.10</vt:lpstr>
      <vt:lpstr>'7.10'!Print_Titles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2013-09-03T09:50:28Z</dcterms:modified>
</cp:coreProperties>
</file>