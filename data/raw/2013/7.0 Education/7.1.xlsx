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1" sheetId="1" r:id="rId1"/>
  </sheets>
  <definedNames>
    <definedName name="_xlnm.Print_Area" localSheetId="0">'7.1'!$A$1:$U$47</definedName>
  </definedNames>
  <calcPr calcId="124519"/>
</workbook>
</file>

<file path=xl/calcChain.xml><?xml version="1.0" encoding="utf-8"?>
<calcChain xmlns="http://schemas.openxmlformats.org/spreadsheetml/2006/main">
  <c r="H8" i="1"/>
  <c r="G28"/>
  <c r="B28"/>
  <c r="G27"/>
  <c r="B27"/>
  <c r="G26"/>
  <c r="B26"/>
  <c r="G25"/>
  <c r="B25"/>
  <c r="G24"/>
  <c r="B24"/>
  <c r="G23"/>
  <c r="B23"/>
  <c r="G22"/>
  <c r="B22"/>
  <c r="G21"/>
  <c r="B21"/>
  <c r="G20"/>
  <c r="B20"/>
  <c r="G19"/>
  <c r="B19"/>
  <c r="G18"/>
  <c r="B18"/>
  <c r="G17"/>
  <c r="B17"/>
  <c r="G16"/>
  <c r="B16"/>
  <c r="G15"/>
  <c r="B15"/>
  <c r="G14"/>
  <c r="B14"/>
  <c r="G13"/>
  <c r="B13"/>
  <c r="G12"/>
  <c r="B12"/>
  <c r="G11"/>
  <c r="B11"/>
  <c r="G10"/>
  <c r="B10"/>
  <c r="G9"/>
  <c r="B9"/>
  <c r="J8"/>
  <c r="I8"/>
  <c r="G8"/>
  <c r="B8"/>
  <c r="G7"/>
  <c r="B7"/>
  <c r="J6"/>
  <c r="I6"/>
  <c r="H6"/>
  <c r="G6"/>
  <c r="B6"/>
</calcChain>
</file>

<file path=xl/sharedStrings.xml><?xml version="1.0" encoding="utf-8"?>
<sst xmlns="http://schemas.openxmlformats.org/spreadsheetml/2006/main" count="100" uniqueCount="69">
  <si>
    <t>2012 ,udwdwa egunwtcnwt Ediawvwyik iaWncnidukWvwyik iawgukwtuLotwa iaWa elWm ,cnutwvWb egunwtcnwt EvedumIluawt : 7.1 ulwvWt</t>
  </si>
  <si>
    <t>Table 7.1 : STUDENT ENROLMENT AND SCHOOLS IN MALE' AND  ATOLLS BY TYPE OF EDUCATIONAL INSTITUTION, 2012</t>
  </si>
  <si>
    <t xml:space="preserve">  Locality</t>
  </si>
  <si>
    <t>wlcmuj</t>
  </si>
  <si>
    <t>urWkurws</t>
  </si>
  <si>
    <t>wlcaimwa</t>
  </si>
  <si>
    <t>egutwAWmwj</t>
  </si>
  <si>
    <r>
      <t xml:space="preserve"> cnwt </t>
    </r>
    <r>
      <rPr>
        <b/>
        <sz val="10"/>
        <rFont val="Win Ahamedey PRB"/>
        <family val="2"/>
      </rPr>
      <t xml:space="preserve"> </t>
    </r>
  </si>
  <si>
    <t>Total</t>
  </si>
  <si>
    <t>Government</t>
  </si>
  <si>
    <t>Private</t>
  </si>
  <si>
    <t>Community</t>
  </si>
  <si>
    <t>Republic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</si>
  <si>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</si>
  <si>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</si>
  <si>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</si>
  <si>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</si>
  <si>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</si>
  <si>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</si>
  <si>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</si>
  <si>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</si>
  <si>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</si>
  <si>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</si>
  <si>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</si>
  <si>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</si>
  <si>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</si>
  <si>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</si>
  <si>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</si>
  <si>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</si>
  <si>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</si>
  <si>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 xml:space="preserve"> </t>
  </si>
  <si>
    <t>Lh</t>
  </si>
  <si>
    <t>L</t>
  </si>
  <si>
    <t xml:space="preserve">cnehirif </t>
  </si>
  <si>
    <t xml:space="preserve">cnehcnwa </t>
  </si>
  <si>
    <t>K</t>
  </si>
  <si>
    <t>k</t>
  </si>
  <si>
    <t xml:space="preserve"> Male</t>
  </si>
  <si>
    <t xml:space="preserve"> Female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</si>
  <si>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</si>
  <si>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</si>
  <si>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</si>
  <si>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</si>
  <si>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</si>
  <si>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</si>
  <si>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</si>
  <si>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</si>
  <si>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</si>
  <si>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</si>
  <si>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</si>
  <si>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</si>
  <si>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</si>
  <si>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</si>
  <si>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</si>
  <si>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</si>
  <si>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</si>
  <si>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</si>
  <si>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</si>
  <si>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</si>
  <si>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 xml:space="preserve"> AA</t>
  </si>
  <si>
    <t>Gn</t>
  </si>
  <si>
    <t>N</t>
  </si>
  <si>
    <t>s</t>
  </si>
  <si>
    <t>Source: Ministry of Education</t>
  </si>
  <si>
    <t>cnwxEkuaiDea cfoa IrcTcsinim :ctWrwf ivcaed utWmUluAwm</t>
  </si>
  <si>
    <t>Note: Includes 142 students enrolled in special classes, for children with special needs</t>
  </si>
  <si>
    <r>
      <t xml:space="preserve">     </t>
    </r>
    <r>
      <rPr>
        <b/>
        <sz val="10"/>
        <rFont val="Calibri"/>
        <family val="2"/>
        <scheme val="minor"/>
      </rPr>
      <t xml:space="preserve"> Schools  </t>
    </r>
    <r>
      <rPr>
        <b/>
        <sz val="10"/>
        <rFont val="A_Waheed"/>
      </rPr>
      <t xml:space="preserve"> Wsurwdwm</t>
    </r>
  </si>
  <si>
    <r>
      <t xml:space="preserve">         </t>
    </r>
    <r>
      <rPr>
        <b/>
        <sz val="10"/>
        <rFont val="Calibri"/>
        <family val="2"/>
        <scheme val="minor"/>
      </rPr>
      <t xml:space="preserve">   Students</t>
    </r>
    <r>
      <rPr>
        <b/>
        <sz val="10"/>
        <rFont val="A_Waheed"/>
      </rPr>
      <t xml:space="preserve">  cnidukWvwyik</t>
    </r>
  </si>
  <si>
    <t>ނޯޓް: ޖުމްލައިގެ ތެރޭގައި ޚާއްސަ އެހީއަށް ބޭނުންވާ ކްލާސްތަކުގައި ކިޔަވާ 142 ކުދިން ހިމެނެއެވެ.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</si>
</sst>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#,##0;[Red]#,##0"/>
    <numFmt numFmtId="166" formatCode="#,##0.0_);[Red]\(#,##0.0\)"/>
  </numFmts>
  <fonts count="30">
    <font>
      <sz val="11"/>
      <color theme="1"/>
      <name val="Calibri"/>
      <family val="2"/>
      <scheme val="minor"/>
    </font>
    <font>
      <b/>
      <sz val="11"/>
      <name val="A_Randhoo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Waheed"/>
    </font>
    <font>
      <sz val="9"/>
      <name val="Courier"/>
      <family val="3"/>
    </font>
    <font>
      <b/>
      <sz val="9"/>
      <name val="Arial"/>
      <family val="2"/>
    </font>
    <font>
      <b/>
      <sz val="10"/>
      <name val="A_Randhoo"/>
    </font>
    <font>
      <b/>
      <sz val="10"/>
      <name val="Win Ahamedey PRB"/>
      <family val="2"/>
    </font>
    <font>
      <b/>
      <sz val="9"/>
      <name val="Win Ahamedey PRB"/>
      <family val="2"/>
    </font>
    <font>
      <sz val="9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b/>
      <sz val="9"/>
      <name val="A_Waheed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8"/>
      <name val="A_Randhoo"/>
    </font>
    <font>
      <u/>
      <sz val="10"/>
      <color indexed="12"/>
      <name val="Courier"/>
      <family val="3"/>
    </font>
    <font>
      <u/>
      <sz val="9"/>
      <color indexed="12"/>
      <name val="Courier"/>
      <family val="3"/>
    </font>
    <font>
      <sz val="10"/>
      <name val="Calibri"/>
      <family val="2"/>
      <scheme val="minor"/>
    </font>
    <font>
      <sz val="10"/>
      <name val="A_Randhoo"/>
    </font>
    <font>
      <sz val="10"/>
      <name val="Courier"/>
      <family val="3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u/>
      <sz val="9"/>
      <color theme="1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3" fillId="0" borderId="0"/>
    <xf numFmtId="166" fontId="23" fillId="0" borderId="0"/>
    <xf numFmtId="165" fontId="23" fillId="0" borderId="0"/>
    <xf numFmtId="165" fontId="23" fillId="0" borderId="0"/>
  </cellStyleXfs>
  <cellXfs count="78">
    <xf numFmtId="0" fontId="0" fillId="0" borderId="0" xfId="0"/>
    <xf numFmtId="164" fontId="14" fillId="3" borderId="0" xfId="0" applyNumberFormat="1" applyFont="1" applyFill="1" applyBorder="1" applyAlignment="1">
      <alignment vertical="center"/>
    </xf>
    <xf numFmtId="164" fontId="7" fillId="3" borderId="0" xfId="0" applyNumberFormat="1" applyFont="1" applyFill="1" applyBorder="1" applyAlignment="1">
      <alignment vertical="center"/>
    </xf>
    <xf numFmtId="164" fontId="14" fillId="3" borderId="0" xfId="0" applyNumberFormat="1" applyFont="1" applyFill="1" applyAlignment="1">
      <alignment vertical="center"/>
    </xf>
    <xf numFmtId="164" fontId="2" fillId="3" borderId="0" xfId="0" applyNumberFormat="1" applyFont="1" applyFill="1"/>
    <xf numFmtId="3" fontId="5" fillId="2" borderId="0" xfId="0" applyNumberFormat="1" applyFont="1" applyFill="1" applyBorder="1" applyAlignment="1" applyProtection="1">
      <alignment horizontal="right" vertical="center"/>
    </xf>
    <xf numFmtId="165" fontId="12" fillId="2" borderId="0" xfId="0" applyNumberFormat="1" applyFont="1" applyFill="1" applyBorder="1" applyAlignment="1">
      <alignment vertical="center"/>
    </xf>
    <xf numFmtId="165" fontId="12" fillId="2" borderId="1" xfId="0" applyNumberFormat="1" applyFont="1" applyFill="1" applyBorder="1" applyAlignment="1">
      <alignment vertical="center"/>
    </xf>
    <xf numFmtId="164" fontId="13" fillId="3" borderId="0" xfId="0" applyNumberFormat="1" applyFont="1" applyFill="1" applyBorder="1" applyAlignment="1">
      <alignment horizontal="right" vertical="center"/>
    </xf>
    <xf numFmtId="164" fontId="8" fillId="3" borderId="0" xfId="0" applyNumberFormat="1" applyFont="1" applyFill="1" applyAlignment="1">
      <alignment vertical="center"/>
    </xf>
    <xf numFmtId="164" fontId="12" fillId="3" borderId="0" xfId="0" applyNumberFormat="1" applyFont="1" applyFill="1" applyAlignment="1" applyProtection="1">
      <alignment horizontal="left" vertical="center"/>
    </xf>
    <xf numFmtId="164" fontId="12" fillId="3" borderId="1" xfId="0" applyNumberFormat="1" applyFont="1" applyFill="1" applyBorder="1" applyAlignment="1" applyProtection="1">
      <alignment horizontal="left" vertical="center"/>
    </xf>
    <xf numFmtId="164" fontId="1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Border="1" applyAlignment="1" applyProtection="1">
      <alignment horizontal="center" vertical="top" wrapText="1"/>
    </xf>
    <xf numFmtId="164" fontId="4" fillId="3" borderId="0" xfId="0" applyNumberFormat="1" applyFont="1" applyFill="1" applyAlignment="1">
      <alignment vertical="top"/>
    </xf>
    <xf numFmtId="164" fontId="6" fillId="3" borderId="3" xfId="0" applyNumberFormat="1" applyFont="1" applyFill="1" applyBorder="1" applyAlignment="1" applyProtection="1">
      <alignment horizontal="right" vertical="top"/>
    </xf>
    <xf numFmtId="164" fontId="6" fillId="3" borderId="3" xfId="0" applyNumberFormat="1" applyFont="1" applyFill="1" applyBorder="1" applyAlignment="1">
      <alignment horizontal="right" vertical="top"/>
    </xf>
    <xf numFmtId="164" fontId="9" fillId="3" borderId="0" xfId="0" applyNumberFormat="1" applyFont="1" applyFill="1" applyBorder="1" applyAlignment="1">
      <alignment horizontal="right" vertical="center"/>
    </xf>
    <xf numFmtId="1" fontId="8" fillId="3" borderId="0" xfId="0" applyNumberFormat="1" applyFont="1" applyFill="1" applyAlignment="1">
      <alignment vertical="center"/>
    </xf>
    <xf numFmtId="164" fontId="11" fillId="3" borderId="0" xfId="0" applyNumberFormat="1" applyFont="1" applyFill="1" applyBorder="1" applyAlignment="1">
      <alignment vertical="center"/>
    </xf>
    <xf numFmtId="164" fontId="5" fillId="3" borderId="0" xfId="0" applyNumberFormat="1" applyFont="1" applyFill="1" applyAlignment="1" applyProtection="1">
      <alignment horizontal="left" vertical="center"/>
    </xf>
    <xf numFmtId="3" fontId="5" fillId="3" borderId="0" xfId="0" applyNumberFormat="1" applyFont="1" applyFill="1" applyBorder="1"/>
    <xf numFmtId="164" fontId="9" fillId="3" borderId="2" xfId="0" applyNumberFormat="1" applyFont="1" applyFill="1" applyBorder="1" applyAlignment="1">
      <alignment horizontal="right" vertical="center"/>
    </xf>
    <xf numFmtId="3" fontId="12" fillId="3" borderId="0" xfId="0" applyNumberFormat="1" applyFont="1" applyFill="1" applyBorder="1"/>
    <xf numFmtId="164" fontId="5" fillId="3" borderId="0" xfId="0" applyNumberFormat="1" applyFont="1" applyFill="1" applyBorder="1" applyAlignment="1" applyProtection="1">
      <alignment vertical="center"/>
    </xf>
    <xf numFmtId="164" fontId="15" fillId="3" borderId="2" xfId="0" applyNumberFormat="1" applyFont="1" applyFill="1" applyBorder="1" applyAlignment="1" applyProtection="1">
      <alignment horizontal="right" vertical="center" wrapText="1"/>
    </xf>
    <xf numFmtId="164" fontId="5" fillId="3" borderId="1" xfId="0" applyNumberFormat="1" applyFont="1" applyFill="1" applyBorder="1" applyAlignment="1" applyProtection="1">
      <alignment vertical="center"/>
    </xf>
    <xf numFmtId="164" fontId="5" fillId="3" borderId="1" xfId="0" applyNumberFormat="1" applyFont="1" applyFill="1" applyBorder="1" applyAlignment="1">
      <alignment horizontal="right"/>
    </xf>
    <xf numFmtId="164" fontId="14" fillId="3" borderId="0" xfId="0" applyNumberFormat="1" applyFont="1" applyFill="1"/>
    <xf numFmtId="3" fontId="12" fillId="3" borderId="1" xfId="0" applyNumberFormat="1" applyFont="1" applyFill="1" applyBorder="1"/>
    <xf numFmtId="164" fontId="18" fillId="3" borderId="0" xfId="0" applyNumberFormat="1" applyFont="1" applyFill="1" applyBorder="1" applyAlignment="1">
      <alignment horizontal="right" vertical="center"/>
    </xf>
    <xf numFmtId="164" fontId="20" fillId="3" borderId="0" xfId="1" applyNumberFormat="1" applyFont="1" applyFill="1" applyAlignment="1" applyProtection="1"/>
    <xf numFmtId="164" fontId="12" fillId="3" borderId="0" xfId="0" applyNumberFormat="1" applyFont="1" applyFill="1"/>
    <xf numFmtId="164" fontId="21" fillId="3" borderId="0" xfId="0" applyNumberFormat="1" applyFont="1" applyFill="1"/>
    <xf numFmtId="164" fontId="25" fillId="3" borderId="0" xfId="0" applyNumberFormat="1" applyFont="1" applyFill="1" applyAlignment="1" applyProtection="1">
      <alignment horizontal="left" vertical="center"/>
    </xf>
    <xf numFmtId="165" fontId="25" fillId="2" borderId="0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horizontal="right" vertical="center"/>
    </xf>
    <xf numFmtId="164" fontId="16" fillId="3" borderId="0" xfId="0" applyNumberFormat="1" applyFont="1" applyFill="1" applyAlignment="1" applyProtection="1">
      <alignment horizontal="left" vertical="center"/>
    </xf>
    <xf numFmtId="164" fontId="3" fillId="3" borderId="1" xfId="0" applyNumberFormat="1" applyFont="1" applyFill="1" applyBorder="1" applyAlignment="1" applyProtection="1">
      <alignment horizontal="right" vertical="center"/>
    </xf>
    <xf numFmtId="164" fontId="3" fillId="3" borderId="1" xfId="0" applyNumberFormat="1" applyFont="1" applyFill="1" applyBorder="1" applyAlignment="1" applyProtection="1">
      <alignment horizontal="right" vertical="center" wrapText="1"/>
    </xf>
    <xf numFmtId="164" fontId="3" fillId="3" borderId="1" xfId="0" applyNumberFormat="1" applyFont="1" applyFill="1" applyBorder="1" applyAlignment="1">
      <alignment vertical="center"/>
    </xf>
    <xf numFmtId="164" fontId="10" fillId="3" borderId="1" xfId="0" applyNumberFormat="1" applyFont="1" applyFill="1" applyBorder="1" applyAlignment="1">
      <alignment vertical="center"/>
    </xf>
    <xf numFmtId="164" fontId="22" fillId="3" borderId="0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 applyProtection="1">
      <alignment horizontal="left" vertical="center"/>
    </xf>
    <xf numFmtId="164" fontId="23" fillId="3" borderId="2" xfId="0" applyNumberFormat="1" applyFont="1" applyFill="1" applyBorder="1" applyAlignment="1">
      <alignment vertical="center"/>
    </xf>
    <xf numFmtId="164" fontId="3" fillId="3" borderId="0" xfId="0" applyNumberFormat="1" applyFont="1" applyFill="1" applyBorder="1" applyAlignment="1" applyProtection="1">
      <alignment horizontal="left" vertical="center"/>
    </xf>
    <xf numFmtId="164" fontId="6" fillId="3" borderId="7" xfId="0" applyNumberFormat="1" applyFont="1" applyFill="1" applyBorder="1" applyAlignment="1">
      <alignment horizontal="right" vertical="top"/>
    </xf>
    <xf numFmtId="164" fontId="3" fillId="3" borderId="6" xfId="0" applyNumberFormat="1" applyFont="1" applyFill="1" applyBorder="1" applyAlignment="1" applyProtection="1">
      <alignment horizontal="right" vertical="center" wrapText="1"/>
    </xf>
    <xf numFmtId="164" fontId="6" fillId="3" borderId="9" xfId="0" applyNumberFormat="1" applyFont="1" applyFill="1" applyBorder="1" applyAlignment="1">
      <alignment horizontal="center" vertical="top"/>
    </xf>
    <xf numFmtId="164" fontId="3" fillId="3" borderId="0" xfId="0" applyNumberFormat="1" applyFont="1" applyFill="1" applyAlignment="1" applyProtection="1">
      <alignment horizontal="left" vertical="center" indent="1"/>
    </xf>
    <xf numFmtId="164" fontId="21" fillId="3" borderId="0" xfId="0" applyNumberFormat="1" applyFont="1" applyFill="1" applyAlignment="1" applyProtection="1">
      <alignment horizontal="left" vertical="center" indent="1"/>
    </xf>
    <xf numFmtId="164" fontId="21" fillId="3" borderId="1" xfId="0" applyNumberFormat="1" applyFont="1" applyFill="1" applyBorder="1" applyAlignment="1" applyProtection="1">
      <alignment horizontal="left" vertical="center" indent="1"/>
    </xf>
    <xf numFmtId="164" fontId="28" fillId="3" borderId="0" xfId="0" applyNumberFormat="1" applyFont="1" applyFill="1" applyAlignment="1">
      <alignment vertical="center"/>
    </xf>
    <xf numFmtId="164" fontId="26" fillId="3" borderId="0" xfId="0" applyNumberFormat="1" applyFont="1" applyFill="1" applyAlignment="1">
      <alignment vertical="center"/>
    </xf>
    <xf numFmtId="164" fontId="29" fillId="3" borderId="0" xfId="1" applyNumberFormat="1" applyFont="1" applyFill="1" applyAlignment="1" applyProtection="1">
      <alignment vertical="center"/>
    </xf>
    <xf numFmtId="164" fontId="17" fillId="3" borderId="0" xfId="0" applyNumberFormat="1" applyFont="1" applyFill="1" applyAlignment="1" applyProtection="1">
      <alignment horizontal="left" vertical="center"/>
    </xf>
    <xf numFmtId="164" fontId="17" fillId="3" borderId="0" xfId="0" applyNumberFormat="1" applyFont="1" applyFill="1" applyAlignment="1" applyProtection="1">
      <alignment horizontal="right" vertical="center"/>
    </xf>
    <xf numFmtId="3" fontId="5" fillId="3" borderId="2" xfId="0" applyNumberFormat="1" applyFont="1" applyFill="1" applyBorder="1" applyAlignment="1" applyProtection="1">
      <alignment horizontal="right"/>
    </xf>
    <xf numFmtId="0" fontId="5" fillId="3" borderId="2" xfId="0" applyNumberFormat="1" applyFont="1" applyFill="1" applyBorder="1"/>
    <xf numFmtId="3" fontId="5" fillId="3" borderId="2" xfId="0" applyNumberFormat="1" applyFont="1" applyFill="1" applyBorder="1"/>
    <xf numFmtId="3" fontId="5" fillId="3" borderId="0" xfId="0" applyNumberFormat="1" applyFont="1" applyFill="1" applyBorder="1" applyAlignment="1" applyProtection="1">
      <alignment horizontal="right"/>
    </xf>
    <xf numFmtId="0" fontId="5" fillId="3" borderId="0" xfId="0" applyNumberFormat="1" applyFont="1" applyFill="1" applyBorder="1"/>
    <xf numFmtId="3" fontId="5" fillId="3" borderId="0" xfId="0" applyNumberFormat="1" applyFont="1" applyFill="1" applyBorder="1" applyAlignment="1">
      <alignment horizontal="right"/>
    </xf>
    <xf numFmtId="0" fontId="12" fillId="3" borderId="0" xfId="0" applyNumberFormat="1" applyFont="1" applyFill="1" applyBorder="1"/>
    <xf numFmtId="0" fontId="12" fillId="3" borderId="0" xfId="0" applyNumberFormat="1" applyFont="1" applyFill="1" applyBorder="1" applyAlignment="1">
      <alignment horizontal="right"/>
    </xf>
    <xf numFmtId="3" fontId="12" fillId="3" borderId="0" xfId="0" applyNumberFormat="1" applyFont="1" applyFill="1" applyBorder="1" applyAlignment="1">
      <alignment horizontal="right"/>
    </xf>
    <xf numFmtId="3" fontId="5" fillId="3" borderId="1" xfId="0" applyNumberFormat="1" applyFont="1" applyFill="1" applyBorder="1" applyAlignment="1" applyProtection="1">
      <alignment horizontal="right"/>
    </xf>
    <xf numFmtId="0" fontId="12" fillId="3" borderId="1" xfId="0" applyNumberFormat="1" applyFont="1" applyFill="1" applyBorder="1"/>
    <xf numFmtId="0" fontId="12" fillId="3" borderId="1" xfId="0" applyNumberFormat="1" applyFont="1" applyFill="1" applyBorder="1" applyAlignment="1">
      <alignment horizontal="right"/>
    </xf>
    <xf numFmtId="3" fontId="12" fillId="3" borderId="1" xfId="0" applyNumberFormat="1" applyFont="1" applyFill="1" applyBorder="1" applyAlignment="1">
      <alignment horizontal="right"/>
    </xf>
    <xf numFmtId="3" fontId="5" fillId="3" borderId="4" xfId="0" applyNumberFormat="1" applyFont="1" applyFill="1" applyBorder="1" applyAlignment="1" applyProtection="1">
      <alignment horizontal="right"/>
    </xf>
    <xf numFmtId="3" fontId="5" fillId="3" borderId="8" xfId="0" applyNumberFormat="1" applyFont="1" applyFill="1" applyBorder="1" applyAlignment="1" applyProtection="1">
      <alignment horizontal="right"/>
    </xf>
    <xf numFmtId="3" fontId="5" fillId="3" borderId="5" xfId="0" applyNumberFormat="1" applyFont="1" applyFill="1" applyBorder="1" applyAlignment="1" applyProtection="1">
      <alignment horizontal="right"/>
    </xf>
    <xf numFmtId="164" fontId="27" fillId="3" borderId="0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 applyProtection="1">
      <alignment horizontal="center" vertical="center"/>
    </xf>
    <xf numFmtId="164" fontId="1" fillId="3" borderId="0" xfId="0" applyNumberFormat="1" applyFont="1" applyFill="1" applyAlignment="1">
      <alignment horizontal="center" vertical="center" readingOrder="1"/>
    </xf>
    <xf numFmtId="164" fontId="24" fillId="3" borderId="1" xfId="0" applyNumberFormat="1" applyFont="1" applyFill="1" applyBorder="1" applyAlignment="1" applyProtection="1">
      <alignment horizontal="center" vertical="top" wrapText="1"/>
    </xf>
    <xf numFmtId="164" fontId="6" fillId="3" borderId="2" xfId="0" applyNumberFormat="1" applyFont="1" applyFill="1" applyBorder="1" applyAlignment="1">
      <alignment horizontal="center" vertical="top"/>
    </xf>
  </cellXfs>
  <cellStyles count="6">
    <cellStyle name="Hyperlink" xfId="1" builtinId="8"/>
    <cellStyle name="Normal" xfId="0" builtinId="0"/>
    <cellStyle name="Normal 2 2 2" xfId="2"/>
    <cellStyle name="Normal 6" xfId="5"/>
    <cellStyle name="Normal 7" xfId="4"/>
    <cellStyle name="Normal 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Figure7.1: Student enrolment in Male' and Atolls by sex</a:t>
            </a:r>
            <a:r>
              <a:rPr lang="en-US" sz="1050">
                <a:solidFill>
                  <a:schemeClr val="tx1"/>
                </a:solidFill>
              </a:rPr>
              <a:t>, 2012</a:t>
            </a:r>
          </a:p>
        </c:rich>
      </c:tx>
      <c:layout>
        <c:manualLayout>
          <c:xMode val="edge"/>
          <c:yMode val="edge"/>
          <c:x val="0.25909625085968785"/>
          <c:y val="4.0925910137901485E-2"/>
        </c:manualLayout>
      </c:layout>
    </c:title>
    <c:plotArea>
      <c:layout>
        <c:manualLayout>
          <c:layoutTarget val="inner"/>
          <c:xMode val="edge"/>
          <c:yMode val="edge"/>
          <c:x val="7.1086291473249533E-2"/>
          <c:y val="0.14379510625687941"/>
          <c:w val="0.89530610488874007"/>
          <c:h val="0.73513174901475686"/>
        </c:manualLayout>
      </c:layout>
      <c:barChart>
        <c:barDir val="col"/>
        <c:grouping val="clustered"/>
        <c:ser>
          <c:idx val="0"/>
          <c:order val="0"/>
          <c:tx>
            <c:strRef>
              <c:f>'7.1'!$T$16</c:f>
              <c:strCache>
                <c:ptCount val="1"/>
                <c:pt idx="0">
                  <c:v> Male</c:v>
                </c:pt>
              </c:strCache>
            </c:strRef>
          </c:tx>
          <c:spPr>
            <a:solidFill>
              <a:schemeClr val="accent2"/>
            </a:solidFill>
          </c:spPr>
          <c:cat>
            <c:strRef>
              <c:f>'7.1'!$S$17:$S$37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 AA</c:v>
                </c:pt>
                <c:pt idx="10">
                  <c:v>ADh</c:v>
                </c:pt>
                <c:pt idx="11">
                  <c:v>V</c:v>
                </c:pt>
                <c:pt idx="12">
                  <c:v>F</c:v>
                </c:pt>
                <c:pt idx="13">
                  <c:v>M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'7.1'!$T$17:$T$37</c:f>
              <c:numCache>
                <c:formatCode>#,##0;[Red]#,##0</c:formatCode>
                <c:ptCount val="21"/>
                <c:pt idx="0" formatCode="#,##0">
                  <c:v>13426</c:v>
                </c:pt>
                <c:pt idx="1">
                  <c:v>2110</c:v>
                </c:pt>
                <c:pt idx="2">
                  <c:v>2903</c:v>
                </c:pt>
                <c:pt idx="3">
                  <c:v>2090</c:v>
                </c:pt>
                <c:pt idx="4">
                  <c:v>1678</c:v>
                </c:pt>
                <c:pt idx="5">
                  <c:v>2558</c:v>
                </c:pt>
                <c:pt idx="6">
                  <c:v>1539</c:v>
                </c:pt>
                <c:pt idx="7">
                  <c:v>1176</c:v>
                </c:pt>
                <c:pt idx="8">
                  <c:v>1490</c:v>
                </c:pt>
                <c:pt idx="9">
                  <c:v>924</c:v>
                </c:pt>
                <c:pt idx="10">
                  <c:v>1121</c:v>
                </c:pt>
                <c:pt idx="11">
                  <c:v>207</c:v>
                </c:pt>
                <c:pt idx="12">
                  <c:v>843</c:v>
                </c:pt>
                <c:pt idx="13">
                  <c:v>644</c:v>
                </c:pt>
                <c:pt idx="14">
                  <c:v>884</c:v>
                </c:pt>
                <c:pt idx="15">
                  <c:v>1396</c:v>
                </c:pt>
                <c:pt idx="16">
                  <c:v>2052</c:v>
                </c:pt>
                <c:pt idx="17">
                  <c:v>1369</c:v>
                </c:pt>
                <c:pt idx="18">
                  <c:v>1932</c:v>
                </c:pt>
                <c:pt idx="19">
                  <c:v>1345</c:v>
                </c:pt>
                <c:pt idx="20">
                  <c:v>2733</c:v>
                </c:pt>
              </c:numCache>
            </c:numRef>
          </c:val>
        </c:ser>
        <c:ser>
          <c:idx val="1"/>
          <c:order val="1"/>
          <c:tx>
            <c:strRef>
              <c:f>'7.1'!$U$16</c:f>
              <c:strCache>
                <c:ptCount val="1"/>
                <c:pt idx="0">
                  <c:v> Female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'7.1'!$S$17:$S$37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 AA</c:v>
                </c:pt>
                <c:pt idx="10">
                  <c:v>ADh</c:v>
                </c:pt>
                <c:pt idx="11">
                  <c:v>V</c:v>
                </c:pt>
                <c:pt idx="12">
                  <c:v>F</c:v>
                </c:pt>
                <c:pt idx="13">
                  <c:v>M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'7.1'!$U$17:$U$37</c:f>
              <c:numCache>
                <c:formatCode>#,##0;[Red]#,##0</c:formatCode>
                <c:ptCount val="21"/>
                <c:pt idx="0" formatCode="#,##0">
                  <c:v>13157</c:v>
                </c:pt>
                <c:pt idx="1">
                  <c:v>2023</c:v>
                </c:pt>
                <c:pt idx="2">
                  <c:v>2607</c:v>
                </c:pt>
                <c:pt idx="3">
                  <c:v>1872</c:v>
                </c:pt>
                <c:pt idx="4">
                  <c:v>1588</c:v>
                </c:pt>
                <c:pt idx="5">
                  <c:v>2360</c:v>
                </c:pt>
                <c:pt idx="6">
                  <c:v>1318</c:v>
                </c:pt>
                <c:pt idx="7">
                  <c:v>1165</c:v>
                </c:pt>
                <c:pt idx="8">
                  <c:v>1411</c:v>
                </c:pt>
                <c:pt idx="9">
                  <c:v>842</c:v>
                </c:pt>
                <c:pt idx="10">
                  <c:v>992</c:v>
                </c:pt>
                <c:pt idx="11">
                  <c:v>180</c:v>
                </c:pt>
                <c:pt idx="12">
                  <c:v>767</c:v>
                </c:pt>
                <c:pt idx="13">
                  <c:v>636</c:v>
                </c:pt>
                <c:pt idx="14">
                  <c:v>789</c:v>
                </c:pt>
                <c:pt idx="15">
                  <c:v>1278</c:v>
                </c:pt>
                <c:pt idx="16">
                  <c:v>1898</c:v>
                </c:pt>
                <c:pt idx="17">
                  <c:v>1353</c:v>
                </c:pt>
                <c:pt idx="18">
                  <c:v>1756</c:v>
                </c:pt>
                <c:pt idx="19">
                  <c:v>1385</c:v>
                </c:pt>
                <c:pt idx="20">
                  <c:v>2713</c:v>
                </c:pt>
              </c:numCache>
            </c:numRef>
          </c:val>
        </c:ser>
        <c:gapWidth val="90"/>
        <c:overlap val="-7"/>
        <c:axId val="87024000"/>
        <c:axId val="87025536"/>
      </c:barChart>
      <c:catAx>
        <c:axId val="87024000"/>
        <c:scaling>
          <c:orientation val="minMax"/>
        </c:scaling>
        <c:axPos val="b"/>
        <c:numFmt formatCode="General_)" sourceLinked="1"/>
        <c:maj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7025536"/>
        <c:crosses val="autoZero"/>
        <c:auto val="1"/>
        <c:lblAlgn val="ctr"/>
        <c:lblOffset val="100"/>
      </c:catAx>
      <c:valAx>
        <c:axId val="87025536"/>
        <c:scaling>
          <c:orientation val="minMax"/>
          <c:max val="14000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2.4212752948514781E-2"/>
              <c:y val="3.9720260773854876E-2"/>
            </c:manualLayout>
          </c:layout>
        </c:title>
        <c:numFmt formatCode="#,##0" sourceLinked="1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702400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69299672940062451"/>
          <c:y val="0.21098423744317424"/>
          <c:w val="0.18413572703412073"/>
          <c:h val="5.8104364073134906E-2"/>
        </c:manualLayout>
      </c:layout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</c:chart>
  <c:printSettings>
    <c:headerFooter/>
    <c:pageMargins b="0.7500000000000081" l="0.70000000000000062" r="0.70000000000000062" t="0.7500000000000081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533396</xdr:colOff>
      <xdr:row>31</xdr:row>
      <xdr:rowOff>28576</xdr:rowOff>
    </xdr:from>
    <xdr:to>
      <xdr:col>10</xdr:col>
      <xdr:colOff>514349</xdr:colOff>
      <xdr:row>46</xdr:row>
      <xdr:rowOff>114300</xdr:rowOff>
    </xdr:to>
    <xdr:graphicFrame macro="">
      <xdr:nvGraphicFramePr>
        <xdr:cNvPr id="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>
      <selection activeCell="C30" sqref="C30"/>
    </sheetView>
  </sheetViews>
  <sheetFormatPr defaultColWidth="12.5703125" defaultRowHeight="12.75"/>
  <cols>
    <col min="1" max="1" width="11" style="33" customWidth="1"/>
    <col min="2" max="2" width="8.5703125" style="4" customWidth="1"/>
    <col min="3" max="3" width="12.7109375" style="4" customWidth="1"/>
    <col min="4" max="4" width="11.7109375" style="4" customWidth="1"/>
    <col min="5" max="5" width="12.140625" style="4" customWidth="1"/>
    <col min="6" max="6" width="1.7109375" style="4" customWidth="1"/>
    <col min="7" max="7" width="9.28515625" style="4" customWidth="1"/>
    <col min="8" max="8" width="13" style="4" customWidth="1"/>
    <col min="9" max="9" width="11.5703125" style="4" customWidth="1"/>
    <col min="10" max="10" width="12.5703125" style="4" customWidth="1"/>
    <col min="11" max="11" width="15.7109375" style="4" customWidth="1"/>
    <col min="12" max="13" width="3.85546875" style="4" customWidth="1"/>
    <col min="14" max="16384" width="12.5703125" style="4"/>
  </cols>
  <sheetData>
    <row r="1" spans="1:21" ht="18.7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12"/>
    </row>
    <row r="2" spans="1:21" s="14" customFormat="1" ht="18" customHeight="1">
      <c r="A2" s="76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13"/>
    </row>
    <row r="3" spans="1:21" s="9" customFormat="1" ht="16.5" customHeight="1">
      <c r="A3" s="43"/>
      <c r="B3" s="77" t="s">
        <v>66</v>
      </c>
      <c r="C3" s="77"/>
      <c r="D3" s="77"/>
      <c r="E3" s="77"/>
      <c r="F3" s="48"/>
      <c r="G3" s="77" t="s">
        <v>67</v>
      </c>
      <c r="H3" s="77"/>
      <c r="I3" s="77"/>
      <c r="J3" s="77"/>
      <c r="K3" s="44"/>
      <c r="L3" s="2"/>
    </row>
    <row r="4" spans="1:21" s="9" customFormat="1" ht="16.5" customHeight="1">
      <c r="A4" s="45" t="s">
        <v>2</v>
      </c>
      <c r="B4" s="15" t="s">
        <v>3</v>
      </c>
      <c r="C4" s="16" t="s">
        <v>4</v>
      </c>
      <c r="D4" s="16" t="s">
        <v>5</v>
      </c>
      <c r="E4" s="16" t="s">
        <v>6</v>
      </c>
      <c r="F4" s="46"/>
      <c r="G4" s="16" t="s">
        <v>3</v>
      </c>
      <c r="H4" s="16" t="s">
        <v>4</v>
      </c>
      <c r="I4" s="16" t="s">
        <v>5</v>
      </c>
      <c r="J4" s="15" t="s">
        <v>6</v>
      </c>
      <c r="K4" s="17" t="s">
        <v>7</v>
      </c>
      <c r="L4" s="17"/>
      <c r="N4" s="18"/>
      <c r="O4" s="18"/>
      <c r="P4" s="18"/>
    </row>
    <row r="5" spans="1:21" s="9" customFormat="1" ht="14.25" customHeight="1">
      <c r="A5" s="40"/>
      <c r="B5" s="38" t="s">
        <v>8</v>
      </c>
      <c r="C5" s="38" t="s">
        <v>9</v>
      </c>
      <c r="D5" s="38" t="s">
        <v>10</v>
      </c>
      <c r="E5" s="39" t="s">
        <v>11</v>
      </c>
      <c r="F5" s="47"/>
      <c r="G5" s="39" t="s">
        <v>8</v>
      </c>
      <c r="H5" s="39" t="s">
        <v>9</v>
      </c>
      <c r="I5" s="38" t="s">
        <v>10</v>
      </c>
      <c r="J5" s="38" t="s">
        <v>11</v>
      </c>
      <c r="K5" s="41"/>
      <c r="L5" s="19"/>
      <c r="N5" s="18"/>
      <c r="O5" s="18"/>
      <c r="P5" s="18"/>
    </row>
    <row r="6" spans="1:21" s="9" customFormat="1" ht="15.75">
      <c r="A6" s="49" t="s">
        <v>12</v>
      </c>
      <c r="B6" s="57">
        <f>SUM(C6:E6)</f>
        <v>408</v>
      </c>
      <c r="C6" s="58">
        <v>213</v>
      </c>
      <c r="D6" s="58">
        <v>116</v>
      </c>
      <c r="E6" s="58">
        <v>79</v>
      </c>
      <c r="F6" s="57"/>
      <c r="G6" s="70">
        <f>SUM(H6:J6)</f>
        <v>86510</v>
      </c>
      <c r="H6" s="59">
        <f>SUM(H7:H8)</f>
        <v>62151</v>
      </c>
      <c r="I6" s="59">
        <f>SUM(I7:I8)</f>
        <v>11957</v>
      </c>
      <c r="J6" s="59">
        <f>SUM(J7:J8)</f>
        <v>12402</v>
      </c>
      <c r="K6" s="22" t="s">
        <v>13</v>
      </c>
      <c r="L6" s="17"/>
      <c r="N6" s="18"/>
      <c r="O6" s="18"/>
      <c r="P6" s="18"/>
    </row>
    <row r="7" spans="1:21" s="9" customFormat="1" ht="15.75">
      <c r="A7" s="49" t="s">
        <v>14</v>
      </c>
      <c r="B7" s="60">
        <f t="shared" ref="B7:B28" si="0">SUM(C7:E7)</f>
        <v>27</v>
      </c>
      <c r="C7" s="61">
        <v>13</v>
      </c>
      <c r="D7" s="61">
        <v>10</v>
      </c>
      <c r="E7" s="61">
        <v>4</v>
      </c>
      <c r="F7" s="62"/>
      <c r="G7" s="71">
        <f t="shared" ref="G7:G28" si="1">SUM(H7:J7)</f>
        <v>26583</v>
      </c>
      <c r="H7" s="21">
        <v>15770</v>
      </c>
      <c r="I7" s="21">
        <v>4538</v>
      </c>
      <c r="J7" s="21">
        <v>6275</v>
      </c>
      <c r="K7" s="17" t="s">
        <v>15</v>
      </c>
      <c r="L7" s="17"/>
      <c r="N7" s="18"/>
      <c r="O7" s="18"/>
      <c r="P7" s="18"/>
    </row>
    <row r="8" spans="1:21" s="9" customFormat="1" ht="15.75">
      <c r="A8" s="49" t="s">
        <v>16</v>
      </c>
      <c r="B8" s="60">
        <f t="shared" si="0"/>
        <v>381</v>
      </c>
      <c r="C8" s="61">
        <v>200</v>
      </c>
      <c r="D8" s="61">
        <v>106</v>
      </c>
      <c r="E8" s="61">
        <v>75</v>
      </c>
      <c r="F8" s="60"/>
      <c r="G8" s="71">
        <f>SUM(H8:J8)</f>
        <v>59927</v>
      </c>
      <c r="H8" s="21">
        <f>SUM(H9:H28)</f>
        <v>46381</v>
      </c>
      <c r="I8" s="21">
        <f>SUM(I9:I28)</f>
        <v>7419</v>
      </c>
      <c r="J8" s="21">
        <f>SUM(J9:J28)</f>
        <v>6127</v>
      </c>
      <c r="K8" s="17" t="s">
        <v>17</v>
      </c>
      <c r="L8" s="17"/>
      <c r="N8" s="18"/>
      <c r="O8" s="18"/>
      <c r="P8" s="18"/>
    </row>
    <row r="9" spans="1:21" s="9" customFormat="1" ht="15.75">
      <c r="A9" s="50" t="s">
        <v>18</v>
      </c>
      <c r="B9" s="60">
        <f t="shared" si="0"/>
        <v>25</v>
      </c>
      <c r="C9" s="63">
        <v>14</v>
      </c>
      <c r="D9" s="64">
        <v>6</v>
      </c>
      <c r="E9" s="64">
        <v>5</v>
      </c>
      <c r="F9" s="65"/>
      <c r="G9" s="71">
        <f t="shared" si="1"/>
        <v>4133</v>
      </c>
      <c r="H9" s="23">
        <v>3369</v>
      </c>
      <c r="I9" s="64">
        <v>298</v>
      </c>
      <c r="J9" s="64">
        <v>466</v>
      </c>
      <c r="K9" s="42" t="s">
        <v>19</v>
      </c>
      <c r="L9" s="8"/>
      <c r="N9" s="18"/>
      <c r="O9" s="18"/>
      <c r="P9" s="18"/>
    </row>
    <row r="10" spans="1:21" s="9" customFormat="1" ht="15.75">
      <c r="A10" s="50" t="s">
        <v>20</v>
      </c>
      <c r="B10" s="60">
        <f t="shared" si="0"/>
        <v>28</v>
      </c>
      <c r="C10" s="63">
        <v>15</v>
      </c>
      <c r="D10" s="64">
        <v>8</v>
      </c>
      <c r="E10" s="64">
        <v>5</v>
      </c>
      <c r="F10" s="65"/>
      <c r="G10" s="71">
        <f t="shared" si="1"/>
        <v>5510</v>
      </c>
      <c r="H10" s="23">
        <v>4182</v>
      </c>
      <c r="I10" s="64">
        <v>486</v>
      </c>
      <c r="J10" s="64">
        <v>842</v>
      </c>
      <c r="K10" s="42" t="s">
        <v>21</v>
      </c>
      <c r="L10" s="8"/>
      <c r="N10" s="18"/>
      <c r="O10" s="18"/>
      <c r="P10" s="18"/>
    </row>
    <row r="11" spans="1:21" s="9" customFormat="1" ht="15.75">
      <c r="A11" s="50" t="s">
        <v>22</v>
      </c>
      <c r="B11" s="60">
        <f t="shared" si="0"/>
        <v>24</v>
      </c>
      <c r="C11" s="63">
        <v>14</v>
      </c>
      <c r="D11" s="64">
        <v>3</v>
      </c>
      <c r="E11" s="64">
        <v>7</v>
      </c>
      <c r="F11" s="65"/>
      <c r="G11" s="71">
        <f t="shared" si="1"/>
        <v>3962</v>
      </c>
      <c r="H11" s="23">
        <v>3121</v>
      </c>
      <c r="I11" s="64">
        <v>227</v>
      </c>
      <c r="J11" s="64">
        <v>614</v>
      </c>
      <c r="K11" s="42" t="s">
        <v>23</v>
      </c>
      <c r="L11" s="8"/>
      <c r="N11" s="18"/>
      <c r="O11" s="18"/>
      <c r="P11" s="18"/>
    </row>
    <row r="12" spans="1:21" s="9" customFormat="1" ht="15.75">
      <c r="A12" s="50" t="s">
        <v>24</v>
      </c>
      <c r="B12" s="60">
        <f t="shared" si="0"/>
        <v>24</v>
      </c>
      <c r="C12" s="63">
        <v>13</v>
      </c>
      <c r="D12" s="64">
        <v>4</v>
      </c>
      <c r="E12" s="64">
        <v>7</v>
      </c>
      <c r="F12" s="65"/>
      <c r="G12" s="71">
        <f t="shared" si="1"/>
        <v>3266</v>
      </c>
      <c r="H12" s="23">
        <v>2596</v>
      </c>
      <c r="I12" s="64">
        <v>243</v>
      </c>
      <c r="J12" s="64">
        <v>427</v>
      </c>
      <c r="K12" s="42" t="s">
        <v>25</v>
      </c>
      <c r="L12" s="8"/>
      <c r="N12" s="18"/>
      <c r="O12" s="18"/>
      <c r="P12" s="18"/>
    </row>
    <row r="13" spans="1:21" s="9" customFormat="1" ht="15.75">
      <c r="A13" s="50" t="s">
        <v>26</v>
      </c>
      <c r="B13" s="60">
        <f t="shared" si="0"/>
        <v>29</v>
      </c>
      <c r="C13" s="63">
        <v>16</v>
      </c>
      <c r="D13" s="64">
        <v>10</v>
      </c>
      <c r="E13" s="64">
        <v>3</v>
      </c>
      <c r="F13" s="65"/>
      <c r="G13" s="71">
        <f t="shared" si="1"/>
        <v>4918</v>
      </c>
      <c r="H13" s="23">
        <v>3835</v>
      </c>
      <c r="I13" s="64">
        <v>619</v>
      </c>
      <c r="J13" s="64">
        <v>464</v>
      </c>
      <c r="K13" s="42" t="s">
        <v>27</v>
      </c>
      <c r="L13" s="8"/>
      <c r="M13" s="3"/>
      <c r="N13" s="18"/>
      <c r="O13" s="18"/>
      <c r="P13" s="18"/>
    </row>
    <row r="14" spans="1:21" s="3" customFormat="1" ht="15.75">
      <c r="A14" s="50" t="s">
        <v>28</v>
      </c>
      <c r="B14" s="60">
        <f t="shared" si="0"/>
        <v>20</v>
      </c>
      <c r="C14" s="63">
        <v>12</v>
      </c>
      <c r="D14" s="64">
        <v>6</v>
      </c>
      <c r="E14" s="64">
        <v>2</v>
      </c>
      <c r="F14" s="65"/>
      <c r="G14" s="71">
        <f t="shared" si="1"/>
        <v>2857</v>
      </c>
      <c r="H14" s="23">
        <v>2375</v>
      </c>
      <c r="I14" s="64">
        <v>285</v>
      </c>
      <c r="J14" s="64">
        <v>197</v>
      </c>
      <c r="K14" s="42" t="s">
        <v>29</v>
      </c>
      <c r="L14" s="8"/>
      <c r="M14" s="3" t="s">
        <v>30</v>
      </c>
      <c r="N14" s="18"/>
      <c r="O14" s="18"/>
      <c r="P14" s="18"/>
      <c r="S14" s="24" t="s">
        <v>2</v>
      </c>
      <c r="T14" s="74"/>
      <c r="U14" s="74"/>
    </row>
    <row r="15" spans="1:21" s="3" customFormat="1" ht="15.75">
      <c r="A15" s="50" t="s">
        <v>31</v>
      </c>
      <c r="B15" s="60">
        <f t="shared" si="0"/>
        <v>12</v>
      </c>
      <c r="C15" s="63">
        <v>5</v>
      </c>
      <c r="D15" s="64">
        <v>4</v>
      </c>
      <c r="E15" s="64">
        <v>3</v>
      </c>
      <c r="F15" s="65"/>
      <c r="G15" s="71">
        <f t="shared" si="1"/>
        <v>2341</v>
      </c>
      <c r="H15" s="23">
        <v>1783</v>
      </c>
      <c r="I15" s="64">
        <v>287</v>
      </c>
      <c r="J15" s="64">
        <v>271</v>
      </c>
      <c r="K15" s="42" t="s">
        <v>32</v>
      </c>
      <c r="L15" s="8"/>
      <c r="N15" s="18" t="s">
        <v>30</v>
      </c>
      <c r="O15" s="18"/>
      <c r="P15" s="18"/>
      <c r="S15" s="24"/>
      <c r="T15" s="25" t="s">
        <v>33</v>
      </c>
      <c r="U15" s="25" t="s">
        <v>34</v>
      </c>
    </row>
    <row r="16" spans="1:21" s="3" customFormat="1" ht="15.75">
      <c r="A16" s="50" t="s">
        <v>35</v>
      </c>
      <c r="B16" s="60">
        <f t="shared" si="0"/>
        <v>20</v>
      </c>
      <c r="C16" s="63">
        <v>10</v>
      </c>
      <c r="D16" s="64">
        <v>5</v>
      </c>
      <c r="E16" s="64">
        <v>5</v>
      </c>
      <c r="F16" s="65"/>
      <c r="G16" s="71">
        <f t="shared" si="1"/>
        <v>2901</v>
      </c>
      <c r="H16" s="23">
        <v>2141</v>
      </c>
      <c r="I16" s="64">
        <v>381</v>
      </c>
      <c r="J16" s="64">
        <v>379</v>
      </c>
      <c r="K16" s="42" t="s">
        <v>36</v>
      </c>
      <c r="L16" s="8"/>
      <c r="N16" s="18"/>
      <c r="O16" s="18"/>
      <c r="P16" s="18"/>
      <c r="S16" s="26"/>
      <c r="T16" s="27" t="s">
        <v>37</v>
      </c>
      <c r="U16" s="27" t="s">
        <v>38</v>
      </c>
    </row>
    <row r="17" spans="1:21" s="3" customFormat="1" ht="15.75">
      <c r="A17" s="50" t="s">
        <v>39</v>
      </c>
      <c r="B17" s="60">
        <f t="shared" si="0"/>
        <v>15</v>
      </c>
      <c r="C17" s="63">
        <v>8</v>
      </c>
      <c r="D17" s="64">
        <v>5</v>
      </c>
      <c r="E17" s="64">
        <v>2</v>
      </c>
      <c r="F17" s="65"/>
      <c r="G17" s="71">
        <f t="shared" si="1"/>
        <v>1766</v>
      </c>
      <c r="H17" s="23">
        <v>1388</v>
      </c>
      <c r="I17" s="64">
        <v>302</v>
      </c>
      <c r="J17" s="64">
        <v>76</v>
      </c>
      <c r="K17" s="42" t="s">
        <v>40</v>
      </c>
      <c r="L17" s="8"/>
      <c r="N17" s="18"/>
      <c r="O17" s="18"/>
      <c r="P17" s="18"/>
      <c r="S17" s="20" t="s">
        <v>14</v>
      </c>
      <c r="T17" s="5">
        <v>13426</v>
      </c>
      <c r="U17" s="5">
        <v>13157</v>
      </c>
    </row>
    <row r="18" spans="1:21" s="3" customFormat="1" ht="15.75">
      <c r="A18" s="50" t="s">
        <v>41</v>
      </c>
      <c r="B18" s="60">
        <f t="shared" si="0"/>
        <v>15</v>
      </c>
      <c r="C18" s="63">
        <v>9</v>
      </c>
      <c r="D18" s="64">
        <v>0</v>
      </c>
      <c r="E18" s="64">
        <v>6</v>
      </c>
      <c r="F18" s="65"/>
      <c r="G18" s="71">
        <f t="shared" si="1"/>
        <v>2113</v>
      </c>
      <c r="H18" s="23">
        <v>1593</v>
      </c>
      <c r="I18" s="64">
        <v>0</v>
      </c>
      <c r="J18" s="64">
        <v>520</v>
      </c>
      <c r="K18" s="42" t="s">
        <v>42</v>
      </c>
      <c r="L18" s="8"/>
      <c r="N18" s="4"/>
      <c r="S18" s="10" t="s">
        <v>18</v>
      </c>
      <c r="T18" s="6">
        <v>2110</v>
      </c>
      <c r="U18" s="6">
        <v>2023</v>
      </c>
    </row>
    <row r="19" spans="1:21" s="3" customFormat="1" ht="15.75">
      <c r="A19" s="50" t="s">
        <v>43</v>
      </c>
      <c r="B19" s="60">
        <f t="shared" si="0"/>
        <v>7</v>
      </c>
      <c r="C19" s="63">
        <v>3</v>
      </c>
      <c r="D19" s="64">
        <v>3</v>
      </c>
      <c r="E19" s="64">
        <v>1</v>
      </c>
      <c r="F19" s="65"/>
      <c r="G19" s="71">
        <f t="shared" si="1"/>
        <v>387</v>
      </c>
      <c r="H19" s="23">
        <v>271</v>
      </c>
      <c r="I19" s="64">
        <v>84</v>
      </c>
      <c r="J19" s="64">
        <v>32</v>
      </c>
      <c r="K19" s="42" t="s">
        <v>44</v>
      </c>
      <c r="L19" s="8"/>
      <c r="S19" s="10" t="s">
        <v>20</v>
      </c>
      <c r="T19" s="6">
        <v>2903</v>
      </c>
      <c r="U19" s="6">
        <v>2607</v>
      </c>
    </row>
    <row r="20" spans="1:21" s="3" customFormat="1" ht="15.75">
      <c r="A20" s="50" t="s">
        <v>45</v>
      </c>
      <c r="B20" s="60">
        <f t="shared" si="0"/>
        <v>14</v>
      </c>
      <c r="C20" s="63">
        <v>8</v>
      </c>
      <c r="D20" s="64">
        <v>0</v>
      </c>
      <c r="E20" s="64">
        <v>6</v>
      </c>
      <c r="F20" s="65"/>
      <c r="G20" s="71">
        <f t="shared" si="1"/>
        <v>1280</v>
      </c>
      <c r="H20" s="23">
        <v>948</v>
      </c>
      <c r="I20" s="64">
        <v>0</v>
      </c>
      <c r="J20" s="64">
        <v>332</v>
      </c>
      <c r="K20" s="42" t="s">
        <v>46</v>
      </c>
      <c r="L20" s="8"/>
      <c r="S20" s="10" t="s">
        <v>22</v>
      </c>
      <c r="T20" s="6">
        <v>2090</v>
      </c>
      <c r="U20" s="6">
        <v>1872</v>
      </c>
    </row>
    <row r="21" spans="1:21" s="3" customFormat="1" ht="15.75">
      <c r="A21" s="50" t="s">
        <v>47</v>
      </c>
      <c r="B21" s="60">
        <f t="shared" si="0"/>
        <v>11</v>
      </c>
      <c r="C21" s="63">
        <v>5</v>
      </c>
      <c r="D21" s="64">
        <v>3</v>
      </c>
      <c r="E21" s="64">
        <v>3</v>
      </c>
      <c r="F21" s="65"/>
      <c r="G21" s="71">
        <f t="shared" si="1"/>
        <v>1610</v>
      </c>
      <c r="H21" s="23">
        <v>1234</v>
      </c>
      <c r="I21" s="64">
        <v>196</v>
      </c>
      <c r="J21" s="64">
        <v>180</v>
      </c>
      <c r="K21" s="42" t="s">
        <v>48</v>
      </c>
      <c r="L21" s="8"/>
      <c r="S21" s="10" t="s">
        <v>24</v>
      </c>
      <c r="T21" s="6">
        <v>1678</v>
      </c>
      <c r="U21" s="6">
        <v>1588</v>
      </c>
    </row>
    <row r="22" spans="1:21" s="3" customFormat="1" ht="15.75">
      <c r="A22" s="50" t="s">
        <v>49</v>
      </c>
      <c r="B22" s="60">
        <f t="shared" si="0"/>
        <v>11</v>
      </c>
      <c r="C22" s="63">
        <v>6</v>
      </c>
      <c r="D22" s="64">
        <v>3</v>
      </c>
      <c r="E22" s="64">
        <v>2</v>
      </c>
      <c r="F22" s="65"/>
      <c r="G22" s="71">
        <f t="shared" si="1"/>
        <v>1673</v>
      </c>
      <c r="H22" s="23">
        <v>1253</v>
      </c>
      <c r="I22" s="64">
        <v>160</v>
      </c>
      <c r="J22" s="64">
        <v>260</v>
      </c>
      <c r="K22" s="42" t="s">
        <v>50</v>
      </c>
      <c r="L22" s="8"/>
      <c r="S22" s="10" t="s">
        <v>26</v>
      </c>
      <c r="T22" s="6">
        <v>2558</v>
      </c>
      <c r="U22" s="6">
        <v>2360</v>
      </c>
    </row>
    <row r="23" spans="1:21" s="28" customFormat="1" ht="15.75">
      <c r="A23" s="50" t="s">
        <v>51</v>
      </c>
      <c r="B23" s="60">
        <f t="shared" si="0"/>
        <v>23</v>
      </c>
      <c r="C23" s="63">
        <v>13</v>
      </c>
      <c r="D23" s="64">
        <v>2</v>
      </c>
      <c r="E23" s="64">
        <v>8</v>
      </c>
      <c r="F23" s="65"/>
      <c r="G23" s="71">
        <f t="shared" si="1"/>
        <v>2674</v>
      </c>
      <c r="H23" s="23">
        <v>2004</v>
      </c>
      <c r="I23" s="64">
        <v>100</v>
      </c>
      <c r="J23" s="64">
        <v>570</v>
      </c>
      <c r="K23" s="42" t="s">
        <v>52</v>
      </c>
      <c r="L23" s="8"/>
      <c r="S23" s="10" t="s">
        <v>28</v>
      </c>
      <c r="T23" s="6">
        <v>1539</v>
      </c>
      <c r="U23" s="6">
        <v>1318</v>
      </c>
    </row>
    <row r="24" spans="1:21" s="28" customFormat="1" ht="15.75">
      <c r="A24" s="50" t="s">
        <v>53</v>
      </c>
      <c r="B24" s="60">
        <f t="shared" si="0"/>
        <v>24</v>
      </c>
      <c r="C24" s="63">
        <v>14</v>
      </c>
      <c r="D24" s="64">
        <v>5</v>
      </c>
      <c r="E24" s="64">
        <v>5</v>
      </c>
      <c r="F24" s="65"/>
      <c r="G24" s="71">
        <f t="shared" si="1"/>
        <v>3950</v>
      </c>
      <c r="H24" s="23">
        <v>3257</v>
      </c>
      <c r="I24" s="64">
        <v>414</v>
      </c>
      <c r="J24" s="64">
        <v>279</v>
      </c>
      <c r="K24" s="42" t="s">
        <v>54</v>
      </c>
      <c r="L24" s="8"/>
      <c r="S24" s="10" t="s">
        <v>31</v>
      </c>
      <c r="T24" s="6">
        <v>1176</v>
      </c>
      <c r="U24" s="6">
        <v>1165</v>
      </c>
    </row>
    <row r="25" spans="1:21" s="28" customFormat="1" ht="15.75">
      <c r="A25" s="50" t="s">
        <v>55</v>
      </c>
      <c r="B25" s="60">
        <f t="shared" si="0"/>
        <v>19</v>
      </c>
      <c r="C25" s="63">
        <v>9</v>
      </c>
      <c r="D25" s="64">
        <v>7</v>
      </c>
      <c r="E25" s="64">
        <v>3</v>
      </c>
      <c r="F25" s="65"/>
      <c r="G25" s="71">
        <f t="shared" si="1"/>
        <v>2722</v>
      </c>
      <c r="H25" s="23">
        <v>2139</v>
      </c>
      <c r="I25" s="64">
        <v>453</v>
      </c>
      <c r="J25" s="64">
        <v>130</v>
      </c>
      <c r="K25" s="42" t="s">
        <v>56</v>
      </c>
      <c r="L25" s="8"/>
      <c r="S25" s="10" t="s">
        <v>35</v>
      </c>
      <c r="T25" s="6">
        <v>1490</v>
      </c>
      <c r="U25" s="6">
        <v>1411</v>
      </c>
    </row>
    <row r="26" spans="1:21" s="28" customFormat="1" ht="15.75">
      <c r="A26" s="50" t="s">
        <v>57</v>
      </c>
      <c r="B26" s="60">
        <f t="shared" si="0"/>
        <v>25</v>
      </c>
      <c r="C26" s="63">
        <v>10</v>
      </c>
      <c r="D26" s="64">
        <v>14</v>
      </c>
      <c r="E26" s="64">
        <v>1</v>
      </c>
      <c r="F26" s="65"/>
      <c r="G26" s="71">
        <f t="shared" si="1"/>
        <v>3688</v>
      </c>
      <c r="H26" s="23">
        <v>2820</v>
      </c>
      <c r="I26" s="64">
        <v>840</v>
      </c>
      <c r="J26" s="64">
        <v>28</v>
      </c>
      <c r="K26" s="42" t="s">
        <v>58</v>
      </c>
      <c r="L26" s="8"/>
      <c r="S26" s="10" t="s">
        <v>59</v>
      </c>
      <c r="T26" s="6">
        <v>924</v>
      </c>
      <c r="U26" s="6">
        <v>842</v>
      </c>
    </row>
    <row r="27" spans="1:21" s="28" customFormat="1" ht="15.75">
      <c r="A27" s="50" t="s">
        <v>60</v>
      </c>
      <c r="B27" s="60">
        <f t="shared" si="0"/>
        <v>11</v>
      </c>
      <c r="C27" s="63">
        <v>4</v>
      </c>
      <c r="D27" s="63">
        <v>6</v>
      </c>
      <c r="E27" s="64">
        <v>1</v>
      </c>
      <c r="F27" s="65"/>
      <c r="G27" s="71">
        <f t="shared" si="1"/>
        <v>2730</v>
      </c>
      <c r="H27" s="23">
        <v>1997</v>
      </c>
      <c r="I27" s="63">
        <v>673</v>
      </c>
      <c r="J27" s="64">
        <v>60</v>
      </c>
      <c r="K27" s="42" t="s">
        <v>61</v>
      </c>
      <c r="L27" s="8"/>
      <c r="S27" s="10" t="s">
        <v>41</v>
      </c>
      <c r="T27" s="6">
        <v>1121</v>
      </c>
      <c r="U27" s="6">
        <v>992</v>
      </c>
    </row>
    <row r="28" spans="1:21" s="28" customFormat="1" ht="15.75">
      <c r="A28" s="51" t="s">
        <v>23</v>
      </c>
      <c r="B28" s="66">
        <f t="shared" si="0"/>
        <v>24</v>
      </c>
      <c r="C28" s="67">
        <v>12</v>
      </c>
      <c r="D28" s="67">
        <v>12</v>
      </c>
      <c r="E28" s="68">
        <v>0</v>
      </c>
      <c r="F28" s="69"/>
      <c r="G28" s="72">
        <f t="shared" si="1"/>
        <v>5446</v>
      </c>
      <c r="H28" s="29">
        <v>4075</v>
      </c>
      <c r="I28" s="67">
        <v>1371</v>
      </c>
      <c r="J28" s="68"/>
      <c r="K28" s="36" t="s">
        <v>62</v>
      </c>
      <c r="L28" s="8"/>
      <c r="S28" s="10" t="s">
        <v>43</v>
      </c>
      <c r="T28" s="6">
        <v>207</v>
      </c>
      <c r="U28" s="6">
        <v>180</v>
      </c>
    </row>
    <row r="29" spans="1:21" s="53" customFormat="1" ht="15" customHeight="1">
      <c r="A29" s="52" t="s">
        <v>65</v>
      </c>
      <c r="I29" s="54"/>
      <c r="K29" s="73" t="s">
        <v>68</v>
      </c>
      <c r="S29" s="34" t="s">
        <v>47</v>
      </c>
      <c r="T29" s="35">
        <v>843</v>
      </c>
      <c r="U29" s="35">
        <v>767</v>
      </c>
    </row>
    <row r="30" spans="1:21" s="3" customFormat="1" ht="12.75" customHeight="1">
      <c r="A30" s="37" t="s">
        <v>63</v>
      </c>
      <c r="B30" s="55"/>
      <c r="C30" s="1"/>
      <c r="D30" s="55"/>
      <c r="E30" s="55"/>
      <c r="F30" s="55"/>
      <c r="G30" s="55"/>
      <c r="H30" s="55"/>
      <c r="I30" s="55"/>
      <c r="J30" s="56"/>
      <c r="K30" s="30" t="s">
        <v>64</v>
      </c>
      <c r="S30" s="10" t="s">
        <v>45</v>
      </c>
      <c r="T30" s="6">
        <v>644</v>
      </c>
      <c r="U30" s="6">
        <v>636</v>
      </c>
    </row>
    <row r="31" spans="1:21" s="28" customFormat="1">
      <c r="A31" s="32"/>
      <c r="I31" s="31"/>
      <c r="S31" s="10" t="s">
        <v>49</v>
      </c>
      <c r="T31" s="6">
        <v>884</v>
      </c>
      <c r="U31" s="6">
        <v>789</v>
      </c>
    </row>
    <row r="32" spans="1:21" s="28" customFormat="1">
      <c r="A32" s="32"/>
      <c r="I32" s="31"/>
      <c r="S32" s="10" t="s">
        <v>51</v>
      </c>
      <c r="T32" s="6">
        <v>1396</v>
      </c>
      <c r="U32" s="6">
        <v>1278</v>
      </c>
    </row>
    <row r="33" spans="1:21" s="28" customFormat="1" ht="12">
      <c r="A33" s="32"/>
      <c r="S33" s="10" t="s">
        <v>53</v>
      </c>
      <c r="T33" s="6">
        <v>2052</v>
      </c>
      <c r="U33" s="6">
        <v>1898</v>
      </c>
    </row>
    <row r="34" spans="1:21" s="28" customFormat="1" ht="12">
      <c r="A34" s="32"/>
      <c r="S34" s="10" t="s">
        <v>55</v>
      </c>
      <c r="T34" s="6">
        <v>1369</v>
      </c>
      <c r="U34" s="6">
        <v>1353</v>
      </c>
    </row>
    <row r="35" spans="1:21" s="28" customFormat="1" ht="12">
      <c r="A35" s="32"/>
      <c r="S35" s="10" t="s">
        <v>57</v>
      </c>
      <c r="T35" s="6">
        <v>1932</v>
      </c>
      <c r="U35" s="6">
        <v>1756</v>
      </c>
    </row>
    <row r="36" spans="1:21" s="28" customFormat="1" ht="12">
      <c r="A36" s="32"/>
      <c r="S36" s="10" t="s">
        <v>60</v>
      </c>
      <c r="T36" s="6">
        <v>1345</v>
      </c>
      <c r="U36" s="6">
        <v>1385</v>
      </c>
    </row>
    <row r="37" spans="1:21" s="28" customFormat="1" ht="12">
      <c r="A37" s="32"/>
      <c r="S37" s="11" t="s">
        <v>23</v>
      </c>
      <c r="T37" s="7">
        <v>2733</v>
      </c>
      <c r="U37" s="7">
        <v>2713</v>
      </c>
    </row>
    <row r="38" spans="1:21" s="28" customFormat="1" ht="12">
      <c r="A38" s="32"/>
    </row>
    <row r="39" spans="1:21" s="28" customFormat="1" ht="12">
      <c r="A39" s="32"/>
    </row>
    <row r="40" spans="1:21" s="28" customFormat="1" ht="12">
      <c r="A40" s="32"/>
    </row>
    <row r="41" spans="1:21" s="28" customFormat="1" ht="12">
      <c r="A41" s="32"/>
    </row>
    <row r="42" spans="1:21">
      <c r="A42" s="32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</row>
    <row r="43" spans="1:21">
      <c r="A43" s="32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</row>
    <row r="44" spans="1:21">
      <c r="A44" s="32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</row>
    <row r="45" spans="1:21">
      <c r="A45" s="32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</row>
    <row r="46" spans="1:21">
      <c r="A46" s="32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</row>
    <row r="47" spans="1:21">
      <c r="A47" s="32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</sheetData>
  <mergeCells count="5">
    <mergeCell ref="T14:U14"/>
    <mergeCell ref="A1:K1"/>
    <mergeCell ref="A2:K2"/>
    <mergeCell ref="B3:E3"/>
    <mergeCell ref="G3:J3"/>
  </mergeCells>
  <pageMargins left="0.17" right="0.16" top="0.75" bottom="0.75" header="0.3" footer="0.3"/>
  <pageSetup paperSize="9" scale="80" orientation="portrait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</vt:lpstr>
      <vt:lpstr>'7.1'!Print_Area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2013-09-03T09:41:20Z</dcterms:modified>
</cp:coreProperties>
</file>