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914"/>
  </bookViews>
  <sheets>
    <sheet name="7.11" sheetId="10" r:id="rId1"/>
  </sheets>
  <calcPr calcId="124519"/>
</workbook>
</file>

<file path=xl/calcChain.xml><?xml version="1.0" encoding="utf-8"?>
<calcChain xmlns="http://schemas.openxmlformats.org/spreadsheetml/2006/main">
  <c r="K25" i="10"/>
  <c r="H25"/>
  <c r="E25"/>
  <c r="D25"/>
  <c r="C25"/>
  <c r="B25"/>
  <c r="K24"/>
  <c r="H24"/>
  <c r="E24"/>
  <c r="D24"/>
  <c r="C24"/>
  <c r="B24"/>
  <c r="K23"/>
  <c r="H23"/>
  <c r="E23"/>
  <c r="D23"/>
  <c r="C23"/>
  <c r="B23"/>
  <c r="K22"/>
  <c r="H22"/>
  <c r="E22"/>
  <c r="D22"/>
  <c r="C22"/>
  <c r="B22"/>
  <c r="K21"/>
  <c r="H21"/>
  <c r="E21"/>
  <c r="D21"/>
  <c r="C21"/>
  <c r="B21"/>
  <c r="K20"/>
  <c r="H20"/>
  <c r="E20"/>
  <c r="D20"/>
  <c r="C20"/>
  <c r="B20"/>
  <c r="K19"/>
  <c r="H19"/>
  <c r="E19"/>
  <c r="D19"/>
  <c r="C19"/>
  <c r="B19"/>
  <c r="K18"/>
  <c r="H18"/>
  <c r="E18"/>
  <c r="D18"/>
  <c r="C18"/>
  <c r="B18"/>
  <c r="K17"/>
  <c r="H17"/>
  <c r="E17"/>
  <c r="D17"/>
  <c r="C17"/>
  <c r="B17"/>
  <c r="K16"/>
  <c r="H16"/>
  <c r="E16"/>
  <c r="D16"/>
  <c r="C16"/>
  <c r="B16"/>
  <c r="K15"/>
  <c r="H15"/>
  <c r="E15"/>
  <c r="D15"/>
  <c r="C15"/>
  <c r="B15"/>
  <c r="K14"/>
  <c r="H14"/>
  <c r="E14"/>
  <c r="D14"/>
  <c r="C14"/>
  <c r="B14"/>
  <c r="K13"/>
  <c r="H13"/>
  <c r="E13"/>
  <c r="D13"/>
  <c r="C13"/>
  <c r="B13"/>
  <c r="K12"/>
  <c r="H12"/>
  <c r="E12"/>
  <c r="D12"/>
  <c r="C12"/>
  <c r="B12"/>
  <c r="K11"/>
  <c r="H11"/>
  <c r="E11"/>
  <c r="D11"/>
  <c r="C11"/>
  <c r="B11"/>
  <c r="K10"/>
  <c r="H10"/>
  <c r="E10"/>
  <c r="D10"/>
  <c r="C10"/>
  <c r="B10"/>
  <c r="K9"/>
  <c r="H9"/>
  <c r="E9"/>
  <c r="D9"/>
  <c r="C9"/>
  <c r="B9"/>
  <c r="K8"/>
  <c r="H8"/>
  <c r="E8"/>
  <c r="D8"/>
  <c r="C8"/>
  <c r="B8"/>
  <c r="K7"/>
  <c r="H7"/>
  <c r="E7"/>
  <c r="D7"/>
  <c r="C7"/>
  <c r="B7"/>
  <c r="K6"/>
  <c r="H6"/>
  <c r="E6"/>
  <c r="D6"/>
  <c r="C6"/>
  <c r="B6"/>
  <c r="M5"/>
  <c r="L5"/>
  <c r="K5"/>
  <c r="J5"/>
  <c r="I5"/>
  <c r="H5"/>
  <c r="G5"/>
  <c r="F5"/>
  <c r="E5"/>
  <c r="D5"/>
  <c r="C5"/>
  <c r="B5"/>
</calcChain>
</file>

<file path=xl/sharedStrings.xml><?xml version="1.0" encoding="utf-8"?>
<sst xmlns="http://schemas.openxmlformats.org/spreadsheetml/2006/main" count="47" uniqueCount="37">
  <si>
    <t>Total</t>
  </si>
  <si>
    <t>Atolls</t>
  </si>
  <si>
    <t>S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</si>
  <si>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</si>
  <si>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</si>
  <si>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</si>
  <si>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</si>
  <si>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</si>
  <si>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</si>
  <si>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</si>
  <si>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</si>
  <si>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</si>
  <si>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</si>
  <si>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</si>
  <si>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</si>
  <si>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</si>
  <si>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</si>
  <si>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N</t>
  </si>
  <si>
    <t>Source: Ministry of Education</t>
  </si>
  <si>
    <t>cnwxEkuaiDea cfoa IrcTcsinim :ctWrwf ivcaed utWmUluAwm</t>
  </si>
  <si>
    <t>Both Sexes</t>
  </si>
  <si>
    <t>Male</t>
  </si>
  <si>
    <t>Female</t>
  </si>
  <si>
    <t>Lower Secondary Level</t>
  </si>
  <si>
    <t>Higher Secondary Level</t>
  </si>
  <si>
    <t>Locality</t>
  </si>
  <si>
    <t>HA</t>
  </si>
  <si>
    <t>HDh</t>
  </si>
  <si>
    <t>Sh</t>
  </si>
  <si>
    <t>R</t>
  </si>
  <si>
    <t xml:space="preserve"> ތާވަލް 7.11: އަތޮޅުތަކުގައި ހުރި ސަރުކާރު މަދަރުސާގައި އެކިފެންވަރަށް ކިޔަވާކުދިންގެ އަދަދު، ޖިންސު ވަކިން، 2012</t>
  </si>
  <si>
    <t>Table  7.11 : STUDENT ENROLMENT IN GOVERNMENT SCHOOLS OF ATOLLS, BY EDUCATIONAL LEVEL AND SEX , 2012</t>
  </si>
  <si>
    <t>Primary Level</t>
  </si>
  <si>
    <t xml:space="preserve">           Includes 55 students enrolled in special classes, for children with special needs</t>
  </si>
  <si>
    <t>Note: Do not include Pre-primary data</t>
  </si>
  <si>
    <t xml:space="preserve"> ނޯޓް: ޕްރީ ޕްރައިމަރީގައި ކިޔަވާކުދިން ނުހިމެނެއެވެ.  </t>
  </si>
  <si>
    <t xml:space="preserve">     ޖުމްލައިގެ ތެރޭގައި ޚާއްސަ އެހީއަށް ބޭނުންވާ ކްލާސްތަކުގައި ކިޔަވާ 55 ކުދިން ހިމެނެއެވެ.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</si>
</sst>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General_)"/>
    <numFmt numFmtId="165" formatCode="#,##0;[Red]#,##0"/>
    <numFmt numFmtId="166" formatCode="#,##0.0_);[Red]\(#,##0.0\)"/>
    <numFmt numFmtId="168" formatCode="_(\ ###0_);_(\ \(###0\);_(\ &quot;&quot;_);_(@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9"/>
      <name val="Calibri"/>
      <family val="2"/>
      <scheme val="minor"/>
    </font>
    <font>
      <b/>
      <sz val="10"/>
      <name val="Win Ahamedey PRB"/>
      <family val="2"/>
    </font>
    <font>
      <sz val="9"/>
      <name val="Calibri"/>
      <family val="2"/>
      <scheme val="minor"/>
    </font>
    <font>
      <sz val="9"/>
      <name val="Arial"/>
      <family val="2"/>
    </font>
    <font>
      <u/>
      <sz val="10"/>
      <color indexed="12"/>
      <name val="Courier"/>
      <family val="3"/>
    </font>
    <font>
      <sz val="10"/>
      <name val="Courier"/>
      <family val="3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Faruma"/>
    </font>
    <font>
      <sz val="10"/>
      <name val="Win Ahamedey PRB"/>
      <family val="2"/>
    </font>
    <font>
      <sz val="9"/>
      <color theme="1"/>
      <name val="Arial"/>
      <family val="2"/>
    </font>
    <font>
      <sz val="10"/>
      <color theme="1"/>
      <name val="Faruma"/>
    </font>
    <font>
      <sz val="10"/>
      <color theme="1"/>
      <name val="Arial"/>
      <family val="2"/>
    </font>
    <font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"/>
      <name val="Courier"/>
      <family val="3"/>
    </font>
    <font>
      <sz val="9"/>
      <color theme="1"/>
      <name val="A_Randhoo"/>
    </font>
    <font>
      <sz val="9"/>
      <color theme="1"/>
      <name val="A_Reethi"/>
    </font>
    <font>
      <sz val="10"/>
      <color theme="1"/>
      <name val="Win Ahamedey PRB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166" fontId="10" fillId="0" borderId="0"/>
    <xf numFmtId="165" fontId="10" fillId="0" borderId="0"/>
    <xf numFmtId="165" fontId="10" fillId="0" borderId="0"/>
    <xf numFmtId="0" fontId="10" fillId="0" borderId="0"/>
  </cellStyleXfs>
  <cellXfs count="63">
    <xf numFmtId="0" fontId="0" fillId="0" borderId="0" xfId="0"/>
    <xf numFmtId="164" fontId="0" fillId="3" borderId="0" xfId="0" applyNumberFormat="1" applyFill="1"/>
    <xf numFmtId="164" fontId="2" fillId="3" borderId="0" xfId="0" applyNumberFormat="1" applyFont="1" applyFill="1"/>
    <xf numFmtId="3" fontId="11" fillId="3" borderId="0" xfId="0" applyNumberFormat="1" applyFont="1" applyFill="1" applyBorder="1" applyAlignment="1" applyProtection="1">
      <alignment horizontal="right" vertical="center"/>
    </xf>
    <xf numFmtId="164" fontId="13" fillId="3" borderId="0" xfId="0" applyNumberFormat="1" applyFont="1" applyFill="1"/>
    <xf numFmtId="164" fontId="6" fillId="3" borderId="0" xfId="0" applyNumberFormat="1" applyFont="1" applyFill="1" applyAlignment="1">
      <alignment vertical="center"/>
    </xf>
    <xf numFmtId="164" fontId="7" fillId="3" borderId="0" xfId="0" applyNumberFormat="1" applyFont="1" applyFill="1" applyAlignment="1" applyProtection="1">
      <alignment horizontal="left" vertical="center"/>
    </xf>
    <xf numFmtId="164" fontId="2" fillId="3" borderId="0" xfId="0" applyNumberFormat="1" applyFont="1" applyFill="1" applyAlignment="1">
      <alignment vertical="center"/>
    </xf>
    <xf numFmtId="164" fontId="7" fillId="3" borderId="1" xfId="0" applyNumberFormat="1" applyFont="1" applyFill="1" applyBorder="1" applyAlignment="1" applyProtection="1">
      <alignment horizontal="left" vertical="center"/>
    </xf>
    <xf numFmtId="164" fontId="5" fillId="3" borderId="1" xfId="0" applyNumberFormat="1" applyFont="1" applyFill="1" applyBorder="1" applyAlignment="1" applyProtection="1">
      <alignment horizontal="right" wrapText="1"/>
    </xf>
    <xf numFmtId="164" fontId="15" fillId="3" borderId="0" xfId="0" applyNumberFormat="1" applyFont="1" applyFill="1" applyAlignment="1">
      <alignment vertical="center"/>
    </xf>
    <xf numFmtId="3" fontId="5" fillId="3" borderId="0" xfId="0" applyNumberFormat="1" applyFont="1" applyFill="1" applyBorder="1" applyAlignment="1" applyProtection="1">
      <alignment vertical="center"/>
    </xf>
    <xf numFmtId="3" fontId="5" fillId="3" borderId="0" xfId="0" applyNumberFormat="1" applyFont="1" applyFill="1" applyBorder="1" applyAlignment="1">
      <alignment vertical="center"/>
    </xf>
    <xf numFmtId="3" fontId="7" fillId="3" borderId="0" xfId="0" applyNumberFormat="1" applyFont="1" applyFill="1" applyBorder="1" applyAlignment="1" applyProtection="1">
      <alignment vertical="center"/>
    </xf>
    <xf numFmtId="3" fontId="7" fillId="3" borderId="1" xfId="0" applyNumberFormat="1" applyFont="1" applyFill="1" applyBorder="1" applyAlignment="1" applyProtection="1">
      <alignment vertical="center"/>
    </xf>
    <xf numFmtId="164" fontId="13" fillId="3" borderId="0" xfId="0" applyNumberFormat="1" applyFont="1" applyFill="1" applyBorder="1" applyAlignment="1">
      <alignment horizontal="right" vertical="center"/>
    </xf>
    <xf numFmtId="164" fontId="2" fillId="3" borderId="0" xfId="0" applyNumberFormat="1" applyFont="1" applyFill="1" applyBorder="1"/>
    <xf numFmtId="164" fontId="5" fillId="3" borderId="0" xfId="0" applyNumberFormat="1" applyFont="1" applyFill="1" applyAlignment="1" applyProtection="1">
      <alignment horizontal="left" vertical="center"/>
    </xf>
    <xf numFmtId="164" fontId="8" fillId="3" borderId="0" xfId="0" applyNumberFormat="1" applyFont="1" applyFill="1"/>
    <xf numFmtId="164" fontId="20" fillId="3" borderId="0" xfId="0" applyNumberFormat="1" applyFont="1" applyFill="1"/>
    <xf numFmtId="164" fontId="16" fillId="3" borderId="0" xfId="0" applyNumberFormat="1" applyFont="1" applyFill="1"/>
    <xf numFmtId="164" fontId="21" fillId="3" borderId="0" xfId="2" applyNumberFormat="1" applyFont="1" applyFill="1" applyAlignment="1" applyProtection="1"/>
    <xf numFmtId="0" fontId="0" fillId="3" borderId="0" xfId="0" applyNumberFormat="1" applyFont="1" applyFill="1"/>
    <xf numFmtId="164" fontId="12" fillId="3" borderId="0" xfId="0" applyNumberFormat="1" applyFont="1" applyFill="1" applyAlignment="1" applyProtection="1">
      <alignment horizontal="left" vertical="center"/>
    </xf>
    <xf numFmtId="165" fontId="12" fillId="2" borderId="0" xfId="0" applyNumberFormat="1" applyFont="1" applyFill="1" applyBorder="1" applyAlignment="1">
      <alignment vertical="center"/>
    </xf>
    <xf numFmtId="164" fontId="17" fillId="3" borderId="0" xfId="0" applyNumberFormat="1" applyFont="1" applyFill="1" applyBorder="1" applyAlignment="1">
      <alignment horizontal="right" vertical="center"/>
    </xf>
    <xf numFmtId="164" fontId="20" fillId="3" borderId="0" xfId="0" applyNumberFormat="1" applyFont="1" applyFill="1" applyAlignment="1" applyProtection="1">
      <alignment horizontal="left" vertical="center"/>
    </xf>
    <xf numFmtId="164" fontId="22" fillId="3" borderId="0" xfId="0" applyNumberFormat="1" applyFont="1" applyFill="1" applyBorder="1" applyAlignment="1">
      <alignment horizontal="right" vertical="center"/>
    </xf>
    <xf numFmtId="3" fontId="5" fillId="3" borderId="2" xfId="0" applyNumberFormat="1" applyFont="1" applyFill="1" applyBorder="1" applyAlignment="1" applyProtection="1">
      <alignment horizontal="right" vertical="center"/>
    </xf>
    <xf numFmtId="164" fontId="4" fillId="3" borderId="0" xfId="0" applyNumberFormat="1" applyFont="1" applyFill="1" applyAlignment="1">
      <alignment vertical="center"/>
    </xf>
    <xf numFmtId="164" fontId="3" fillId="3" borderId="1" xfId="0" applyNumberFormat="1" applyFont="1" applyFill="1" applyBorder="1" applyAlignment="1" applyProtection="1">
      <alignment horizontal="left" vertical="center"/>
    </xf>
    <xf numFmtId="164" fontId="5" fillId="3" borderId="1" xfId="0" applyNumberFormat="1" applyFont="1" applyFill="1" applyBorder="1" applyAlignment="1" applyProtection="1">
      <alignment horizontal="right"/>
    </xf>
    <xf numFmtId="3" fontId="7" fillId="3" borderId="0" xfId="1" applyNumberFormat="1" applyFont="1" applyFill="1" applyBorder="1" applyAlignment="1">
      <alignment horizontal="right" vertical="center"/>
    </xf>
    <xf numFmtId="3" fontId="7" fillId="3" borderId="0" xfId="0" applyNumberFormat="1" applyFont="1" applyFill="1" applyBorder="1" applyAlignment="1">
      <alignment horizontal="right" vertical="center"/>
    </xf>
    <xf numFmtId="164" fontId="2" fillId="3" borderId="0" xfId="0" applyNumberFormat="1" applyFont="1" applyFill="1" applyBorder="1" applyAlignment="1">
      <alignment horizontal="right"/>
    </xf>
    <xf numFmtId="3" fontId="5" fillId="3" borderId="1" xfId="0" applyNumberFormat="1" applyFont="1" applyFill="1" applyBorder="1" applyAlignment="1" applyProtection="1">
      <alignment vertical="center"/>
    </xf>
    <xf numFmtId="3" fontId="7" fillId="3" borderId="1" xfId="1" applyNumberFormat="1" applyFont="1" applyFill="1" applyBorder="1" applyAlignment="1">
      <alignment horizontal="right" vertical="center"/>
    </xf>
    <xf numFmtId="3" fontId="7" fillId="3" borderId="1" xfId="0" applyNumberFormat="1" applyFont="1" applyFill="1" applyBorder="1" applyAlignment="1">
      <alignment horizontal="right" vertical="center"/>
    </xf>
    <xf numFmtId="3" fontId="11" fillId="3" borderId="0" xfId="0" applyNumberFormat="1" applyFont="1" applyFill="1" applyBorder="1" applyAlignment="1" applyProtection="1">
      <alignment vertical="center"/>
    </xf>
    <xf numFmtId="3" fontId="12" fillId="3" borderId="0" xfId="0" applyNumberFormat="1" applyFont="1" applyFill="1" applyBorder="1" applyAlignment="1" applyProtection="1">
      <alignment vertical="center"/>
    </xf>
    <xf numFmtId="3" fontId="11" fillId="3" borderId="0" xfId="0" applyNumberFormat="1" applyFont="1" applyFill="1" applyBorder="1" applyAlignment="1">
      <alignment vertical="center"/>
    </xf>
    <xf numFmtId="168" fontId="12" fillId="3" borderId="0" xfId="0" applyNumberFormat="1" applyFont="1" applyFill="1" applyBorder="1" applyAlignment="1">
      <alignment horizontal="right" vertical="center"/>
    </xf>
    <xf numFmtId="164" fontId="23" fillId="3" borderId="0" xfId="7" applyNumberFormat="1" applyFont="1" applyFill="1" applyAlignment="1">
      <alignment horizontal="right" vertical="center" readingOrder="2"/>
    </xf>
    <xf numFmtId="164" fontId="24" fillId="3" borderId="0" xfId="0" applyNumberFormat="1" applyFont="1" applyFill="1" applyAlignment="1">
      <alignment vertical="center"/>
    </xf>
    <xf numFmtId="164" fontId="18" fillId="3" borderId="0" xfId="0" applyNumberFormat="1" applyFont="1" applyFill="1" applyAlignment="1">
      <alignment vertical="center"/>
    </xf>
    <xf numFmtId="164" fontId="5" fillId="3" borderId="8" xfId="0" applyNumberFormat="1" applyFont="1" applyFill="1" applyBorder="1" applyAlignment="1" applyProtection="1">
      <alignment horizontal="right" wrapText="1"/>
    </xf>
    <xf numFmtId="164" fontId="5" fillId="3" borderId="1" xfId="0" applyNumberFormat="1" applyFont="1" applyFill="1" applyBorder="1" applyAlignment="1" applyProtection="1">
      <alignment horizontal="right" vertical="top"/>
    </xf>
    <xf numFmtId="164" fontId="5" fillId="3" borderId="7" xfId="0" applyNumberFormat="1" applyFont="1" applyFill="1" applyBorder="1" applyAlignment="1" applyProtection="1">
      <alignment horizontal="right" vertical="top"/>
    </xf>
    <xf numFmtId="164" fontId="19" fillId="3" borderId="0" xfId="0" applyNumberFormat="1" applyFont="1" applyFill="1" applyAlignment="1" applyProtection="1">
      <alignment horizontal="left"/>
    </xf>
    <xf numFmtId="164" fontId="18" fillId="3" borderId="0" xfId="0" applyNumberFormat="1" applyFont="1" applyFill="1"/>
    <xf numFmtId="3" fontId="5" fillId="3" borderId="6" xfId="0" applyNumberFormat="1" applyFont="1" applyFill="1" applyBorder="1" applyAlignment="1" applyProtection="1">
      <alignment vertical="center"/>
    </xf>
    <xf numFmtId="3" fontId="5" fillId="3" borderId="6" xfId="0" applyNumberFormat="1" applyFont="1" applyFill="1" applyBorder="1" applyAlignment="1">
      <alignment vertical="center"/>
    </xf>
    <xf numFmtId="3" fontId="5" fillId="3" borderId="6" xfId="0" applyNumberFormat="1" applyFont="1" applyFill="1" applyBorder="1" applyAlignment="1" applyProtection="1">
      <alignment horizontal="right" vertical="center"/>
    </xf>
    <xf numFmtId="3" fontId="5" fillId="3" borderId="5" xfId="0" applyNumberFormat="1" applyFont="1" applyFill="1" applyBorder="1" applyAlignment="1">
      <alignment vertical="center"/>
    </xf>
    <xf numFmtId="3" fontId="5" fillId="3" borderId="5" xfId="0" applyNumberFormat="1" applyFont="1" applyFill="1" applyBorder="1" applyAlignment="1" applyProtection="1">
      <alignment vertical="center"/>
    </xf>
    <xf numFmtId="3" fontId="5" fillId="3" borderId="5" xfId="0" applyNumberFormat="1" applyFont="1" applyFill="1" applyBorder="1" applyAlignment="1" applyProtection="1">
      <alignment horizontal="right" vertical="center"/>
    </xf>
    <xf numFmtId="3" fontId="7" fillId="3" borderId="4" xfId="0" applyNumberFormat="1" applyFont="1" applyFill="1" applyBorder="1" applyAlignment="1" applyProtection="1">
      <alignment vertical="center"/>
    </xf>
    <xf numFmtId="3" fontId="5" fillId="3" borderId="2" xfId="0" applyNumberFormat="1" applyFont="1" applyFill="1" applyBorder="1" applyAlignment="1" applyProtection="1">
      <alignment vertical="center"/>
    </xf>
    <xf numFmtId="164" fontId="5" fillId="3" borderId="3" xfId="0" applyNumberFormat="1" applyFont="1" applyFill="1" applyBorder="1" applyAlignment="1" applyProtection="1">
      <alignment horizontal="center" vertical="center"/>
    </xf>
    <xf numFmtId="164" fontId="5" fillId="3" borderId="10" xfId="0" applyNumberFormat="1" applyFont="1" applyFill="1" applyBorder="1" applyAlignment="1" applyProtection="1">
      <alignment horizontal="center" vertical="center"/>
    </xf>
    <xf numFmtId="164" fontId="5" fillId="3" borderId="9" xfId="0" applyNumberFormat="1" applyFont="1" applyFill="1" applyBorder="1" applyAlignment="1" applyProtection="1">
      <alignment horizontal="center" vertical="center"/>
    </xf>
    <xf numFmtId="164" fontId="14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 applyProtection="1">
      <alignment horizontal="center" vertical="center"/>
    </xf>
  </cellXfs>
  <cellStyles count="8">
    <cellStyle name="Comma" xfId="1" builtinId="3"/>
    <cellStyle name="Hyperlink" xfId="2" builtinId="8"/>
    <cellStyle name="Normal" xfId="0" builtinId="0"/>
    <cellStyle name="Normal 2 2 2" xfId="3"/>
    <cellStyle name="Normal 6" xfId="6"/>
    <cellStyle name="Normal 7" xfId="5"/>
    <cellStyle name="Normal 8" xfId="4"/>
    <cellStyle name="Normal_3 Population." xfId="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28</xdr:row>
      <xdr:rowOff>0</xdr:rowOff>
    </xdr:from>
    <xdr:to>
      <xdr:col>13</xdr:col>
      <xdr:colOff>0</xdr:colOff>
      <xdr:row>28</xdr:row>
      <xdr:rowOff>0</xdr:rowOff>
    </xdr:to>
    <xdr:sp macro="" textlink="">
      <xdr:nvSpPr>
        <xdr:cNvPr id="22" name="Text 3"/>
        <xdr:cNvSpPr txBox="1">
          <a:spLocks noChangeArrowheads="1"/>
        </xdr:cNvSpPr>
      </xdr:nvSpPr>
      <xdr:spPr bwMode="auto">
        <a:xfrm>
          <a:off x="8982075" y="56292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28</xdr:row>
      <xdr:rowOff>0</xdr:rowOff>
    </xdr:from>
    <xdr:to>
      <xdr:col>13</xdr:col>
      <xdr:colOff>0</xdr:colOff>
      <xdr:row>28</xdr:row>
      <xdr:rowOff>0</xdr:rowOff>
    </xdr:to>
    <xdr:sp macro="" textlink="">
      <xdr:nvSpPr>
        <xdr:cNvPr id="23" name="Text 4"/>
        <xdr:cNvSpPr txBox="1">
          <a:spLocks noChangeArrowheads="1"/>
        </xdr:cNvSpPr>
      </xdr:nvSpPr>
      <xdr:spPr bwMode="auto">
        <a:xfrm>
          <a:off x="8982075" y="56292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28</xdr:row>
      <xdr:rowOff>0</xdr:rowOff>
    </xdr:from>
    <xdr:to>
      <xdr:col>3</xdr:col>
      <xdr:colOff>457200</xdr:colOff>
      <xdr:row>28</xdr:row>
      <xdr:rowOff>0</xdr:rowOff>
    </xdr:to>
    <xdr:sp macro="" textlink="">
      <xdr:nvSpPr>
        <xdr:cNvPr id="24" name="Text 7"/>
        <xdr:cNvSpPr txBox="1">
          <a:spLocks noChangeArrowheads="1"/>
        </xdr:cNvSpPr>
      </xdr:nvSpPr>
      <xdr:spPr bwMode="auto">
        <a:xfrm>
          <a:off x="2828925" y="56292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28</xdr:row>
      <xdr:rowOff>0</xdr:rowOff>
    </xdr:from>
    <xdr:to>
      <xdr:col>13</xdr:col>
      <xdr:colOff>0</xdr:colOff>
      <xdr:row>28</xdr:row>
      <xdr:rowOff>0</xdr:rowOff>
    </xdr:to>
    <xdr:sp macro="" textlink="">
      <xdr:nvSpPr>
        <xdr:cNvPr id="25" name="Text 8"/>
        <xdr:cNvSpPr txBox="1">
          <a:spLocks noChangeArrowheads="1"/>
        </xdr:cNvSpPr>
      </xdr:nvSpPr>
      <xdr:spPr bwMode="auto">
        <a:xfrm>
          <a:off x="8982075" y="56292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28</xdr:row>
      <xdr:rowOff>0</xdr:rowOff>
    </xdr:from>
    <xdr:to>
      <xdr:col>0</xdr:col>
      <xdr:colOff>857250</xdr:colOff>
      <xdr:row>28</xdr:row>
      <xdr:rowOff>0</xdr:rowOff>
    </xdr:to>
    <xdr:sp macro="" textlink="">
      <xdr:nvSpPr>
        <xdr:cNvPr id="26" name="Text 9"/>
        <xdr:cNvSpPr txBox="1">
          <a:spLocks noChangeArrowheads="1"/>
        </xdr:cNvSpPr>
      </xdr:nvSpPr>
      <xdr:spPr bwMode="auto">
        <a:xfrm>
          <a:off x="47625" y="5629275"/>
          <a:ext cx="8096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28</xdr:row>
      <xdr:rowOff>0</xdr:rowOff>
    </xdr:from>
    <xdr:to>
      <xdr:col>1</xdr:col>
      <xdr:colOff>47625</xdr:colOff>
      <xdr:row>28</xdr:row>
      <xdr:rowOff>0</xdr:rowOff>
    </xdr:to>
    <xdr:sp macro="" textlink="">
      <xdr:nvSpPr>
        <xdr:cNvPr id="27" name="Text 10"/>
        <xdr:cNvSpPr txBox="1">
          <a:spLocks noChangeArrowheads="1"/>
        </xdr:cNvSpPr>
      </xdr:nvSpPr>
      <xdr:spPr bwMode="auto">
        <a:xfrm>
          <a:off x="66675" y="5629275"/>
          <a:ext cx="838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28</xdr:row>
      <xdr:rowOff>0</xdr:rowOff>
    </xdr:from>
    <xdr:to>
      <xdr:col>0</xdr:col>
      <xdr:colOff>857250</xdr:colOff>
      <xdr:row>28</xdr:row>
      <xdr:rowOff>0</xdr:rowOff>
    </xdr:to>
    <xdr:sp macro="" textlink="">
      <xdr:nvSpPr>
        <xdr:cNvPr id="28" name="Text 5"/>
        <xdr:cNvSpPr txBox="1">
          <a:spLocks noChangeArrowheads="1"/>
        </xdr:cNvSpPr>
      </xdr:nvSpPr>
      <xdr:spPr bwMode="auto">
        <a:xfrm flipV="1">
          <a:off x="9525" y="5629275"/>
          <a:ext cx="8477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857250</xdr:colOff>
      <xdr:row>28</xdr:row>
      <xdr:rowOff>0</xdr:rowOff>
    </xdr:to>
    <xdr:sp macro="" textlink="">
      <xdr:nvSpPr>
        <xdr:cNvPr id="29" name="Text 5"/>
        <xdr:cNvSpPr txBox="1">
          <a:spLocks noChangeArrowheads="1"/>
        </xdr:cNvSpPr>
      </xdr:nvSpPr>
      <xdr:spPr bwMode="auto">
        <a:xfrm>
          <a:off x="19050" y="5629275"/>
          <a:ext cx="838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28</xdr:row>
      <xdr:rowOff>0</xdr:rowOff>
    </xdr:from>
    <xdr:to>
      <xdr:col>0</xdr:col>
      <xdr:colOff>857250</xdr:colOff>
      <xdr:row>28</xdr:row>
      <xdr:rowOff>0</xdr:rowOff>
    </xdr:to>
    <xdr:sp macro="" textlink="">
      <xdr:nvSpPr>
        <xdr:cNvPr id="30" name="Text 5"/>
        <xdr:cNvSpPr txBox="1">
          <a:spLocks noChangeArrowheads="1"/>
        </xdr:cNvSpPr>
      </xdr:nvSpPr>
      <xdr:spPr bwMode="auto">
        <a:xfrm>
          <a:off x="47625" y="5629275"/>
          <a:ext cx="8096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31" name="Text Box 10"/>
        <xdr:cNvSpPr txBox="1">
          <a:spLocks noChangeArrowheads="1"/>
        </xdr:cNvSpPr>
      </xdr:nvSpPr>
      <xdr:spPr bwMode="auto">
        <a:xfrm flipV="1">
          <a:off x="19050" y="333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28</xdr:row>
      <xdr:rowOff>0</xdr:rowOff>
    </xdr:from>
    <xdr:to>
      <xdr:col>13</xdr:col>
      <xdr:colOff>0</xdr:colOff>
      <xdr:row>28</xdr:row>
      <xdr:rowOff>0</xdr:rowOff>
    </xdr:to>
    <xdr:sp macro="" textlink="">
      <xdr:nvSpPr>
        <xdr:cNvPr id="32" name="Text 3"/>
        <xdr:cNvSpPr txBox="1">
          <a:spLocks noChangeArrowheads="1"/>
        </xdr:cNvSpPr>
      </xdr:nvSpPr>
      <xdr:spPr bwMode="auto">
        <a:xfrm>
          <a:off x="8982075" y="56292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28</xdr:row>
      <xdr:rowOff>0</xdr:rowOff>
    </xdr:from>
    <xdr:to>
      <xdr:col>13</xdr:col>
      <xdr:colOff>0</xdr:colOff>
      <xdr:row>28</xdr:row>
      <xdr:rowOff>0</xdr:rowOff>
    </xdr:to>
    <xdr:sp macro="" textlink="">
      <xdr:nvSpPr>
        <xdr:cNvPr id="33" name="Text 4"/>
        <xdr:cNvSpPr txBox="1">
          <a:spLocks noChangeArrowheads="1"/>
        </xdr:cNvSpPr>
      </xdr:nvSpPr>
      <xdr:spPr bwMode="auto">
        <a:xfrm>
          <a:off x="8982075" y="56292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28</xdr:row>
      <xdr:rowOff>0</xdr:rowOff>
    </xdr:from>
    <xdr:to>
      <xdr:col>3</xdr:col>
      <xdr:colOff>457200</xdr:colOff>
      <xdr:row>28</xdr:row>
      <xdr:rowOff>0</xdr:rowOff>
    </xdr:to>
    <xdr:sp macro="" textlink="">
      <xdr:nvSpPr>
        <xdr:cNvPr id="34" name="Text 7"/>
        <xdr:cNvSpPr txBox="1">
          <a:spLocks noChangeArrowheads="1"/>
        </xdr:cNvSpPr>
      </xdr:nvSpPr>
      <xdr:spPr bwMode="auto">
        <a:xfrm>
          <a:off x="2828925" y="56292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28</xdr:row>
      <xdr:rowOff>0</xdr:rowOff>
    </xdr:from>
    <xdr:to>
      <xdr:col>13</xdr:col>
      <xdr:colOff>0</xdr:colOff>
      <xdr:row>28</xdr:row>
      <xdr:rowOff>0</xdr:rowOff>
    </xdr:to>
    <xdr:sp macro="" textlink="">
      <xdr:nvSpPr>
        <xdr:cNvPr id="35" name="Text 8"/>
        <xdr:cNvSpPr txBox="1">
          <a:spLocks noChangeArrowheads="1"/>
        </xdr:cNvSpPr>
      </xdr:nvSpPr>
      <xdr:spPr bwMode="auto">
        <a:xfrm>
          <a:off x="8982075" y="56292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28</xdr:row>
      <xdr:rowOff>0</xdr:rowOff>
    </xdr:from>
    <xdr:to>
      <xdr:col>0</xdr:col>
      <xdr:colOff>857250</xdr:colOff>
      <xdr:row>28</xdr:row>
      <xdr:rowOff>0</xdr:rowOff>
    </xdr:to>
    <xdr:sp macro="" textlink="">
      <xdr:nvSpPr>
        <xdr:cNvPr id="36" name="Text 9"/>
        <xdr:cNvSpPr txBox="1">
          <a:spLocks noChangeArrowheads="1"/>
        </xdr:cNvSpPr>
      </xdr:nvSpPr>
      <xdr:spPr bwMode="auto">
        <a:xfrm>
          <a:off x="47625" y="5629275"/>
          <a:ext cx="8096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28</xdr:row>
      <xdr:rowOff>0</xdr:rowOff>
    </xdr:from>
    <xdr:to>
      <xdr:col>1</xdr:col>
      <xdr:colOff>47625</xdr:colOff>
      <xdr:row>28</xdr:row>
      <xdr:rowOff>0</xdr:rowOff>
    </xdr:to>
    <xdr:sp macro="" textlink="">
      <xdr:nvSpPr>
        <xdr:cNvPr id="37" name="Text 10"/>
        <xdr:cNvSpPr txBox="1">
          <a:spLocks noChangeArrowheads="1"/>
        </xdr:cNvSpPr>
      </xdr:nvSpPr>
      <xdr:spPr bwMode="auto">
        <a:xfrm>
          <a:off x="66675" y="5629275"/>
          <a:ext cx="838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28</xdr:row>
      <xdr:rowOff>0</xdr:rowOff>
    </xdr:from>
    <xdr:to>
      <xdr:col>0</xdr:col>
      <xdr:colOff>857250</xdr:colOff>
      <xdr:row>28</xdr:row>
      <xdr:rowOff>0</xdr:rowOff>
    </xdr:to>
    <xdr:sp macro="" textlink="">
      <xdr:nvSpPr>
        <xdr:cNvPr id="38" name="Text 5"/>
        <xdr:cNvSpPr txBox="1">
          <a:spLocks noChangeArrowheads="1"/>
        </xdr:cNvSpPr>
      </xdr:nvSpPr>
      <xdr:spPr bwMode="auto">
        <a:xfrm flipV="1">
          <a:off x="9525" y="5629275"/>
          <a:ext cx="8477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857250</xdr:colOff>
      <xdr:row>28</xdr:row>
      <xdr:rowOff>0</xdr:rowOff>
    </xdr:to>
    <xdr:sp macro="" textlink="">
      <xdr:nvSpPr>
        <xdr:cNvPr id="39" name="Text 5"/>
        <xdr:cNvSpPr txBox="1">
          <a:spLocks noChangeArrowheads="1"/>
        </xdr:cNvSpPr>
      </xdr:nvSpPr>
      <xdr:spPr bwMode="auto">
        <a:xfrm>
          <a:off x="19050" y="5629275"/>
          <a:ext cx="838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28</xdr:row>
      <xdr:rowOff>0</xdr:rowOff>
    </xdr:from>
    <xdr:to>
      <xdr:col>0</xdr:col>
      <xdr:colOff>857250</xdr:colOff>
      <xdr:row>28</xdr:row>
      <xdr:rowOff>0</xdr:rowOff>
    </xdr:to>
    <xdr:sp macro="" textlink="">
      <xdr:nvSpPr>
        <xdr:cNvPr id="40" name="Text 5"/>
        <xdr:cNvSpPr txBox="1">
          <a:spLocks noChangeArrowheads="1"/>
        </xdr:cNvSpPr>
      </xdr:nvSpPr>
      <xdr:spPr bwMode="auto">
        <a:xfrm>
          <a:off x="47625" y="5629275"/>
          <a:ext cx="8096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41" name="Text Box 300"/>
        <xdr:cNvSpPr txBox="1">
          <a:spLocks noChangeArrowheads="1"/>
        </xdr:cNvSpPr>
      </xdr:nvSpPr>
      <xdr:spPr bwMode="auto">
        <a:xfrm flipV="1">
          <a:off x="19050" y="333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9"/>
  <sheetViews>
    <sheetView tabSelected="1" workbookViewId="0">
      <selection activeCell="F15" sqref="F15"/>
    </sheetView>
  </sheetViews>
  <sheetFormatPr defaultColWidth="11.140625" defaultRowHeight="15"/>
  <cols>
    <col min="1" max="1" width="12.85546875" style="2" customWidth="1"/>
    <col min="2" max="8" width="9.85546875" style="2" customWidth="1"/>
    <col min="9" max="9" width="10.42578125" style="2" customWidth="1"/>
    <col min="10" max="11" width="10.7109375" style="2" customWidth="1"/>
    <col min="12" max="12" width="10.85546875" style="2" customWidth="1"/>
    <col min="13" max="13" width="10.140625" style="2" customWidth="1"/>
    <col min="14" max="14" width="8" style="2" customWidth="1"/>
    <col min="15" max="15" width="6.7109375" style="1" customWidth="1"/>
    <col min="16" max="16" width="13.140625" style="2" customWidth="1"/>
    <col min="17" max="17" width="13" style="2" customWidth="1"/>
    <col min="18" max="18" width="5.140625" style="2" customWidth="1"/>
    <col min="19" max="19" width="12.7109375" style="2" customWidth="1"/>
    <col min="20" max="20" width="12.5703125" style="2" customWidth="1"/>
    <col min="21" max="21" width="12.85546875" style="2" customWidth="1"/>
    <col min="22" max="22" width="11.140625" style="1"/>
    <col min="23" max="23" width="15.5703125" style="2" customWidth="1"/>
    <col min="24" max="16384" width="11.140625" style="2"/>
  </cols>
  <sheetData>
    <row r="1" spans="1:22" ht="21.75">
      <c r="A1" s="61" t="s">
        <v>30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</row>
    <row r="2" spans="1:22" s="1" customFormat="1">
      <c r="A2" s="62" t="s">
        <v>31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18"/>
      <c r="O2" s="18"/>
      <c r="P2" s="18"/>
      <c r="Q2" s="18"/>
      <c r="R2" s="18"/>
      <c r="S2" s="18"/>
      <c r="T2" s="18"/>
      <c r="U2" s="18"/>
      <c r="V2" s="18"/>
    </row>
    <row r="3" spans="1:22" s="29" customFormat="1" ht="12.75">
      <c r="A3" s="28"/>
      <c r="B3" s="58" t="s">
        <v>0</v>
      </c>
      <c r="C3" s="58"/>
      <c r="D3" s="58"/>
      <c r="E3" s="59" t="s">
        <v>32</v>
      </c>
      <c r="F3" s="58"/>
      <c r="G3" s="58"/>
      <c r="H3" s="59" t="s">
        <v>23</v>
      </c>
      <c r="I3" s="58"/>
      <c r="J3" s="60"/>
      <c r="K3" s="59" t="s">
        <v>24</v>
      </c>
      <c r="L3" s="58"/>
      <c r="M3" s="58"/>
      <c r="N3" s="5"/>
    </row>
    <row r="4" spans="1:22" s="29" customFormat="1" ht="12.75">
      <c r="A4" s="30" t="s">
        <v>25</v>
      </c>
      <c r="B4" s="46" t="s">
        <v>20</v>
      </c>
      <c r="C4" s="31" t="s">
        <v>21</v>
      </c>
      <c r="D4" s="9" t="s">
        <v>22</v>
      </c>
      <c r="E4" s="47" t="s">
        <v>20</v>
      </c>
      <c r="F4" s="31" t="s">
        <v>21</v>
      </c>
      <c r="G4" s="9" t="s">
        <v>22</v>
      </c>
      <c r="H4" s="47" t="s">
        <v>20</v>
      </c>
      <c r="I4" s="31" t="s">
        <v>21</v>
      </c>
      <c r="J4" s="45" t="s">
        <v>22</v>
      </c>
      <c r="K4" s="47" t="s">
        <v>20</v>
      </c>
      <c r="L4" s="31" t="s">
        <v>21</v>
      </c>
      <c r="M4" s="9" t="s">
        <v>22</v>
      </c>
      <c r="N4" s="5"/>
    </row>
    <row r="5" spans="1:22" s="29" customFormat="1" ht="12.75">
      <c r="A5" s="17" t="s">
        <v>1</v>
      </c>
      <c r="B5" s="57">
        <f>SUM(C5:D5)</f>
        <v>46381</v>
      </c>
      <c r="C5" s="11">
        <f>F5+I5+L5</f>
        <v>24132</v>
      </c>
      <c r="D5" s="11">
        <f>G5+J5+M5</f>
        <v>22249</v>
      </c>
      <c r="E5" s="51">
        <f>SUM(F5:G5)</f>
        <v>29747</v>
      </c>
      <c r="F5" s="12">
        <f>SUM(F6:F25)</f>
        <v>15593</v>
      </c>
      <c r="G5" s="12">
        <f>SUM(G6:G25)</f>
        <v>14154</v>
      </c>
      <c r="H5" s="50">
        <f>SUM(I5:J5)</f>
        <v>15086</v>
      </c>
      <c r="I5" s="11">
        <f>SUM(I6:I25)</f>
        <v>7845</v>
      </c>
      <c r="J5" s="11">
        <f>SUM(J6:J25)</f>
        <v>7241</v>
      </c>
      <c r="K5" s="50">
        <f>SUM(L5:M5)</f>
        <v>1548</v>
      </c>
      <c r="L5" s="11">
        <f>SUM(L6:L25)</f>
        <v>694</v>
      </c>
      <c r="M5" s="57">
        <f>SUM(M6:M25)</f>
        <v>854</v>
      </c>
      <c r="N5" s="5"/>
    </row>
    <row r="6" spans="1:22" s="29" customFormat="1" ht="12.75">
      <c r="A6" s="6" t="s">
        <v>26</v>
      </c>
      <c r="B6" s="11">
        <f t="shared" ref="B6:B25" si="0">SUM(C6:D6)</f>
        <v>3369</v>
      </c>
      <c r="C6" s="13">
        <f t="shared" ref="C6:D25" si="1">F6+I6+L6</f>
        <v>1703</v>
      </c>
      <c r="D6" s="13">
        <f t="shared" si="1"/>
        <v>1666</v>
      </c>
      <c r="E6" s="51">
        <f t="shared" ref="E6:E25" si="2">SUM(F6:G6)</f>
        <v>2116</v>
      </c>
      <c r="F6" s="32">
        <v>1077</v>
      </c>
      <c r="G6" s="32">
        <v>1039</v>
      </c>
      <c r="H6" s="50">
        <f t="shared" ref="H6:H25" si="3">SUM(I6:J6)</f>
        <v>1132</v>
      </c>
      <c r="I6" s="32">
        <v>574</v>
      </c>
      <c r="J6" s="32">
        <v>558</v>
      </c>
      <c r="K6" s="52">
        <f t="shared" ref="K6:K25" si="4">SUM(L6:M6)</f>
        <v>121</v>
      </c>
      <c r="L6" s="33">
        <v>52</v>
      </c>
      <c r="M6" s="33">
        <v>69</v>
      </c>
      <c r="N6" s="5"/>
    </row>
    <row r="7" spans="1:22" s="29" customFormat="1" ht="12.75">
      <c r="A7" s="6" t="s">
        <v>27</v>
      </c>
      <c r="B7" s="11">
        <f t="shared" si="0"/>
        <v>4182</v>
      </c>
      <c r="C7" s="13">
        <f t="shared" si="1"/>
        <v>2215</v>
      </c>
      <c r="D7" s="13">
        <f t="shared" si="1"/>
        <v>1967</v>
      </c>
      <c r="E7" s="51">
        <f t="shared" si="2"/>
        <v>2726</v>
      </c>
      <c r="F7" s="32">
        <v>1455</v>
      </c>
      <c r="G7" s="32">
        <v>1271</v>
      </c>
      <c r="H7" s="50">
        <f t="shared" si="3"/>
        <v>1344</v>
      </c>
      <c r="I7" s="32">
        <v>716</v>
      </c>
      <c r="J7" s="32">
        <v>628</v>
      </c>
      <c r="K7" s="52">
        <f t="shared" si="4"/>
        <v>112</v>
      </c>
      <c r="L7" s="33">
        <v>44</v>
      </c>
      <c r="M7" s="33">
        <v>68</v>
      </c>
      <c r="N7" s="5"/>
    </row>
    <row r="8" spans="1:22" s="29" customFormat="1" ht="12.75">
      <c r="A8" s="6" t="s">
        <v>28</v>
      </c>
      <c r="B8" s="11">
        <f t="shared" si="0"/>
        <v>3121</v>
      </c>
      <c r="C8" s="13">
        <f t="shared" si="1"/>
        <v>1665</v>
      </c>
      <c r="D8" s="13">
        <f t="shared" si="1"/>
        <v>1456</v>
      </c>
      <c r="E8" s="51">
        <f t="shared" si="2"/>
        <v>2078</v>
      </c>
      <c r="F8" s="32">
        <v>1096</v>
      </c>
      <c r="G8" s="32">
        <v>982</v>
      </c>
      <c r="H8" s="50">
        <f t="shared" si="3"/>
        <v>1008</v>
      </c>
      <c r="I8" s="32">
        <v>551</v>
      </c>
      <c r="J8" s="32">
        <v>457</v>
      </c>
      <c r="K8" s="52">
        <f t="shared" si="4"/>
        <v>35</v>
      </c>
      <c r="L8" s="33">
        <v>18</v>
      </c>
      <c r="M8" s="33">
        <v>17</v>
      </c>
      <c r="N8" s="5"/>
    </row>
    <row r="9" spans="1:22" s="29" customFormat="1" ht="12.75">
      <c r="A9" s="6" t="s">
        <v>17</v>
      </c>
      <c r="B9" s="11">
        <f t="shared" si="0"/>
        <v>2596</v>
      </c>
      <c r="C9" s="13">
        <f t="shared" si="1"/>
        <v>1362</v>
      </c>
      <c r="D9" s="13">
        <f t="shared" si="1"/>
        <v>1234</v>
      </c>
      <c r="E9" s="51">
        <f t="shared" si="2"/>
        <v>1596</v>
      </c>
      <c r="F9" s="32">
        <v>835</v>
      </c>
      <c r="G9" s="32">
        <v>761</v>
      </c>
      <c r="H9" s="50">
        <f t="shared" si="3"/>
        <v>918</v>
      </c>
      <c r="I9" s="32">
        <v>487</v>
      </c>
      <c r="J9" s="32">
        <v>431</v>
      </c>
      <c r="K9" s="52">
        <f t="shared" si="4"/>
        <v>82</v>
      </c>
      <c r="L9" s="33">
        <v>40</v>
      </c>
      <c r="M9" s="33">
        <v>42</v>
      </c>
      <c r="N9" s="5"/>
    </row>
    <row r="10" spans="1:22" s="29" customFormat="1" ht="12.75">
      <c r="A10" s="6" t="s">
        <v>29</v>
      </c>
      <c r="B10" s="11">
        <f t="shared" si="0"/>
        <v>3835</v>
      </c>
      <c r="C10" s="13">
        <f t="shared" si="1"/>
        <v>1998</v>
      </c>
      <c r="D10" s="13">
        <f t="shared" si="1"/>
        <v>1837</v>
      </c>
      <c r="E10" s="51">
        <f t="shared" si="2"/>
        <v>2504</v>
      </c>
      <c r="F10" s="32">
        <v>1332</v>
      </c>
      <c r="G10" s="32">
        <v>1172</v>
      </c>
      <c r="H10" s="50">
        <f t="shared" si="3"/>
        <v>1239</v>
      </c>
      <c r="I10" s="32">
        <v>622</v>
      </c>
      <c r="J10" s="32">
        <v>617</v>
      </c>
      <c r="K10" s="52">
        <f t="shared" si="4"/>
        <v>92</v>
      </c>
      <c r="L10" s="33">
        <v>44</v>
      </c>
      <c r="M10" s="33">
        <v>48</v>
      </c>
      <c r="N10" s="5"/>
    </row>
    <row r="11" spans="1:22" s="29" customFormat="1" ht="12.75">
      <c r="A11" s="6" t="s">
        <v>3</v>
      </c>
      <c r="B11" s="11">
        <f t="shared" si="0"/>
        <v>2375</v>
      </c>
      <c r="C11" s="13">
        <f t="shared" si="1"/>
        <v>1298</v>
      </c>
      <c r="D11" s="13">
        <f t="shared" si="1"/>
        <v>1077</v>
      </c>
      <c r="E11" s="51">
        <f t="shared" si="2"/>
        <v>1451</v>
      </c>
      <c r="F11" s="32">
        <v>797</v>
      </c>
      <c r="G11" s="32">
        <v>654</v>
      </c>
      <c r="H11" s="50">
        <f t="shared" si="3"/>
        <v>790</v>
      </c>
      <c r="I11" s="32">
        <v>432</v>
      </c>
      <c r="J11" s="32">
        <v>358</v>
      </c>
      <c r="K11" s="52">
        <f t="shared" si="4"/>
        <v>134</v>
      </c>
      <c r="L11" s="33">
        <v>69</v>
      </c>
      <c r="M11" s="33">
        <v>65</v>
      </c>
      <c r="N11" s="5"/>
    </row>
    <row r="12" spans="1:22" s="29" customFormat="1" ht="12.75">
      <c r="A12" s="6" t="s">
        <v>4</v>
      </c>
      <c r="B12" s="11">
        <f t="shared" si="0"/>
        <v>1783</v>
      </c>
      <c r="C12" s="13">
        <f t="shared" si="1"/>
        <v>902</v>
      </c>
      <c r="D12" s="13">
        <f t="shared" si="1"/>
        <v>881</v>
      </c>
      <c r="E12" s="51">
        <f t="shared" si="2"/>
        <v>1104</v>
      </c>
      <c r="F12" s="32">
        <v>558</v>
      </c>
      <c r="G12" s="32">
        <v>546</v>
      </c>
      <c r="H12" s="50">
        <f t="shared" si="3"/>
        <v>580</v>
      </c>
      <c r="I12" s="32">
        <v>294</v>
      </c>
      <c r="J12" s="32">
        <v>286</v>
      </c>
      <c r="K12" s="52">
        <f t="shared" si="4"/>
        <v>99</v>
      </c>
      <c r="L12" s="33">
        <v>50</v>
      </c>
      <c r="M12" s="33">
        <v>49</v>
      </c>
      <c r="N12" s="5"/>
    </row>
    <row r="13" spans="1:22" s="29" customFormat="1" ht="12.75">
      <c r="A13" s="6" t="s">
        <v>6</v>
      </c>
      <c r="B13" s="11">
        <f t="shared" si="0"/>
        <v>2141</v>
      </c>
      <c r="C13" s="13">
        <f t="shared" si="1"/>
        <v>1106</v>
      </c>
      <c r="D13" s="13">
        <f t="shared" si="1"/>
        <v>1035</v>
      </c>
      <c r="E13" s="51">
        <f t="shared" si="2"/>
        <v>1464</v>
      </c>
      <c r="F13" s="32">
        <v>774</v>
      </c>
      <c r="G13" s="32">
        <v>690</v>
      </c>
      <c r="H13" s="50">
        <f t="shared" si="3"/>
        <v>677</v>
      </c>
      <c r="I13" s="32">
        <v>332</v>
      </c>
      <c r="J13" s="32">
        <v>345</v>
      </c>
      <c r="K13" s="52">
        <f t="shared" si="4"/>
        <v>0</v>
      </c>
      <c r="L13" s="33">
        <v>0</v>
      </c>
      <c r="M13" s="33">
        <v>0</v>
      </c>
      <c r="N13" s="5"/>
      <c r="P13" s="34"/>
      <c r="Q13" s="34"/>
    </row>
    <row r="14" spans="1:22" s="29" customFormat="1" ht="12.75">
      <c r="A14" s="6" t="s">
        <v>7</v>
      </c>
      <c r="B14" s="11">
        <f t="shared" si="0"/>
        <v>1388</v>
      </c>
      <c r="C14" s="13">
        <f t="shared" si="1"/>
        <v>732</v>
      </c>
      <c r="D14" s="13">
        <f t="shared" si="1"/>
        <v>656</v>
      </c>
      <c r="E14" s="51">
        <f t="shared" si="2"/>
        <v>963</v>
      </c>
      <c r="F14" s="32">
        <v>495</v>
      </c>
      <c r="G14" s="32">
        <v>468</v>
      </c>
      <c r="H14" s="50">
        <f t="shared" si="3"/>
        <v>399</v>
      </c>
      <c r="I14" s="32">
        <v>223</v>
      </c>
      <c r="J14" s="32">
        <v>176</v>
      </c>
      <c r="K14" s="52">
        <f t="shared" si="4"/>
        <v>26</v>
      </c>
      <c r="L14" s="33">
        <v>14</v>
      </c>
      <c r="M14" s="33">
        <v>12</v>
      </c>
      <c r="N14" s="5"/>
      <c r="P14" s="16"/>
      <c r="Q14" s="16"/>
    </row>
    <row r="15" spans="1:22" s="29" customFormat="1" ht="12.75">
      <c r="A15" s="6" t="s">
        <v>8</v>
      </c>
      <c r="B15" s="11">
        <f t="shared" si="0"/>
        <v>1593</v>
      </c>
      <c r="C15" s="13">
        <f t="shared" si="1"/>
        <v>829</v>
      </c>
      <c r="D15" s="13">
        <f t="shared" si="1"/>
        <v>764</v>
      </c>
      <c r="E15" s="51">
        <f t="shared" si="2"/>
        <v>1065</v>
      </c>
      <c r="F15" s="32">
        <v>535</v>
      </c>
      <c r="G15" s="32">
        <v>530</v>
      </c>
      <c r="H15" s="50">
        <f t="shared" si="3"/>
        <v>528</v>
      </c>
      <c r="I15" s="32">
        <v>294</v>
      </c>
      <c r="J15" s="32">
        <v>234</v>
      </c>
      <c r="K15" s="52">
        <f t="shared" si="4"/>
        <v>0</v>
      </c>
      <c r="L15" s="33">
        <v>0</v>
      </c>
      <c r="M15" s="33">
        <v>0</v>
      </c>
      <c r="N15" s="5"/>
      <c r="P15" s="16"/>
      <c r="Q15" s="16"/>
    </row>
    <row r="16" spans="1:22" s="29" customFormat="1" ht="12.75">
      <c r="A16" s="6" t="s">
        <v>9</v>
      </c>
      <c r="B16" s="11">
        <f t="shared" si="0"/>
        <v>271</v>
      </c>
      <c r="C16" s="13">
        <f t="shared" si="1"/>
        <v>150</v>
      </c>
      <c r="D16" s="13">
        <f t="shared" si="1"/>
        <v>121</v>
      </c>
      <c r="E16" s="51">
        <f t="shared" si="2"/>
        <v>184</v>
      </c>
      <c r="F16" s="32">
        <v>104</v>
      </c>
      <c r="G16" s="32">
        <v>80</v>
      </c>
      <c r="H16" s="50">
        <f t="shared" si="3"/>
        <v>87</v>
      </c>
      <c r="I16" s="32">
        <v>46</v>
      </c>
      <c r="J16" s="32">
        <v>41</v>
      </c>
      <c r="K16" s="52">
        <f t="shared" si="4"/>
        <v>0</v>
      </c>
      <c r="L16" s="33">
        <v>0</v>
      </c>
      <c r="M16" s="33">
        <v>0</v>
      </c>
      <c r="N16" s="5"/>
      <c r="O16" s="7"/>
      <c r="P16" s="16"/>
      <c r="Q16" s="16"/>
    </row>
    <row r="17" spans="1:31" s="7" customFormat="1" ht="12.75">
      <c r="A17" s="6" t="s">
        <v>10</v>
      </c>
      <c r="B17" s="11">
        <f t="shared" si="0"/>
        <v>948</v>
      </c>
      <c r="C17" s="13">
        <f t="shared" si="1"/>
        <v>482</v>
      </c>
      <c r="D17" s="13">
        <f t="shared" si="1"/>
        <v>466</v>
      </c>
      <c r="E17" s="51">
        <f t="shared" si="2"/>
        <v>578</v>
      </c>
      <c r="F17" s="32">
        <v>297</v>
      </c>
      <c r="G17" s="32">
        <v>281</v>
      </c>
      <c r="H17" s="50">
        <f t="shared" si="3"/>
        <v>337</v>
      </c>
      <c r="I17" s="32">
        <v>171</v>
      </c>
      <c r="J17" s="32">
        <v>166</v>
      </c>
      <c r="K17" s="52">
        <f t="shared" si="4"/>
        <v>33</v>
      </c>
      <c r="L17" s="33">
        <v>14</v>
      </c>
      <c r="M17" s="33">
        <v>19</v>
      </c>
      <c r="N17" s="10"/>
    </row>
    <row r="18" spans="1:31" s="7" customFormat="1" ht="12.75">
      <c r="A18" s="6" t="s">
        <v>11</v>
      </c>
      <c r="B18" s="11">
        <f t="shared" si="0"/>
        <v>1234</v>
      </c>
      <c r="C18" s="13">
        <f t="shared" si="1"/>
        <v>635</v>
      </c>
      <c r="D18" s="13">
        <f t="shared" si="1"/>
        <v>599</v>
      </c>
      <c r="E18" s="51">
        <f t="shared" si="2"/>
        <v>727</v>
      </c>
      <c r="F18" s="32">
        <v>375</v>
      </c>
      <c r="G18" s="32">
        <v>352</v>
      </c>
      <c r="H18" s="50">
        <f t="shared" si="3"/>
        <v>406</v>
      </c>
      <c r="I18" s="32">
        <v>205</v>
      </c>
      <c r="J18" s="32">
        <v>201</v>
      </c>
      <c r="K18" s="52">
        <f t="shared" si="4"/>
        <v>101</v>
      </c>
      <c r="L18" s="33">
        <v>55</v>
      </c>
      <c r="M18" s="33">
        <v>46</v>
      </c>
      <c r="N18" s="10"/>
    </row>
    <row r="19" spans="1:31" s="7" customFormat="1" ht="12.75">
      <c r="A19" s="6" t="s">
        <v>12</v>
      </c>
      <c r="B19" s="11">
        <f t="shared" si="0"/>
        <v>1253</v>
      </c>
      <c r="C19" s="13">
        <f t="shared" si="1"/>
        <v>655</v>
      </c>
      <c r="D19" s="13">
        <f t="shared" si="1"/>
        <v>598</v>
      </c>
      <c r="E19" s="51">
        <f t="shared" si="2"/>
        <v>830</v>
      </c>
      <c r="F19" s="32">
        <v>445</v>
      </c>
      <c r="G19" s="32">
        <v>385</v>
      </c>
      <c r="H19" s="50">
        <f t="shared" si="3"/>
        <v>363</v>
      </c>
      <c r="I19" s="32">
        <v>179</v>
      </c>
      <c r="J19" s="32">
        <v>184</v>
      </c>
      <c r="K19" s="52">
        <f t="shared" si="4"/>
        <v>60</v>
      </c>
      <c r="L19" s="33">
        <v>31</v>
      </c>
      <c r="M19" s="33">
        <v>29</v>
      </c>
      <c r="N19" s="10"/>
    </row>
    <row r="20" spans="1:31" s="7" customFormat="1" ht="12.75">
      <c r="A20" s="6" t="s">
        <v>13</v>
      </c>
      <c r="B20" s="11">
        <f t="shared" si="0"/>
        <v>2004</v>
      </c>
      <c r="C20" s="13">
        <f t="shared" si="1"/>
        <v>1065</v>
      </c>
      <c r="D20" s="13">
        <f t="shared" si="1"/>
        <v>939</v>
      </c>
      <c r="E20" s="51">
        <f t="shared" si="2"/>
        <v>1299</v>
      </c>
      <c r="F20" s="32">
        <v>680</v>
      </c>
      <c r="G20" s="32">
        <v>619</v>
      </c>
      <c r="H20" s="50">
        <f t="shared" si="3"/>
        <v>688</v>
      </c>
      <c r="I20" s="32">
        <v>378</v>
      </c>
      <c r="J20" s="32">
        <v>310</v>
      </c>
      <c r="K20" s="52">
        <f t="shared" si="4"/>
        <v>17</v>
      </c>
      <c r="L20" s="33">
        <v>7</v>
      </c>
      <c r="M20" s="33">
        <v>10</v>
      </c>
      <c r="N20" s="10"/>
    </row>
    <row r="21" spans="1:31" s="7" customFormat="1" ht="12.75">
      <c r="A21" s="6" t="s">
        <v>5</v>
      </c>
      <c r="B21" s="11">
        <f t="shared" si="0"/>
        <v>3257</v>
      </c>
      <c r="C21" s="13">
        <f t="shared" si="1"/>
        <v>1741</v>
      </c>
      <c r="D21" s="13">
        <f t="shared" si="1"/>
        <v>1516</v>
      </c>
      <c r="E21" s="51">
        <f t="shared" si="2"/>
        <v>2161</v>
      </c>
      <c r="F21" s="32">
        <v>1171</v>
      </c>
      <c r="G21" s="32">
        <v>990</v>
      </c>
      <c r="H21" s="50">
        <f t="shared" si="3"/>
        <v>1033</v>
      </c>
      <c r="I21" s="32">
        <v>544</v>
      </c>
      <c r="J21" s="32">
        <v>489</v>
      </c>
      <c r="K21" s="52">
        <f t="shared" si="4"/>
        <v>63</v>
      </c>
      <c r="L21" s="33">
        <v>26</v>
      </c>
      <c r="M21" s="33">
        <v>37</v>
      </c>
      <c r="N21" s="10"/>
    </row>
    <row r="22" spans="1:31" s="7" customFormat="1" ht="12.75">
      <c r="A22" s="6" t="s">
        <v>14</v>
      </c>
      <c r="B22" s="11">
        <f t="shared" si="0"/>
        <v>2139</v>
      </c>
      <c r="C22" s="13">
        <f t="shared" si="1"/>
        <v>1078</v>
      </c>
      <c r="D22" s="13">
        <f t="shared" si="1"/>
        <v>1061</v>
      </c>
      <c r="E22" s="51">
        <f t="shared" si="2"/>
        <v>1374</v>
      </c>
      <c r="F22" s="32">
        <v>690</v>
      </c>
      <c r="G22" s="32">
        <v>684</v>
      </c>
      <c r="H22" s="50">
        <f t="shared" si="3"/>
        <v>698</v>
      </c>
      <c r="I22" s="32">
        <v>353</v>
      </c>
      <c r="J22" s="32">
        <v>345</v>
      </c>
      <c r="K22" s="52">
        <f t="shared" si="4"/>
        <v>67</v>
      </c>
      <c r="L22" s="33">
        <v>35</v>
      </c>
      <c r="M22" s="33">
        <v>32</v>
      </c>
      <c r="N22" s="10"/>
    </row>
    <row r="23" spans="1:31" s="7" customFormat="1" ht="12.75">
      <c r="A23" s="6" t="s">
        <v>15</v>
      </c>
      <c r="B23" s="11">
        <f t="shared" si="0"/>
        <v>2820</v>
      </c>
      <c r="C23" s="13">
        <f t="shared" si="1"/>
        <v>1483</v>
      </c>
      <c r="D23" s="13">
        <f t="shared" si="1"/>
        <v>1337</v>
      </c>
      <c r="E23" s="51">
        <f t="shared" si="2"/>
        <v>1808</v>
      </c>
      <c r="F23" s="32">
        <v>980</v>
      </c>
      <c r="G23" s="32">
        <v>828</v>
      </c>
      <c r="H23" s="50">
        <f t="shared" si="3"/>
        <v>940</v>
      </c>
      <c r="I23" s="32">
        <v>474</v>
      </c>
      <c r="J23" s="32">
        <v>466</v>
      </c>
      <c r="K23" s="52">
        <f t="shared" si="4"/>
        <v>72</v>
      </c>
      <c r="L23" s="33">
        <v>29</v>
      </c>
      <c r="M23" s="33">
        <v>43</v>
      </c>
      <c r="N23" s="10"/>
    </row>
    <row r="24" spans="1:31" s="7" customFormat="1" ht="12.75">
      <c r="A24" s="6" t="s">
        <v>16</v>
      </c>
      <c r="B24" s="11">
        <f t="shared" si="0"/>
        <v>1997</v>
      </c>
      <c r="C24" s="13">
        <f t="shared" si="1"/>
        <v>999</v>
      </c>
      <c r="D24" s="13">
        <f t="shared" si="1"/>
        <v>998</v>
      </c>
      <c r="E24" s="51">
        <f t="shared" si="2"/>
        <v>1378</v>
      </c>
      <c r="F24" s="32">
        <v>697</v>
      </c>
      <c r="G24" s="32">
        <v>681</v>
      </c>
      <c r="H24" s="50">
        <f t="shared" si="3"/>
        <v>515</v>
      </c>
      <c r="I24" s="32">
        <v>260</v>
      </c>
      <c r="J24" s="32">
        <v>255</v>
      </c>
      <c r="K24" s="52">
        <f t="shared" si="4"/>
        <v>104</v>
      </c>
      <c r="L24" s="33">
        <v>42</v>
      </c>
      <c r="M24" s="33">
        <v>62</v>
      </c>
      <c r="N24" s="10"/>
    </row>
    <row r="25" spans="1:31" s="7" customFormat="1" ht="12.75">
      <c r="A25" s="8" t="s">
        <v>2</v>
      </c>
      <c r="B25" s="35">
        <f t="shared" si="0"/>
        <v>4075</v>
      </c>
      <c r="C25" s="14">
        <f t="shared" si="1"/>
        <v>2034</v>
      </c>
      <c r="D25" s="56">
        <f t="shared" si="1"/>
        <v>2041</v>
      </c>
      <c r="E25" s="53">
        <f t="shared" si="2"/>
        <v>2341</v>
      </c>
      <c r="F25" s="36">
        <v>1200</v>
      </c>
      <c r="G25" s="36">
        <v>1141</v>
      </c>
      <c r="H25" s="54">
        <f t="shared" si="3"/>
        <v>1404</v>
      </c>
      <c r="I25" s="36">
        <v>710</v>
      </c>
      <c r="J25" s="36">
        <v>694</v>
      </c>
      <c r="K25" s="55">
        <f t="shared" si="4"/>
        <v>330</v>
      </c>
      <c r="L25" s="37">
        <v>124</v>
      </c>
      <c r="M25" s="37">
        <v>206</v>
      </c>
      <c r="N25" s="10"/>
      <c r="O25" s="44"/>
    </row>
    <row r="26" spans="1:31" s="44" customFormat="1" ht="12.75" customHeight="1">
      <c r="A26" s="19" t="s">
        <v>34</v>
      </c>
      <c r="B26" s="38"/>
      <c r="C26" s="39"/>
      <c r="D26" s="39"/>
      <c r="E26" s="40"/>
      <c r="F26" s="41"/>
      <c r="G26" s="41"/>
      <c r="H26" s="38"/>
      <c r="I26" s="41"/>
      <c r="J26" s="41"/>
      <c r="K26" s="3"/>
      <c r="L26" s="41"/>
      <c r="M26" s="42" t="s">
        <v>35</v>
      </c>
      <c r="N26" s="43"/>
    </row>
    <row r="27" spans="1:31" s="44" customFormat="1" ht="12.75" customHeight="1">
      <c r="A27" s="19" t="s">
        <v>33</v>
      </c>
      <c r="B27" s="38"/>
      <c r="C27" s="39"/>
      <c r="D27" s="39"/>
      <c r="E27" s="40"/>
      <c r="F27" s="41"/>
      <c r="G27" s="41"/>
      <c r="H27" s="38"/>
      <c r="I27" s="41"/>
      <c r="J27" s="41"/>
      <c r="K27" s="3"/>
      <c r="L27" s="41"/>
      <c r="M27" s="25" t="s">
        <v>36</v>
      </c>
      <c r="N27" s="43"/>
    </row>
    <row r="28" spans="1:31" s="49" customFormat="1" ht="12.75" customHeight="1">
      <c r="A28" s="26" t="s">
        <v>18</v>
      </c>
      <c r="B28" s="48"/>
      <c r="C28" s="4"/>
      <c r="D28" s="4"/>
      <c r="E28" s="48"/>
      <c r="F28" s="48"/>
      <c r="G28" s="4"/>
      <c r="H28" s="4"/>
      <c r="I28" s="4"/>
      <c r="J28" s="4"/>
      <c r="K28" s="15"/>
      <c r="L28" s="15"/>
      <c r="M28" s="27" t="s">
        <v>19</v>
      </c>
    </row>
    <row r="29" spans="1:31" s="20" customFormat="1">
      <c r="I29" s="21"/>
      <c r="S29" s="22"/>
      <c r="T29" s="22"/>
      <c r="U29" s="22"/>
      <c r="AC29" s="23" t="s">
        <v>11</v>
      </c>
      <c r="AD29" s="24">
        <v>843</v>
      </c>
      <c r="AE29" s="24">
        <v>767</v>
      </c>
    </row>
  </sheetData>
  <mergeCells count="6">
    <mergeCell ref="A1:M1"/>
    <mergeCell ref="A2:M2"/>
    <mergeCell ref="B3:D3"/>
    <mergeCell ref="E3:G3"/>
    <mergeCell ref="H3:J3"/>
    <mergeCell ref="K3:M3"/>
  </mergeCells>
  <pageMargins left="0.43" right="0.1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7.11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2013-09-03T09:17:07Z</cp:lastPrinted>
  <dcterms:created xsi:type="dcterms:W3CDTF">2013-04-29T08:45:56Z</dcterms:created>
  <dcterms:modified xsi:type="dcterms:W3CDTF">2013-09-03T09:50:52Z</dcterms:modified>
</cp:coreProperties>
</file>