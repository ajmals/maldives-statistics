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4"/>
  </bookViews>
  <sheets>
    <sheet name="7.4" sheetId="4" r:id="rId1"/>
  </sheets>
  <definedNames>
    <definedName name="_xlnm.Print_Area" localSheetId="0">'7.4'!$A$1:$P$35</definedName>
  </definedNames>
  <calcPr calcId="124519"/>
</workbook>
</file>

<file path=xl/calcChain.xml><?xml version="1.0" encoding="utf-8"?>
<calcChain xmlns="http://schemas.openxmlformats.org/spreadsheetml/2006/main">
  <c r="N9" i="4"/>
  <c r="L9"/>
  <c r="J9"/>
  <c r="C34"/>
  <c r="B30" l="1"/>
  <c r="D34"/>
  <c r="F10"/>
  <c r="H9"/>
  <c r="I11"/>
  <c r="I9" s="1"/>
  <c r="G11"/>
  <c r="F11" s="1"/>
  <c r="J11" s="1"/>
  <c r="F12"/>
  <c r="J10"/>
  <c r="J12"/>
  <c r="G9" l="1"/>
  <c r="F9" s="1"/>
  <c r="B12" l="1"/>
  <c r="C11"/>
  <c r="B11" s="1"/>
  <c r="F13"/>
  <c r="J13" s="1"/>
  <c r="F14"/>
  <c r="J14" s="1"/>
  <c r="F15"/>
  <c r="J15" s="1"/>
  <c r="F16"/>
  <c r="J16" s="1"/>
  <c r="F17"/>
  <c r="J17" s="1"/>
  <c r="F18"/>
  <c r="J18" s="1"/>
  <c r="F19"/>
  <c r="J19" s="1"/>
  <c r="F20"/>
  <c r="J20" s="1"/>
  <c r="F21"/>
  <c r="J21" s="1"/>
  <c r="F22"/>
  <c r="J22" s="1"/>
  <c r="F23"/>
  <c r="J23" s="1"/>
  <c r="F24"/>
  <c r="J24" s="1"/>
  <c r="F25"/>
  <c r="J25" s="1"/>
  <c r="F26"/>
  <c r="J26" s="1"/>
  <c r="F27"/>
  <c r="J27" s="1"/>
  <c r="F28"/>
  <c r="J28" s="1"/>
  <c r="F29"/>
  <c r="J29" s="1"/>
  <c r="F30"/>
  <c r="J30" s="1"/>
  <c r="F31"/>
  <c r="J31" s="1"/>
  <c r="B10"/>
  <c r="D11"/>
  <c r="D9"/>
  <c r="C9"/>
  <c r="B9" s="1"/>
  <c r="B22"/>
  <c r="L11" l="1"/>
  <c r="B31" l="1"/>
  <c r="B29"/>
  <c r="B28"/>
  <c r="B27"/>
  <c r="B26"/>
  <c r="B25"/>
  <c r="B24"/>
  <c r="B23"/>
  <c r="N22" s="1"/>
  <c r="L22"/>
  <c r="B21"/>
  <c r="B20"/>
  <c r="B19"/>
  <c r="B18"/>
  <c r="B17"/>
  <c r="B16"/>
  <c r="B15"/>
  <c r="B14"/>
  <c r="B13"/>
  <c r="L12"/>
  <c r="N10"/>
  <c r="L10"/>
  <c r="N19" l="1"/>
  <c r="L20"/>
  <c r="N12"/>
  <c r="L13"/>
  <c r="N13"/>
  <c r="L14"/>
  <c r="N14"/>
  <c r="L15"/>
  <c r="N15"/>
  <c r="L16"/>
  <c r="N16"/>
  <c r="L17"/>
  <c r="N17"/>
  <c r="L18"/>
  <c r="N18"/>
  <c r="L19"/>
  <c r="N20"/>
  <c r="L21"/>
  <c r="N21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N11"/>
</calcChain>
</file>

<file path=xl/sharedStrings.xml><?xml version="1.0" encoding="utf-8"?>
<sst xmlns="http://schemas.openxmlformats.org/spreadsheetml/2006/main" count="77" uniqueCount="72">
  <si>
    <t xml:space="preserve">  Locality</t>
  </si>
  <si>
    <t>wlcmuj</t>
  </si>
  <si>
    <t>Total</t>
  </si>
  <si>
    <t>Republic</t>
  </si>
  <si>
    <t>ejcaWriLum</t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</si>
  <si>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</si>
  <si>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</si>
  <si>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</si>
  <si>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</si>
  <si>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</si>
  <si>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</si>
  <si>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</si>
  <si>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</si>
  <si>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</si>
  <si>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</si>
  <si>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</si>
  <si>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</si>
  <si>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</si>
  <si>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</si>
  <si>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</si>
  <si>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</si>
  <si>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 xml:space="preserve"> </t>
  </si>
  <si>
    <t>Lh</t>
  </si>
  <si>
    <t>L</t>
  </si>
  <si>
    <t xml:space="preserve">cnehirif </t>
  </si>
  <si>
    <t xml:space="preserve">cnehcnwa </t>
  </si>
  <si>
    <t>K</t>
  </si>
  <si>
    <t>k</t>
  </si>
  <si>
    <t xml:space="preserve"> Male</t>
  </si>
  <si>
    <t xml:space="preserve"> Female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</si>
  <si>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</si>
  <si>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</si>
  <si>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</si>
  <si>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</si>
  <si>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</si>
  <si>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</si>
  <si>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</si>
  <si>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</si>
  <si>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</si>
  <si>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</si>
  <si>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</si>
  <si>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</si>
  <si>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</si>
  <si>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</si>
  <si>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</si>
  <si>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</si>
  <si>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</si>
  <si>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</si>
  <si>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</si>
  <si>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</si>
  <si>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</si>
  <si>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</si>
  <si>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</si>
  <si>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Source: Ministry of Education</t>
  </si>
  <si>
    <t>cnwxEkuaiDea cfoa IrcTcsinim :ctWrwf ivcaed utWmUluAwm</t>
  </si>
  <si>
    <t>uscnijed</t>
  </si>
  <si>
    <t>cnwt</t>
  </si>
  <si>
    <t>2012 ,cnidukWvwyik iaWncnusircawdum ibit iawgunwtcnwt EvedumIluAwt egukwtuLotwa iaWaelWm : 7.4 ulwvWt</t>
  </si>
  <si>
    <t>Table 7.4 : TEACHERS AND STUDENTS OF EDUCATIONAL INSTITUTIONS, BY LOCALITY, 2012</t>
  </si>
  <si>
    <t>cnidukWvwyik</t>
  </si>
  <si>
    <t xml:space="preserve"> cnusircawdum</t>
  </si>
  <si>
    <t xml:space="preserve">  cnidukWvwyik cnutwbcsin egcnusircawdum</t>
  </si>
  <si>
    <t>Student Enrolment</t>
  </si>
  <si>
    <t>Teachers</t>
  </si>
  <si>
    <t>Student Teacher Ratio</t>
  </si>
  <si>
    <t>iawfivedcnIrcmwt</t>
  </si>
  <si>
    <t>WvuniawfivedcnIrcmwt</t>
  </si>
  <si>
    <t xml:space="preserve"> WvuniawfivedcnIrcmwt  cnia %</t>
  </si>
  <si>
    <t>Both  Sexes</t>
  </si>
  <si>
    <t>Trained</t>
  </si>
  <si>
    <t>Un-trained</t>
  </si>
  <si>
    <t xml:space="preserve"> % for untrained teachers 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</si>
</sst>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General_)"/>
    <numFmt numFmtId="165" formatCode="#,##0;[Red]#,##0"/>
    <numFmt numFmtId="166" formatCode="#,##0.0_);[Red]\(#,##0.0\)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b/>
      <sz val="10"/>
      <name val="A_Waheed"/>
    </font>
    <font>
      <b/>
      <sz val="9"/>
      <name val="Arial"/>
      <family val="2"/>
    </font>
    <font>
      <b/>
      <sz val="10"/>
      <name val="A_Randhoo"/>
    </font>
    <font>
      <sz val="9"/>
      <name val="Calibri"/>
      <family val="2"/>
      <scheme val="minor"/>
    </font>
    <font>
      <sz val="9"/>
      <name val="Arial"/>
      <family val="2"/>
    </font>
    <font>
      <b/>
      <sz val="9"/>
      <name val="A_Waheed"/>
    </font>
    <font>
      <i/>
      <sz val="9"/>
      <name val="Calibri"/>
      <family val="2"/>
      <scheme val="minor"/>
    </font>
    <font>
      <b/>
      <sz val="12"/>
      <name val="A_Randhoo"/>
    </font>
    <font>
      <b/>
      <sz val="9"/>
      <name val="A_Randhoo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A_Waheed"/>
    </font>
    <font>
      <i/>
      <sz val="9"/>
      <name val="A_Waheed"/>
    </font>
    <font>
      <sz val="10"/>
      <name val="A_Waheed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6">
    <xf numFmtId="0" fontId="0" fillId="0" borderId="0"/>
    <xf numFmtId="0" fontId="1" fillId="0" borderId="0"/>
    <xf numFmtId="0" fontId="13" fillId="0" borderId="0"/>
    <xf numFmtId="166" fontId="13" fillId="0" borderId="0"/>
    <xf numFmtId="165" fontId="13" fillId="0" borderId="0"/>
    <xf numFmtId="165" fontId="13" fillId="0" borderId="0"/>
  </cellStyleXfs>
  <cellXfs count="82">
    <xf numFmtId="0" fontId="0" fillId="0" borderId="0" xfId="0"/>
    <xf numFmtId="164" fontId="3" fillId="2" borderId="1" xfId="0" applyNumberFormat="1" applyFont="1" applyFill="1" applyBorder="1" applyAlignment="1" applyProtection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1" fontId="5" fillId="2" borderId="0" xfId="0" applyNumberFormat="1" applyFont="1" applyFill="1" applyAlignment="1"/>
    <xf numFmtId="165" fontId="3" fillId="2" borderId="0" xfId="0" applyNumberFormat="1" applyFont="1" applyFill="1" applyBorder="1" applyAlignment="1">
      <alignment vertical="center"/>
    </xf>
    <xf numFmtId="165" fontId="3" fillId="2" borderId="0" xfId="0" applyNumberFormat="1" applyFont="1" applyFill="1" applyBorder="1" applyAlignment="1">
      <alignment horizontal="right" vertical="center"/>
    </xf>
    <xf numFmtId="165" fontId="7" fillId="2" borderId="0" xfId="0" applyNumberFormat="1" applyFont="1" applyFill="1" applyBorder="1" applyAlignment="1">
      <alignment horizontal="right" vertical="center"/>
    </xf>
    <xf numFmtId="165" fontId="7" fillId="2" borderId="1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Border="1" applyAlignment="1"/>
    <xf numFmtId="164" fontId="1" fillId="2" borderId="0" xfId="0" applyNumberFormat="1" applyFont="1" applyFill="1" applyAlignment="1"/>
    <xf numFmtId="164" fontId="3" fillId="2" borderId="1" xfId="0" applyNumberFormat="1" applyFont="1" applyFill="1" applyBorder="1" applyAlignment="1" applyProtection="1">
      <alignment horizontal="right" vertical="center" wrapText="1"/>
    </xf>
    <xf numFmtId="165" fontId="7" fillId="2" borderId="0" xfId="0" applyNumberFormat="1" applyFont="1" applyFill="1" applyBorder="1" applyAlignment="1">
      <alignment vertical="center"/>
    </xf>
    <xf numFmtId="165" fontId="7" fillId="2" borderId="1" xfId="0" applyNumberFormat="1" applyFont="1" applyFill="1" applyBorder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2" fillId="2" borderId="0" xfId="0" applyNumberFormat="1" applyFont="1" applyFill="1" applyAlignment="1"/>
    <xf numFmtId="164" fontId="2" fillId="2" borderId="1" xfId="0" applyNumberFormat="1" applyFont="1" applyFill="1" applyBorder="1" applyAlignment="1"/>
    <xf numFmtId="164" fontId="12" fillId="2" borderId="2" xfId="0" applyNumberFormat="1" applyFont="1" applyFill="1" applyBorder="1" applyAlignment="1">
      <alignment vertical="center"/>
    </xf>
    <xf numFmtId="164" fontId="5" fillId="2" borderId="0" xfId="0" applyNumberFormat="1" applyFont="1" applyFill="1" applyAlignment="1"/>
    <xf numFmtId="164" fontId="9" fillId="2" borderId="0" xfId="0" applyNumberFormat="1" applyFont="1" applyFill="1" applyBorder="1" applyAlignment="1">
      <alignment horizontal="right" vertical="center"/>
    </xf>
    <xf numFmtId="164" fontId="12" fillId="2" borderId="0" xfId="0" applyNumberFormat="1" applyFont="1" applyFill="1" applyBorder="1" applyAlignment="1" applyProtection="1">
      <alignment horizontal="right" vertical="center" wrapText="1"/>
    </xf>
    <xf numFmtId="164" fontId="9" fillId="2" borderId="0" xfId="0" applyNumberFormat="1" applyFont="1" applyFill="1" applyBorder="1" applyAlignment="1" applyProtection="1">
      <alignment horizontal="right" vertical="center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 applyProtection="1">
      <alignment horizontal="right" vertical="center"/>
    </xf>
    <xf numFmtId="3" fontId="3" fillId="2" borderId="0" xfId="0" applyNumberFormat="1" applyFont="1" applyFill="1" applyBorder="1" applyAlignment="1" applyProtection="1">
      <alignment horizontal="right" vertical="center"/>
    </xf>
    <xf numFmtId="165" fontId="3" fillId="2" borderId="0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 applyProtection="1">
      <alignment horizontal="right" vertical="center"/>
    </xf>
    <xf numFmtId="1" fontId="3" fillId="2" borderId="0" xfId="0" applyNumberFormat="1" applyFont="1" applyFill="1" applyBorder="1" applyAlignment="1">
      <alignment vertical="center"/>
    </xf>
    <xf numFmtId="165" fontId="7" fillId="2" borderId="0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Alignment="1"/>
    <xf numFmtId="3" fontId="3" fillId="2" borderId="1" xfId="0" applyNumberFormat="1" applyFont="1" applyFill="1" applyBorder="1" applyAlignment="1" applyProtection="1">
      <alignment horizontal="right" vertical="center"/>
    </xf>
    <xf numFmtId="165" fontId="7" fillId="2" borderId="1" xfId="0" applyNumberFormat="1" applyFont="1" applyFill="1" applyBorder="1" applyAlignment="1">
      <alignment horizontal="center" vertical="center"/>
    </xf>
    <xf numFmtId="164" fontId="10" fillId="2" borderId="0" xfId="0" applyNumberFormat="1" applyFont="1" applyFill="1" applyAlignment="1" applyProtection="1">
      <alignment horizontal="left" vertical="center"/>
    </xf>
    <xf numFmtId="164" fontId="16" fillId="2" borderId="0" xfId="0" applyNumberFormat="1" applyFont="1" applyFill="1" applyAlignment="1">
      <alignment horizontal="right"/>
    </xf>
    <xf numFmtId="164" fontId="16" fillId="2" borderId="0" xfId="0" applyNumberFormat="1" applyFont="1" applyFill="1" applyAlignment="1"/>
    <xf numFmtId="164" fontId="17" fillId="2" borderId="0" xfId="0" applyNumberFormat="1" applyFont="1" applyFill="1" applyAlignment="1" applyProtection="1">
      <alignment horizontal="right" vertical="center"/>
    </xf>
    <xf numFmtId="164" fontId="16" fillId="2" borderId="0" xfId="0" applyNumberFormat="1" applyFont="1" applyFill="1" applyBorder="1" applyAlignment="1">
      <alignment horizontal="right" vertical="center"/>
    </xf>
    <xf numFmtId="164" fontId="8" fillId="2" borderId="0" xfId="0" applyNumberFormat="1" applyFont="1" applyFill="1" applyAlignment="1">
      <alignment horizontal="right"/>
    </xf>
    <xf numFmtId="164" fontId="8" fillId="2" borderId="0" xfId="0" applyNumberFormat="1" applyFont="1" applyFill="1" applyAlignment="1">
      <alignment horizontal="right" vertical="center"/>
    </xf>
    <xf numFmtId="164" fontId="1" fillId="2" borderId="0" xfId="0" applyNumberFormat="1" applyFont="1" applyFill="1" applyAlignment="1">
      <alignment horizontal="right" vertical="center"/>
    </xf>
    <xf numFmtId="164" fontId="2" fillId="2" borderId="0" xfId="0" applyNumberFormat="1" applyFont="1" applyFill="1" applyBorder="1" applyAlignment="1"/>
    <xf numFmtId="164" fontId="8" fillId="2" borderId="1" xfId="0" applyNumberFormat="1" applyFont="1" applyFill="1" applyBorder="1" applyAlignment="1"/>
    <xf numFmtId="164" fontId="9" fillId="2" borderId="9" xfId="0" applyNumberFormat="1" applyFont="1" applyFill="1" applyBorder="1" applyAlignment="1">
      <alignment horizontal="right" vertical="center"/>
    </xf>
    <xf numFmtId="164" fontId="3" fillId="2" borderId="6" xfId="0" applyNumberFormat="1" applyFont="1" applyFill="1" applyBorder="1" applyAlignment="1" applyProtection="1">
      <alignment horizontal="right" vertical="center" wrapText="1"/>
    </xf>
    <xf numFmtId="164" fontId="3" fillId="2" borderId="7" xfId="0" applyNumberFormat="1" applyFont="1" applyFill="1" applyBorder="1" applyAlignment="1">
      <alignment horizontal="right" vertical="center" wrapText="1"/>
    </xf>
    <xf numFmtId="3" fontId="15" fillId="2" borderId="9" xfId="0" applyNumberFormat="1" applyFont="1" applyFill="1" applyBorder="1" applyAlignment="1" applyProtection="1">
      <alignment horizontal="right" vertical="center"/>
    </xf>
    <xf numFmtId="164" fontId="5" fillId="2" borderId="0" xfId="0" applyNumberFormat="1" applyFont="1" applyFill="1" applyBorder="1" applyAlignment="1"/>
    <xf numFmtId="164" fontId="8" fillId="2" borderId="0" xfId="0" applyNumberFormat="1" applyFont="1" applyFill="1" applyBorder="1" applyAlignment="1"/>
    <xf numFmtId="3" fontId="15" fillId="2" borderId="6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 applyProtection="1">
      <alignment horizontal="right" vertical="center" wrapText="1"/>
    </xf>
    <xf numFmtId="164" fontId="9" fillId="2" borderId="8" xfId="0" applyNumberFormat="1" applyFont="1" applyFill="1" applyBorder="1" applyAlignment="1">
      <alignment horizontal="right" wrapText="1"/>
    </xf>
    <xf numFmtId="164" fontId="5" fillId="2" borderId="3" xfId="0" applyNumberFormat="1" applyFont="1" applyFill="1" applyBorder="1" applyAlignment="1" applyProtection="1">
      <alignment horizontal="center" vertical="center"/>
    </xf>
    <xf numFmtId="164" fontId="3" fillId="2" borderId="0" xfId="0" applyNumberFormat="1" applyFont="1" applyFill="1" applyAlignment="1" applyProtection="1">
      <alignment horizontal="left" vertical="center" indent="1"/>
    </xf>
    <xf numFmtId="164" fontId="7" fillId="2" borderId="0" xfId="0" applyNumberFormat="1" applyFont="1" applyFill="1" applyAlignment="1" applyProtection="1">
      <alignment horizontal="left" vertical="center" indent="1"/>
    </xf>
    <xf numFmtId="164" fontId="7" fillId="2" borderId="1" xfId="0" applyNumberFormat="1" applyFont="1" applyFill="1" applyBorder="1" applyAlignment="1" applyProtection="1">
      <alignment horizontal="left" vertical="center" indent="1"/>
    </xf>
    <xf numFmtId="164" fontId="4" fillId="2" borderId="0" xfId="0" applyNumberFormat="1" applyFont="1" applyFill="1" applyAlignment="1">
      <alignment horizontal="right" vertical="center" indent="1"/>
    </xf>
    <xf numFmtId="164" fontId="18" fillId="2" borderId="0" xfId="0" applyNumberFormat="1" applyFont="1" applyFill="1" applyAlignment="1">
      <alignment horizontal="right" vertical="center" indent="1"/>
    </xf>
    <xf numFmtId="164" fontId="18" fillId="2" borderId="1" xfId="0" applyNumberFormat="1" applyFont="1" applyFill="1" applyBorder="1" applyAlignment="1">
      <alignment horizontal="right" vertical="center" indent="1"/>
    </xf>
    <xf numFmtId="165" fontId="3" fillId="2" borderId="8" xfId="0" applyNumberFormat="1" applyFont="1" applyFill="1" applyBorder="1" applyAlignment="1">
      <alignment horizontal="right" vertical="center" indent="2"/>
    </xf>
    <xf numFmtId="165" fontId="3" fillId="2" borderId="7" xfId="0" applyNumberFormat="1" applyFont="1" applyFill="1" applyBorder="1" applyAlignment="1">
      <alignment horizontal="right" vertical="center" indent="2"/>
    </xf>
    <xf numFmtId="165" fontId="7" fillId="2" borderId="0" xfId="0" applyNumberFormat="1" applyFont="1" applyFill="1" applyBorder="1" applyAlignment="1" applyProtection="1">
      <alignment horizontal="right" vertical="center"/>
    </xf>
    <xf numFmtId="165" fontId="7" fillId="2" borderId="1" xfId="0" applyNumberFormat="1" applyFont="1" applyFill="1" applyBorder="1" applyAlignment="1" applyProtection="1">
      <alignment horizontal="right" vertical="center"/>
    </xf>
    <xf numFmtId="2" fontId="1" fillId="2" borderId="0" xfId="0" applyNumberFormat="1" applyFont="1" applyFill="1" applyAlignment="1">
      <alignment vertical="center"/>
    </xf>
    <xf numFmtId="164" fontId="8" fillId="3" borderId="0" xfId="0" applyNumberFormat="1" applyFont="1" applyFill="1" applyAlignment="1"/>
    <xf numFmtId="164" fontId="1" fillId="3" borderId="0" xfId="0" applyNumberFormat="1" applyFont="1" applyFill="1" applyAlignment="1">
      <alignment vertical="center"/>
    </xf>
    <xf numFmtId="164" fontId="11" fillId="2" borderId="0" xfId="0" applyNumberFormat="1" applyFont="1" applyFill="1" applyAlignment="1">
      <alignment horizontal="center" vertical="center"/>
    </xf>
    <xf numFmtId="164" fontId="14" fillId="2" borderId="0" xfId="0" applyNumberFormat="1" applyFont="1" applyFill="1" applyBorder="1" applyAlignment="1" applyProtection="1">
      <alignment horizontal="center" vertical="top"/>
    </xf>
    <xf numFmtId="164" fontId="3" fillId="2" borderId="2" xfId="0" applyNumberFormat="1" applyFont="1" applyFill="1" applyBorder="1" applyAlignment="1" applyProtection="1">
      <alignment horizontal="left" vertical="center"/>
    </xf>
    <xf numFmtId="164" fontId="3" fillId="2" borderId="0" xfId="0" applyNumberFormat="1" applyFont="1" applyFill="1" applyBorder="1" applyAlignment="1" applyProtection="1">
      <alignment horizontal="left" vertical="center"/>
    </xf>
    <xf numFmtId="164" fontId="3" fillId="2" borderId="1" xfId="0" applyNumberFormat="1" applyFont="1" applyFill="1" applyBorder="1" applyAlignment="1" applyProtection="1">
      <alignment horizontal="left" vertical="center"/>
    </xf>
    <xf numFmtId="164" fontId="9" fillId="2" borderId="2" xfId="0" applyNumberFormat="1" applyFont="1" applyFill="1" applyBorder="1" applyAlignment="1">
      <alignment horizontal="center" vertical="center"/>
    </xf>
    <xf numFmtId="164" fontId="9" fillId="2" borderId="4" xfId="0" applyNumberFormat="1" applyFont="1" applyFill="1" applyBorder="1" applyAlignment="1">
      <alignment horizontal="center" vertical="center"/>
    </xf>
    <xf numFmtId="164" fontId="9" fillId="2" borderId="5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 applyProtection="1">
      <alignment horizontal="center" vertical="center"/>
    </xf>
    <xf numFmtId="164" fontId="3" fillId="2" borderId="10" xfId="0" applyNumberFormat="1" applyFont="1" applyFill="1" applyBorder="1" applyAlignment="1" applyProtection="1">
      <alignment horizontal="center" vertical="center"/>
    </xf>
    <xf numFmtId="164" fontId="3" fillId="2" borderId="11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3" fontId="6" fillId="2" borderId="2" xfId="1" applyNumberFormat="1" applyFont="1" applyFill="1" applyBorder="1" applyAlignment="1">
      <alignment horizontal="right" vertical="center" indent="1"/>
    </xf>
    <xf numFmtId="3" fontId="6" fillId="2" borderId="0" xfId="1" applyNumberFormat="1" applyFont="1" applyFill="1" applyBorder="1" applyAlignment="1">
      <alignment horizontal="right" vertical="center" indent="1"/>
    </xf>
    <xf numFmtId="3" fontId="6" fillId="2" borderId="1" xfId="1" applyNumberFormat="1" applyFont="1" applyFill="1" applyBorder="1" applyAlignment="1">
      <alignment horizontal="right" vertical="center" indent="1"/>
    </xf>
  </cellXfs>
  <cellStyles count="6">
    <cellStyle name="Normal" xfId="0" builtinId="0"/>
    <cellStyle name="Normal 2 2 2" xfId="2"/>
    <cellStyle name="Normal 6" xfId="5"/>
    <cellStyle name="Normal 7" xfId="4"/>
    <cellStyle name="Normal 8" xfId="3"/>
    <cellStyle name="Normal_II-15(Population)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B35"/>
  <sheetViews>
    <sheetView tabSelected="1" workbookViewId="0">
      <selection activeCell="F11" sqref="F11"/>
    </sheetView>
  </sheetViews>
  <sheetFormatPr defaultColWidth="11.140625" defaultRowHeight="12.75"/>
  <cols>
    <col min="1" max="1" width="10.7109375" style="9" customWidth="1"/>
    <col min="2" max="4" width="9.7109375" style="9" customWidth="1"/>
    <col min="5" max="5" width="0.85546875" style="9" customWidth="1"/>
    <col min="6" max="6" width="8" style="9" customWidth="1"/>
    <col min="7" max="7" width="11.42578125" style="9" customWidth="1"/>
    <col min="8" max="8" width="0.7109375" style="9" customWidth="1"/>
    <col min="9" max="9" width="12" style="9" customWidth="1"/>
    <col min="10" max="10" width="15.28515625" style="41" customWidth="1"/>
    <col min="11" max="11" width="1.42578125" style="9" customWidth="1"/>
    <col min="12" max="12" width="11.28515625" style="41" customWidth="1"/>
    <col min="13" max="13" width="1.7109375" style="41" customWidth="1"/>
    <col min="14" max="14" width="11.28515625" style="41" customWidth="1"/>
    <col min="15" max="15" width="17.28515625" style="11" customWidth="1"/>
    <col min="16" max="16" width="2.28515625" style="11" customWidth="1"/>
    <col min="17" max="16384" width="11.140625" style="11"/>
  </cols>
  <sheetData>
    <row r="2" spans="1:28" ht="18" customHeight="1">
      <c r="A2" s="67" t="s">
        <v>57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s="10" customFormat="1" ht="17.25" customHeight="1">
      <c r="A3" s="68" t="s">
        <v>58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s="16" customFormat="1" ht="1.5" customHeight="1">
      <c r="L4" s="17"/>
      <c r="M4" s="42"/>
    </row>
    <row r="5" spans="1:28" s="16" customFormat="1" ht="16.5" customHeight="1">
      <c r="A5" s="69" t="s">
        <v>0</v>
      </c>
      <c r="B5" s="72" t="s">
        <v>59</v>
      </c>
      <c r="C5" s="72"/>
      <c r="D5" s="72"/>
      <c r="E5" s="18"/>
      <c r="F5" s="73" t="s">
        <v>60</v>
      </c>
      <c r="G5" s="72"/>
      <c r="H5" s="72"/>
      <c r="I5" s="72"/>
      <c r="J5" s="74"/>
      <c r="K5" s="18"/>
      <c r="L5" s="72" t="s">
        <v>61</v>
      </c>
      <c r="M5" s="72"/>
      <c r="N5" s="72"/>
      <c r="O5" s="79" t="s">
        <v>56</v>
      </c>
    </row>
    <row r="6" spans="1:28" s="19" customFormat="1" ht="13.5" customHeight="1">
      <c r="A6" s="70"/>
      <c r="B6" s="75" t="s">
        <v>62</v>
      </c>
      <c r="C6" s="75"/>
      <c r="D6" s="75"/>
      <c r="E6" s="53"/>
      <c r="F6" s="76" t="s">
        <v>63</v>
      </c>
      <c r="G6" s="75"/>
      <c r="H6" s="75"/>
      <c r="I6" s="75"/>
      <c r="J6" s="77"/>
      <c r="K6" s="53"/>
      <c r="L6" s="78" t="s">
        <v>64</v>
      </c>
      <c r="M6" s="78"/>
      <c r="N6" s="78"/>
      <c r="O6" s="80"/>
    </row>
    <row r="7" spans="1:28" s="23" customFormat="1" ht="28.5" customHeight="1">
      <c r="A7" s="70"/>
      <c r="B7" s="20" t="s">
        <v>55</v>
      </c>
      <c r="C7" s="51" t="s">
        <v>24</v>
      </c>
      <c r="D7" s="51" t="s">
        <v>25</v>
      </c>
      <c r="E7" s="21"/>
      <c r="F7" s="44" t="s">
        <v>1</v>
      </c>
      <c r="G7" s="20" t="s">
        <v>65</v>
      </c>
      <c r="H7" s="20"/>
      <c r="I7" s="20" t="s">
        <v>66</v>
      </c>
      <c r="J7" s="52" t="s">
        <v>67</v>
      </c>
      <c r="K7" s="22"/>
      <c r="L7" s="22" t="s">
        <v>1</v>
      </c>
      <c r="M7" s="22"/>
      <c r="N7" s="20" t="s">
        <v>65</v>
      </c>
      <c r="O7" s="80"/>
    </row>
    <row r="8" spans="1:28" s="23" customFormat="1" ht="24" customHeight="1">
      <c r="A8" s="71"/>
      <c r="B8" s="2" t="s">
        <v>68</v>
      </c>
      <c r="C8" s="2" t="s">
        <v>28</v>
      </c>
      <c r="D8" s="2" t="s">
        <v>29</v>
      </c>
      <c r="E8" s="24"/>
      <c r="F8" s="45" t="s">
        <v>2</v>
      </c>
      <c r="G8" s="12" t="s">
        <v>69</v>
      </c>
      <c r="H8" s="12"/>
      <c r="I8" s="12" t="s">
        <v>70</v>
      </c>
      <c r="J8" s="46" t="s">
        <v>71</v>
      </c>
      <c r="K8" s="25"/>
      <c r="L8" s="1" t="s">
        <v>2</v>
      </c>
      <c r="M8" s="1"/>
      <c r="N8" s="1" t="s">
        <v>69</v>
      </c>
      <c r="O8" s="81"/>
    </row>
    <row r="9" spans="1:28" s="19" customFormat="1" ht="15.75" customHeight="1">
      <c r="A9" s="54" t="s">
        <v>3</v>
      </c>
      <c r="B9" s="26">
        <f>SUM(C9:E9)</f>
        <v>86510</v>
      </c>
      <c r="C9" s="4">
        <f>C10+C11</f>
        <v>44420</v>
      </c>
      <c r="D9" s="4">
        <f>D10+D11</f>
        <v>42090</v>
      </c>
      <c r="E9" s="4"/>
      <c r="F9" s="47">
        <f t="shared" ref="F9:F31" si="0">SUM(G9:I9)</f>
        <v>7830</v>
      </c>
      <c r="G9" s="4">
        <f>G11+G10</f>
        <v>6708</v>
      </c>
      <c r="H9" s="4">
        <f t="shared" ref="H9:I9" si="1">H11+H10</f>
        <v>0</v>
      </c>
      <c r="I9" s="4">
        <f t="shared" si="1"/>
        <v>1122</v>
      </c>
      <c r="J9" s="60">
        <f>I9/F9*100</f>
        <v>14.329501915708812</v>
      </c>
      <c r="K9" s="27"/>
      <c r="L9" s="28">
        <f>B9/F9</f>
        <v>11.048531289910601</v>
      </c>
      <c r="M9" s="28"/>
      <c r="N9" s="28">
        <f>B9/G9</f>
        <v>12.896541443053071</v>
      </c>
      <c r="O9" s="57" t="s">
        <v>4</v>
      </c>
      <c r="P9" s="3"/>
      <c r="Q9" s="3"/>
      <c r="R9" s="3"/>
      <c r="S9" s="3"/>
    </row>
    <row r="10" spans="1:28" s="19" customFormat="1" ht="15.75" customHeight="1">
      <c r="A10" s="54" t="s">
        <v>5</v>
      </c>
      <c r="B10" s="26">
        <f>SUM(C10:E10)</f>
        <v>26583</v>
      </c>
      <c r="C10" s="26">
        <v>13426</v>
      </c>
      <c r="D10" s="26">
        <v>13157</v>
      </c>
      <c r="E10" s="29"/>
      <c r="F10" s="47">
        <f t="shared" si="0"/>
        <v>1650</v>
      </c>
      <c r="G10" s="5">
        <v>1480</v>
      </c>
      <c r="H10" s="48"/>
      <c r="I10" s="5">
        <v>170</v>
      </c>
      <c r="J10" s="60">
        <f>I10/F10*100</f>
        <v>10.303030303030303</v>
      </c>
      <c r="K10" s="27"/>
      <c r="L10" s="28">
        <f t="shared" ref="L10:L31" si="2">B10/F10</f>
        <v>16.11090909090909</v>
      </c>
      <c r="M10" s="28"/>
      <c r="N10" s="28">
        <f t="shared" ref="N10:N31" si="3">B10/G10</f>
        <v>17.961486486486486</v>
      </c>
      <c r="O10" s="57" t="s">
        <v>6</v>
      </c>
      <c r="P10" s="3"/>
      <c r="Q10" s="3"/>
      <c r="R10" s="3"/>
      <c r="S10" s="3"/>
    </row>
    <row r="11" spans="1:28" s="19" customFormat="1" ht="15.75" customHeight="1">
      <c r="A11" s="54" t="s">
        <v>7</v>
      </c>
      <c r="B11" s="26">
        <f>SUM(C11:E11)</f>
        <v>59927</v>
      </c>
      <c r="C11" s="4">
        <f>SUM(C12:C31)</f>
        <v>30994</v>
      </c>
      <c r="D11" s="4">
        <f t="shared" ref="D11" si="4">SUM(D12:D31)</f>
        <v>28933</v>
      </c>
      <c r="E11" s="4"/>
      <c r="F11" s="47">
        <f t="shared" si="0"/>
        <v>6180</v>
      </c>
      <c r="G11" s="5">
        <f>SUM(G12:G31)</f>
        <v>5228</v>
      </c>
      <c r="H11" s="48"/>
      <c r="I11" s="5">
        <f>SUM(I12:I31)</f>
        <v>952</v>
      </c>
      <c r="J11" s="60">
        <f t="shared" ref="J11:J31" si="5">I11/F11*100</f>
        <v>15.40453074433657</v>
      </c>
      <c r="K11" s="27"/>
      <c r="L11" s="28">
        <f t="shared" si="2"/>
        <v>9.696925566343042</v>
      </c>
      <c r="M11" s="28"/>
      <c r="N11" s="28">
        <f t="shared" si="3"/>
        <v>11.462700841622036</v>
      </c>
      <c r="O11" s="57" t="s">
        <v>8</v>
      </c>
      <c r="P11" s="3"/>
      <c r="Q11" s="3"/>
      <c r="R11" s="3"/>
      <c r="S11" s="3"/>
    </row>
    <row r="12" spans="1:28" s="19" customFormat="1" ht="15.75" customHeight="1">
      <c r="A12" s="55" t="s">
        <v>9</v>
      </c>
      <c r="B12" s="26">
        <f>SUM(C12:E12)</f>
        <v>4133</v>
      </c>
      <c r="C12" s="13">
        <v>2110</v>
      </c>
      <c r="D12" s="13">
        <v>2023</v>
      </c>
      <c r="E12" s="13"/>
      <c r="F12" s="47">
        <f t="shared" si="0"/>
        <v>431</v>
      </c>
      <c r="G12" s="6">
        <v>395</v>
      </c>
      <c r="H12" s="48"/>
      <c r="I12" s="6">
        <v>36</v>
      </c>
      <c r="J12" s="60">
        <f t="shared" si="5"/>
        <v>8.3526682134570756</v>
      </c>
      <c r="K12" s="30"/>
      <c r="L12" s="62">
        <f t="shared" si="2"/>
        <v>9.5893271461716942</v>
      </c>
      <c r="M12" s="62"/>
      <c r="N12" s="62">
        <f t="shared" si="3"/>
        <v>10.463291139240507</v>
      </c>
      <c r="O12" s="58" t="s">
        <v>10</v>
      </c>
      <c r="P12" s="3"/>
      <c r="Q12" s="3"/>
      <c r="R12" s="3"/>
      <c r="S12" s="3"/>
    </row>
    <row r="13" spans="1:28" s="19" customFormat="1" ht="15.75" customHeight="1">
      <c r="A13" s="55" t="s">
        <v>11</v>
      </c>
      <c r="B13" s="26">
        <f t="shared" ref="B13:B31" si="6">SUM(C13:E13)</f>
        <v>5510</v>
      </c>
      <c r="C13" s="13">
        <v>2903</v>
      </c>
      <c r="D13" s="13">
        <v>2607</v>
      </c>
      <c r="E13" s="13"/>
      <c r="F13" s="47">
        <f t="shared" si="0"/>
        <v>536</v>
      </c>
      <c r="G13" s="6">
        <v>481</v>
      </c>
      <c r="H13" s="48"/>
      <c r="I13" s="6">
        <v>55</v>
      </c>
      <c r="J13" s="60">
        <f t="shared" si="5"/>
        <v>10.261194029850747</v>
      </c>
      <c r="K13" s="30"/>
      <c r="L13" s="62">
        <f t="shared" si="2"/>
        <v>10.279850746268657</v>
      </c>
      <c r="M13" s="62"/>
      <c r="N13" s="62">
        <f t="shared" si="3"/>
        <v>11.455301455301456</v>
      </c>
      <c r="O13" s="58" t="s">
        <v>12</v>
      </c>
      <c r="P13" s="3"/>
      <c r="Q13" s="3"/>
      <c r="R13" s="3"/>
      <c r="S13" s="3"/>
    </row>
    <row r="14" spans="1:28" s="19" customFormat="1" ht="15.75" customHeight="1">
      <c r="A14" s="55" t="s">
        <v>13</v>
      </c>
      <c r="B14" s="26">
        <f t="shared" si="6"/>
        <v>3962</v>
      </c>
      <c r="C14" s="13">
        <v>2090</v>
      </c>
      <c r="D14" s="13">
        <v>1872</v>
      </c>
      <c r="E14" s="13"/>
      <c r="F14" s="47">
        <f t="shared" si="0"/>
        <v>414</v>
      </c>
      <c r="G14" s="6">
        <v>375</v>
      </c>
      <c r="H14" s="48"/>
      <c r="I14" s="6">
        <v>39</v>
      </c>
      <c r="J14" s="60">
        <f t="shared" si="5"/>
        <v>9.4202898550724647</v>
      </c>
      <c r="K14" s="30"/>
      <c r="L14" s="62">
        <f t="shared" si="2"/>
        <v>9.5700483091787447</v>
      </c>
      <c r="M14" s="62"/>
      <c r="N14" s="62">
        <f t="shared" si="3"/>
        <v>10.565333333333333</v>
      </c>
      <c r="O14" s="58" t="s">
        <v>14</v>
      </c>
      <c r="P14" s="3"/>
      <c r="Q14" s="3"/>
      <c r="R14" s="3"/>
      <c r="S14" s="3"/>
    </row>
    <row r="15" spans="1:28" s="19" customFormat="1" ht="15.75" customHeight="1">
      <c r="A15" s="55" t="s">
        <v>15</v>
      </c>
      <c r="B15" s="26">
        <f t="shared" si="6"/>
        <v>3266</v>
      </c>
      <c r="C15" s="13">
        <v>1678</v>
      </c>
      <c r="D15" s="13">
        <v>1588</v>
      </c>
      <c r="E15" s="13"/>
      <c r="F15" s="47">
        <f t="shared" si="0"/>
        <v>371</v>
      </c>
      <c r="G15" s="6">
        <v>312</v>
      </c>
      <c r="H15" s="48"/>
      <c r="I15" s="6">
        <v>59</v>
      </c>
      <c r="J15" s="60">
        <f t="shared" si="5"/>
        <v>15.902964959568733</v>
      </c>
      <c r="K15" s="30"/>
      <c r="L15" s="62">
        <f t="shared" si="2"/>
        <v>8.803234501347708</v>
      </c>
      <c r="M15" s="62"/>
      <c r="N15" s="62">
        <f t="shared" si="3"/>
        <v>10.467948717948717</v>
      </c>
      <c r="O15" s="58" t="s">
        <v>16</v>
      </c>
      <c r="P15" s="3"/>
      <c r="Q15" s="3"/>
      <c r="R15" s="3"/>
      <c r="S15" s="3"/>
    </row>
    <row r="16" spans="1:28" s="19" customFormat="1" ht="15.75" customHeight="1">
      <c r="A16" s="55" t="s">
        <v>17</v>
      </c>
      <c r="B16" s="26">
        <f t="shared" si="6"/>
        <v>4918</v>
      </c>
      <c r="C16" s="13">
        <v>2558</v>
      </c>
      <c r="D16" s="13">
        <v>2360</v>
      </c>
      <c r="E16" s="13"/>
      <c r="F16" s="47">
        <f t="shared" si="0"/>
        <v>560</v>
      </c>
      <c r="G16" s="6">
        <v>435</v>
      </c>
      <c r="H16" s="48"/>
      <c r="I16" s="6">
        <v>125</v>
      </c>
      <c r="J16" s="60">
        <f t="shared" si="5"/>
        <v>22.321428571428573</v>
      </c>
      <c r="K16" s="30"/>
      <c r="L16" s="62">
        <f t="shared" si="2"/>
        <v>8.7821428571428566</v>
      </c>
      <c r="M16" s="62"/>
      <c r="N16" s="62">
        <f t="shared" si="3"/>
        <v>11.305747126436781</v>
      </c>
      <c r="O16" s="58" t="s">
        <v>18</v>
      </c>
      <c r="P16" s="3"/>
      <c r="Q16" s="3"/>
      <c r="R16" s="3"/>
      <c r="S16" s="3"/>
    </row>
    <row r="17" spans="1:20" s="19" customFormat="1" ht="15">
      <c r="A17" s="55" t="s">
        <v>19</v>
      </c>
      <c r="B17" s="26">
        <f t="shared" si="6"/>
        <v>2857</v>
      </c>
      <c r="C17" s="13">
        <v>1539</v>
      </c>
      <c r="D17" s="13">
        <v>1318</v>
      </c>
      <c r="E17" s="13"/>
      <c r="F17" s="47">
        <f t="shared" si="0"/>
        <v>351</v>
      </c>
      <c r="G17" s="6">
        <v>288</v>
      </c>
      <c r="H17" s="48"/>
      <c r="I17" s="6">
        <v>63</v>
      </c>
      <c r="J17" s="60">
        <f t="shared" si="5"/>
        <v>17.948717948717949</v>
      </c>
      <c r="K17" s="30"/>
      <c r="L17" s="62">
        <f t="shared" si="2"/>
        <v>8.1396011396011403</v>
      </c>
      <c r="M17" s="62"/>
      <c r="N17" s="62">
        <f t="shared" si="3"/>
        <v>9.9201388888888893</v>
      </c>
      <c r="O17" s="58" t="s">
        <v>20</v>
      </c>
      <c r="P17" s="3"/>
      <c r="Q17" s="3"/>
      <c r="R17" s="3"/>
      <c r="S17" s="3"/>
    </row>
    <row r="18" spans="1:20" s="19" customFormat="1" ht="15">
      <c r="A18" s="55" t="s">
        <v>22</v>
      </c>
      <c r="B18" s="26">
        <f t="shared" si="6"/>
        <v>2341</v>
      </c>
      <c r="C18" s="13">
        <v>1176</v>
      </c>
      <c r="D18" s="13">
        <v>1165</v>
      </c>
      <c r="E18" s="13"/>
      <c r="F18" s="47">
        <f t="shared" si="0"/>
        <v>227</v>
      </c>
      <c r="G18" s="6">
        <v>193</v>
      </c>
      <c r="H18" s="48"/>
      <c r="I18" s="6">
        <v>34</v>
      </c>
      <c r="J18" s="60">
        <f t="shared" si="5"/>
        <v>14.977973568281937</v>
      </c>
      <c r="K18" s="30"/>
      <c r="L18" s="62">
        <f t="shared" si="2"/>
        <v>10.312775330396477</v>
      </c>
      <c r="M18" s="62"/>
      <c r="N18" s="62">
        <f t="shared" si="3"/>
        <v>12.129533678756477</v>
      </c>
      <c r="O18" s="58" t="s">
        <v>23</v>
      </c>
      <c r="P18" s="3"/>
      <c r="Q18" s="3"/>
      <c r="R18" s="3"/>
      <c r="S18" s="3"/>
    </row>
    <row r="19" spans="1:20" s="19" customFormat="1" ht="15">
      <c r="A19" s="55" t="s">
        <v>26</v>
      </c>
      <c r="B19" s="26">
        <f t="shared" si="6"/>
        <v>2901</v>
      </c>
      <c r="C19" s="13">
        <v>1490</v>
      </c>
      <c r="D19" s="13">
        <v>1411</v>
      </c>
      <c r="E19" s="13"/>
      <c r="F19" s="47">
        <f t="shared" si="0"/>
        <v>290</v>
      </c>
      <c r="G19" s="6">
        <v>227</v>
      </c>
      <c r="H19" s="48"/>
      <c r="I19" s="6">
        <v>63</v>
      </c>
      <c r="J19" s="60">
        <f t="shared" si="5"/>
        <v>21.72413793103448</v>
      </c>
      <c r="K19" s="30"/>
      <c r="L19" s="62">
        <f t="shared" si="2"/>
        <v>10.00344827586207</v>
      </c>
      <c r="M19" s="62"/>
      <c r="N19" s="62">
        <f t="shared" si="3"/>
        <v>12.779735682819384</v>
      </c>
      <c r="O19" s="58" t="s">
        <v>27</v>
      </c>
      <c r="P19" s="3"/>
      <c r="Q19" s="3"/>
      <c r="R19" s="3"/>
      <c r="S19" s="3"/>
    </row>
    <row r="20" spans="1:20" s="19" customFormat="1" ht="15">
      <c r="A20" s="55" t="s">
        <v>30</v>
      </c>
      <c r="B20" s="26">
        <f t="shared" si="6"/>
        <v>1766</v>
      </c>
      <c r="C20" s="13">
        <v>924</v>
      </c>
      <c r="D20" s="13">
        <v>842</v>
      </c>
      <c r="E20" s="13"/>
      <c r="F20" s="47">
        <f t="shared" si="0"/>
        <v>205</v>
      </c>
      <c r="G20" s="6">
        <v>172</v>
      </c>
      <c r="H20" s="48"/>
      <c r="I20" s="6">
        <v>33</v>
      </c>
      <c r="J20" s="60">
        <f t="shared" si="5"/>
        <v>16.097560975609756</v>
      </c>
      <c r="K20" s="30"/>
      <c r="L20" s="62">
        <f t="shared" si="2"/>
        <v>8.614634146341464</v>
      </c>
      <c r="M20" s="62"/>
      <c r="N20" s="62">
        <f t="shared" si="3"/>
        <v>10.267441860465116</v>
      </c>
      <c r="O20" s="58" t="s">
        <v>31</v>
      </c>
      <c r="P20" s="3"/>
      <c r="Q20" s="3"/>
      <c r="R20" s="3"/>
      <c r="S20" s="3"/>
    </row>
    <row r="21" spans="1:20" s="19" customFormat="1" ht="15">
      <c r="A21" s="55" t="s">
        <v>32</v>
      </c>
      <c r="B21" s="26">
        <f t="shared" si="6"/>
        <v>2113</v>
      </c>
      <c r="C21" s="13">
        <v>1121</v>
      </c>
      <c r="D21" s="13">
        <v>992</v>
      </c>
      <c r="E21" s="13"/>
      <c r="F21" s="47">
        <f t="shared" si="0"/>
        <v>251</v>
      </c>
      <c r="G21" s="6">
        <v>212</v>
      </c>
      <c r="H21" s="48"/>
      <c r="I21" s="6">
        <v>39</v>
      </c>
      <c r="J21" s="60">
        <f t="shared" si="5"/>
        <v>15.53784860557769</v>
      </c>
      <c r="K21" s="30"/>
      <c r="L21" s="62">
        <f t="shared" si="2"/>
        <v>8.4183266932270922</v>
      </c>
      <c r="M21" s="62"/>
      <c r="N21" s="62">
        <f t="shared" si="3"/>
        <v>9.9669811320754711</v>
      </c>
      <c r="O21" s="58" t="s">
        <v>33</v>
      </c>
      <c r="P21" s="3"/>
      <c r="Q21" s="3"/>
      <c r="R21" s="3"/>
      <c r="S21" s="3"/>
    </row>
    <row r="22" spans="1:20" s="19" customFormat="1" ht="15">
      <c r="A22" s="55" t="s">
        <v>34</v>
      </c>
      <c r="B22" s="26">
        <f>SUM(C22:E22)</f>
        <v>387</v>
      </c>
      <c r="C22" s="13">
        <v>207</v>
      </c>
      <c r="D22" s="13">
        <v>180</v>
      </c>
      <c r="E22" s="13"/>
      <c r="F22" s="47">
        <f t="shared" si="0"/>
        <v>66</v>
      </c>
      <c r="G22" s="6">
        <v>50</v>
      </c>
      <c r="H22" s="48"/>
      <c r="I22" s="6">
        <v>16</v>
      </c>
      <c r="J22" s="60">
        <f t="shared" si="5"/>
        <v>24.242424242424242</v>
      </c>
      <c r="K22" s="30"/>
      <c r="L22" s="62">
        <f t="shared" si="2"/>
        <v>5.8636363636363633</v>
      </c>
      <c r="M22" s="62"/>
      <c r="N22" s="62">
        <f t="shared" si="3"/>
        <v>7.74</v>
      </c>
      <c r="O22" s="58" t="s">
        <v>35</v>
      </c>
      <c r="P22" s="3"/>
      <c r="Q22" s="3"/>
      <c r="R22" s="3"/>
      <c r="S22" s="3"/>
    </row>
    <row r="23" spans="1:20" s="31" customFormat="1" ht="15">
      <c r="A23" s="55" t="s">
        <v>36</v>
      </c>
      <c r="B23" s="26">
        <f t="shared" si="6"/>
        <v>1280</v>
      </c>
      <c r="C23" s="13">
        <v>644</v>
      </c>
      <c r="D23" s="13">
        <v>636</v>
      </c>
      <c r="E23" s="13"/>
      <c r="F23" s="47">
        <f t="shared" si="0"/>
        <v>167</v>
      </c>
      <c r="G23" s="6">
        <v>139</v>
      </c>
      <c r="H23" s="49"/>
      <c r="I23" s="6">
        <v>28</v>
      </c>
      <c r="J23" s="60">
        <f t="shared" si="5"/>
        <v>16.766467065868262</v>
      </c>
      <c r="K23" s="30"/>
      <c r="L23" s="62">
        <f t="shared" si="2"/>
        <v>7.6646706586826348</v>
      </c>
      <c r="M23" s="62"/>
      <c r="N23" s="62">
        <f t="shared" si="3"/>
        <v>9.2086330935251794</v>
      </c>
      <c r="O23" s="58" t="s">
        <v>37</v>
      </c>
      <c r="P23" s="3"/>
      <c r="Q23" s="3"/>
      <c r="R23" s="3"/>
      <c r="S23" s="3"/>
      <c r="T23" s="19"/>
    </row>
    <row r="24" spans="1:20" s="31" customFormat="1" ht="15">
      <c r="A24" s="55" t="s">
        <v>38</v>
      </c>
      <c r="B24" s="26">
        <f t="shared" si="6"/>
        <v>1610</v>
      </c>
      <c r="C24" s="13">
        <v>843</v>
      </c>
      <c r="D24" s="13">
        <v>767</v>
      </c>
      <c r="E24" s="13"/>
      <c r="F24" s="47">
        <f t="shared" si="0"/>
        <v>164</v>
      </c>
      <c r="G24" s="6">
        <v>153</v>
      </c>
      <c r="H24" s="49"/>
      <c r="I24" s="6">
        <v>11</v>
      </c>
      <c r="J24" s="60">
        <f t="shared" si="5"/>
        <v>6.7073170731707323</v>
      </c>
      <c r="K24" s="30"/>
      <c r="L24" s="62">
        <f t="shared" si="2"/>
        <v>9.8170731707317067</v>
      </c>
      <c r="M24" s="62"/>
      <c r="N24" s="62">
        <f t="shared" si="3"/>
        <v>10.522875816993464</v>
      </c>
      <c r="O24" s="58" t="s">
        <v>39</v>
      </c>
      <c r="P24" s="3" t="s">
        <v>21</v>
      </c>
      <c r="Q24" s="3"/>
      <c r="R24" s="3"/>
      <c r="S24" s="3"/>
      <c r="T24" s="19"/>
    </row>
    <row r="25" spans="1:20" s="31" customFormat="1" ht="15">
      <c r="A25" s="55" t="s">
        <v>40</v>
      </c>
      <c r="B25" s="26">
        <f t="shared" si="6"/>
        <v>1673</v>
      </c>
      <c r="C25" s="13">
        <v>884</v>
      </c>
      <c r="D25" s="13">
        <v>789</v>
      </c>
      <c r="E25" s="13"/>
      <c r="F25" s="47">
        <f t="shared" si="0"/>
        <v>177</v>
      </c>
      <c r="G25" s="6">
        <v>153</v>
      </c>
      <c r="H25" s="49"/>
      <c r="I25" s="6">
        <v>24</v>
      </c>
      <c r="J25" s="60">
        <f t="shared" si="5"/>
        <v>13.559322033898304</v>
      </c>
      <c r="K25" s="30"/>
      <c r="L25" s="62">
        <f t="shared" si="2"/>
        <v>9.4519774011299429</v>
      </c>
      <c r="M25" s="62"/>
      <c r="N25" s="62">
        <f t="shared" si="3"/>
        <v>10.934640522875817</v>
      </c>
      <c r="O25" s="58" t="s">
        <v>41</v>
      </c>
      <c r="P25" s="3"/>
      <c r="Q25" s="3"/>
      <c r="R25" s="3"/>
      <c r="S25" s="3"/>
      <c r="T25" s="19"/>
    </row>
    <row r="26" spans="1:20" s="31" customFormat="1" ht="15">
      <c r="A26" s="55" t="s">
        <v>42</v>
      </c>
      <c r="B26" s="26">
        <f t="shared" si="6"/>
        <v>2674</v>
      </c>
      <c r="C26" s="13">
        <v>1396</v>
      </c>
      <c r="D26" s="13">
        <v>1278</v>
      </c>
      <c r="E26" s="13"/>
      <c r="F26" s="47">
        <f t="shared" si="0"/>
        <v>325</v>
      </c>
      <c r="G26" s="6">
        <v>270</v>
      </c>
      <c r="H26" s="49"/>
      <c r="I26" s="6">
        <v>55</v>
      </c>
      <c r="J26" s="60">
        <f t="shared" si="5"/>
        <v>16.923076923076923</v>
      </c>
      <c r="K26" s="30"/>
      <c r="L26" s="62">
        <f t="shared" si="2"/>
        <v>8.2276923076923083</v>
      </c>
      <c r="M26" s="62"/>
      <c r="N26" s="62">
        <f t="shared" si="3"/>
        <v>9.9037037037037035</v>
      </c>
      <c r="O26" s="58" t="s">
        <v>43</v>
      </c>
      <c r="P26" s="3"/>
      <c r="Q26" s="3"/>
      <c r="R26" s="3"/>
      <c r="S26" s="3"/>
      <c r="T26" s="19"/>
    </row>
    <row r="27" spans="1:20" s="31" customFormat="1" ht="15">
      <c r="A27" s="55" t="s">
        <v>44</v>
      </c>
      <c r="B27" s="26">
        <f t="shared" si="6"/>
        <v>3950</v>
      </c>
      <c r="C27" s="13">
        <v>2052</v>
      </c>
      <c r="D27" s="13">
        <v>1898</v>
      </c>
      <c r="E27" s="13"/>
      <c r="F27" s="47">
        <f t="shared" si="0"/>
        <v>395</v>
      </c>
      <c r="G27" s="6">
        <v>307</v>
      </c>
      <c r="H27" s="49"/>
      <c r="I27" s="6">
        <v>88</v>
      </c>
      <c r="J27" s="60">
        <f t="shared" si="5"/>
        <v>22.278481012658226</v>
      </c>
      <c r="K27" s="30"/>
      <c r="L27" s="62">
        <f t="shared" si="2"/>
        <v>10</v>
      </c>
      <c r="M27" s="62"/>
      <c r="N27" s="62">
        <f t="shared" si="3"/>
        <v>12.866449511400651</v>
      </c>
      <c r="O27" s="58" t="s">
        <v>45</v>
      </c>
      <c r="P27" s="3"/>
      <c r="Q27" s="3"/>
      <c r="R27" s="3"/>
      <c r="S27" s="3"/>
      <c r="T27" s="19"/>
    </row>
    <row r="28" spans="1:20" s="31" customFormat="1" ht="15">
      <c r="A28" s="55" t="s">
        <v>46</v>
      </c>
      <c r="B28" s="26">
        <f t="shared" si="6"/>
        <v>2722</v>
      </c>
      <c r="C28" s="13">
        <v>1369</v>
      </c>
      <c r="D28" s="13">
        <v>1353</v>
      </c>
      <c r="E28" s="13"/>
      <c r="F28" s="47">
        <f t="shared" si="0"/>
        <v>268</v>
      </c>
      <c r="G28" s="6">
        <v>229</v>
      </c>
      <c r="H28" s="49"/>
      <c r="I28" s="6">
        <v>39</v>
      </c>
      <c r="J28" s="60">
        <f t="shared" si="5"/>
        <v>14.55223880597015</v>
      </c>
      <c r="K28" s="30"/>
      <c r="L28" s="62">
        <f t="shared" si="2"/>
        <v>10.156716417910447</v>
      </c>
      <c r="M28" s="62"/>
      <c r="N28" s="62">
        <f t="shared" si="3"/>
        <v>11.886462882096071</v>
      </c>
      <c r="O28" s="58" t="s">
        <v>47</v>
      </c>
      <c r="P28" s="3"/>
      <c r="Q28" s="3"/>
      <c r="R28" s="3"/>
      <c r="S28" s="3"/>
      <c r="T28" s="19"/>
    </row>
    <row r="29" spans="1:20" s="31" customFormat="1" ht="15">
      <c r="A29" s="55" t="s">
        <v>48</v>
      </c>
      <c r="B29" s="26">
        <f t="shared" si="6"/>
        <v>3688</v>
      </c>
      <c r="C29" s="13">
        <v>1932</v>
      </c>
      <c r="D29" s="13">
        <v>1756</v>
      </c>
      <c r="E29" s="13"/>
      <c r="F29" s="47">
        <f t="shared" si="0"/>
        <v>345</v>
      </c>
      <c r="G29" s="6">
        <v>286</v>
      </c>
      <c r="H29" s="49"/>
      <c r="I29" s="6">
        <v>59</v>
      </c>
      <c r="J29" s="60">
        <f t="shared" si="5"/>
        <v>17.101449275362317</v>
      </c>
      <c r="K29" s="30"/>
      <c r="L29" s="62">
        <f t="shared" si="2"/>
        <v>10.689855072463768</v>
      </c>
      <c r="M29" s="62"/>
      <c r="N29" s="62">
        <f t="shared" si="3"/>
        <v>12.895104895104895</v>
      </c>
      <c r="O29" s="58" t="s">
        <v>49</v>
      </c>
      <c r="P29" s="3"/>
      <c r="Q29" s="3"/>
      <c r="R29" s="3"/>
      <c r="S29" s="3"/>
      <c r="T29" s="19"/>
    </row>
    <row r="30" spans="1:20" s="31" customFormat="1" ht="15">
      <c r="A30" s="55" t="s">
        <v>50</v>
      </c>
      <c r="B30" s="26">
        <f>SUM(C30:E30)</f>
        <v>2730</v>
      </c>
      <c r="C30" s="13">
        <v>1345</v>
      </c>
      <c r="D30" s="13">
        <v>1385</v>
      </c>
      <c r="E30" s="13"/>
      <c r="F30" s="47">
        <f t="shared" si="0"/>
        <v>208</v>
      </c>
      <c r="G30" s="6">
        <v>176</v>
      </c>
      <c r="H30" s="49"/>
      <c r="I30" s="6">
        <v>32</v>
      </c>
      <c r="J30" s="60">
        <f t="shared" si="5"/>
        <v>15.384615384615385</v>
      </c>
      <c r="K30" s="30"/>
      <c r="L30" s="62">
        <f t="shared" si="2"/>
        <v>13.125</v>
      </c>
      <c r="M30" s="62"/>
      <c r="N30" s="62">
        <f t="shared" si="3"/>
        <v>15.511363636363637</v>
      </c>
      <c r="O30" s="58" t="s">
        <v>51</v>
      </c>
      <c r="P30" s="3"/>
      <c r="Q30" s="3"/>
      <c r="R30" s="3"/>
      <c r="S30" s="3"/>
      <c r="T30" s="19"/>
    </row>
    <row r="31" spans="1:20" s="31" customFormat="1" ht="15">
      <c r="A31" s="56" t="s">
        <v>14</v>
      </c>
      <c r="B31" s="32">
        <f t="shared" si="6"/>
        <v>5446</v>
      </c>
      <c r="C31" s="14">
        <v>2733</v>
      </c>
      <c r="D31" s="14">
        <v>2713</v>
      </c>
      <c r="E31" s="14"/>
      <c r="F31" s="50">
        <f t="shared" si="0"/>
        <v>429</v>
      </c>
      <c r="G31" s="7">
        <v>375</v>
      </c>
      <c r="H31" s="43"/>
      <c r="I31" s="7">
        <v>54</v>
      </c>
      <c r="J31" s="61">
        <f t="shared" si="5"/>
        <v>12.587412587412588</v>
      </c>
      <c r="K31" s="33"/>
      <c r="L31" s="63">
        <f t="shared" si="2"/>
        <v>12.694638694638694</v>
      </c>
      <c r="M31" s="63"/>
      <c r="N31" s="63">
        <f t="shared" si="3"/>
        <v>14.522666666666666</v>
      </c>
      <c r="O31" s="59" t="s">
        <v>52</v>
      </c>
      <c r="P31" s="3"/>
      <c r="Q31" s="3"/>
      <c r="R31" s="3"/>
      <c r="S31" s="3"/>
      <c r="T31" s="19"/>
    </row>
    <row r="32" spans="1:20" s="31" customFormat="1" ht="14.25">
      <c r="A32" s="34" t="s">
        <v>53</v>
      </c>
      <c r="J32" s="35"/>
      <c r="K32" s="36"/>
      <c r="L32" s="35"/>
      <c r="M32" s="35"/>
      <c r="N32" s="37"/>
      <c r="O32" s="38" t="s">
        <v>54</v>
      </c>
    </row>
    <row r="33" spans="3:14" s="31" customFormat="1" ht="12">
      <c r="C33" s="65">
        <v>44346</v>
      </c>
      <c r="D33" s="65">
        <v>42164</v>
      </c>
      <c r="J33" s="39"/>
      <c r="L33" s="39"/>
      <c r="M33" s="39"/>
      <c r="N33" s="40"/>
    </row>
    <row r="34" spans="3:14">
      <c r="C34" s="66">
        <f>C9-C33</f>
        <v>74</v>
      </c>
      <c r="D34" s="66">
        <f>D9-D33</f>
        <v>-74</v>
      </c>
    </row>
    <row r="35" spans="3:14">
      <c r="G35" s="64"/>
    </row>
  </sheetData>
  <mergeCells count="10">
    <mergeCell ref="A2:O2"/>
    <mergeCell ref="A3:O3"/>
    <mergeCell ref="A5:A8"/>
    <mergeCell ref="B5:D5"/>
    <mergeCell ref="F5:J5"/>
    <mergeCell ref="L5:N5"/>
    <mergeCell ref="B6:D6"/>
    <mergeCell ref="F6:J6"/>
    <mergeCell ref="L6:N6"/>
    <mergeCell ref="O5:O8"/>
  </mergeCells>
  <pageMargins left="0.17" right="0.16" top="0.75" bottom="0.75" header="0.3" footer="0.3"/>
  <pageSetup paperSize="9" scale="75" orientation="portrait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7.4</vt:lpstr>
      <vt:lpstr>'7.4'!Print_Area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2013-09-03T09:17:07Z</cp:lastPrinted>
  <dcterms:created xsi:type="dcterms:W3CDTF">2013-04-29T08:45:56Z</dcterms:created>
  <dcterms:modified xsi:type="dcterms:W3CDTF">2013-09-03T09:43:14Z</dcterms:modified>
</cp:coreProperties>
</file>