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4" sheetId="6" r:id="rId1"/>
  </sheets>
  <definedNames>
    <definedName name="_xlnm.Print_Area" localSheetId="0">'20.4'!$A$1:$E$90</definedName>
    <definedName name="_xlnm.Print_Titles" localSheetId="0">'20.4'!$1:$5</definedName>
  </definedNames>
  <calcPr calcId="124519"/>
</workbook>
</file>

<file path=xl/calcChain.xml><?xml version="1.0" encoding="utf-8"?>
<calcChain xmlns="http://schemas.openxmlformats.org/spreadsheetml/2006/main">
  <c r="D83" i="6"/>
  <c r="D82"/>
  <c r="D81"/>
  <c r="D80"/>
  <c r="D79"/>
  <c r="D78" s="1"/>
  <c r="C78"/>
  <c r="B78"/>
  <c r="D77"/>
  <c r="D76"/>
  <c r="D75"/>
  <c r="D74"/>
  <c r="D73"/>
  <c r="D72"/>
  <c r="D71"/>
  <c r="D70"/>
  <c r="D69"/>
  <c r="D68"/>
  <c r="D67"/>
  <c r="D66"/>
  <c r="D65"/>
  <c r="D64" s="1"/>
  <c r="C64"/>
  <c r="B64"/>
  <c r="D63"/>
  <c r="D62"/>
  <c r="D61"/>
  <c r="D60"/>
  <c r="D59"/>
  <c r="D58"/>
  <c r="D57" s="1"/>
  <c r="C57"/>
  <c r="B57"/>
  <c r="D56"/>
  <c r="D55"/>
  <c r="D54"/>
  <c r="D53"/>
  <c r="D52"/>
  <c r="D51"/>
  <c r="D50" s="1"/>
  <c r="C50"/>
  <c r="B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 s="1"/>
  <c r="C29"/>
  <c r="B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 s="1"/>
  <c r="C8"/>
  <c r="B8"/>
  <c r="D6" s="1"/>
  <c r="C6" l="1"/>
  <c r="B6"/>
</calcChain>
</file>

<file path=xl/sharedStrings.xml><?xml version="1.0" encoding="utf-8"?>
<sst xmlns="http://schemas.openxmlformats.org/spreadsheetml/2006/main" count="170" uniqueCount="92">
  <si>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</si>
  <si>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</si>
  <si>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</si>
  <si>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</si>
  <si>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</si>
  <si>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</si>
  <si>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</si>
  <si>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</si>
  <si>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</si>
  <si>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</si>
  <si>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</si>
  <si>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</si>
  <si>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</si>
  <si>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</si>
  <si>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</si>
  <si>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</si>
  <si>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</si>
  <si>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</si>
  <si>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</si>
  <si>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</si>
  <si>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</si>
  <si>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</si>
  <si>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</si>
  <si>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</si>
  <si>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</si>
  <si>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</si>
  <si>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</si>
  <si>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</si>
  <si>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</si>
  <si>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</si>
  <si>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</si>
  <si>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</si>
  <si>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</si>
  <si>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</si>
  <si>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</si>
  <si>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</si>
  <si>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</si>
  <si>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</si>
  <si>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</si>
  <si>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</si>
  <si>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</si>
  <si>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</si>
  <si>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</si>
  <si>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</si>
  <si>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</si>
  <si>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</si>
  <si>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</si>
  <si>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</si>
  <si>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</si>
  <si>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</si>
  <si>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</si>
  <si>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</si>
  <si>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</si>
  <si>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</si>
  <si>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</si>
  <si>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</si>
  <si>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</si>
  <si>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</si>
  <si>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</si>
  <si>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</si>
  <si>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</si>
  <si>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Trivandrum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</si>
  <si>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</si>
  <si>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</si>
  <si>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</si>
  <si>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</si>
  <si>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</si>
  <si>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</si>
  <si>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</si>
  <si>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</si>
  <si>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</si>
  <si>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</si>
  <si>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</si>
  <si>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</si>
  <si>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</si>
  <si>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</si>
  <si>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</si>
  <si>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</si>
  <si>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</si>
  <si>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</si>
  <si>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</si>
  <si>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</si>
  <si>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</si>
  <si>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</si>
  <si>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Boxes kept in Male' for the Atolls people  </t>
  </si>
  <si>
    <t xml:space="preserve">Boxes kept in Male'  </t>
  </si>
  <si>
    <t>ތާވަލު 20.4:  2008 ވަނަ އަހަރުގެ ރިޔާސީ އިންތިޚާބުގެ ދެވަނަ ބުރުގައި ބެހެއްޓުނު ވޯޓު ފޮށިތަކުގެ ތަފްސީލް</t>
  </si>
  <si>
    <t>TABLE 20.4: DETAILS OF THE BALLOT BOXES KEPT DURING PRESIDENTIAL  ELECTIONS 2008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</si>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</sst>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Faruma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Faruma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</borders>
  <cellStyleXfs count="5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2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7" fillId="2" borderId="0" xfId="0" applyFont="1" applyFill="1"/>
    <xf numFmtId="164" fontId="7" fillId="2" borderId="0" xfId="0" applyNumberFormat="1" applyFont="1" applyFill="1" applyAlignment="1">
      <alignment horizontal="center"/>
    </xf>
    <xf numFmtId="3" fontId="8" fillId="2" borderId="0" xfId="1" applyNumberFormat="1" applyFont="1" applyFill="1" applyBorder="1" applyAlignment="1" applyProtection="1">
      <alignment horizontal="right"/>
    </xf>
    <xf numFmtId="166" fontId="7" fillId="2" borderId="0" xfId="2" applyNumberFormat="1" applyFont="1" applyFill="1" applyAlignment="1">
      <alignment horizontal="center"/>
    </xf>
    <xf numFmtId="166" fontId="0" fillId="2" borderId="0" xfId="2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3" fontId="9" fillId="2" borderId="0" xfId="1" applyNumberFormat="1" applyFont="1" applyFill="1" applyBorder="1"/>
    <xf numFmtId="166" fontId="10" fillId="2" borderId="0" xfId="2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3" fontId="8" fillId="2" borderId="0" xfId="1" applyNumberFormat="1" applyFont="1" applyFill="1" applyBorder="1" applyAlignment="1" applyProtection="1">
      <alignment horizontal="right" vertical="center"/>
    </xf>
    <xf numFmtId="3" fontId="12" fillId="2" borderId="0" xfId="1" applyNumberFormat="1" applyFont="1" applyFill="1" applyBorder="1" applyAlignment="1" applyProtection="1">
      <alignment horizontal="right" vertical="center"/>
    </xf>
    <xf numFmtId="3" fontId="13" fillId="2" borderId="0" xfId="1" applyNumberFormat="1" applyFont="1" applyFill="1" applyBorder="1"/>
    <xf numFmtId="166" fontId="13" fillId="2" borderId="0" xfId="2" applyNumberFormat="1" applyFont="1" applyFill="1" applyAlignment="1">
      <alignment horizontal="center"/>
    </xf>
    <xf numFmtId="164" fontId="13" fillId="2" borderId="0" xfId="0" applyNumberFormat="1" applyFont="1" applyFill="1" applyAlignment="1">
      <alignment horizontal="center"/>
    </xf>
    <xf numFmtId="0" fontId="14" fillId="2" borderId="0" xfId="0" applyFont="1" applyFill="1"/>
    <xf numFmtId="3" fontId="15" fillId="2" borderId="0" xfId="1" applyNumberFormat="1" applyFont="1" applyFill="1" applyBorder="1" applyAlignment="1" applyProtection="1">
      <alignment horizontal="right" vertical="center"/>
    </xf>
    <xf numFmtId="166" fontId="10" fillId="2" borderId="0" xfId="2" applyNumberFormat="1" applyFont="1" applyFill="1" applyBorder="1" applyAlignment="1">
      <alignment horizontal="center"/>
    </xf>
    <xf numFmtId="0" fontId="10" fillId="2" borderId="0" xfId="0" applyFont="1" applyFill="1" applyBorder="1"/>
    <xf numFmtId="166" fontId="7" fillId="2" borderId="0" xfId="2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wrapText="1"/>
    </xf>
    <xf numFmtId="3" fontId="11" fillId="2" borderId="0" xfId="1" applyNumberFormat="1" applyFont="1" applyFill="1" applyBorder="1" applyAlignment="1">
      <alignment vertical="center" wrapText="1"/>
    </xf>
    <xf numFmtId="3" fontId="8" fillId="2" borderId="0" xfId="1" applyNumberFormat="1" applyFont="1" applyFill="1" applyBorder="1" applyAlignment="1" applyProtection="1">
      <alignment horizontal="right" vertical="center" wrapText="1"/>
    </xf>
    <xf numFmtId="0" fontId="10" fillId="2" borderId="1" xfId="0" applyFont="1" applyFill="1" applyBorder="1"/>
    <xf numFmtId="166" fontId="10" fillId="2" borderId="1" xfId="2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2" fillId="2" borderId="0" xfId="0" applyFont="1" applyFill="1" applyAlignment="1">
      <alignment horizontal="center" vertical="center"/>
    </xf>
    <xf numFmtId="3" fontId="9" fillId="2" borderId="0" xfId="1" applyNumberFormat="1" applyFont="1" applyFill="1" applyBorder="1" applyAlignment="1">
      <alignment horizontal="left" vertical="center"/>
    </xf>
    <xf numFmtId="164" fontId="10" fillId="2" borderId="4" xfId="0" applyNumberFormat="1" applyFont="1" applyFill="1" applyBorder="1" applyAlignment="1">
      <alignment horizontal="center"/>
    </xf>
    <xf numFmtId="3" fontId="9" fillId="2" borderId="4" xfId="1" applyNumberFormat="1" applyFont="1" applyFill="1" applyBorder="1"/>
    <xf numFmtId="166" fontId="10" fillId="2" borderId="4" xfId="2" applyNumberFormat="1" applyFont="1" applyFill="1" applyBorder="1" applyAlignment="1">
      <alignment horizontal="center"/>
    </xf>
    <xf numFmtId="3" fontId="12" fillId="2" borderId="4" xfId="1" applyNumberFormat="1" applyFont="1" applyFill="1" applyBorder="1" applyAlignment="1" applyProtection="1">
      <alignment horizontal="right" vertical="center"/>
    </xf>
    <xf numFmtId="0" fontId="10" fillId="2" borderId="4" xfId="0" applyFont="1" applyFill="1" applyBorder="1"/>
    <xf numFmtId="0" fontId="5" fillId="2" borderId="4" xfId="0" applyFont="1" applyFill="1" applyBorder="1"/>
    <xf numFmtId="0" fontId="7" fillId="2" borderId="0" xfId="0" applyFont="1" applyFill="1" applyBorder="1"/>
    <xf numFmtId="164" fontId="10" fillId="2" borderId="0" xfId="0" applyNumberFormat="1" applyFont="1" applyFill="1" applyBorder="1" applyAlignment="1">
      <alignment horizontal="center"/>
    </xf>
    <xf numFmtId="0" fontId="16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166" fontId="7" fillId="2" borderId="0" xfId="2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/>
    </xf>
    <xf numFmtId="166" fontId="7" fillId="2" borderId="0" xfId="2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3" fontId="8" fillId="2" borderId="0" xfId="1" applyNumberFormat="1" applyFont="1" applyFill="1" applyBorder="1" applyAlignment="1" applyProtection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17" fillId="2" borderId="0" xfId="0" applyFont="1" applyFill="1" applyAlignment="1">
      <alignment horizontal="left" vertical="center"/>
    </xf>
    <xf numFmtId="166" fontId="18" fillId="2" borderId="0" xfId="2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/>
    <xf numFmtId="0" fontId="18" fillId="2" borderId="0" xfId="0" applyFont="1" applyFill="1"/>
    <xf numFmtId="166" fontId="7" fillId="0" borderId="0" xfId="2" applyNumberFormat="1" applyFont="1" applyFill="1" applyAlignment="1">
      <alignment horizontal="center"/>
    </xf>
    <xf numFmtId="0" fontId="10" fillId="2" borderId="0" xfId="0" applyFont="1" applyFill="1" applyAlignment="1">
      <alignment vertical="center"/>
    </xf>
    <xf numFmtId="166" fontId="10" fillId="2" borderId="0" xfId="2" applyNumberFormat="1" applyFont="1" applyFill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166" fontId="10" fillId="2" borderId="4" xfId="2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top"/>
    </xf>
    <xf numFmtId="0" fontId="1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7" fillId="2" borderId="2" xfId="0" applyFont="1" applyFill="1" applyBorder="1" applyAlignment="1">
      <alignment horizontal="left" vertical="top"/>
    </xf>
    <xf numFmtId="0" fontId="19" fillId="2" borderId="0" xfId="0" applyFont="1" applyFill="1" applyAlignment="1">
      <alignment horizontal="right" vertical="center" wrapText="1"/>
    </xf>
    <xf numFmtId="0" fontId="17" fillId="2" borderId="0" xfId="0" applyFont="1" applyFill="1" applyBorder="1" applyAlignment="1">
      <alignment horizontal="left" vertical="top" indent="3"/>
    </xf>
  </cellXfs>
  <cellStyles count="5">
    <cellStyle name="Comma" xfId="2" builtinId="3"/>
    <cellStyle name="Comma 2" xfId="3"/>
    <cellStyle name="Comma 3" xfId="4"/>
    <cellStyle name="Normal" xfId="0" builtinId="0"/>
    <cellStyle name="Normal_II-15(Population)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view="pageBreakPreview" zoomScaleSheetLayoutView="100" workbookViewId="0">
      <selection activeCell="C92" sqref="C92"/>
    </sheetView>
  </sheetViews>
  <sheetFormatPr defaultRowHeight="15"/>
  <cols>
    <col min="1" max="1" width="23.140625" style="1" customWidth="1"/>
    <col min="2" max="2" width="16" style="4" customWidth="1"/>
    <col min="3" max="3" width="15.140625" style="4" customWidth="1"/>
    <col min="4" max="4" width="16.42578125" style="4" customWidth="1"/>
    <col min="5" max="5" width="32.28515625" style="1" customWidth="1"/>
    <col min="6" max="16384" width="9.140625" style="1"/>
  </cols>
  <sheetData>
    <row r="1" spans="1:5" ht="21">
      <c r="A1" s="68" t="s">
        <v>86</v>
      </c>
      <c r="B1" s="68"/>
      <c r="C1" s="68"/>
      <c r="D1" s="68"/>
      <c r="E1" s="68"/>
    </row>
    <row r="2" spans="1:5">
      <c r="A2" s="73" t="s">
        <v>87</v>
      </c>
      <c r="B2" s="73"/>
      <c r="C2" s="73"/>
      <c r="D2" s="73"/>
      <c r="E2" s="73"/>
    </row>
    <row r="3" spans="1:5" ht="7.5" customHeight="1"/>
    <row r="4" spans="1:5" s="2" customFormat="1" ht="19.5" customHeight="1">
      <c r="A4" s="70" t="s">
        <v>7</v>
      </c>
      <c r="B4" s="10" t="s">
        <v>0</v>
      </c>
      <c r="C4" s="10" t="s">
        <v>1</v>
      </c>
      <c r="D4" s="10" t="s">
        <v>2</v>
      </c>
      <c r="E4" s="71" t="s">
        <v>8</v>
      </c>
    </row>
    <row r="5" spans="1:5" s="34" customFormat="1" ht="33" customHeight="1">
      <c r="A5" s="69"/>
      <c r="B5" s="27" t="s">
        <v>10</v>
      </c>
      <c r="C5" s="26" t="s">
        <v>9</v>
      </c>
      <c r="D5" s="27" t="s">
        <v>11</v>
      </c>
      <c r="E5" s="72"/>
    </row>
    <row r="6" spans="1:5" s="5" customFormat="1" ht="18.75">
      <c r="A6" s="5" t="s">
        <v>3</v>
      </c>
      <c r="B6" s="61">
        <f>SUM(B8+B29+B50+B57+B64+B78)</f>
        <v>209294</v>
      </c>
      <c r="C6" s="8">
        <f>SUM(C8+C29+C50+C57+C64+C78)</f>
        <v>181204</v>
      </c>
      <c r="D6" s="6">
        <f>C6/B6*100</f>
        <v>86.578688352270021</v>
      </c>
      <c r="E6" s="7" t="s">
        <v>12</v>
      </c>
    </row>
    <row r="7" spans="1:5" s="14" customFormat="1" ht="12.75">
      <c r="A7" s="11"/>
      <c r="B7" s="12"/>
      <c r="C7" s="12"/>
      <c r="D7" s="12"/>
    </row>
    <row r="8" spans="1:5" s="55" customFormat="1" ht="16.5" customHeight="1">
      <c r="A8" s="28" t="s">
        <v>72</v>
      </c>
      <c r="B8" s="52">
        <f>SUM(B9:B28)</f>
        <v>128003</v>
      </c>
      <c r="C8" s="52">
        <f>SUM(C9:C28)</f>
        <v>110103</v>
      </c>
      <c r="D8" s="53">
        <f>(C8/B8)*100</f>
        <v>86.015952751107392</v>
      </c>
      <c r="E8" s="54" t="s">
        <v>40</v>
      </c>
    </row>
    <row r="9" spans="1:5" s="14" customFormat="1" ht="13.5" customHeight="1">
      <c r="A9" s="11" t="s">
        <v>4</v>
      </c>
      <c r="B9" s="12">
        <v>8551</v>
      </c>
      <c r="C9" s="12">
        <v>7457</v>
      </c>
      <c r="D9" s="13">
        <f>C9/B9*100</f>
        <v>87.206174716407432</v>
      </c>
      <c r="E9" s="16" t="s">
        <v>23</v>
      </c>
    </row>
    <row r="10" spans="1:5" s="14" customFormat="1" ht="13.5" customHeight="1">
      <c r="A10" s="11" t="s">
        <v>83</v>
      </c>
      <c r="B10" s="12">
        <v>10766</v>
      </c>
      <c r="C10" s="12">
        <v>8925</v>
      </c>
      <c r="D10" s="13">
        <f t="shared" ref="D10:D28" si="0">C10/B10*100</f>
        <v>82.899869960988298</v>
      </c>
      <c r="E10" s="16" t="s">
        <v>24</v>
      </c>
    </row>
    <row r="11" spans="1:5" s="20" customFormat="1" ht="13.5" customHeight="1">
      <c r="A11" s="17" t="s">
        <v>82</v>
      </c>
      <c r="B11" s="18">
        <v>7812</v>
      </c>
      <c r="C11" s="12">
        <v>6708</v>
      </c>
      <c r="D11" s="19">
        <f t="shared" si="0"/>
        <v>85.867895545314894</v>
      </c>
      <c r="E11" s="16" t="s">
        <v>25</v>
      </c>
    </row>
    <row r="12" spans="1:5" s="20" customFormat="1" ht="13.5" customHeight="1">
      <c r="A12" s="17" t="s">
        <v>20</v>
      </c>
      <c r="B12" s="18">
        <v>6923</v>
      </c>
      <c r="C12" s="12">
        <v>6002</v>
      </c>
      <c r="D12" s="19">
        <f t="shared" si="0"/>
        <v>86.696518850209443</v>
      </c>
      <c r="E12" s="21" t="s">
        <v>26</v>
      </c>
    </row>
    <row r="13" spans="1:5" s="14" customFormat="1" ht="13.5" customHeight="1">
      <c r="A13" s="11" t="s">
        <v>21</v>
      </c>
      <c r="B13" s="12">
        <v>9831</v>
      </c>
      <c r="C13" s="12">
        <v>8160</v>
      </c>
      <c r="D13" s="13">
        <f t="shared" si="0"/>
        <v>83.002746414403418</v>
      </c>
      <c r="E13" s="16" t="s">
        <v>27</v>
      </c>
    </row>
    <row r="14" spans="1:5" s="14" customFormat="1" ht="13.5" customHeight="1">
      <c r="A14" s="11" t="s">
        <v>14</v>
      </c>
      <c r="B14" s="12">
        <v>6037</v>
      </c>
      <c r="C14" s="12">
        <v>5466</v>
      </c>
      <c r="D14" s="13">
        <f t="shared" si="0"/>
        <v>90.54165976478383</v>
      </c>
      <c r="E14" s="16" t="s">
        <v>28</v>
      </c>
    </row>
    <row r="15" spans="1:5" s="14" customFormat="1" ht="13.5" customHeight="1">
      <c r="A15" s="11" t="s">
        <v>81</v>
      </c>
      <c r="B15" s="12">
        <v>5807</v>
      </c>
      <c r="C15" s="12">
        <v>5128</v>
      </c>
      <c r="D15" s="13">
        <f t="shared" si="0"/>
        <v>88.307215429653866</v>
      </c>
      <c r="E15" s="16" t="s">
        <v>29</v>
      </c>
    </row>
    <row r="16" spans="1:5" s="14" customFormat="1" ht="13.5" customHeight="1">
      <c r="A16" s="11" t="s">
        <v>17</v>
      </c>
      <c r="B16" s="12">
        <v>9053</v>
      </c>
      <c r="C16" s="12">
        <v>8124</v>
      </c>
      <c r="D16" s="13">
        <f t="shared" si="0"/>
        <v>89.738208328730806</v>
      </c>
      <c r="E16" s="16" t="s">
        <v>30</v>
      </c>
    </row>
    <row r="17" spans="1:5" s="14" customFormat="1" ht="13.5" customHeight="1">
      <c r="A17" s="11" t="s">
        <v>13</v>
      </c>
      <c r="B17" s="12">
        <v>3589</v>
      </c>
      <c r="C17" s="12">
        <v>3203</v>
      </c>
      <c r="D17" s="13">
        <f t="shared" si="0"/>
        <v>89.244915018110888</v>
      </c>
      <c r="E17" s="16" t="s">
        <v>31</v>
      </c>
    </row>
    <row r="18" spans="1:5" s="14" customFormat="1" ht="13.5" customHeight="1">
      <c r="A18" s="11" t="s">
        <v>80</v>
      </c>
      <c r="B18" s="12">
        <v>5191</v>
      </c>
      <c r="C18" s="12">
        <v>4584</v>
      </c>
      <c r="D18" s="13">
        <f t="shared" si="0"/>
        <v>88.30668464650357</v>
      </c>
      <c r="E18" s="16" t="s">
        <v>32</v>
      </c>
    </row>
    <row r="19" spans="1:5" s="23" customFormat="1" ht="13.5" customHeight="1">
      <c r="A19" s="11" t="s">
        <v>22</v>
      </c>
      <c r="B19" s="22">
        <v>1119</v>
      </c>
      <c r="C19" s="12">
        <v>998</v>
      </c>
      <c r="D19" s="13">
        <f t="shared" si="0"/>
        <v>89.18677390527256</v>
      </c>
      <c r="E19" s="16" t="s">
        <v>33</v>
      </c>
    </row>
    <row r="20" spans="1:5" s="23" customFormat="1" ht="13.5" customHeight="1">
      <c r="A20" s="11" t="s">
        <v>19</v>
      </c>
      <c r="B20" s="22">
        <v>3305</v>
      </c>
      <c r="C20" s="12">
        <v>2887</v>
      </c>
      <c r="D20" s="13">
        <f t="shared" si="0"/>
        <v>87.352496217851737</v>
      </c>
      <c r="E20" s="16" t="s">
        <v>34</v>
      </c>
    </row>
    <row r="21" spans="1:5" s="23" customFormat="1" ht="13.5" customHeight="1">
      <c r="A21" s="11" t="s">
        <v>15</v>
      </c>
      <c r="B21" s="22">
        <v>2450</v>
      </c>
      <c r="C21" s="12">
        <v>2251</v>
      </c>
      <c r="D21" s="13">
        <f t="shared" si="0"/>
        <v>91.877551020408163</v>
      </c>
      <c r="E21" s="16" t="s">
        <v>35</v>
      </c>
    </row>
    <row r="22" spans="1:5" s="23" customFormat="1" ht="13.5" customHeight="1">
      <c r="A22" s="11" t="s">
        <v>78</v>
      </c>
      <c r="B22" s="22">
        <v>3341</v>
      </c>
      <c r="C22" s="12">
        <v>2965</v>
      </c>
      <c r="D22" s="13">
        <f t="shared" si="0"/>
        <v>88.745884465728821</v>
      </c>
      <c r="E22" s="16" t="s">
        <v>36</v>
      </c>
    </row>
    <row r="23" spans="1:5" s="23" customFormat="1" ht="13.5" customHeight="1">
      <c r="A23" s="11" t="s">
        <v>79</v>
      </c>
      <c r="B23" s="22">
        <v>6130</v>
      </c>
      <c r="C23" s="12">
        <v>5061</v>
      </c>
      <c r="D23" s="13">
        <f t="shared" si="0"/>
        <v>82.561174551386614</v>
      </c>
      <c r="E23" s="16" t="s">
        <v>37</v>
      </c>
    </row>
    <row r="24" spans="1:5" s="23" customFormat="1" ht="13.5" customHeight="1">
      <c r="A24" s="11" t="s">
        <v>18</v>
      </c>
      <c r="B24" s="22">
        <v>7411</v>
      </c>
      <c r="C24" s="12">
        <v>6575</v>
      </c>
      <c r="D24" s="13">
        <f t="shared" si="0"/>
        <v>88.719471056537586</v>
      </c>
      <c r="E24" s="16" t="s">
        <v>38</v>
      </c>
    </row>
    <row r="25" spans="1:5" s="23" customFormat="1" ht="13.5" customHeight="1">
      <c r="A25" s="35" t="s">
        <v>16</v>
      </c>
      <c r="B25" s="12">
        <v>5308</v>
      </c>
      <c r="C25" s="12">
        <v>4587</v>
      </c>
      <c r="D25" s="13">
        <f t="shared" si="0"/>
        <v>86.41672946495855</v>
      </c>
      <c r="E25" s="15" t="s">
        <v>39</v>
      </c>
    </row>
    <row r="26" spans="1:5" s="23" customFormat="1" ht="13.5" customHeight="1">
      <c r="A26" s="11" t="s">
        <v>77</v>
      </c>
      <c r="B26" s="22">
        <v>7949</v>
      </c>
      <c r="C26" s="12">
        <v>6412</v>
      </c>
      <c r="D26" s="13">
        <f t="shared" si="0"/>
        <v>80.664234494905017</v>
      </c>
      <c r="E26" s="16" t="s">
        <v>41</v>
      </c>
    </row>
    <row r="27" spans="1:5" s="23" customFormat="1" ht="13.5" customHeight="1">
      <c r="A27" s="11" t="s">
        <v>76</v>
      </c>
      <c r="B27" s="22">
        <v>4739</v>
      </c>
      <c r="C27" s="12">
        <v>4300</v>
      </c>
      <c r="D27" s="13">
        <f t="shared" si="0"/>
        <v>90.736442287402411</v>
      </c>
      <c r="E27" s="16" t="s">
        <v>42</v>
      </c>
    </row>
    <row r="28" spans="1:5" s="23" customFormat="1" ht="13.5" customHeight="1">
      <c r="A28" s="37" t="s">
        <v>44</v>
      </c>
      <c r="B28" s="38">
        <v>12691</v>
      </c>
      <c r="C28" s="38">
        <v>10310</v>
      </c>
      <c r="D28" s="36">
        <f t="shared" si="0"/>
        <v>81.238673075407775</v>
      </c>
      <c r="E28" s="39" t="s">
        <v>43</v>
      </c>
    </row>
    <row r="29" spans="1:5" s="23" customFormat="1" ht="32.25" customHeight="1">
      <c r="A29" s="28" t="s">
        <v>84</v>
      </c>
      <c r="B29" s="24">
        <f>SUM(B30:B49)</f>
        <v>32285</v>
      </c>
      <c r="C29" s="24">
        <f>SUM(C30:C49)</f>
        <v>29910</v>
      </c>
      <c r="D29" s="51">
        <f t="shared" ref="D29:D83" si="1">C29/B29*100</f>
        <v>92.643642558463682</v>
      </c>
      <c r="E29" s="29" t="s">
        <v>62</v>
      </c>
    </row>
    <row r="30" spans="1:5" s="23" customFormat="1" ht="13.5" customHeight="1">
      <c r="A30" s="11" t="s">
        <v>4</v>
      </c>
      <c r="B30" s="22">
        <v>2627</v>
      </c>
      <c r="C30" s="12">
        <v>2437</v>
      </c>
      <c r="D30" s="13">
        <f t="shared" si="1"/>
        <v>92.76741530262656</v>
      </c>
      <c r="E30" s="16" t="s">
        <v>23</v>
      </c>
    </row>
    <row r="31" spans="1:5" s="23" customFormat="1" ht="13.5" customHeight="1">
      <c r="A31" s="11" t="s">
        <v>83</v>
      </c>
      <c r="B31" s="22">
        <v>2311</v>
      </c>
      <c r="C31" s="12">
        <v>2079</v>
      </c>
      <c r="D31" s="13">
        <f t="shared" si="1"/>
        <v>89.961055819991344</v>
      </c>
      <c r="E31" s="16" t="s">
        <v>24</v>
      </c>
    </row>
    <row r="32" spans="1:5" s="14" customFormat="1" ht="13.5" customHeight="1">
      <c r="A32" s="17" t="s">
        <v>82</v>
      </c>
      <c r="B32" s="12">
        <v>1270</v>
      </c>
      <c r="C32" s="12">
        <v>1130</v>
      </c>
      <c r="D32" s="13">
        <f t="shared" si="1"/>
        <v>88.976377952755897</v>
      </c>
      <c r="E32" s="16" t="s">
        <v>25</v>
      </c>
    </row>
    <row r="33" spans="1:5" s="14" customFormat="1" ht="13.5" customHeight="1">
      <c r="A33" s="17" t="s">
        <v>20</v>
      </c>
      <c r="B33" s="12">
        <v>1546</v>
      </c>
      <c r="C33" s="12">
        <v>1438</v>
      </c>
      <c r="D33" s="13">
        <f t="shared" si="1"/>
        <v>93.014230271668822</v>
      </c>
      <c r="E33" s="21" t="s">
        <v>26</v>
      </c>
    </row>
    <row r="34" spans="1:5" s="14" customFormat="1" ht="13.5" customHeight="1">
      <c r="A34" s="11" t="s">
        <v>21</v>
      </c>
      <c r="B34" s="12">
        <v>1925</v>
      </c>
      <c r="C34" s="12">
        <v>1697</v>
      </c>
      <c r="D34" s="13">
        <f t="shared" si="1"/>
        <v>88.15584415584415</v>
      </c>
      <c r="E34" s="16" t="s">
        <v>27</v>
      </c>
    </row>
    <row r="35" spans="1:5" s="14" customFormat="1" ht="13.5" customHeight="1">
      <c r="A35" s="11" t="s">
        <v>14</v>
      </c>
      <c r="B35" s="12">
        <v>1661</v>
      </c>
      <c r="C35" s="12">
        <v>1549</v>
      </c>
      <c r="D35" s="13">
        <f t="shared" si="1"/>
        <v>93.25707405177603</v>
      </c>
      <c r="E35" s="16" t="s">
        <v>28</v>
      </c>
    </row>
    <row r="36" spans="1:5" s="14" customFormat="1" ht="13.5" customHeight="1">
      <c r="A36" s="11" t="s">
        <v>81</v>
      </c>
      <c r="B36" s="12">
        <v>1352</v>
      </c>
      <c r="C36" s="12">
        <v>1263</v>
      </c>
      <c r="D36" s="13">
        <f t="shared" si="1"/>
        <v>93.417159763313606</v>
      </c>
      <c r="E36" s="16" t="s">
        <v>29</v>
      </c>
    </row>
    <row r="37" spans="1:5" s="14" customFormat="1" ht="13.5" customHeight="1">
      <c r="A37" s="11" t="s">
        <v>17</v>
      </c>
      <c r="B37" s="12">
        <v>768</v>
      </c>
      <c r="C37" s="12">
        <v>727</v>
      </c>
      <c r="D37" s="13">
        <f t="shared" si="1"/>
        <v>94.661458333333343</v>
      </c>
      <c r="E37" s="16" t="s">
        <v>30</v>
      </c>
    </row>
    <row r="38" spans="1:5" s="14" customFormat="1" ht="13.5" customHeight="1">
      <c r="A38" s="11" t="s">
        <v>13</v>
      </c>
      <c r="B38" s="12">
        <v>579</v>
      </c>
      <c r="C38" s="12">
        <v>557</v>
      </c>
      <c r="D38" s="13">
        <f t="shared" si="1"/>
        <v>96.200345423143347</v>
      </c>
      <c r="E38" s="16" t="s">
        <v>31</v>
      </c>
    </row>
    <row r="39" spans="1:5" s="14" customFormat="1" ht="13.5" customHeight="1">
      <c r="A39" s="11" t="s">
        <v>80</v>
      </c>
      <c r="B39" s="12">
        <v>778</v>
      </c>
      <c r="C39" s="12">
        <v>703</v>
      </c>
      <c r="D39" s="13">
        <f t="shared" si="1"/>
        <v>90.359897172236501</v>
      </c>
      <c r="E39" s="16" t="s">
        <v>32</v>
      </c>
    </row>
    <row r="40" spans="1:5" s="14" customFormat="1" ht="13.5" customHeight="1">
      <c r="A40" s="11" t="s">
        <v>22</v>
      </c>
      <c r="B40" s="12">
        <v>370</v>
      </c>
      <c r="C40" s="12">
        <v>365</v>
      </c>
      <c r="D40" s="13">
        <f t="shared" si="1"/>
        <v>98.648648648648646</v>
      </c>
      <c r="E40" s="16" t="s">
        <v>33</v>
      </c>
    </row>
    <row r="41" spans="1:5" s="14" customFormat="1" ht="13.5" customHeight="1">
      <c r="A41" s="11" t="s">
        <v>19</v>
      </c>
      <c r="B41" s="12">
        <v>942</v>
      </c>
      <c r="C41" s="12">
        <v>865</v>
      </c>
      <c r="D41" s="13">
        <f t="shared" si="1"/>
        <v>91.825902335456476</v>
      </c>
      <c r="E41" s="16" t="s">
        <v>34</v>
      </c>
    </row>
    <row r="42" spans="1:5" s="14" customFormat="1" ht="13.5" customHeight="1">
      <c r="A42" s="11" t="s">
        <v>15</v>
      </c>
      <c r="B42" s="12">
        <v>420</v>
      </c>
      <c r="C42" s="12">
        <v>392</v>
      </c>
      <c r="D42" s="13">
        <f t="shared" si="1"/>
        <v>93.333333333333329</v>
      </c>
      <c r="E42" s="16" t="s">
        <v>35</v>
      </c>
    </row>
    <row r="43" spans="1:5" s="14" customFormat="1" ht="13.5" customHeight="1">
      <c r="A43" s="11" t="s">
        <v>78</v>
      </c>
      <c r="B43" s="12">
        <v>870</v>
      </c>
      <c r="C43" s="12">
        <v>823</v>
      </c>
      <c r="D43" s="13">
        <f t="shared" si="1"/>
        <v>94.597701149425291</v>
      </c>
      <c r="E43" s="16" t="s">
        <v>36</v>
      </c>
    </row>
    <row r="44" spans="1:5" s="14" customFormat="1" ht="13.5" customHeight="1">
      <c r="A44" s="11" t="s">
        <v>79</v>
      </c>
      <c r="B44" s="12">
        <v>2608</v>
      </c>
      <c r="C44" s="12">
        <v>2418</v>
      </c>
      <c r="D44" s="13">
        <f t="shared" si="1"/>
        <v>92.714723926380373</v>
      </c>
      <c r="E44" s="16" t="s">
        <v>37</v>
      </c>
    </row>
    <row r="45" spans="1:5" s="14" customFormat="1" ht="13.5" customHeight="1">
      <c r="A45" s="11" t="s">
        <v>18</v>
      </c>
      <c r="B45" s="12">
        <v>1325</v>
      </c>
      <c r="C45" s="12">
        <v>1207</v>
      </c>
      <c r="D45" s="13">
        <f t="shared" si="1"/>
        <v>91.094339622641513</v>
      </c>
      <c r="E45" s="16" t="s">
        <v>38</v>
      </c>
    </row>
    <row r="46" spans="1:5" s="14" customFormat="1" ht="13.5" customHeight="1">
      <c r="A46" s="35" t="s">
        <v>16</v>
      </c>
      <c r="B46" s="12">
        <v>1931</v>
      </c>
      <c r="C46" s="12">
        <v>1793</v>
      </c>
      <c r="D46" s="13">
        <f t="shared" si="1"/>
        <v>92.853443811496632</v>
      </c>
      <c r="E46" s="15" t="s">
        <v>39</v>
      </c>
    </row>
    <row r="47" spans="1:5" s="14" customFormat="1" ht="13.5" customHeight="1">
      <c r="A47" s="11" t="s">
        <v>77</v>
      </c>
      <c r="B47" s="12">
        <v>3141</v>
      </c>
      <c r="C47" s="12">
        <v>2873</v>
      </c>
      <c r="D47" s="13">
        <f t="shared" si="1"/>
        <v>91.467685450493477</v>
      </c>
      <c r="E47" s="16" t="s">
        <v>41</v>
      </c>
    </row>
    <row r="48" spans="1:5" s="14" customFormat="1" ht="13.5" customHeight="1">
      <c r="A48" s="11" t="s">
        <v>76</v>
      </c>
      <c r="B48" s="12">
        <v>1291</v>
      </c>
      <c r="C48" s="12">
        <v>1178</v>
      </c>
      <c r="D48" s="13">
        <f t="shared" si="1"/>
        <v>91.247095274980637</v>
      </c>
      <c r="E48" s="16" t="s">
        <v>42</v>
      </c>
    </row>
    <row r="49" spans="1:5" s="14" customFormat="1" ht="13.5" customHeight="1">
      <c r="A49" s="37" t="s">
        <v>44</v>
      </c>
      <c r="B49" s="38">
        <v>4570</v>
      </c>
      <c r="C49" s="38">
        <v>4416</v>
      </c>
      <c r="D49" s="36">
        <f t="shared" si="1"/>
        <v>96.63019693654266</v>
      </c>
      <c r="E49" s="39" t="s">
        <v>43</v>
      </c>
    </row>
    <row r="50" spans="1:5" s="23" customFormat="1" ht="17.25" customHeight="1">
      <c r="A50" s="47" t="s">
        <v>85</v>
      </c>
      <c r="B50" s="24">
        <f>SUM(B51:B56)</f>
        <v>35819</v>
      </c>
      <c r="C50" s="24">
        <f>SUM(C51:C56)</f>
        <v>29723</v>
      </c>
      <c r="D50" s="51">
        <f t="shared" si="1"/>
        <v>82.981099416510801</v>
      </c>
      <c r="E50" s="44" t="s">
        <v>63</v>
      </c>
    </row>
    <row r="51" spans="1:5" s="14" customFormat="1" ht="17.25" customHeight="1">
      <c r="A51" s="14" t="s">
        <v>45</v>
      </c>
      <c r="B51" s="12">
        <v>8269</v>
      </c>
      <c r="C51" s="12">
        <v>6599</v>
      </c>
      <c r="D51" s="13">
        <f t="shared" si="1"/>
        <v>79.804087555931787</v>
      </c>
      <c r="E51" s="3" t="s">
        <v>51</v>
      </c>
    </row>
    <row r="52" spans="1:5" s="14" customFormat="1" ht="17.25" customHeight="1">
      <c r="A52" s="14" t="s">
        <v>46</v>
      </c>
      <c r="B52" s="12">
        <v>5861</v>
      </c>
      <c r="C52" s="12">
        <v>4789</v>
      </c>
      <c r="D52" s="13">
        <f t="shared" si="1"/>
        <v>81.709605869305577</v>
      </c>
      <c r="E52" s="3" t="s">
        <v>52</v>
      </c>
    </row>
    <row r="53" spans="1:5" s="14" customFormat="1" ht="17.25" customHeight="1">
      <c r="A53" s="14" t="s">
        <v>47</v>
      </c>
      <c r="B53" s="12">
        <v>6273</v>
      </c>
      <c r="C53" s="12">
        <v>5128</v>
      </c>
      <c r="D53" s="13">
        <f t="shared" si="1"/>
        <v>81.747170412880592</v>
      </c>
      <c r="E53" s="3" t="s">
        <v>53</v>
      </c>
    </row>
    <row r="54" spans="1:5" s="14" customFormat="1" ht="17.25" customHeight="1">
      <c r="A54" s="14" t="s">
        <v>48</v>
      </c>
      <c r="B54" s="12">
        <v>11000</v>
      </c>
      <c r="C54" s="12">
        <v>9108</v>
      </c>
      <c r="D54" s="13">
        <f t="shared" si="1"/>
        <v>82.8</v>
      </c>
      <c r="E54" s="3" t="s">
        <v>54</v>
      </c>
    </row>
    <row r="55" spans="1:5" s="14" customFormat="1" ht="17.25" customHeight="1">
      <c r="A55" s="14" t="s">
        <v>49</v>
      </c>
      <c r="B55" s="12">
        <v>2518</v>
      </c>
      <c r="C55" s="12">
        <v>2496</v>
      </c>
      <c r="D55" s="13">
        <f t="shared" si="1"/>
        <v>99.126290706910254</v>
      </c>
      <c r="E55" s="3" t="s">
        <v>55</v>
      </c>
    </row>
    <row r="56" spans="1:5" s="14" customFormat="1" ht="17.25" customHeight="1">
      <c r="A56" s="40" t="s">
        <v>50</v>
      </c>
      <c r="B56" s="38">
        <v>1898</v>
      </c>
      <c r="C56" s="38">
        <v>1603</v>
      </c>
      <c r="D56" s="36">
        <f t="shared" si="1"/>
        <v>84.457323498419385</v>
      </c>
      <c r="E56" s="41" t="s">
        <v>56</v>
      </c>
    </row>
    <row r="57" spans="1:5" s="23" customFormat="1" ht="38.25" customHeight="1">
      <c r="A57" s="48" t="s">
        <v>73</v>
      </c>
      <c r="B57" s="49">
        <f>SUM(B58:B63)</f>
        <v>1578</v>
      </c>
      <c r="C57" s="49">
        <f>SUM(C58:C63)</f>
        <v>1478</v>
      </c>
      <c r="D57" s="50">
        <f t="shared" si="1"/>
        <v>93.662864385297851</v>
      </c>
      <c r="E57" s="46" t="s">
        <v>64</v>
      </c>
    </row>
    <row r="58" spans="1:5" s="14" customFormat="1" ht="15" customHeight="1">
      <c r="A58" s="14" t="s">
        <v>81</v>
      </c>
      <c r="B58" s="12">
        <v>166</v>
      </c>
      <c r="C58" s="12">
        <v>161</v>
      </c>
      <c r="D58" s="13">
        <f t="shared" si="1"/>
        <v>96.98795180722891</v>
      </c>
      <c r="E58" s="3" t="s">
        <v>29</v>
      </c>
    </row>
    <row r="59" spans="1:5" s="14" customFormat="1" ht="13.5" customHeight="1">
      <c r="A59" s="14" t="s">
        <v>17</v>
      </c>
      <c r="B59" s="12">
        <v>631</v>
      </c>
      <c r="C59" s="12">
        <v>614</v>
      </c>
      <c r="D59" s="13">
        <f t="shared" si="1"/>
        <v>97.305863708399372</v>
      </c>
      <c r="E59" s="3" t="s">
        <v>30</v>
      </c>
    </row>
    <row r="60" spans="1:5" s="14" customFormat="1" ht="13.5" customHeight="1">
      <c r="A60" s="14" t="s">
        <v>18</v>
      </c>
      <c r="B60" s="12">
        <v>404</v>
      </c>
      <c r="C60" s="12">
        <v>357</v>
      </c>
      <c r="D60" s="13">
        <f t="shared" si="1"/>
        <v>88.366336633663366</v>
      </c>
      <c r="E60" s="3" t="s">
        <v>38</v>
      </c>
    </row>
    <row r="61" spans="1:5" s="14" customFormat="1" ht="14.25" customHeight="1">
      <c r="A61" s="14" t="s">
        <v>16</v>
      </c>
      <c r="B61" s="12">
        <v>220</v>
      </c>
      <c r="C61" s="12">
        <v>199</v>
      </c>
      <c r="D61" s="13">
        <f t="shared" si="1"/>
        <v>90.454545454545453</v>
      </c>
      <c r="E61" s="3" t="s">
        <v>39</v>
      </c>
    </row>
    <row r="62" spans="1:5" s="14" customFormat="1" ht="14.25" customHeight="1">
      <c r="A62" s="14" t="s">
        <v>77</v>
      </c>
      <c r="B62" s="12">
        <v>35</v>
      </c>
      <c r="C62" s="12">
        <v>35</v>
      </c>
      <c r="D62" s="13">
        <f t="shared" si="1"/>
        <v>100</v>
      </c>
      <c r="E62" s="3" t="s">
        <v>41</v>
      </c>
    </row>
    <row r="63" spans="1:5" s="14" customFormat="1" ht="13.5" customHeight="1">
      <c r="A63" s="40" t="s">
        <v>44</v>
      </c>
      <c r="B63" s="38">
        <v>122</v>
      </c>
      <c r="C63" s="38">
        <v>112</v>
      </c>
      <c r="D63" s="36">
        <f t="shared" si="1"/>
        <v>91.803278688524586</v>
      </c>
      <c r="E63" s="41" t="s">
        <v>43</v>
      </c>
    </row>
    <row r="64" spans="1:5" s="42" customFormat="1" ht="29.25" customHeight="1">
      <c r="A64" s="45" t="s">
        <v>74</v>
      </c>
      <c r="B64" s="24">
        <f>SUM(B65:B77)</f>
        <v>6847</v>
      </c>
      <c r="C64" s="24">
        <f>SUM(C65:C77)</f>
        <v>6169</v>
      </c>
      <c r="D64" s="43">
        <f t="shared" si="1"/>
        <v>90.097853074339127</v>
      </c>
      <c r="E64" s="44" t="s">
        <v>65</v>
      </c>
    </row>
    <row r="65" spans="1:5" s="14" customFormat="1" ht="17.25" customHeight="1">
      <c r="A65" s="62" t="s">
        <v>4</v>
      </c>
      <c r="B65" s="63">
        <v>378</v>
      </c>
      <c r="C65" s="12">
        <v>337</v>
      </c>
      <c r="D65" s="13">
        <f t="shared" si="1"/>
        <v>89.153439153439152</v>
      </c>
      <c r="E65" s="3" t="s">
        <v>23</v>
      </c>
    </row>
    <row r="66" spans="1:5" s="14" customFormat="1" ht="17.25" customHeight="1">
      <c r="A66" s="62" t="s">
        <v>82</v>
      </c>
      <c r="B66" s="63">
        <v>68</v>
      </c>
      <c r="C66" s="12">
        <v>53</v>
      </c>
      <c r="D66" s="13">
        <f t="shared" si="1"/>
        <v>77.941176470588232</v>
      </c>
      <c r="E66" s="3" t="s">
        <v>25</v>
      </c>
    </row>
    <row r="67" spans="1:5" s="14" customFormat="1" ht="17.25" customHeight="1">
      <c r="A67" s="62" t="s">
        <v>20</v>
      </c>
      <c r="B67" s="63">
        <v>246</v>
      </c>
      <c r="C67" s="12">
        <v>190</v>
      </c>
      <c r="D67" s="13">
        <f t="shared" si="1"/>
        <v>77.235772357723576</v>
      </c>
      <c r="E67" s="3" t="s">
        <v>26</v>
      </c>
    </row>
    <row r="68" spans="1:5" s="14" customFormat="1" ht="17.25" customHeight="1">
      <c r="A68" s="62" t="s">
        <v>14</v>
      </c>
      <c r="B68" s="63">
        <v>440</v>
      </c>
      <c r="C68" s="12">
        <v>404</v>
      </c>
      <c r="D68" s="13">
        <f t="shared" si="1"/>
        <v>91.818181818181827</v>
      </c>
      <c r="E68" s="3" t="s">
        <v>28</v>
      </c>
    </row>
    <row r="69" spans="1:5" s="14" customFormat="1" ht="17.25" customHeight="1">
      <c r="A69" s="62" t="s">
        <v>81</v>
      </c>
      <c r="B69" s="63">
        <v>591</v>
      </c>
      <c r="C69" s="12">
        <v>528</v>
      </c>
      <c r="D69" s="13">
        <f t="shared" si="1"/>
        <v>89.340101522842644</v>
      </c>
      <c r="E69" s="3" t="s">
        <v>29</v>
      </c>
    </row>
    <row r="70" spans="1:5" s="14" customFormat="1" ht="17.25" customHeight="1">
      <c r="A70" s="62" t="s">
        <v>17</v>
      </c>
      <c r="B70" s="63">
        <v>2673</v>
      </c>
      <c r="C70" s="12">
        <v>2441</v>
      </c>
      <c r="D70" s="13">
        <f t="shared" si="1"/>
        <v>91.320613542835758</v>
      </c>
      <c r="E70" s="3" t="s">
        <v>30</v>
      </c>
    </row>
    <row r="71" spans="1:5" s="14" customFormat="1" ht="17.25" customHeight="1">
      <c r="A71" s="62" t="s">
        <v>13</v>
      </c>
      <c r="B71" s="63">
        <v>564</v>
      </c>
      <c r="C71" s="12">
        <v>483</v>
      </c>
      <c r="D71" s="13">
        <f t="shared" si="1"/>
        <v>85.638297872340431</v>
      </c>
      <c r="E71" s="3" t="s">
        <v>31</v>
      </c>
    </row>
    <row r="72" spans="1:5" s="14" customFormat="1" ht="17.25" customHeight="1">
      <c r="A72" s="62" t="s">
        <v>80</v>
      </c>
      <c r="B72" s="63">
        <v>1127</v>
      </c>
      <c r="C72" s="12">
        <v>1079</v>
      </c>
      <c r="D72" s="13">
        <f t="shared" si="1"/>
        <v>95.740905057675235</v>
      </c>
      <c r="E72" s="3" t="s">
        <v>32</v>
      </c>
    </row>
    <row r="73" spans="1:5" s="14" customFormat="1" ht="17.25" customHeight="1">
      <c r="A73" s="62" t="s">
        <v>15</v>
      </c>
      <c r="B73" s="63">
        <v>90</v>
      </c>
      <c r="C73" s="12">
        <v>79</v>
      </c>
      <c r="D73" s="13">
        <f t="shared" si="1"/>
        <v>87.777777777777771</v>
      </c>
      <c r="E73" s="3" t="s">
        <v>35</v>
      </c>
    </row>
    <row r="74" spans="1:5" s="14" customFormat="1" ht="17.25" customHeight="1">
      <c r="A74" s="62" t="s">
        <v>78</v>
      </c>
      <c r="B74" s="63">
        <v>240</v>
      </c>
      <c r="C74" s="12">
        <v>211</v>
      </c>
      <c r="D74" s="13">
        <f t="shared" si="1"/>
        <v>87.916666666666671</v>
      </c>
      <c r="E74" s="3" t="s">
        <v>36</v>
      </c>
    </row>
    <row r="75" spans="1:5" s="14" customFormat="1" ht="17.25" customHeight="1">
      <c r="A75" s="62" t="s">
        <v>16</v>
      </c>
      <c r="B75" s="63">
        <v>71</v>
      </c>
      <c r="C75" s="12">
        <v>54</v>
      </c>
      <c r="D75" s="13">
        <f t="shared" si="1"/>
        <v>76.056338028169009</v>
      </c>
      <c r="E75" s="3" t="s">
        <v>39</v>
      </c>
    </row>
    <row r="76" spans="1:5" s="14" customFormat="1" ht="17.25" customHeight="1">
      <c r="A76" s="62" t="s">
        <v>77</v>
      </c>
      <c r="B76" s="63">
        <v>24</v>
      </c>
      <c r="C76" s="12">
        <v>18</v>
      </c>
      <c r="D76" s="13">
        <f t="shared" si="1"/>
        <v>75</v>
      </c>
      <c r="E76" s="3" t="s">
        <v>41</v>
      </c>
    </row>
    <row r="77" spans="1:5" s="14" customFormat="1" ht="17.25" customHeight="1">
      <c r="A77" s="64" t="s">
        <v>44</v>
      </c>
      <c r="B77" s="65">
        <v>335</v>
      </c>
      <c r="C77" s="38">
        <v>292</v>
      </c>
      <c r="D77" s="36">
        <f t="shared" si="1"/>
        <v>87.164179104477611</v>
      </c>
      <c r="E77" s="41" t="s">
        <v>43</v>
      </c>
    </row>
    <row r="78" spans="1:5" s="5" customFormat="1" ht="37.5" customHeight="1">
      <c r="A78" s="45" t="s">
        <v>75</v>
      </c>
      <c r="B78" s="24">
        <f>SUM(B79:B83)</f>
        <v>4762</v>
      </c>
      <c r="C78" s="24">
        <f>SUM(C79:C83)</f>
        <v>3821</v>
      </c>
      <c r="D78" s="43">
        <f t="shared" si="1"/>
        <v>80.239395212095758</v>
      </c>
      <c r="E78" s="46" t="s">
        <v>57</v>
      </c>
    </row>
    <row r="79" spans="1:5" s="14" customFormat="1" ht="17.25" customHeight="1">
      <c r="A79" s="14" t="s">
        <v>58</v>
      </c>
      <c r="B79" s="12">
        <v>1390</v>
      </c>
      <c r="C79" s="12">
        <v>1180</v>
      </c>
      <c r="D79" s="13">
        <f t="shared" si="1"/>
        <v>84.892086330935257</v>
      </c>
      <c r="E79" s="3" t="s">
        <v>67</v>
      </c>
    </row>
    <row r="80" spans="1:5" s="14" customFormat="1" ht="17.25" customHeight="1">
      <c r="A80" s="14" t="s">
        <v>59</v>
      </c>
      <c r="B80" s="12">
        <v>1290</v>
      </c>
      <c r="C80" s="12">
        <v>1144</v>
      </c>
      <c r="D80" s="13">
        <f t="shared" si="1"/>
        <v>88.68217054263566</v>
      </c>
      <c r="E80" s="3" t="s">
        <v>68</v>
      </c>
    </row>
    <row r="81" spans="1:5" s="14" customFormat="1" ht="17.25" customHeight="1">
      <c r="A81" s="14" t="s">
        <v>60</v>
      </c>
      <c r="B81" s="12">
        <v>242</v>
      </c>
      <c r="C81" s="12">
        <v>218</v>
      </c>
      <c r="D81" s="13">
        <f t="shared" si="1"/>
        <v>90.082644628099175</v>
      </c>
      <c r="E81" s="3" t="s">
        <v>69</v>
      </c>
    </row>
    <row r="82" spans="1:5" s="14" customFormat="1" ht="17.25" customHeight="1">
      <c r="A82" s="14" t="s">
        <v>61</v>
      </c>
      <c r="B82" s="12">
        <v>1666</v>
      </c>
      <c r="C82" s="12">
        <v>1122</v>
      </c>
      <c r="D82" s="13">
        <f t="shared" si="1"/>
        <v>67.346938775510196</v>
      </c>
      <c r="E82" s="3" t="s">
        <v>70</v>
      </c>
    </row>
    <row r="83" spans="1:5" s="14" customFormat="1" ht="17.25" customHeight="1">
      <c r="A83" s="30" t="s">
        <v>66</v>
      </c>
      <c r="B83" s="31">
        <v>174</v>
      </c>
      <c r="C83" s="31">
        <v>157</v>
      </c>
      <c r="D83" s="32">
        <f t="shared" si="1"/>
        <v>90.229885057471265</v>
      </c>
      <c r="E83" s="33" t="s">
        <v>71</v>
      </c>
    </row>
    <row r="84" spans="1:5" s="60" customFormat="1" ht="15.75" customHeight="1">
      <c r="A84" s="75" t="s">
        <v>88</v>
      </c>
      <c r="B84" s="75"/>
      <c r="C84" s="75"/>
      <c r="D84" s="75"/>
      <c r="E84" s="75"/>
    </row>
    <row r="85" spans="1:5" s="60" customFormat="1" ht="12.75" customHeight="1">
      <c r="A85" s="77" t="s">
        <v>89</v>
      </c>
      <c r="B85" s="77"/>
      <c r="C85" s="77"/>
      <c r="D85" s="77"/>
      <c r="E85" s="77"/>
    </row>
    <row r="86" spans="1:5" s="60" customFormat="1" ht="12.75" customHeight="1">
      <c r="A86" s="56" t="s">
        <v>5</v>
      </c>
      <c r="B86" s="57"/>
      <c r="C86" s="57"/>
      <c r="D86" s="67"/>
    </row>
    <row r="87" spans="1:5" s="60" customFormat="1" ht="15.75" customHeight="1">
      <c r="A87" s="76" t="s">
        <v>90</v>
      </c>
      <c r="B87" s="76"/>
      <c r="C87" s="76"/>
      <c r="D87" s="76"/>
      <c r="E87" s="76"/>
    </row>
    <row r="88" spans="1:5" s="60" customFormat="1" ht="15.75" customHeight="1">
      <c r="A88" s="76" t="s">
        <v>91</v>
      </c>
      <c r="B88" s="76"/>
      <c r="C88" s="76"/>
      <c r="D88" s="76"/>
      <c r="E88" s="76"/>
    </row>
    <row r="89" spans="1:5" s="60" customFormat="1" ht="15.75" customHeight="1">
      <c r="B89" s="57"/>
      <c r="C89" s="57"/>
      <c r="D89" s="58"/>
      <c r="E89" s="59" t="s">
        <v>6</v>
      </c>
    </row>
    <row r="90" spans="1:5" s="60" customFormat="1" ht="12">
      <c r="B90" s="57"/>
      <c r="C90" s="57"/>
      <c r="D90" s="67"/>
    </row>
    <row r="91" spans="1:5" s="14" customFormat="1" ht="12.75"/>
    <row r="92" spans="1:5" s="14" customFormat="1" ht="45" customHeight="1">
      <c r="A92" s="74"/>
      <c r="B92" s="74"/>
      <c r="C92" s="12"/>
      <c r="D92" s="25"/>
    </row>
    <row r="93" spans="1:5" s="14" customFormat="1" ht="12.75">
      <c r="A93" s="66"/>
      <c r="B93" s="12"/>
      <c r="C93" s="12"/>
      <c r="D93" s="25"/>
    </row>
    <row r="94" spans="1:5" s="14" customFormat="1" ht="12.75">
      <c r="B94" s="12"/>
      <c r="C94" s="12"/>
      <c r="D94" s="25"/>
    </row>
    <row r="95" spans="1:5" s="14" customFormat="1" ht="12.75">
      <c r="B95" s="12"/>
      <c r="C95" s="12"/>
      <c r="D95" s="25"/>
    </row>
    <row r="96" spans="1:5" s="14" customFormat="1" ht="12.75">
      <c r="B96" s="12"/>
      <c r="C96" s="12"/>
      <c r="D96" s="25"/>
    </row>
    <row r="97" spans="2:4" s="14" customFormat="1" ht="12.75">
      <c r="B97" s="12"/>
      <c r="C97" s="12"/>
      <c r="D97" s="25"/>
    </row>
    <row r="98" spans="2:4" s="14" customFormat="1" ht="12.75">
      <c r="B98" s="12"/>
      <c r="C98" s="12"/>
      <c r="D98" s="25"/>
    </row>
    <row r="99" spans="2:4" s="14" customFormat="1" ht="12.75">
      <c r="B99" s="12"/>
      <c r="C99" s="12"/>
      <c r="D99" s="25"/>
    </row>
    <row r="100" spans="2:4" s="14" customFormat="1" ht="12.75">
      <c r="B100" s="12"/>
      <c r="C100" s="12"/>
      <c r="D100" s="25"/>
    </row>
    <row r="101" spans="2:4" s="14" customFormat="1" ht="12.75">
      <c r="B101" s="12"/>
      <c r="C101" s="12"/>
      <c r="D101" s="25"/>
    </row>
    <row r="102" spans="2:4" s="14" customFormat="1" ht="12.75">
      <c r="B102" s="12"/>
      <c r="C102" s="12"/>
      <c r="D102" s="25"/>
    </row>
    <row r="103" spans="2:4">
      <c r="B103" s="9"/>
      <c r="C103" s="9"/>
    </row>
    <row r="104" spans="2:4">
      <c r="B104" s="9"/>
      <c r="C104" s="9"/>
    </row>
    <row r="105" spans="2:4">
      <c r="B105" s="9"/>
      <c r="C105" s="9"/>
    </row>
    <row r="106" spans="2:4">
      <c r="B106" s="9"/>
      <c r="C106" s="9"/>
    </row>
  </sheetData>
  <mergeCells count="9">
    <mergeCell ref="E4:E5"/>
    <mergeCell ref="A4:A5"/>
    <mergeCell ref="A2:E2"/>
    <mergeCell ref="A1:E1"/>
    <mergeCell ref="A92:B92"/>
    <mergeCell ref="A84:E84"/>
    <mergeCell ref="A87:E87"/>
    <mergeCell ref="A88:E88"/>
    <mergeCell ref="A85:E85"/>
  </mergeCells>
  <pageMargins left="0.48" right="0.26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2013-07-02T09:35:54Z</dcterms:modified>
</cp:coreProperties>
</file>