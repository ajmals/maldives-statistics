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115" tabRatio="716"/>
  </bookViews>
  <sheets>
    <sheet name="20.9" sheetId="13" r:id="rId1"/>
  </sheets>
  <definedNames>
    <definedName name="_xlnm.Print_Area" localSheetId="0">'20.9'!$A$1:$M$59</definedName>
  </definedNames>
  <calcPr calcId="124519"/>
</workbook>
</file>

<file path=xl/calcChain.xml><?xml version="1.0" encoding="utf-8"?>
<calcChain xmlns="http://schemas.openxmlformats.org/spreadsheetml/2006/main">
  <c r="C83" i="13"/>
  <c r="B83"/>
  <c r="K30" l="1"/>
  <c r="J30"/>
  <c r="K29"/>
  <c r="J29"/>
  <c r="K28"/>
  <c r="J28"/>
  <c r="K27"/>
  <c r="J27"/>
  <c r="K26"/>
  <c r="J26"/>
  <c r="K25"/>
  <c r="J25"/>
  <c r="K24"/>
  <c r="J24"/>
  <c r="K23"/>
  <c r="J23"/>
  <c r="K22"/>
  <c r="J22"/>
  <c r="K21"/>
  <c r="J21"/>
  <c r="K20"/>
  <c r="J20"/>
  <c r="K19"/>
  <c r="J19"/>
  <c r="K18"/>
  <c r="J18"/>
  <c r="K17"/>
  <c r="J17"/>
  <c r="K16"/>
  <c r="J16"/>
  <c r="K15"/>
  <c r="J15"/>
  <c r="K14"/>
  <c r="J14"/>
  <c r="K13"/>
  <c r="J13"/>
  <c r="K12"/>
  <c r="J12"/>
  <c r="K11"/>
  <c r="J11"/>
  <c r="K10"/>
  <c r="J10"/>
  <c r="K9" l="1"/>
  <c r="J9" s="1"/>
  <c r="H9"/>
  <c r="G9"/>
  <c r="F9"/>
  <c r="E9"/>
  <c r="C9"/>
  <c r="B9"/>
</calcChain>
</file>

<file path=xl/sharedStrings.xml><?xml version="1.0" encoding="utf-8"?>
<sst xmlns="http://schemas.openxmlformats.org/spreadsheetml/2006/main" count="87" uniqueCount="63">
  <si>
    <t>Total</t>
  </si>
  <si>
    <t>HA</t>
  </si>
  <si>
    <t>Number of councils</t>
  </si>
  <si>
    <t>ޖުމްލަ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</si>
  <si>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</si>
  <si>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</si>
  <si>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</si>
  <si>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</si>
  <si>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</si>
  <si>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</si>
  <si>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</si>
  <si>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</si>
  <si>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</si>
  <si>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</si>
  <si>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Addu City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</si>
  <si>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</si>
  <si>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</si>
  <si>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</si>
  <si>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</si>
  <si>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</si>
  <si>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</si>
  <si>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</si>
  <si>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</si>
  <si>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</si>
  <si>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</si>
  <si>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</si>
  <si>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</si>
  <si>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</si>
  <si>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</si>
  <si>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</si>
  <si>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</si>
  <si>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</si>
  <si>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</si>
  <si>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</si>
  <si>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Male' City</t>
  </si>
  <si>
    <t>މާލޭ ސިޓީ</t>
  </si>
  <si>
    <t>އައްޑޫ ސިޓީ</t>
  </si>
  <si>
    <t>ސިޓީ / އަތޮޅު</t>
  </si>
  <si>
    <t>City / Atoll</t>
  </si>
  <si>
    <t>Gn</t>
  </si>
  <si>
    <t>GDh</t>
  </si>
  <si>
    <t>Dh</t>
  </si>
  <si>
    <t>Th</t>
  </si>
  <si>
    <t>ADh</t>
  </si>
  <si>
    <t>Lh</t>
  </si>
  <si>
    <t>Sh</t>
  </si>
  <si>
    <t>HDh</t>
  </si>
  <si>
    <t>Total council budget</t>
  </si>
  <si>
    <t>Salary &amp; allowances of council members &amp; staff</t>
  </si>
  <si>
    <t xml:space="preserve">Source:  Ministry of Finance and Treasury and Elections Commission </t>
  </si>
  <si>
    <t xml:space="preserve">ކައުންސިލްތަކުގެ </t>
  </si>
  <si>
    <t xml:space="preserve"> ޢަދަދު</t>
  </si>
  <si>
    <t>މެމްބަރުންގެ</t>
  </si>
  <si>
    <t>ކައުންސިލްތަކުގެ ޖުމްލަ ބަޖެޓް</t>
  </si>
  <si>
    <t>ކައުންސިލް މެމްބަރުންނާއި މުވައްޒަފުންގެ މުސާރައާއި އެލަވަންސް</t>
  </si>
  <si>
    <r>
      <t xml:space="preserve">Numbers      </t>
    </r>
    <r>
      <rPr>
        <b/>
        <sz val="10.5"/>
        <color theme="1"/>
        <rFont val="Faruma"/>
      </rPr>
      <t xml:space="preserve"> ޢަދަދު</t>
    </r>
  </si>
  <si>
    <r>
      <t xml:space="preserve">Percentage share  </t>
    </r>
    <r>
      <rPr>
        <b/>
        <sz val="10.5"/>
        <color theme="1"/>
        <rFont val="Faruma"/>
      </rPr>
      <t>އިންސައްތައިން</t>
    </r>
  </si>
  <si>
    <t>Number  of members (end)</t>
  </si>
  <si>
    <t>TABLE 20.9: ELECTED LOCAL COUNCIL MEMBERS BY ATOLL AND FINANCIAL RESOURCES, 2011-2012</t>
  </si>
  <si>
    <r>
      <t xml:space="preserve">Budget Expenditure  (MVR)      </t>
    </r>
    <r>
      <rPr>
        <b/>
        <sz val="10.5"/>
        <color theme="1"/>
        <rFont val="Faruma"/>
      </rPr>
      <t xml:space="preserve">  (ބަޖެޓް ޚަރަދު (ރުފިޔާ</t>
    </r>
    <r>
      <rPr>
        <b/>
        <sz val="10.5"/>
        <color theme="1"/>
        <rFont val="Calibri"/>
        <family val="2"/>
        <scheme val="minor"/>
      </rPr>
      <t xml:space="preserve"> </t>
    </r>
  </si>
  <si>
    <t>Number of members</t>
  </si>
  <si>
    <t>ތާވަލު 20.9: ލޯކަލް ކައުންސިލްތަކާއި މެމްބަރުންގެ ޢަދަދު އަދި ކައުންސިލްތަކަށް ހިނގި ޚަރަދު، 2012-2011</t>
  </si>
  <si>
    <t xml:space="preserve">މަޢުލޫމާތު ދެއްވި ފަރާތް:  މިނިސްޓްރީ އޮފް ފިނޭންސް އެންޑް ޓްރެޜަރީ އަދި އިލެކްޝަންސް ކޮމިޝަން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</si>
</sst>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_(* #,##0.0_);_(* \(#,##0.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sz val="10"/>
      <name val="Arial"/>
      <family val="2"/>
    </font>
    <font>
      <b/>
      <sz val="10"/>
      <color theme="1" tint="0.14999847407452621"/>
      <name val="Faruma"/>
    </font>
    <font>
      <sz val="10"/>
      <color theme="1" tint="0.14999847407452621"/>
      <name val="Faruma"/>
    </font>
    <font>
      <sz val="10"/>
      <name val="Faruma"/>
    </font>
    <font>
      <sz val="11"/>
      <color indexed="8"/>
      <name val="Calibri"/>
      <family val="2"/>
      <scheme val="minor"/>
    </font>
    <font>
      <b/>
      <sz val="12"/>
      <color theme="1"/>
      <name val="Faruma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.5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43" fontId="1" fillId="0" borderId="0" applyFont="0" applyFill="0" applyBorder="0" applyAlignment="0" applyProtection="0"/>
    <xf numFmtId="0" fontId="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 applyBorder="1"/>
    <xf numFmtId="0" fontId="4" fillId="2" borderId="0" xfId="0" applyFont="1" applyFill="1" applyAlignment="1">
      <alignment horizontal="left" vertical="center"/>
    </xf>
    <xf numFmtId="3" fontId="8" fillId="2" borderId="0" xfId="1" applyNumberFormat="1" applyFont="1" applyFill="1" applyBorder="1" applyAlignment="1" applyProtection="1">
      <alignment horizontal="right" vertical="center"/>
    </xf>
    <xf numFmtId="3" fontId="9" fillId="2" borderId="0" xfId="1" applyNumberFormat="1" applyFont="1" applyFill="1" applyBorder="1" applyAlignment="1" applyProtection="1">
      <alignment horizontal="right" vertical="center"/>
    </xf>
    <xf numFmtId="3" fontId="10" fillId="2" borderId="0" xfId="1" applyNumberFormat="1" applyFont="1" applyFill="1" applyBorder="1" applyAlignment="1" applyProtection="1">
      <alignment horizontal="right" vertical="center"/>
    </xf>
    <xf numFmtId="0" fontId="0" fillId="2" borderId="0" xfId="0" applyFont="1" applyFill="1" applyBorder="1"/>
    <xf numFmtId="0" fontId="11" fillId="2" borderId="0" xfId="3" applyFont="1" applyFill="1" applyBorder="1" applyAlignment="1">
      <alignment horizontal="left" vertical="top" wrapText="1" indent="2"/>
    </xf>
    <xf numFmtId="0" fontId="11" fillId="2" borderId="1" xfId="3" applyFont="1" applyFill="1" applyBorder="1" applyAlignment="1">
      <alignment horizontal="left" vertical="top" wrapText="1" indent="2"/>
    </xf>
    <xf numFmtId="3" fontId="9" fillId="2" borderId="1" xfId="1" applyNumberFormat="1" applyFont="1" applyFill="1" applyBorder="1" applyAlignment="1" applyProtection="1">
      <alignment horizontal="right" vertical="center"/>
    </xf>
    <xf numFmtId="0" fontId="12" fillId="2" borderId="0" xfId="0" applyFont="1" applyFill="1" applyAlignment="1"/>
    <xf numFmtId="166" fontId="0" fillId="2" borderId="0" xfId="2" applyNumberFormat="1" applyFont="1" applyFill="1" applyBorder="1"/>
    <xf numFmtId="43" fontId="0" fillId="2" borderId="0" xfId="2" applyFont="1" applyFill="1" applyBorder="1"/>
    <xf numFmtId="0" fontId="6" fillId="2" borderId="0" xfId="0" applyFont="1" applyFill="1" applyAlignment="1">
      <alignment vertical="center"/>
    </xf>
    <xf numFmtId="43" fontId="2" fillId="2" borderId="0" xfId="0" applyNumberFormat="1" applyFont="1" applyFill="1" applyBorder="1" applyAlignment="1">
      <alignment horizontal="center" vertical="center" wrapText="1"/>
    </xf>
    <xf numFmtId="43" fontId="11" fillId="2" borderId="0" xfId="2" applyFont="1" applyFill="1" applyBorder="1" applyAlignment="1">
      <alignment horizontal="center" vertical="center"/>
    </xf>
    <xf numFmtId="43" fontId="11" fillId="2" borderId="1" xfId="2" applyFont="1" applyFill="1" applyBorder="1" applyAlignment="1">
      <alignment horizontal="center" vertical="center"/>
    </xf>
    <xf numFmtId="166" fontId="11" fillId="2" borderId="0" xfId="2" applyNumberFormat="1" applyFont="1" applyFill="1" applyBorder="1" applyAlignment="1">
      <alignment horizontal="center" vertical="center"/>
    </xf>
    <xf numFmtId="43" fontId="2" fillId="2" borderId="5" xfId="0" applyNumberFormat="1" applyFont="1" applyFill="1" applyBorder="1" applyAlignment="1">
      <alignment horizontal="center" vertical="center" wrapText="1"/>
    </xf>
    <xf numFmtId="43" fontId="11" fillId="2" borderId="5" xfId="2" applyFont="1" applyFill="1" applyBorder="1" applyAlignment="1">
      <alignment horizontal="center" vertical="center"/>
    </xf>
    <xf numFmtId="43" fontId="11" fillId="2" borderId="4" xfId="2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right" vertical="center" wrapText="1"/>
    </xf>
    <xf numFmtId="0" fontId="0" fillId="2" borderId="0" xfId="0" applyFont="1" applyFill="1" applyBorder="1" applyAlignment="1">
      <alignment horizontal="center"/>
    </xf>
    <xf numFmtId="167" fontId="2" fillId="2" borderId="0" xfId="0" applyNumberFormat="1" applyFont="1" applyFill="1" applyBorder="1" applyAlignment="1">
      <alignment horizontal="center" vertical="center" wrapText="1"/>
    </xf>
    <xf numFmtId="167" fontId="0" fillId="2" borderId="0" xfId="0" applyNumberFormat="1" applyFont="1" applyFill="1" applyBorder="1" applyAlignment="1">
      <alignment horizontal="center" vertical="center" wrapText="1"/>
    </xf>
    <xf numFmtId="167" fontId="0" fillId="2" borderId="1" xfId="0" applyNumberFormat="1" applyFont="1" applyFill="1" applyBorder="1" applyAlignment="1">
      <alignment horizontal="center" vertical="center" wrapText="1"/>
    </xf>
    <xf numFmtId="166" fontId="2" fillId="2" borderId="0" xfId="2" applyNumberFormat="1" applyFont="1" applyFill="1" applyBorder="1" applyAlignment="1">
      <alignment horizontal="left" vertical="center" wrapText="1" indent="6"/>
    </xf>
    <xf numFmtId="166" fontId="0" fillId="2" borderId="0" xfId="2" applyNumberFormat="1" applyFont="1" applyFill="1" applyBorder="1" applyAlignment="1">
      <alignment horizontal="left" vertical="center" indent="6"/>
    </xf>
    <xf numFmtId="166" fontId="11" fillId="2" borderId="0" xfId="2" applyNumberFormat="1" applyFont="1" applyFill="1" applyBorder="1" applyAlignment="1">
      <alignment horizontal="left" vertical="center" indent="6"/>
    </xf>
    <xf numFmtId="166" fontId="0" fillId="2" borderId="1" xfId="2" applyNumberFormat="1" applyFont="1" applyFill="1" applyBorder="1" applyAlignment="1">
      <alignment horizontal="left" vertical="center" indent="6"/>
    </xf>
    <xf numFmtId="166" fontId="11" fillId="2" borderId="1" xfId="2" applyNumberFormat="1" applyFont="1" applyFill="1" applyBorder="1" applyAlignment="1">
      <alignment horizontal="left" vertical="center" indent="6"/>
    </xf>
    <xf numFmtId="0" fontId="13" fillId="2" borderId="2" xfId="0" applyFont="1" applyFill="1" applyBorder="1" applyAlignment="1">
      <alignment horizontal="center"/>
    </xf>
    <xf numFmtId="0" fontId="13" fillId="2" borderId="2" xfId="0" applyFont="1" applyFill="1" applyBorder="1"/>
    <xf numFmtId="0" fontId="15" fillId="2" borderId="0" xfId="0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right" vertical="center" wrapText="1"/>
    </xf>
    <xf numFmtId="0" fontId="14" fillId="2" borderId="7" xfId="0" applyFont="1" applyFill="1" applyBorder="1" applyAlignment="1">
      <alignment horizontal="right" vertical="center" wrapText="1"/>
    </xf>
    <xf numFmtId="0" fontId="14" fillId="2" borderId="7" xfId="0" applyFont="1" applyFill="1" applyBorder="1" applyAlignment="1">
      <alignment vertical="center" wrapText="1"/>
    </xf>
    <xf numFmtId="0" fontId="14" fillId="2" borderId="9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166" fontId="0" fillId="2" borderId="0" xfId="2" applyNumberFormat="1" applyFont="1" applyFill="1" applyBorder="1" applyAlignment="1">
      <alignment horizontal="center" vertical="center"/>
    </xf>
    <xf numFmtId="166" fontId="0" fillId="2" borderId="1" xfId="2" applyNumberFormat="1" applyFont="1" applyFill="1" applyBorder="1" applyAlignment="1">
      <alignment horizontal="center" vertical="center"/>
    </xf>
    <xf numFmtId="166" fontId="11" fillId="2" borderId="1" xfId="2" applyNumberFormat="1" applyFont="1" applyFill="1" applyBorder="1" applyAlignment="1">
      <alignment horizontal="center" vertical="center"/>
    </xf>
    <xf numFmtId="166" fontId="2" fillId="2" borderId="0" xfId="2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</cellXfs>
  <cellStyles count="6">
    <cellStyle name="Comma" xfId="2" builtinId="3"/>
    <cellStyle name="Comma 2" xfId="4"/>
    <cellStyle name="Comma 3" xfId="5"/>
    <cellStyle name="Normal" xfId="0" builtinId="0"/>
    <cellStyle name="Normal_19.8" xfId="3"/>
    <cellStyle name="Normal_II-15(Population)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 b="1" i="0" u="none" strike="noStrike" baseline="0">
                <a:latin typeface="+mn-lt"/>
              </a:rPr>
              <a:t>Figure 20.7: </a:t>
            </a:r>
            <a:r>
              <a:rPr lang="en-US" sz="1100">
                <a:latin typeface="+mn-lt"/>
              </a:rPr>
              <a:t>Share of salary &amp; allowances </a:t>
            </a:r>
            <a:r>
              <a:rPr lang="en-US" sz="1100" baseline="0">
                <a:latin typeface="+mn-lt"/>
              </a:rPr>
              <a:t> as  a percentage  of council budget, 2012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9581904461344446"/>
          <c:y val="4.6689946282052572E-2"/>
        </c:manualLayout>
      </c:layout>
    </c:title>
    <c:plotArea>
      <c:layout>
        <c:manualLayout>
          <c:layoutTarget val="inner"/>
          <c:xMode val="edge"/>
          <c:yMode val="edge"/>
          <c:x val="8.3293476811789627E-2"/>
          <c:y val="0.14788366482990953"/>
          <c:w val="0.89284232107309081"/>
          <c:h val="0.62680977155626449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2">
                <a:lumMod val="75000"/>
              </a:schemeClr>
            </a:solidFill>
          </c:spPr>
          <c:cat>
            <c:strRef>
              <c:f>'20.9'!$A$10:$A$30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'20.9'!$K$10:$K$30</c:f>
              <c:numCache>
                <c:formatCode>_(* #,##0.0_);_(* \(#,##0.0\);_(* "-"??_);_(@_)</c:formatCode>
                <c:ptCount val="21"/>
                <c:pt idx="0">
                  <c:v>63.051205870886797</c:v>
                </c:pt>
                <c:pt idx="1">
                  <c:v>71.640143254623794</c:v>
                </c:pt>
                <c:pt idx="2">
                  <c:v>69.698740478171899</c:v>
                </c:pt>
                <c:pt idx="3">
                  <c:v>68.982920790280261</c:v>
                </c:pt>
                <c:pt idx="4">
                  <c:v>70.838036097802117</c:v>
                </c:pt>
                <c:pt idx="5">
                  <c:v>71.475871335501083</c:v>
                </c:pt>
                <c:pt idx="6">
                  <c:v>70.213462525441699</c:v>
                </c:pt>
                <c:pt idx="7">
                  <c:v>68.422956632302672</c:v>
                </c:pt>
                <c:pt idx="8">
                  <c:v>75.580713487664084</c:v>
                </c:pt>
                <c:pt idx="9">
                  <c:v>74.537658798885275</c:v>
                </c:pt>
                <c:pt idx="10">
                  <c:v>74.439621300720788</c:v>
                </c:pt>
                <c:pt idx="11">
                  <c:v>76.609259259962329</c:v>
                </c:pt>
                <c:pt idx="12">
                  <c:v>71.706309208605077</c:v>
                </c:pt>
                <c:pt idx="13">
                  <c:v>67.78843762609975</c:v>
                </c:pt>
                <c:pt idx="14">
                  <c:v>72.625351159879472</c:v>
                </c:pt>
                <c:pt idx="15">
                  <c:v>74.891855559477406</c:v>
                </c:pt>
                <c:pt idx="16">
                  <c:v>75.883720504046764</c:v>
                </c:pt>
                <c:pt idx="17">
                  <c:v>76.192017676579681</c:v>
                </c:pt>
                <c:pt idx="18">
                  <c:v>72.127007983103681</c:v>
                </c:pt>
                <c:pt idx="19">
                  <c:v>49.421360219177743</c:v>
                </c:pt>
                <c:pt idx="20">
                  <c:v>69.514513295795638</c:v>
                </c:pt>
              </c:numCache>
            </c:numRef>
          </c:val>
        </c:ser>
        <c:axId val="90509312"/>
        <c:axId val="90510848"/>
      </c:barChart>
      <c:catAx>
        <c:axId val="90509312"/>
        <c:scaling>
          <c:orientation val="minMax"/>
        </c:scaling>
        <c:axPos val="b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0510848"/>
        <c:crosses val="autoZero"/>
        <c:auto val="1"/>
        <c:lblAlgn val="ctr"/>
        <c:lblOffset val="100"/>
      </c:catAx>
      <c:valAx>
        <c:axId val="90510848"/>
        <c:scaling>
          <c:orientation val="minMax"/>
          <c:max val="8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9081419529871305E-2"/>
              <c:y val="0.35286447722272063"/>
            </c:manualLayout>
          </c:layout>
        </c:title>
        <c:numFmt formatCode="#,##0" sourceLinked="0"/>
        <c:majorTickMark val="none"/>
        <c:tickLblPos val="nextTo"/>
        <c:crossAx val="90509312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 b="1" i="0" u="none" strike="noStrike" baseline="0">
                <a:latin typeface="+mn-lt"/>
              </a:rPr>
              <a:t>Figure 20.6: </a:t>
            </a:r>
            <a:r>
              <a:rPr lang="en-US" sz="1100">
                <a:latin typeface="+mn-lt"/>
              </a:rPr>
              <a:t>Number</a:t>
            </a:r>
            <a:r>
              <a:rPr lang="en-US" sz="1100" baseline="0">
                <a:latin typeface="+mn-lt"/>
              </a:rPr>
              <a:t> of local councils and council members by Atoll, 2012</a:t>
            </a:r>
            <a:endParaRPr lang="en-US" sz="1100">
              <a:latin typeface="+mn-lt"/>
            </a:endParaRPr>
          </a:p>
        </c:rich>
      </c:tx>
    </c:title>
    <c:plotArea>
      <c:layout>
        <c:manualLayout>
          <c:layoutTarget val="inner"/>
          <c:xMode val="edge"/>
          <c:yMode val="edge"/>
          <c:x val="0.10301557244557016"/>
          <c:y val="0.13819717466643464"/>
          <c:w val="0.86386452930633961"/>
          <c:h val="0.70333183453800618"/>
        </c:manualLayout>
      </c:layout>
      <c:barChart>
        <c:barDir val="col"/>
        <c:grouping val="clustered"/>
        <c:ser>
          <c:idx val="0"/>
          <c:order val="0"/>
          <c:tx>
            <c:strRef>
              <c:f>'20.9'!$B$61</c:f>
              <c:strCache>
                <c:ptCount val="1"/>
                <c:pt idx="0">
                  <c:v>Number of councils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'20.9'!$A$62:$A$82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'20.9'!$B$62:$B$82</c:f>
              <c:numCache>
                <c:formatCode>_(* #,##0_);_(* \(#,##0\);_(* "-"??_);_(@_)</c:formatCode>
                <c:ptCount val="21"/>
                <c:pt idx="0">
                  <c:v>11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16</c:v>
                </c:pt>
                <c:pt idx="5">
                  <c:v>20</c:v>
                </c:pt>
                <c:pt idx="6">
                  <c:v>16</c:v>
                </c:pt>
                <c:pt idx="7">
                  <c:v>7</c:v>
                </c:pt>
                <c:pt idx="8">
                  <c:v>12</c:v>
                </c:pt>
                <c:pt idx="9">
                  <c:v>10</c:v>
                </c:pt>
                <c:pt idx="10">
                  <c:v>12</c:v>
                </c:pt>
                <c:pt idx="11">
                  <c:v>7</c:v>
                </c:pt>
                <c:pt idx="12">
                  <c:v>10</c:v>
                </c:pt>
                <c:pt idx="13">
                  <c:v>7</c:v>
                </c:pt>
                <c:pt idx="14">
                  <c:v>9</c:v>
                </c:pt>
                <c:pt idx="15">
                  <c:v>16</c:v>
                </c:pt>
                <c:pt idx="16">
                  <c:v>15</c:v>
                </c:pt>
                <c:pt idx="17">
                  <c:v>12</c:v>
                </c:pt>
                <c:pt idx="18">
                  <c:v>13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</c:ser>
        <c:ser>
          <c:idx val="1"/>
          <c:order val="1"/>
          <c:tx>
            <c:strRef>
              <c:f>'20.9'!$C$61</c:f>
              <c:strCache>
                <c:ptCount val="1"/>
                <c:pt idx="0">
                  <c:v>Number of members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'20.9'!$A$62:$A$82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'20.9'!$C$62:$C$82</c:f>
              <c:numCache>
                <c:formatCode>_(* #,##0_);_(* \(#,##0\);_(* "-"??_);_(@_)</c:formatCode>
                <c:ptCount val="21"/>
                <c:pt idx="0">
                  <c:v>11</c:v>
                </c:pt>
                <c:pt idx="1">
                  <c:v>84</c:v>
                </c:pt>
                <c:pt idx="2">
                  <c:v>77</c:v>
                </c:pt>
                <c:pt idx="3">
                  <c:v>78</c:v>
                </c:pt>
                <c:pt idx="4">
                  <c:v>71</c:v>
                </c:pt>
                <c:pt idx="5">
                  <c:v>87</c:v>
                </c:pt>
                <c:pt idx="6">
                  <c:v>71</c:v>
                </c:pt>
                <c:pt idx="7">
                  <c:v>30</c:v>
                </c:pt>
                <c:pt idx="8">
                  <c:v>51</c:v>
                </c:pt>
                <c:pt idx="9">
                  <c:v>46</c:v>
                </c:pt>
                <c:pt idx="10">
                  <c:v>56</c:v>
                </c:pt>
                <c:pt idx="11">
                  <c:v>31</c:v>
                </c:pt>
                <c:pt idx="12">
                  <c:v>46</c:v>
                </c:pt>
                <c:pt idx="13">
                  <c:v>31</c:v>
                </c:pt>
                <c:pt idx="14">
                  <c:v>41</c:v>
                </c:pt>
                <c:pt idx="15">
                  <c:v>71</c:v>
                </c:pt>
                <c:pt idx="16">
                  <c:v>65</c:v>
                </c:pt>
                <c:pt idx="17">
                  <c:v>53</c:v>
                </c:pt>
                <c:pt idx="18">
                  <c:v>55</c:v>
                </c:pt>
                <c:pt idx="19">
                  <c:v>30</c:v>
                </c:pt>
                <c:pt idx="20">
                  <c:v>6</c:v>
                </c:pt>
              </c:numCache>
            </c:numRef>
          </c:val>
        </c:ser>
        <c:axId val="90536192"/>
        <c:axId val="90542080"/>
      </c:barChart>
      <c:catAx>
        <c:axId val="90536192"/>
        <c:scaling>
          <c:orientation val="minMax"/>
        </c:scaling>
        <c:axPos val="b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0542080"/>
        <c:crosses val="autoZero"/>
        <c:auto val="1"/>
        <c:lblAlgn val="ctr"/>
        <c:lblOffset val="100"/>
      </c:catAx>
      <c:valAx>
        <c:axId val="90542080"/>
        <c:scaling>
          <c:orientation val="minMax"/>
          <c:max val="9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>
                    <a:latin typeface="+mn-lt"/>
                  </a:rPr>
                  <a:t>In Numbers</a:t>
                </a:r>
              </a:p>
            </c:rich>
          </c:tx>
          <c:layout>
            <c:manualLayout>
              <c:xMode val="edge"/>
              <c:yMode val="edge"/>
              <c:x val="2.0115959796591202E-2"/>
              <c:y val="0.31544903114780615"/>
            </c:manualLayout>
          </c:layout>
        </c:title>
        <c:numFmt formatCode="_(* #,##0_);_(* \(#,##0\);_(* &quot;-&quot;??_);_(@_)" sourceLinked="1"/>
        <c:tickLblPos val="nextTo"/>
        <c:crossAx val="90536192"/>
        <c:crosses val="autoZero"/>
        <c:crossBetween val="between"/>
      </c:valAx>
      <c:spPr>
        <a:noFill/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55932016902809345"/>
          <c:y val="0.14505604200300845"/>
          <c:w val="0.36724504833048244"/>
          <c:h val="8.4168212429814426E-2"/>
        </c:manualLayout>
      </c:layout>
      <c:txPr>
        <a:bodyPr/>
        <a:lstStyle/>
        <a:p>
          <a:pPr>
            <a:defRPr b="0"/>
          </a:pPr>
          <a:endParaRPr lang="en-US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50</xdr:row>
      <xdr:rowOff>123079</xdr:rowOff>
    </xdr:from>
    <xdr:to>
      <xdr:col>11</xdr:col>
      <xdr:colOff>507999</xdr:colOff>
      <xdr:row>58</xdr:row>
      <xdr:rowOff>1748865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443004</xdr:colOff>
      <xdr:row>32</xdr:row>
      <xdr:rowOff>115607</xdr:rowOff>
    </xdr:from>
    <xdr:to>
      <xdr:col>11</xdr:col>
      <xdr:colOff>508000</xdr:colOff>
      <xdr:row>49</xdr:row>
      <xdr:rowOff>70783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tabSelected="1" workbookViewId="0">
      <selection activeCell="F11" sqref="F11"/>
    </sheetView>
  </sheetViews>
  <sheetFormatPr defaultRowHeight="15"/>
  <cols>
    <col min="1" max="1" width="13" style="6" customWidth="1"/>
    <col min="2" max="2" width="12.7109375" style="22" customWidth="1"/>
    <col min="3" max="3" width="15.140625" style="6" customWidth="1"/>
    <col min="4" max="4" width="0.5703125" style="6" customWidth="1"/>
    <col min="5" max="6" width="12.28515625" style="6" customWidth="1"/>
    <col min="7" max="8" width="11.85546875" style="6" customWidth="1"/>
    <col min="9" max="9" width="0.85546875" style="6" customWidth="1"/>
    <col min="10" max="11" width="14" style="6" customWidth="1"/>
    <col min="12" max="12" width="15.7109375" style="6" customWidth="1"/>
    <col min="13" max="13" width="3" style="6" customWidth="1"/>
    <col min="14" max="14" width="9.140625" style="6"/>
    <col min="15" max="15" width="15" style="11" customWidth="1"/>
    <col min="16" max="16" width="21" style="11" customWidth="1"/>
    <col min="17" max="16384" width="9.140625" style="6"/>
  </cols>
  <sheetData>
    <row r="1" spans="1:18" ht="21.75">
      <c r="A1" s="58" t="s">
        <v>61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10"/>
      <c r="N1" s="10"/>
    </row>
    <row r="2" spans="1:18">
      <c r="A2" s="59" t="s">
        <v>58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8">
      <c r="B3" s="60"/>
      <c r="C3" s="60"/>
      <c r="D3" s="60"/>
      <c r="E3" s="60"/>
      <c r="F3" s="22"/>
      <c r="G3" s="60"/>
      <c r="H3" s="60"/>
      <c r="I3" s="24"/>
      <c r="J3" s="22"/>
      <c r="K3" s="22"/>
    </row>
    <row r="4" spans="1:18" ht="19.5" customHeight="1">
      <c r="A4" s="52" t="s">
        <v>38</v>
      </c>
      <c r="B4" s="33"/>
      <c r="C4" s="34"/>
      <c r="D4" s="34"/>
      <c r="E4" s="61" t="s">
        <v>59</v>
      </c>
      <c r="F4" s="61"/>
      <c r="G4" s="61"/>
      <c r="H4" s="61"/>
      <c r="I4" s="61"/>
      <c r="J4" s="61"/>
      <c r="K4" s="61"/>
      <c r="L4" s="48" t="s">
        <v>37</v>
      </c>
    </row>
    <row r="5" spans="1:18" ht="16.5" customHeight="1">
      <c r="A5" s="53"/>
      <c r="B5" s="35" t="s">
        <v>50</v>
      </c>
      <c r="C5" s="35" t="s">
        <v>52</v>
      </c>
      <c r="D5" s="35"/>
      <c r="E5" s="56" t="s">
        <v>47</v>
      </c>
      <c r="F5" s="57"/>
      <c r="G5" s="62" t="s">
        <v>48</v>
      </c>
      <c r="H5" s="63"/>
      <c r="I5" s="63"/>
      <c r="J5" s="63"/>
      <c r="K5" s="63"/>
      <c r="L5" s="49"/>
    </row>
    <row r="6" spans="1:18" ht="18" customHeight="1">
      <c r="A6" s="53"/>
      <c r="B6" s="35" t="s">
        <v>51</v>
      </c>
      <c r="C6" s="35" t="s">
        <v>51</v>
      </c>
      <c r="D6" s="35"/>
      <c r="E6" s="56"/>
      <c r="F6" s="57"/>
      <c r="G6" s="54" t="s">
        <v>54</v>
      </c>
      <c r="H6" s="55"/>
      <c r="I6" s="55"/>
      <c r="J6" s="55"/>
      <c r="K6" s="55"/>
      <c r="L6" s="49"/>
    </row>
    <row r="7" spans="1:18" ht="28.5" customHeight="1">
      <c r="A7" s="53"/>
      <c r="B7" s="36" t="s">
        <v>2</v>
      </c>
      <c r="C7" s="36" t="s">
        <v>57</v>
      </c>
      <c r="D7" s="36"/>
      <c r="E7" s="66" t="s">
        <v>53</v>
      </c>
      <c r="F7" s="67"/>
      <c r="G7" s="64" t="s">
        <v>55</v>
      </c>
      <c r="H7" s="65"/>
      <c r="I7" s="42"/>
      <c r="J7" s="65" t="s">
        <v>56</v>
      </c>
      <c r="K7" s="65"/>
      <c r="L7" s="49"/>
    </row>
    <row r="8" spans="1:18" ht="18" customHeight="1">
      <c r="A8" s="51"/>
      <c r="B8" s="37">
        <v>2012</v>
      </c>
      <c r="C8" s="37">
        <v>2012</v>
      </c>
      <c r="D8" s="38"/>
      <c r="E8" s="37">
        <v>2011</v>
      </c>
      <c r="F8" s="37">
        <v>2012</v>
      </c>
      <c r="G8" s="39">
        <v>2011</v>
      </c>
      <c r="H8" s="37">
        <v>2012</v>
      </c>
      <c r="I8" s="37"/>
      <c r="J8" s="37">
        <v>2011</v>
      </c>
      <c r="K8" s="37">
        <v>2012</v>
      </c>
      <c r="L8" s="50"/>
    </row>
    <row r="9" spans="1:18" ht="19.5" customHeight="1">
      <c r="A9" s="21" t="s">
        <v>0</v>
      </c>
      <c r="B9" s="28">
        <f t="shared" ref="B9:H9" si="0">SUM(B10:B30)</f>
        <v>265</v>
      </c>
      <c r="C9" s="28">
        <f t="shared" si="0"/>
        <v>1091</v>
      </c>
      <c r="D9" s="28"/>
      <c r="E9" s="14">
        <f t="shared" si="0"/>
        <v>662.69137099999989</v>
      </c>
      <c r="F9" s="14">
        <f t="shared" si="0"/>
        <v>944.12688868696591</v>
      </c>
      <c r="G9" s="18">
        <f>SUM(G10:G30)</f>
        <v>446.27385500000003</v>
      </c>
      <c r="H9" s="14">
        <f t="shared" si="0"/>
        <v>661.70712811946635</v>
      </c>
      <c r="I9" s="14"/>
      <c r="J9" s="25">
        <f>G9/E9*100</f>
        <v>67.342638599107403</v>
      </c>
      <c r="K9" s="25">
        <f>H9/F9*100</f>
        <v>70.086673311436797</v>
      </c>
      <c r="L9" s="23" t="s">
        <v>3</v>
      </c>
    </row>
    <row r="10" spans="1:18" ht="19.5" customHeight="1">
      <c r="A10" s="7" t="s">
        <v>34</v>
      </c>
      <c r="B10" s="29">
        <v>11</v>
      </c>
      <c r="C10" s="30">
        <v>11</v>
      </c>
      <c r="D10" s="30"/>
      <c r="E10" s="15">
        <v>61.912550000000003</v>
      </c>
      <c r="F10" s="15">
        <v>143.67807293293325</v>
      </c>
      <c r="G10" s="19">
        <v>33.687016</v>
      </c>
      <c r="H10" s="15">
        <v>90.590757556266624</v>
      </c>
      <c r="I10" s="15"/>
      <c r="J10" s="26">
        <f t="shared" ref="J10:K30" si="1">G10/E10*100</f>
        <v>54.410642107294883</v>
      </c>
      <c r="K10" s="26">
        <f t="shared" si="1"/>
        <v>63.051205870886797</v>
      </c>
      <c r="L10" s="4" t="s">
        <v>35</v>
      </c>
      <c r="N10" s="12"/>
      <c r="Q10" s="12"/>
      <c r="R10" s="12"/>
    </row>
    <row r="11" spans="1:18" ht="19.5" customHeight="1">
      <c r="A11" s="7" t="s">
        <v>1</v>
      </c>
      <c r="B11" s="29">
        <v>19</v>
      </c>
      <c r="C11" s="30">
        <v>84</v>
      </c>
      <c r="D11" s="30"/>
      <c r="E11" s="15">
        <v>42.078754000000004</v>
      </c>
      <c r="F11" s="15">
        <v>59.234651623333306</v>
      </c>
      <c r="G11" s="19">
        <v>30.011016000000001</v>
      </c>
      <c r="H11" s="15">
        <v>42.435789279333314</v>
      </c>
      <c r="I11" s="15"/>
      <c r="J11" s="26">
        <f t="shared" si="1"/>
        <v>71.321066208376791</v>
      </c>
      <c r="K11" s="26">
        <f t="shared" si="1"/>
        <v>71.640143254623794</v>
      </c>
      <c r="L11" s="4" t="s">
        <v>15</v>
      </c>
      <c r="N11" s="12"/>
      <c r="Q11" s="12"/>
      <c r="R11" s="12"/>
    </row>
    <row r="12" spans="1:18" ht="19.5" customHeight="1">
      <c r="A12" s="7" t="s">
        <v>46</v>
      </c>
      <c r="B12" s="29">
        <v>18</v>
      </c>
      <c r="C12" s="30">
        <v>77</v>
      </c>
      <c r="D12" s="30"/>
      <c r="E12" s="15">
        <v>44.467179999999999</v>
      </c>
      <c r="F12" s="15">
        <v>63.461003186399971</v>
      </c>
      <c r="G12" s="19">
        <v>30.574224999999998</v>
      </c>
      <c r="H12" s="15">
        <v>44.231519915733315</v>
      </c>
      <c r="I12" s="15"/>
      <c r="J12" s="26">
        <f t="shared" si="1"/>
        <v>68.756833691724992</v>
      </c>
      <c r="K12" s="26">
        <f t="shared" si="1"/>
        <v>69.698740478171899</v>
      </c>
      <c r="L12" s="4" t="s">
        <v>16</v>
      </c>
      <c r="N12" s="12"/>
      <c r="Q12" s="12"/>
      <c r="R12" s="12"/>
    </row>
    <row r="13" spans="1:18" ht="19.5" customHeight="1">
      <c r="A13" s="7" t="s">
        <v>45</v>
      </c>
      <c r="B13" s="29">
        <v>18</v>
      </c>
      <c r="C13" s="30">
        <v>78</v>
      </c>
      <c r="D13" s="30"/>
      <c r="E13" s="15">
        <v>39.581037999999999</v>
      </c>
      <c r="F13" s="15">
        <v>54.097873275599966</v>
      </c>
      <c r="G13" s="19">
        <v>27.44192</v>
      </c>
      <c r="H13" s="15">
        <v>37.318293070933315</v>
      </c>
      <c r="I13" s="15"/>
      <c r="J13" s="26">
        <f t="shared" si="1"/>
        <v>69.330976110328379</v>
      </c>
      <c r="K13" s="26">
        <f t="shared" si="1"/>
        <v>68.982920790280261</v>
      </c>
      <c r="L13" s="4" t="s">
        <v>17</v>
      </c>
      <c r="N13" s="12"/>
      <c r="Q13" s="12"/>
      <c r="R13" s="12"/>
    </row>
    <row r="14" spans="1:18" ht="19.5" customHeight="1">
      <c r="A14" s="7" t="s">
        <v>11</v>
      </c>
      <c r="B14" s="29">
        <v>16</v>
      </c>
      <c r="C14" s="30">
        <v>71</v>
      </c>
      <c r="D14" s="30"/>
      <c r="E14" s="15">
        <v>33.173864000000002</v>
      </c>
      <c r="F14" s="15">
        <v>49.458648533999963</v>
      </c>
      <c r="G14" s="19">
        <v>24.324807</v>
      </c>
      <c r="H14" s="15">
        <v>35.035535301999971</v>
      </c>
      <c r="I14" s="15"/>
      <c r="J14" s="26">
        <f t="shared" si="1"/>
        <v>73.325214693109004</v>
      </c>
      <c r="K14" s="26">
        <f t="shared" si="1"/>
        <v>70.838036097802117</v>
      </c>
      <c r="L14" s="5" t="s">
        <v>18</v>
      </c>
      <c r="N14" s="12"/>
      <c r="Q14" s="12"/>
      <c r="R14" s="12"/>
    </row>
    <row r="15" spans="1:18" ht="19.5" customHeight="1">
      <c r="A15" s="7" t="s">
        <v>12</v>
      </c>
      <c r="B15" s="29">
        <v>20</v>
      </c>
      <c r="C15" s="30">
        <v>87</v>
      </c>
      <c r="D15" s="30"/>
      <c r="E15" s="15">
        <v>40.468159</v>
      </c>
      <c r="F15" s="15">
        <v>58.280054471999968</v>
      </c>
      <c r="G15" s="19">
        <v>29.724703999999999</v>
      </c>
      <c r="H15" s="15">
        <v>41.656176748666645</v>
      </c>
      <c r="I15" s="15"/>
      <c r="J15" s="26">
        <f t="shared" si="1"/>
        <v>73.452078707113898</v>
      </c>
      <c r="K15" s="26">
        <f t="shared" si="1"/>
        <v>71.475871335501083</v>
      </c>
      <c r="L15" s="4" t="s">
        <v>19</v>
      </c>
      <c r="N15" s="12"/>
      <c r="Q15" s="12"/>
      <c r="R15" s="12"/>
    </row>
    <row r="16" spans="1:18" ht="19.5" customHeight="1">
      <c r="A16" s="7" t="s">
        <v>5</v>
      </c>
      <c r="B16" s="29">
        <v>16</v>
      </c>
      <c r="C16" s="30">
        <v>71</v>
      </c>
      <c r="D16" s="30"/>
      <c r="E16" s="15">
        <v>33.264260999999998</v>
      </c>
      <c r="F16" s="15">
        <v>47.619322346933323</v>
      </c>
      <c r="G16" s="19">
        <v>25.201101000000001</v>
      </c>
      <c r="H16" s="15">
        <v>33.43517505093331</v>
      </c>
      <c r="I16" s="15"/>
      <c r="J16" s="26">
        <f t="shared" si="1"/>
        <v>75.760291202621346</v>
      </c>
      <c r="K16" s="26">
        <f t="shared" si="1"/>
        <v>70.213462525441699</v>
      </c>
      <c r="L16" s="4" t="s">
        <v>20</v>
      </c>
      <c r="N16" s="12"/>
      <c r="Q16" s="12"/>
      <c r="R16" s="12"/>
    </row>
    <row r="17" spans="1:18" ht="19.5" customHeight="1">
      <c r="A17" s="7" t="s">
        <v>44</v>
      </c>
      <c r="B17" s="29">
        <v>7</v>
      </c>
      <c r="C17" s="30">
        <v>30</v>
      </c>
      <c r="D17" s="30"/>
      <c r="E17" s="15">
        <v>17.716802000000001</v>
      </c>
      <c r="F17" s="15">
        <v>25.918625707599983</v>
      </c>
      <c r="G17" s="19">
        <v>13.163275000000001</v>
      </c>
      <c r="H17" s="15">
        <v>17.73429002759999</v>
      </c>
      <c r="I17" s="15"/>
      <c r="J17" s="26">
        <f t="shared" si="1"/>
        <v>74.298256536365869</v>
      </c>
      <c r="K17" s="26">
        <f t="shared" si="1"/>
        <v>68.422956632302672</v>
      </c>
      <c r="L17" s="4" t="s">
        <v>21</v>
      </c>
      <c r="N17" s="12"/>
      <c r="Q17" s="12"/>
      <c r="R17" s="12"/>
    </row>
    <row r="18" spans="1:18" ht="19.5" customHeight="1">
      <c r="A18" s="7" t="s">
        <v>8</v>
      </c>
      <c r="B18" s="29">
        <v>12</v>
      </c>
      <c r="C18" s="30">
        <v>51</v>
      </c>
      <c r="D18" s="30"/>
      <c r="E18" s="15">
        <v>25.699311000000002</v>
      </c>
      <c r="F18" s="15">
        <v>33.972736893066646</v>
      </c>
      <c r="G18" s="19">
        <v>19.601483000000002</v>
      </c>
      <c r="H18" s="15">
        <v>25.676836935066657</v>
      </c>
      <c r="I18" s="15"/>
      <c r="J18" s="26">
        <f t="shared" si="1"/>
        <v>76.27240668047483</v>
      </c>
      <c r="K18" s="26">
        <f t="shared" si="1"/>
        <v>75.580713487664084</v>
      </c>
      <c r="L18" s="4" t="s">
        <v>22</v>
      </c>
      <c r="N18" s="12"/>
      <c r="Q18" s="12"/>
      <c r="R18" s="12"/>
    </row>
    <row r="19" spans="1:18" ht="19.5" customHeight="1">
      <c r="A19" s="7" t="s">
        <v>4</v>
      </c>
      <c r="B19" s="29">
        <v>10</v>
      </c>
      <c r="C19" s="30">
        <v>46</v>
      </c>
      <c r="D19" s="30"/>
      <c r="E19" s="15">
        <v>20.612411000000002</v>
      </c>
      <c r="F19" s="15">
        <v>27.269945023866658</v>
      </c>
      <c r="G19" s="19">
        <v>15.423232</v>
      </c>
      <c r="H19" s="15">
        <v>20.326378576533322</v>
      </c>
      <c r="I19" s="15"/>
      <c r="J19" s="26">
        <f t="shared" si="1"/>
        <v>74.824978019310791</v>
      </c>
      <c r="K19" s="26">
        <f t="shared" si="1"/>
        <v>74.537658798885275</v>
      </c>
      <c r="L19" s="4" t="s">
        <v>23</v>
      </c>
      <c r="N19" s="12"/>
      <c r="Q19" s="12"/>
      <c r="R19" s="12"/>
    </row>
    <row r="20" spans="1:18" ht="19.5" customHeight="1">
      <c r="A20" s="7" t="s">
        <v>43</v>
      </c>
      <c r="B20" s="29">
        <v>12</v>
      </c>
      <c r="C20" s="30">
        <v>56</v>
      </c>
      <c r="D20" s="30"/>
      <c r="E20" s="15">
        <v>26.116046999999998</v>
      </c>
      <c r="F20" s="15">
        <v>38.497692877599974</v>
      </c>
      <c r="G20" s="19">
        <v>20.897197999999999</v>
      </c>
      <c r="H20" s="15">
        <v>28.65753678759998</v>
      </c>
      <c r="I20" s="15"/>
      <c r="J20" s="26">
        <f t="shared" si="1"/>
        <v>80.016696248096054</v>
      </c>
      <c r="K20" s="26">
        <f t="shared" si="1"/>
        <v>74.439621300720788</v>
      </c>
      <c r="L20" s="4" t="s">
        <v>24</v>
      </c>
      <c r="N20" s="12"/>
      <c r="Q20" s="12"/>
      <c r="R20" s="12"/>
    </row>
    <row r="21" spans="1:18" ht="18.75">
      <c r="A21" s="7" t="s">
        <v>13</v>
      </c>
      <c r="B21" s="29">
        <v>7</v>
      </c>
      <c r="C21" s="30">
        <v>31</v>
      </c>
      <c r="D21" s="30"/>
      <c r="E21" s="15">
        <v>12.252014000000001</v>
      </c>
      <c r="F21" s="15">
        <v>16.012314227066661</v>
      </c>
      <c r="G21" s="19">
        <v>9.5316729999999996</v>
      </c>
      <c r="H21" s="15">
        <v>12.26691531973333</v>
      </c>
      <c r="I21" s="15"/>
      <c r="J21" s="26">
        <f t="shared" si="1"/>
        <v>77.796785083660524</v>
      </c>
      <c r="K21" s="26">
        <f t="shared" si="1"/>
        <v>76.609259259962329</v>
      </c>
      <c r="L21" s="4" t="s">
        <v>25</v>
      </c>
      <c r="N21" s="12"/>
      <c r="Q21" s="12"/>
      <c r="R21" s="12"/>
    </row>
    <row r="22" spans="1:18" ht="24.75" customHeight="1">
      <c r="A22" s="7" t="s">
        <v>10</v>
      </c>
      <c r="B22" s="29">
        <v>10</v>
      </c>
      <c r="C22" s="30">
        <v>46</v>
      </c>
      <c r="D22" s="30"/>
      <c r="E22" s="15">
        <v>26.333266999999999</v>
      </c>
      <c r="F22" s="15">
        <v>30.485201150533321</v>
      </c>
      <c r="G22" s="19">
        <v>16.919053999999999</v>
      </c>
      <c r="H22" s="15">
        <v>21.859812599866657</v>
      </c>
      <c r="I22" s="15"/>
      <c r="J22" s="26">
        <f t="shared" si="1"/>
        <v>64.249733996165375</v>
      </c>
      <c r="K22" s="26">
        <f t="shared" si="1"/>
        <v>71.706309208605077</v>
      </c>
      <c r="L22" s="4" t="s">
        <v>26</v>
      </c>
      <c r="N22" s="12"/>
      <c r="Q22" s="12"/>
      <c r="R22" s="12"/>
    </row>
    <row r="23" spans="1:18" ht="19.5" customHeight="1">
      <c r="A23" s="7" t="s">
        <v>6</v>
      </c>
      <c r="B23" s="29">
        <v>7</v>
      </c>
      <c r="C23" s="30">
        <v>31</v>
      </c>
      <c r="D23" s="30"/>
      <c r="E23" s="15">
        <v>17.607847</v>
      </c>
      <c r="F23" s="15">
        <v>26.469033933733321</v>
      </c>
      <c r="G23" s="19">
        <v>12.888885999999999</v>
      </c>
      <c r="H23" s="15">
        <v>17.94294455839999</v>
      </c>
      <c r="I23" s="15"/>
      <c r="J23" s="26">
        <f t="shared" si="1"/>
        <v>73.199670578691425</v>
      </c>
      <c r="K23" s="26">
        <f t="shared" si="1"/>
        <v>67.78843762609975</v>
      </c>
      <c r="L23" s="4" t="s">
        <v>27</v>
      </c>
      <c r="N23" s="12"/>
      <c r="Q23" s="12"/>
      <c r="R23" s="12"/>
    </row>
    <row r="24" spans="1:18" ht="19.5" customHeight="1">
      <c r="A24" s="7" t="s">
        <v>41</v>
      </c>
      <c r="B24" s="29">
        <v>9</v>
      </c>
      <c r="C24" s="30">
        <v>41</v>
      </c>
      <c r="D24" s="30"/>
      <c r="E24" s="15">
        <v>22.704632</v>
      </c>
      <c r="F24" s="15">
        <v>29.713119558799981</v>
      </c>
      <c r="G24" s="19">
        <v>15.778739</v>
      </c>
      <c r="H24" s="15">
        <v>21.579257420133317</v>
      </c>
      <c r="I24" s="15"/>
      <c r="J24" s="26">
        <f t="shared" si="1"/>
        <v>69.495682643083583</v>
      </c>
      <c r="K24" s="26">
        <f t="shared" si="1"/>
        <v>72.625351159879472</v>
      </c>
      <c r="L24" s="4" t="s">
        <v>28</v>
      </c>
      <c r="N24" s="12"/>
      <c r="Q24" s="12"/>
      <c r="R24" s="12"/>
    </row>
    <row r="25" spans="1:18" ht="19.5" customHeight="1">
      <c r="A25" s="7" t="s">
        <v>42</v>
      </c>
      <c r="B25" s="29">
        <v>16</v>
      </c>
      <c r="C25" s="30">
        <v>71</v>
      </c>
      <c r="D25" s="30"/>
      <c r="E25" s="15">
        <v>36.466698000000001</v>
      </c>
      <c r="F25" s="15">
        <v>46.968786856933313</v>
      </c>
      <c r="G25" s="19">
        <v>26.073442</v>
      </c>
      <c r="H25" s="15">
        <v>35.175796010933304</v>
      </c>
      <c r="I25" s="15"/>
      <c r="J25" s="26">
        <f t="shared" si="1"/>
        <v>71.499322477730232</v>
      </c>
      <c r="K25" s="26">
        <f t="shared" si="1"/>
        <v>74.891855559477406</v>
      </c>
      <c r="L25" s="4" t="s">
        <v>29</v>
      </c>
      <c r="N25" s="12"/>
      <c r="Q25" s="12"/>
      <c r="R25" s="12"/>
    </row>
    <row r="26" spans="1:18" ht="19.5" customHeight="1">
      <c r="A26" s="7" t="s">
        <v>9</v>
      </c>
      <c r="B26" s="29">
        <v>15</v>
      </c>
      <c r="C26" s="30">
        <v>65</v>
      </c>
      <c r="D26" s="30"/>
      <c r="E26" s="15">
        <v>35.553330000000003</v>
      </c>
      <c r="F26" s="15">
        <v>49.182244726666625</v>
      </c>
      <c r="G26" s="19">
        <v>26.346751000000001</v>
      </c>
      <c r="H26" s="15">
        <v>37.321317125999983</v>
      </c>
      <c r="I26" s="15"/>
      <c r="J26" s="26">
        <f t="shared" si="1"/>
        <v>74.104875689562689</v>
      </c>
      <c r="K26" s="26">
        <f t="shared" si="1"/>
        <v>75.883720504046764</v>
      </c>
      <c r="L26" s="4" t="s">
        <v>30</v>
      </c>
      <c r="N26" s="12"/>
      <c r="Q26" s="12"/>
      <c r="R26" s="12"/>
    </row>
    <row r="27" spans="1:18" ht="19.5" customHeight="1">
      <c r="A27" s="7" t="s">
        <v>7</v>
      </c>
      <c r="B27" s="29">
        <v>12</v>
      </c>
      <c r="C27" s="30">
        <v>53</v>
      </c>
      <c r="D27" s="30"/>
      <c r="E27" s="15">
        <v>28.20215</v>
      </c>
      <c r="F27" s="15">
        <v>34.86838655999999</v>
      </c>
      <c r="G27" s="19">
        <v>19.840727000000001</v>
      </c>
      <c r="H27" s="15">
        <v>26.566927251333325</v>
      </c>
      <c r="I27" s="15"/>
      <c r="J27" s="26">
        <f t="shared" si="1"/>
        <v>70.351824240350481</v>
      </c>
      <c r="K27" s="26">
        <f t="shared" si="1"/>
        <v>76.192017676579681</v>
      </c>
      <c r="L27" s="3" t="s">
        <v>31</v>
      </c>
      <c r="N27" s="12"/>
      <c r="Q27" s="12"/>
      <c r="R27" s="12"/>
    </row>
    <row r="28" spans="1:18" ht="19.5" customHeight="1">
      <c r="A28" s="7" t="s">
        <v>40</v>
      </c>
      <c r="B28" s="29">
        <v>13</v>
      </c>
      <c r="C28" s="30">
        <v>55</v>
      </c>
      <c r="D28" s="30"/>
      <c r="E28" s="15">
        <v>29.237359000000001</v>
      </c>
      <c r="F28" s="15">
        <v>41.656764821999957</v>
      </c>
      <c r="G28" s="19">
        <v>21.271201999999999</v>
      </c>
      <c r="H28" s="15">
        <v>30.045778088666637</v>
      </c>
      <c r="I28" s="15"/>
      <c r="J28" s="26">
        <f t="shared" si="1"/>
        <v>72.753500068183314</v>
      </c>
      <c r="K28" s="26">
        <f t="shared" si="1"/>
        <v>72.127007983103681</v>
      </c>
      <c r="L28" s="4" t="s">
        <v>32</v>
      </c>
      <c r="N28" s="12"/>
      <c r="Q28" s="12"/>
      <c r="R28" s="12"/>
    </row>
    <row r="29" spans="1:18" ht="19.5" customHeight="1">
      <c r="A29" s="7" t="s">
        <v>39</v>
      </c>
      <c r="B29" s="29">
        <v>11</v>
      </c>
      <c r="C29" s="30">
        <v>30</v>
      </c>
      <c r="D29" s="30"/>
      <c r="E29" s="15">
        <v>18.340208000000001</v>
      </c>
      <c r="F29" s="15">
        <v>24.490677582166651</v>
      </c>
      <c r="G29" s="19">
        <v>4.6662730000000003</v>
      </c>
      <c r="H29" s="15">
        <v>12.10362598799999</v>
      </c>
      <c r="I29" s="15"/>
      <c r="J29" s="26">
        <f t="shared" si="1"/>
        <v>25.442857572825783</v>
      </c>
      <c r="K29" s="26">
        <f t="shared" si="1"/>
        <v>49.421360219177743</v>
      </c>
      <c r="L29" s="4" t="s">
        <v>33</v>
      </c>
      <c r="N29" s="12"/>
      <c r="Q29" s="12"/>
      <c r="R29" s="12"/>
    </row>
    <row r="30" spans="1:18" ht="19.5" customHeight="1">
      <c r="A30" s="8" t="s">
        <v>14</v>
      </c>
      <c r="B30" s="31">
        <v>6</v>
      </c>
      <c r="C30" s="32">
        <v>6</v>
      </c>
      <c r="D30" s="32"/>
      <c r="E30" s="16">
        <v>50.903489</v>
      </c>
      <c r="F30" s="16">
        <v>42.791732395733305</v>
      </c>
      <c r="G30" s="20">
        <v>22.907131</v>
      </c>
      <c r="H30" s="16">
        <v>29.746464505733314</v>
      </c>
      <c r="I30" s="16"/>
      <c r="J30" s="27">
        <f t="shared" si="1"/>
        <v>45.00110198733136</v>
      </c>
      <c r="K30" s="27">
        <f t="shared" si="1"/>
        <v>69.514513295795638</v>
      </c>
      <c r="L30" s="9" t="s">
        <v>36</v>
      </c>
      <c r="N30" s="12"/>
      <c r="Q30" s="12"/>
      <c r="R30" s="12"/>
    </row>
    <row r="31" spans="1:18" ht="18.75">
      <c r="A31" s="2" t="s">
        <v>49</v>
      </c>
      <c r="L31" s="13" t="s">
        <v>62</v>
      </c>
    </row>
    <row r="53" spans="1:16">
      <c r="B53" s="41"/>
    </row>
    <row r="54" spans="1:16" ht="24" customHeight="1">
      <c r="B54" s="41"/>
    </row>
    <row r="55" spans="1:16">
      <c r="B55" s="41"/>
    </row>
    <row r="56" spans="1:16">
      <c r="B56" s="41"/>
    </row>
    <row r="57" spans="1:16">
      <c r="B57" s="41"/>
    </row>
    <row r="58" spans="1:16">
      <c r="B58" s="41"/>
    </row>
    <row r="59" spans="1:16" ht="201" customHeight="1">
      <c r="B59" s="41"/>
      <c r="M59" s="11"/>
      <c r="N59" s="11"/>
      <c r="O59" s="6"/>
      <c r="P59" s="6"/>
    </row>
    <row r="60" spans="1:16">
      <c r="B60" s="41"/>
      <c r="M60" s="11"/>
      <c r="N60" s="11"/>
      <c r="O60" s="6"/>
      <c r="P60" s="6"/>
    </row>
    <row r="61" spans="1:16">
      <c r="B61" s="43" t="s">
        <v>2</v>
      </c>
      <c r="C61" s="1" t="s">
        <v>60</v>
      </c>
      <c r="M61" s="11"/>
      <c r="N61" s="11"/>
      <c r="O61" s="6"/>
      <c r="P61" s="6"/>
    </row>
    <row r="62" spans="1:16">
      <c r="A62" s="7" t="s">
        <v>34</v>
      </c>
      <c r="B62" s="44">
        <v>11</v>
      </c>
      <c r="C62" s="17">
        <v>11</v>
      </c>
      <c r="M62" s="11"/>
      <c r="N62" s="11"/>
      <c r="O62" s="6"/>
      <c r="P62" s="6"/>
    </row>
    <row r="63" spans="1:16">
      <c r="A63" s="7" t="s">
        <v>1</v>
      </c>
      <c r="B63" s="44">
        <v>19</v>
      </c>
      <c r="C63" s="17">
        <v>84</v>
      </c>
      <c r="M63" s="11"/>
      <c r="N63" s="11"/>
      <c r="O63" s="6"/>
      <c r="P63" s="6"/>
    </row>
    <row r="64" spans="1:16">
      <c r="A64" s="7" t="s">
        <v>46</v>
      </c>
      <c r="B64" s="44">
        <v>18</v>
      </c>
      <c r="C64" s="17">
        <v>77</v>
      </c>
      <c r="M64" s="11"/>
      <c r="N64" s="11"/>
      <c r="O64" s="6"/>
      <c r="P64" s="6"/>
    </row>
    <row r="65" spans="1:16">
      <c r="A65" s="7" t="s">
        <v>45</v>
      </c>
      <c r="B65" s="44">
        <v>18</v>
      </c>
      <c r="C65" s="17">
        <v>78</v>
      </c>
      <c r="M65" s="11"/>
      <c r="N65" s="11"/>
      <c r="O65" s="6"/>
      <c r="P65" s="6"/>
    </row>
    <row r="66" spans="1:16">
      <c r="A66" s="7" t="s">
        <v>11</v>
      </c>
      <c r="B66" s="44">
        <v>16</v>
      </c>
      <c r="C66" s="17">
        <v>71</v>
      </c>
      <c r="M66" s="11"/>
      <c r="N66" s="11"/>
      <c r="O66" s="6"/>
      <c r="P66" s="6"/>
    </row>
    <row r="67" spans="1:16">
      <c r="A67" s="7" t="s">
        <v>12</v>
      </c>
      <c r="B67" s="44">
        <v>20</v>
      </c>
      <c r="C67" s="17">
        <v>87</v>
      </c>
      <c r="M67" s="11"/>
      <c r="N67" s="11"/>
      <c r="O67" s="6"/>
      <c r="P67" s="6"/>
    </row>
    <row r="68" spans="1:16">
      <c r="A68" s="7" t="s">
        <v>5</v>
      </c>
      <c r="B68" s="44">
        <v>16</v>
      </c>
      <c r="C68" s="17">
        <v>71</v>
      </c>
      <c r="M68" s="11"/>
      <c r="N68" s="11"/>
      <c r="O68" s="6"/>
      <c r="P68" s="6"/>
    </row>
    <row r="69" spans="1:16">
      <c r="A69" s="7" t="s">
        <v>44</v>
      </c>
      <c r="B69" s="44">
        <v>7</v>
      </c>
      <c r="C69" s="17">
        <v>30</v>
      </c>
      <c r="M69" s="11"/>
      <c r="N69" s="11"/>
      <c r="O69" s="6"/>
      <c r="P69" s="6"/>
    </row>
    <row r="70" spans="1:16">
      <c r="A70" s="7" t="s">
        <v>8</v>
      </c>
      <c r="B70" s="44">
        <v>12</v>
      </c>
      <c r="C70" s="17">
        <v>51</v>
      </c>
      <c r="M70" s="11"/>
      <c r="N70" s="11"/>
      <c r="O70" s="6"/>
      <c r="P70" s="6"/>
    </row>
    <row r="71" spans="1:16">
      <c r="A71" s="7" t="s">
        <v>4</v>
      </c>
      <c r="B71" s="44">
        <v>10</v>
      </c>
      <c r="C71" s="17">
        <v>46</v>
      </c>
      <c r="M71" s="11"/>
      <c r="N71" s="11"/>
      <c r="O71" s="6"/>
      <c r="P71" s="6"/>
    </row>
    <row r="72" spans="1:16">
      <c r="A72" s="7" t="s">
        <v>43</v>
      </c>
      <c r="B72" s="44">
        <v>12</v>
      </c>
      <c r="C72" s="17">
        <v>56</v>
      </c>
      <c r="M72" s="11"/>
      <c r="N72" s="11"/>
      <c r="O72" s="6"/>
      <c r="P72" s="6"/>
    </row>
    <row r="73" spans="1:16">
      <c r="A73" s="7" t="s">
        <v>13</v>
      </c>
      <c r="B73" s="44">
        <v>7</v>
      </c>
      <c r="C73" s="17">
        <v>31</v>
      </c>
      <c r="M73" s="11"/>
      <c r="N73" s="11"/>
      <c r="O73" s="6"/>
      <c r="P73" s="6"/>
    </row>
    <row r="74" spans="1:16">
      <c r="A74" s="7" t="s">
        <v>10</v>
      </c>
      <c r="B74" s="44">
        <v>10</v>
      </c>
      <c r="C74" s="17">
        <v>46</v>
      </c>
      <c r="M74" s="11"/>
      <c r="N74" s="11"/>
      <c r="O74" s="6"/>
      <c r="P74" s="6"/>
    </row>
    <row r="75" spans="1:16">
      <c r="A75" s="7" t="s">
        <v>6</v>
      </c>
      <c r="B75" s="44">
        <v>7</v>
      </c>
      <c r="C75" s="17">
        <v>31</v>
      </c>
      <c r="M75" s="11"/>
      <c r="N75" s="11"/>
      <c r="O75" s="6"/>
      <c r="P75" s="6"/>
    </row>
    <row r="76" spans="1:16">
      <c r="A76" s="7" t="s">
        <v>41</v>
      </c>
      <c r="B76" s="44">
        <v>9</v>
      </c>
      <c r="C76" s="17">
        <v>41</v>
      </c>
      <c r="M76" s="11"/>
      <c r="N76" s="11"/>
      <c r="O76" s="6"/>
      <c r="P76" s="6"/>
    </row>
    <row r="77" spans="1:16">
      <c r="A77" s="7" t="s">
        <v>42</v>
      </c>
      <c r="B77" s="44">
        <v>16</v>
      </c>
      <c r="C77" s="17">
        <v>71</v>
      </c>
      <c r="M77" s="11"/>
      <c r="N77" s="11"/>
      <c r="O77" s="6"/>
      <c r="P77" s="6"/>
    </row>
    <row r="78" spans="1:16">
      <c r="A78" s="7" t="s">
        <v>9</v>
      </c>
      <c r="B78" s="44">
        <v>15</v>
      </c>
      <c r="C78" s="17">
        <v>65</v>
      </c>
      <c r="M78" s="11"/>
      <c r="N78" s="11"/>
      <c r="O78" s="6"/>
      <c r="P78" s="6"/>
    </row>
    <row r="79" spans="1:16">
      <c r="A79" s="7" t="s">
        <v>7</v>
      </c>
      <c r="B79" s="44">
        <v>12</v>
      </c>
      <c r="C79" s="17">
        <v>53</v>
      </c>
      <c r="M79" s="11"/>
      <c r="N79" s="11"/>
      <c r="O79" s="6"/>
      <c r="P79" s="6"/>
    </row>
    <row r="80" spans="1:16">
      <c r="A80" s="7" t="s">
        <v>40</v>
      </c>
      <c r="B80" s="44">
        <v>13</v>
      </c>
      <c r="C80" s="17">
        <v>55</v>
      </c>
      <c r="M80" s="11"/>
      <c r="N80" s="11"/>
      <c r="O80" s="6"/>
      <c r="P80" s="6"/>
    </row>
    <row r="81" spans="1:16">
      <c r="A81" s="7" t="s">
        <v>39</v>
      </c>
      <c r="B81" s="44">
        <v>11</v>
      </c>
      <c r="C81" s="17">
        <v>30</v>
      </c>
      <c r="M81" s="11"/>
      <c r="N81" s="11"/>
      <c r="O81" s="6"/>
      <c r="P81" s="6"/>
    </row>
    <row r="82" spans="1:16">
      <c r="A82" s="8" t="s">
        <v>14</v>
      </c>
      <c r="B82" s="45">
        <v>6</v>
      </c>
      <c r="C82" s="46">
        <v>6</v>
      </c>
      <c r="M82" s="11"/>
      <c r="N82" s="11"/>
      <c r="O82" s="6"/>
      <c r="P82" s="6"/>
    </row>
    <row r="83" spans="1:16">
      <c r="A83" s="40" t="s">
        <v>0</v>
      </c>
      <c r="B83" s="47">
        <f>SUM(B62:B82)</f>
        <v>265</v>
      </c>
      <c r="C83" s="47">
        <f>SUM(C62:C82)</f>
        <v>1091</v>
      </c>
      <c r="M83" s="11"/>
      <c r="N83" s="11"/>
      <c r="O83" s="6"/>
      <c r="P83" s="6"/>
    </row>
    <row r="84" spans="1:16">
      <c r="B84" s="41"/>
      <c r="M84" s="11"/>
      <c r="N84" s="11"/>
      <c r="O84" s="6"/>
      <c r="P84" s="6"/>
    </row>
    <row r="85" spans="1:16">
      <c r="B85" s="41"/>
      <c r="M85" s="11"/>
      <c r="N85" s="11"/>
      <c r="O85" s="6"/>
      <c r="P85" s="6"/>
    </row>
    <row r="86" spans="1:16">
      <c r="B86" s="41"/>
      <c r="M86" s="11"/>
      <c r="N86" s="11"/>
      <c r="O86" s="6"/>
      <c r="P86" s="6"/>
    </row>
    <row r="87" spans="1:16">
      <c r="B87" s="41"/>
      <c r="M87" s="11"/>
      <c r="N87" s="11"/>
      <c r="O87" s="6"/>
      <c r="P87" s="6"/>
    </row>
    <row r="88" spans="1:16">
      <c r="B88" s="41"/>
      <c r="M88" s="11"/>
      <c r="N88" s="11"/>
      <c r="O88" s="6"/>
      <c r="P88" s="6"/>
    </row>
    <row r="89" spans="1:16">
      <c r="B89" s="41"/>
      <c r="M89" s="11"/>
      <c r="N89" s="11"/>
      <c r="O89" s="6"/>
      <c r="P89" s="6"/>
    </row>
    <row r="90" spans="1:16">
      <c r="B90" s="41"/>
      <c r="M90" s="11"/>
      <c r="N90" s="11"/>
      <c r="O90" s="6"/>
      <c r="P90" s="6"/>
    </row>
    <row r="91" spans="1:16">
      <c r="B91" s="41"/>
      <c r="M91" s="11"/>
      <c r="N91" s="11"/>
      <c r="O91" s="6"/>
      <c r="P91" s="6"/>
    </row>
    <row r="92" spans="1:16">
      <c r="B92" s="41"/>
      <c r="M92" s="11"/>
      <c r="N92" s="11"/>
      <c r="O92" s="6"/>
      <c r="P92" s="6"/>
    </row>
    <row r="93" spans="1:16">
      <c r="B93" s="41"/>
      <c r="M93" s="11"/>
      <c r="N93" s="11"/>
      <c r="O93" s="6"/>
      <c r="P93" s="6"/>
    </row>
    <row r="94" spans="1:16">
      <c r="B94" s="41"/>
      <c r="M94" s="11"/>
      <c r="N94" s="11"/>
      <c r="O94" s="6"/>
      <c r="P94" s="6"/>
    </row>
    <row r="95" spans="1:16">
      <c r="B95" s="41"/>
      <c r="M95" s="11"/>
      <c r="N95" s="11"/>
      <c r="O95" s="6"/>
      <c r="P95" s="6"/>
    </row>
    <row r="96" spans="1:16">
      <c r="B96" s="41"/>
      <c r="M96" s="11"/>
      <c r="N96" s="11"/>
      <c r="O96" s="6"/>
      <c r="P96" s="6"/>
    </row>
    <row r="97" spans="2:16">
      <c r="B97" s="41"/>
      <c r="M97" s="11"/>
      <c r="N97" s="11"/>
      <c r="O97" s="6"/>
      <c r="P97" s="6"/>
    </row>
    <row r="98" spans="2:16">
      <c r="B98" s="41"/>
      <c r="M98" s="11"/>
      <c r="N98" s="11"/>
      <c r="O98" s="6"/>
      <c r="P98" s="6"/>
    </row>
    <row r="99" spans="2:16">
      <c r="B99" s="41"/>
      <c r="M99" s="11"/>
      <c r="N99" s="11"/>
      <c r="O99" s="6"/>
      <c r="P99" s="6"/>
    </row>
    <row r="100" spans="2:16">
      <c r="B100" s="41"/>
      <c r="M100" s="11"/>
      <c r="N100" s="11"/>
      <c r="O100" s="6"/>
      <c r="P100" s="6"/>
    </row>
    <row r="101" spans="2:16">
      <c r="B101" s="41"/>
      <c r="M101" s="11"/>
      <c r="N101" s="11"/>
      <c r="O101" s="6"/>
      <c r="P101" s="6"/>
    </row>
    <row r="102" spans="2:16">
      <c r="B102" s="41"/>
      <c r="M102" s="11"/>
      <c r="N102" s="11"/>
      <c r="O102" s="6"/>
      <c r="P102" s="6"/>
    </row>
    <row r="103" spans="2:16">
      <c r="B103" s="41"/>
      <c r="M103" s="11"/>
      <c r="N103" s="11"/>
      <c r="O103" s="6"/>
      <c r="P103" s="6"/>
    </row>
    <row r="104" spans="2:16">
      <c r="B104" s="41"/>
      <c r="M104" s="11"/>
      <c r="N104" s="11"/>
      <c r="O104" s="6"/>
      <c r="P104" s="6"/>
    </row>
    <row r="105" spans="2:16">
      <c r="B105" s="41"/>
      <c r="M105" s="11"/>
      <c r="N105" s="11"/>
      <c r="O105" s="6"/>
      <c r="P105" s="6"/>
    </row>
    <row r="106" spans="2:16">
      <c r="B106" s="41"/>
      <c r="M106" s="11"/>
      <c r="N106" s="11"/>
      <c r="O106" s="6"/>
      <c r="P106" s="6"/>
    </row>
    <row r="107" spans="2:16">
      <c r="B107" s="41"/>
      <c r="M107" s="11"/>
      <c r="N107" s="11"/>
      <c r="O107" s="6"/>
      <c r="P107" s="6"/>
    </row>
    <row r="108" spans="2:16">
      <c r="B108" s="41"/>
      <c r="M108" s="11"/>
      <c r="N108" s="11"/>
      <c r="O108" s="6"/>
      <c r="P108" s="6"/>
    </row>
    <row r="109" spans="2:16">
      <c r="B109" s="41"/>
      <c r="M109" s="11"/>
      <c r="N109" s="11"/>
      <c r="O109" s="6"/>
      <c r="P109" s="6"/>
    </row>
    <row r="110" spans="2:16">
      <c r="B110" s="41"/>
      <c r="M110" s="11"/>
      <c r="N110" s="11"/>
      <c r="O110" s="6"/>
      <c r="P110" s="6"/>
    </row>
    <row r="111" spans="2:16">
      <c r="B111" s="41"/>
      <c r="M111" s="11"/>
      <c r="N111" s="11"/>
      <c r="O111" s="6"/>
      <c r="P111" s="6"/>
    </row>
    <row r="112" spans="2:16">
      <c r="B112" s="41"/>
      <c r="M112" s="11"/>
      <c r="N112" s="11"/>
      <c r="O112" s="6"/>
      <c r="P112" s="6"/>
    </row>
    <row r="113" spans="2:16">
      <c r="B113" s="41"/>
      <c r="M113" s="11"/>
      <c r="N113" s="11"/>
      <c r="O113" s="6"/>
      <c r="P113" s="6"/>
    </row>
    <row r="114" spans="2:16">
      <c r="B114" s="41"/>
      <c r="M114" s="11"/>
      <c r="N114" s="11"/>
      <c r="O114" s="6"/>
      <c r="P114" s="6"/>
    </row>
    <row r="115" spans="2:16">
      <c r="B115" s="41"/>
      <c r="M115" s="11"/>
      <c r="N115" s="11"/>
      <c r="O115" s="6"/>
      <c r="P115" s="6"/>
    </row>
    <row r="116" spans="2:16">
      <c r="B116" s="41"/>
      <c r="M116" s="11"/>
      <c r="N116" s="11"/>
      <c r="O116" s="6"/>
      <c r="P116" s="6"/>
    </row>
    <row r="117" spans="2:16">
      <c r="B117" s="41"/>
      <c r="M117" s="11"/>
      <c r="N117" s="11"/>
      <c r="O117" s="6"/>
      <c r="P117" s="6"/>
    </row>
    <row r="118" spans="2:16">
      <c r="B118" s="41"/>
      <c r="M118" s="11"/>
      <c r="N118" s="11"/>
      <c r="O118" s="6"/>
      <c r="P118" s="6"/>
    </row>
    <row r="119" spans="2:16">
      <c r="B119" s="41"/>
      <c r="M119" s="11"/>
      <c r="N119" s="11"/>
      <c r="O119" s="6"/>
      <c r="P119" s="6"/>
    </row>
    <row r="120" spans="2:16">
      <c r="B120" s="41"/>
      <c r="M120" s="11"/>
      <c r="N120" s="11"/>
      <c r="O120" s="6"/>
      <c r="P120" s="6"/>
    </row>
    <row r="121" spans="2:16">
      <c r="B121" s="41"/>
      <c r="M121" s="11"/>
      <c r="N121" s="11"/>
      <c r="O121" s="6"/>
      <c r="P121" s="6"/>
    </row>
  </sheetData>
  <mergeCells count="13">
    <mergeCell ref="G6:K6"/>
    <mergeCell ref="E5:F6"/>
    <mergeCell ref="A1:L1"/>
    <mergeCell ref="A2:L2"/>
    <mergeCell ref="B3:E3"/>
    <mergeCell ref="G3:H3"/>
    <mergeCell ref="A4:A8"/>
    <mergeCell ref="L4:L8"/>
    <mergeCell ref="E4:K4"/>
    <mergeCell ref="G5:K5"/>
    <mergeCell ref="G7:H7"/>
    <mergeCell ref="J7:K7"/>
    <mergeCell ref="E7:F7"/>
  </mergeCells>
  <pageMargins left="0.39" right="0.42" top="0.28000000000000003" bottom="0.06" header="0.13" footer="0.01"/>
  <pageSetup paperSize="9" scale="70" orientation="portrait" r:id="rId1"/>
  <rowBreaks count="1" manualBreakCount="1">
    <brk id="59" max="12" man="1"/>
  </rowBreaks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20.9</vt:lpstr>
      <vt:lpstr>'20.9'!Print_Area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2013-07-02T09:32:10Z</cp:lastPrinted>
  <dcterms:created xsi:type="dcterms:W3CDTF">2013-02-14T16:19:10Z</dcterms:created>
  <dcterms:modified xsi:type="dcterms:W3CDTF">2013-07-02T09:38:09Z</dcterms:modified>
</cp:coreProperties>
</file>